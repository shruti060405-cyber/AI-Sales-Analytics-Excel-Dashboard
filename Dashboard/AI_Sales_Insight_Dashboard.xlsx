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dgn\Desktop\"/>
    </mc:Choice>
  </mc:AlternateContent>
  <xr:revisionPtr revIDLastSave="0" documentId="13_ncr:1_{B561E92F-1620-4613-8F03-9DB225CCA1B8}" xr6:coauthVersionLast="47" xr6:coauthVersionMax="47" xr10:uidLastSave="{00000000-0000-0000-0000-000000000000}"/>
  <bookViews>
    <workbookView xWindow="-120" yWindow="-120" windowWidth="20730" windowHeight="11160" activeTab="3" xr2:uid="{04B6181E-F61F-47F9-851D-A12573CFEFB9}"/>
  </bookViews>
  <sheets>
    <sheet name="Dashboard" sheetId="10" r:id="rId1"/>
    <sheet name="Raw_Data" sheetId="1" r:id="rId2"/>
    <sheet name="Cleaned_Data" sheetId="2" r:id="rId3"/>
    <sheet name="Pivot_Analysis" sheetId="3" r:id="rId4"/>
    <sheet name="AI_Forecast" sheetId="6" r:id="rId5"/>
    <sheet name="AI_Insights" sheetId="7" r:id="rId6"/>
    <sheet name="Recommendations" sheetId="9" r:id="rId7"/>
  </sheets>
  <definedNames>
    <definedName name="_xlcn.WorksheetConnection_AI_Sales_Insight_Dashboard.xlsxSales_Data31" hidden="1">Sales_Data3[]</definedName>
    <definedName name="Slicer_Product_Category">#N/A</definedName>
    <definedName name="Slicer_Region">#N/A</definedName>
    <definedName name="Slicer_Year">#N/A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3" name="Sales_Data3" connection="WorksheetConnection_AI_Sales_Insight_Dashboard.xlsx!Sales_Data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9" l="1"/>
  <c r="C3" i="9"/>
  <c r="C2" i="9"/>
  <c r="B6" i="9"/>
  <c r="C6" i="9" s="1"/>
  <c r="B5" i="9"/>
  <c r="B4" i="9"/>
  <c r="C4" i="9" s="1"/>
  <c r="B11" i="7"/>
  <c r="B13" i="7"/>
  <c r="B14" i="7" s="1"/>
  <c r="B10" i="7"/>
  <c r="B8" i="7"/>
  <c r="N3" i="2"/>
  <c r="N2"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3" i="2"/>
  <c r="M2"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B3" i="9"/>
  <c r="B2" i="9"/>
  <c r="B7" i="7"/>
  <c r="B3" i="7"/>
  <c r="B2" i="7"/>
  <c r="C2002" i="6"/>
  <c r="C2006" i="6"/>
  <c r="C2010" i="6"/>
  <c r="C2014" i="6"/>
  <c r="C2018" i="6"/>
  <c r="C2022" i="6"/>
  <c r="C2026" i="6"/>
  <c r="C2030" i="6"/>
  <c r="C2034" i="6"/>
  <c r="C2038" i="6"/>
  <c r="C2042" i="6"/>
  <c r="C2046" i="6"/>
  <c r="C2050" i="6"/>
  <c r="C2054" i="6"/>
  <c r="C2058" i="6"/>
  <c r="C2062" i="6"/>
  <c r="C2066" i="6"/>
  <c r="C2070" i="6"/>
  <c r="C2074" i="6"/>
  <c r="C2078" i="6"/>
  <c r="C2082" i="6"/>
  <c r="C2086" i="6"/>
  <c r="C2090" i="6"/>
  <c r="C2094" i="6"/>
  <c r="C2098" i="6"/>
  <c r="C2102" i="6"/>
  <c r="C2106" i="6"/>
  <c r="C2110" i="6"/>
  <c r="C2114" i="6"/>
  <c r="C2118" i="6"/>
  <c r="C2122" i="6"/>
  <c r="C2126" i="6"/>
  <c r="C2130" i="6"/>
  <c r="C2134" i="6"/>
  <c r="C2138" i="6"/>
  <c r="C2142" i="6"/>
  <c r="C2146" i="6"/>
  <c r="C2150" i="6"/>
  <c r="C2154" i="6"/>
  <c r="C2158" i="6"/>
  <c r="C2162" i="6"/>
  <c r="C2166" i="6"/>
  <c r="C2170" i="6"/>
  <c r="C2174" i="6"/>
  <c r="C2178" i="6"/>
  <c r="C2182" i="6"/>
  <c r="C2186" i="6"/>
  <c r="C2190" i="6"/>
  <c r="C2194" i="6"/>
  <c r="C2198" i="6"/>
  <c r="C2202" i="6"/>
  <c r="C2206" i="6"/>
  <c r="C2210" i="6"/>
  <c r="C2214" i="6"/>
  <c r="C2218" i="6"/>
  <c r="C2222" i="6"/>
  <c r="C2226" i="6"/>
  <c r="C2230" i="6"/>
  <c r="C2234" i="6"/>
  <c r="C2238" i="6"/>
  <c r="C2242" i="6"/>
  <c r="C2246" i="6"/>
  <c r="C2250" i="6"/>
  <c r="C2254" i="6"/>
  <c r="C2258" i="6"/>
  <c r="C2262" i="6"/>
  <c r="C2266" i="6"/>
  <c r="C2270" i="6"/>
  <c r="C2274" i="6"/>
  <c r="C2278" i="6"/>
  <c r="C2282" i="6"/>
  <c r="C2286" i="6"/>
  <c r="C2290" i="6"/>
  <c r="C2294" i="6"/>
  <c r="C2298" i="6"/>
  <c r="C2302" i="6"/>
  <c r="C2306" i="6"/>
  <c r="C2310" i="6"/>
  <c r="C2314" i="6"/>
  <c r="C2318" i="6"/>
  <c r="C2322" i="6"/>
  <c r="C2326" i="6"/>
  <c r="C2330" i="6"/>
  <c r="C2334" i="6"/>
  <c r="C2338" i="6"/>
  <c r="C2342" i="6"/>
  <c r="C2346" i="6"/>
  <c r="C2350" i="6"/>
  <c r="C2354" i="6"/>
  <c r="C2358" i="6"/>
  <c r="C2362" i="6"/>
  <c r="C2366" i="6"/>
  <c r="C2003" i="6"/>
  <c r="C2007" i="6"/>
  <c r="C2011" i="6"/>
  <c r="C2015" i="6"/>
  <c r="C2019" i="6"/>
  <c r="C2023" i="6"/>
  <c r="C2027" i="6"/>
  <c r="C2031" i="6"/>
  <c r="C2035" i="6"/>
  <c r="C2039" i="6"/>
  <c r="C2043" i="6"/>
  <c r="C2047" i="6"/>
  <c r="C2051" i="6"/>
  <c r="C2055" i="6"/>
  <c r="C2059" i="6"/>
  <c r="C2063" i="6"/>
  <c r="C2067" i="6"/>
  <c r="C2071" i="6"/>
  <c r="C2075" i="6"/>
  <c r="C2079" i="6"/>
  <c r="C2083" i="6"/>
  <c r="C2087" i="6"/>
  <c r="C2091" i="6"/>
  <c r="C2095" i="6"/>
  <c r="C2099" i="6"/>
  <c r="C2103" i="6"/>
  <c r="C2107" i="6"/>
  <c r="C2111" i="6"/>
  <c r="C2115" i="6"/>
  <c r="C2119" i="6"/>
  <c r="C2123" i="6"/>
  <c r="C2127" i="6"/>
  <c r="C2131" i="6"/>
  <c r="C2135" i="6"/>
  <c r="C2139" i="6"/>
  <c r="C2143" i="6"/>
  <c r="C2147" i="6"/>
  <c r="C2151" i="6"/>
  <c r="C2155" i="6"/>
  <c r="C2159" i="6"/>
  <c r="C2163" i="6"/>
  <c r="C2167" i="6"/>
  <c r="C2171" i="6"/>
  <c r="C2175" i="6"/>
  <c r="C2179" i="6"/>
  <c r="C2183" i="6"/>
  <c r="C2187" i="6"/>
  <c r="C2191" i="6"/>
  <c r="C2195" i="6"/>
  <c r="C2199" i="6"/>
  <c r="C2203" i="6"/>
  <c r="C2207" i="6"/>
  <c r="C2211" i="6"/>
  <c r="C2215" i="6"/>
  <c r="C2219" i="6"/>
  <c r="C2223" i="6"/>
  <c r="C2227" i="6"/>
  <c r="C2231" i="6"/>
  <c r="C2235" i="6"/>
  <c r="C2239" i="6"/>
  <c r="C2243" i="6"/>
  <c r="C2247" i="6"/>
  <c r="C2251" i="6"/>
  <c r="C2255" i="6"/>
  <c r="C2259" i="6"/>
  <c r="C2263" i="6"/>
  <c r="C2267" i="6"/>
  <c r="C2271" i="6"/>
  <c r="C2275" i="6"/>
  <c r="C2279" i="6"/>
  <c r="C2283" i="6"/>
  <c r="C2287" i="6"/>
  <c r="C2291" i="6"/>
  <c r="C2295" i="6"/>
  <c r="C2299" i="6"/>
  <c r="C2303" i="6"/>
  <c r="C2307" i="6"/>
  <c r="C2311" i="6"/>
  <c r="C2315" i="6"/>
  <c r="C2319" i="6"/>
  <c r="C2323" i="6"/>
  <c r="C2327" i="6"/>
  <c r="C2331" i="6"/>
  <c r="C2335" i="6"/>
  <c r="C2339" i="6"/>
  <c r="C2343" i="6"/>
  <c r="C2347" i="6"/>
  <c r="C2351" i="6"/>
  <c r="C2355" i="6"/>
  <c r="C2359" i="6"/>
  <c r="C2363" i="6"/>
  <c r="C2367" i="6"/>
  <c r="C2004" i="6"/>
  <c r="C2008" i="6"/>
  <c r="C2012" i="6"/>
  <c r="C2016" i="6"/>
  <c r="C2020" i="6"/>
  <c r="C2024" i="6"/>
  <c r="C2028" i="6"/>
  <c r="C2032" i="6"/>
  <c r="C2036" i="6"/>
  <c r="C2040" i="6"/>
  <c r="C2044" i="6"/>
  <c r="C2048" i="6"/>
  <c r="C2052" i="6"/>
  <c r="C2056" i="6"/>
  <c r="C2060" i="6"/>
  <c r="C2064" i="6"/>
  <c r="C2068" i="6"/>
  <c r="C2072" i="6"/>
  <c r="C2076" i="6"/>
  <c r="C2080" i="6"/>
  <c r="C2084" i="6"/>
  <c r="C2088" i="6"/>
  <c r="C2092" i="6"/>
  <c r="C2096" i="6"/>
  <c r="C2100" i="6"/>
  <c r="C2104" i="6"/>
  <c r="C2108" i="6"/>
  <c r="C2112" i="6"/>
  <c r="C2116" i="6"/>
  <c r="C2120" i="6"/>
  <c r="C2124" i="6"/>
  <c r="C2128" i="6"/>
  <c r="C2132" i="6"/>
  <c r="C2136" i="6"/>
  <c r="C2140" i="6"/>
  <c r="C2144" i="6"/>
  <c r="C2148" i="6"/>
  <c r="C2152" i="6"/>
  <c r="C2156" i="6"/>
  <c r="C2160" i="6"/>
  <c r="C2164" i="6"/>
  <c r="C2168" i="6"/>
  <c r="C2172" i="6"/>
  <c r="C2176" i="6"/>
  <c r="C2180" i="6"/>
  <c r="C2184" i="6"/>
  <c r="C2188" i="6"/>
  <c r="C2192" i="6"/>
  <c r="C2196" i="6"/>
  <c r="C2200" i="6"/>
  <c r="C2204" i="6"/>
  <c r="C2208" i="6"/>
  <c r="C2212" i="6"/>
  <c r="C2216" i="6"/>
  <c r="C2220" i="6"/>
  <c r="C2224" i="6"/>
  <c r="C2228" i="6"/>
  <c r="C2232" i="6"/>
  <c r="C2236" i="6"/>
  <c r="C2240" i="6"/>
  <c r="C2244" i="6"/>
  <c r="C2248" i="6"/>
  <c r="C2252" i="6"/>
  <c r="C2256" i="6"/>
  <c r="C2260" i="6"/>
  <c r="C2264" i="6"/>
  <c r="C2268" i="6"/>
  <c r="C2272" i="6"/>
  <c r="C2276" i="6"/>
  <c r="C2280" i="6"/>
  <c r="C2284" i="6"/>
  <c r="C2288" i="6"/>
  <c r="C2292" i="6"/>
  <c r="C2296" i="6"/>
  <c r="C2300" i="6"/>
  <c r="C2304" i="6"/>
  <c r="C2308" i="6"/>
  <c r="C2312" i="6"/>
  <c r="C2316" i="6"/>
  <c r="C2320" i="6"/>
  <c r="C2324" i="6"/>
  <c r="C2328" i="6"/>
  <c r="C2332" i="6"/>
  <c r="C2336" i="6"/>
  <c r="C2340" i="6"/>
  <c r="C2344" i="6"/>
  <c r="C2348" i="6"/>
  <c r="C2352" i="6"/>
  <c r="C2356" i="6"/>
  <c r="C2360" i="6"/>
  <c r="C2364" i="6"/>
  <c r="C2005" i="6"/>
  <c r="C2021" i="6"/>
  <c r="C2037" i="6"/>
  <c r="C2053" i="6"/>
  <c r="C2069" i="6"/>
  <c r="C2085" i="6"/>
  <c r="C2101" i="6"/>
  <c r="C2117" i="6"/>
  <c r="C2133" i="6"/>
  <c r="C2149" i="6"/>
  <c r="C2165" i="6"/>
  <c r="C2181" i="6"/>
  <c r="C2197" i="6"/>
  <c r="C2213" i="6"/>
  <c r="C2229" i="6"/>
  <c r="C2245" i="6"/>
  <c r="C2261" i="6"/>
  <c r="C2277" i="6"/>
  <c r="C2293" i="6"/>
  <c r="C2309" i="6"/>
  <c r="C2325" i="6"/>
  <c r="C2341" i="6"/>
  <c r="C2357" i="6"/>
  <c r="C2009" i="6"/>
  <c r="C2025" i="6"/>
  <c r="C2041" i="6"/>
  <c r="C2057" i="6"/>
  <c r="C2073" i="6"/>
  <c r="C2089" i="6"/>
  <c r="C2105" i="6"/>
  <c r="C2121" i="6"/>
  <c r="C2137" i="6"/>
  <c r="C2153" i="6"/>
  <c r="C2169" i="6"/>
  <c r="C2185" i="6"/>
  <c r="C2201" i="6"/>
  <c r="C2217" i="6"/>
  <c r="C2233" i="6"/>
  <c r="C2249" i="6"/>
  <c r="C2265" i="6"/>
  <c r="C2281" i="6"/>
  <c r="C2297" i="6"/>
  <c r="C2313" i="6"/>
  <c r="C2329" i="6"/>
  <c r="C2345" i="6"/>
  <c r="C2361" i="6"/>
  <c r="C2013" i="6"/>
  <c r="C2029" i="6"/>
  <c r="C2045" i="6"/>
  <c r="C2061" i="6"/>
  <c r="C2077" i="6"/>
  <c r="C2093" i="6"/>
  <c r="C2109" i="6"/>
  <c r="C2125" i="6"/>
  <c r="C2141" i="6"/>
  <c r="C2157" i="6"/>
  <c r="C2173" i="6"/>
  <c r="C2189" i="6"/>
  <c r="C2205" i="6"/>
  <c r="C2221" i="6"/>
  <c r="C2237" i="6"/>
  <c r="C2253" i="6"/>
  <c r="C2269" i="6"/>
  <c r="C2285" i="6"/>
  <c r="C2301" i="6"/>
  <c r="C2317" i="6"/>
  <c r="C2333" i="6"/>
  <c r="C2349" i="6"/>
  <c r="C2365" i="6"/>
  <c r="C2017" i="6"/>
  <c r="C2081" i="6"/>
  <c r="C2145" i="6"/>
  <c r="C2209" i="6"/>
  <c r="C2273" i="6"/>
  <c r="C2337" i="6"/>
  <c r="C2065" i="6"/>
  <c r="C2257" i="6"/>
  <c r="C2033" i="6"/>
  <c r="C2097" i="6"/>
  <c r="C2161" i="6"/>
  <c r="C2225" i="6"/>
  <c r="C2289" i="6"/>
  <c r="C2353" i="6"/>
  <c r="C2129" i="6"/>
  <c r="C2321" i="6"/>
  <c r="C2049" i="6"/>
  <c r="C2113" i="6"/>
  <c r="C2177" i="6"/>
  <c r="C2241" i="6"/>
  <c r="C2305" i="6"/>
  <c r="C2193" i="6"/>
  <c r="D2193" i="6"/>
  <c r="D2241" i="6"/>
  <c r="D2113" i="6"/>
  <c r="E2321" i="6"/>
  <c r="E2353" i="6"/>
  <c r="D2225" i="6"/>
  <c r="D2097" i="6"/>
  <c r="D2257" i="6"/>
  <c r="D2337" i="6"/>
  <c r="D2209" i="6"/>
  <c r="D2081" i="6"/>
  <c r="E2365" i="6"/>
  <c r="E2333" i="6"/>
  <c r="E2301" i="6"/>
  <c r="D2269" i="6"/>
  <c r="D2237" i="6"/>
  <c r="D2205" i="6"/>
  <c r="D2173" i="6"/>
  <c r="D2141" i="6"/>
  <c r="D2109" i="6"/>
  <c r="D2077" i="6"/>
  <c r="D2045" i="6"/>
  <c r="D2013" i="6"/>
  <c r="E2345" i="6"/>
  <c r="D2313" i="6"/>
  <c r="E2281" i="6"/>
  <c r="D2249" i="6"/>
  <c r="D2217" i="6"/>
  <c r="D2185" i="6"/>
  <c r="D2153" i="6"/>
  <c r="D2121" i="6"/>
  <c r="D2089" i="6"/>
  <c r="D2057" i="6"/>
  <c r="D2025" i="6"/>
  <c r="D2357" i="6"/>
  <c r="D2325" i="6"/>
  <c r="D2293" i="6"/>
  <c r="D2261" i="6"/>
  <c r="D2229" i="6"/>
  <c r="D2197" i="6"/>
  <c r="D2165" i="6"/>
  <c r="D2133" i="6"/>
  <c r="D2101" i="6"/>
  <c r="D2069" i="6"/>
  <c r="D2037" i="6"/>
  <c r="D2005" i="6"/>
  <c r="D2360" i="6"/>
  <c r="D2352" i="6"/>
  <c r="D2344" i="6"/>
  <c r="D2336" i="6"/>
  <c r="D2328" i="6"/>
  <c r="D2320" i="6"/>
  <c r="D2312" i="6"/>
  <c r="D2304" i="6"/>
  <c r="D2296" i="6"/>
  <c r="D2288" i="6"/>
  <c r="D2280" i="6"/>
  <c r="D2272" i="6"/>
  <c r="D2264" i="6"/>
  <c r="D2256" i="6"/>
  <c r="D2248" i="6"/>
  <c r="D2240" i="6"/>
  <c r="D2232" i="6"/>
  <c r="D2224" i="6"/>
  <c r="D2216" i="6"/>
  <c r="D2208" i="6"/>
  <c r="D2200" i="6"/>
  <c r="D2192" i="6"/>
  <c r="D2184" i="6"/>
  <c r="D2176" i="6"/>
  <c r="D2168" i="6"/>
  <c r="D2160" i="6"/>
  <c r="D2152" i="6"/>
  <c r="D2144" i="6"/>
  <c r="D2136" i="6"/>
  <c r="D2128" i="6"/>
  <c r="D2120" i="6"/>
  <c r="D2112" i="6"/>
  <c r="D2104" i="6"/>
  <c r="D2096" i="6"/>
  <c r="D2088" i="6"/>
  <c r="D2080" i="6"/>
  <c r="D2072" i="6"/>
  <c r="D2064" i="6"/>
  <c r="D2056" i="6"/>
  <c r="D2048" i="6"/>
  <c r="D2040" i="6"/>
  <c r="D2032" i="6"/>
  <c r="D2024" i="6"/>
  <c r="D2016" i="6"/>
  <c r="D2008" i="6"/>
  <c r="D2367" i="6"/>
  <c r="E2359" i="6"/>
  <c r="D2351" i="6"/>
  <c r="D2343" i="6"/>
  <c r="D2335" i="6"/>
  <c r="D2327" i="6"/>
  <c r="D2319" i="6"/>
  <c r="D2311" i="6"/>
  <c r="D2303" i="6"/>
  <c r="D2295" i="6"/>
  <c r="D2287" i="6"/>
  <c r="D2279" i="6"/>
  <c r="D2271" i="6"/>
  <c r="D2263" i="6"/>
  <c r="D2255" i="6"/>
  <c r="D2247" i="6"/>
  <c r="D2239" i="6"/>
  <c r="D2231" i="6"/>
  <c r="D2223" i="6"/>
  <c r="D2215" i="6"/>
  <c r="D2207" i="6"/>
  <c r="D2199" i="6"/>
  <c r="D2191" i="6"/>
  <c r="D2183" i="6"/>
  <c r="D2175" i="6"/>
  <c r="D2167" i="6"/>
  <c r="D2159" i="6"/>
  <c r="D2151" i="6"/>
  <c r="D2143" i="6"/>
  <c r="D2135" i="6"/>
  <c r="D2127" i="6"/>
  <c r="D2119" i="6"/>
  <c r="D2111" i="6"/>
  <c r="D2103" i="6"/>
  <c r="D2095" i="6"/>
  <c r="D2087" i="6"/>
  <c r="D2079" i="6"/>
  <c r="D2071" i="6"/>
  <c r="D2063" i="6"/>
  <c r="D2055" i="6"/>
  <c r="D2047" i="6"/>
  <c r="D2039" i="6"/>
  <c r="D2031" i="6"/>
  <c r="D2023" i="6"/>
  <c r="D2015" i="6"/>
  <c r="D2007" i="6"/>
  <c r="E2366" i="6"/>
  <c r="E2358" i="6"/>
  <c r="D2350" i="6"/>
  <c r="D2342" i="6"/>
  <c r="D2334" i="6"/>
  <c r="D2326" i="6"/>
  <c r="D2318" i="6"/>
  <c r="D2310" i="6"/>
  <c r="D2302" i="6"/>
  <c r="D2294" i="6"/>
  <c r="D2286" i="6"/>
  <c r="D2278" i="6"/>
  <c r="D2270" i="6"/>
  <c r="D2262" i="6"/>
  <c r="D2254" i="6"/>
  <c r="D2246" i="6"/>
  <c r="D2238" i="6"/>
  <c r="D2230" i="6"/>
  <c r="D2222" i="6"/>
  <c r="D2214" i="6"/>
  <c r="D2206" i="6"/>
  <c r="D2198" i="6"/>
  <c r="D2190" i="6"/>
  <c r="D2182" i="6"/>
  <c r="D2174" i="6"/>
  <c r="D2166" i="6"/>
  <c r="D2158" i="6"/>
  <c r="D2150" i="6"/>
  <c r="D2142" i="6"/>
  <c r="D2134" i="6"/>
  <c r="D2126" i="6"/>
  <c r="D2118" i="6"/>
  <c r="D2110" i="6"/>
  <c r="D2102" i="6"/>
  <c r="D2094" i="6"/>
  <c r="D2086" i="6"/>
  <c r="D2078" i="6"/>
  <c r="D2070" i="6"/>
  <c r="D2062" i="6"/>
  <c r="D2054" i="6"/>
  <c r="D2046" i="6"/>
  <c r="D2038" i="6"/>
  <c r="D2030" i="6"/>
  <c r="D2022" i="6"/>
  <c r="D2014" i="6"/>
  <c r="D2006" i="6"/>
  <c r="E2022" i="6"/>
  <c r="E2006" i="6"/>
  <c r="D2305" i="6"/>
  <c r="D2033" i="6"/>
  <c r="D2273" i="6"/>
  <c r="D2017" i="6"/>
  <c r="D2317" i="6"/>
  <c r="D2253" i="6"/>
  <c r="D2221" i="6"/>
  <c r="D2157" i="6"/>
  <c r="D2093" i="6"/>
  <c r="D2029" i="6"/>
  <c r="D2329" i="6"/>
  <c r="D2265" i="6"/>
  <c r="D2201" i="6"/>
  <c r="D2137" i="6"/>
  <c r="D2073" i="6"/>
  <c r="D2009" i="6"/>
  <c r="E2309" i="6"/>
  <c r="D2245" i="6"/>
  <c r="D2181" i="6"/>
  <c r="D2117" i="6"/>
  <c r="D2053" i="6"/>
  <c r="D2364" i="6"/>
  <c r="D2356" i="6"/>
  <c r="D2340" i="6"/>
  <c r="D2324" i="6"/>
  <c r="D2308" i="6"/>
  <c r="D2300" i="6"/>
  <c r="D2284" i="6"/>
  <c r="D2268" i="6"/>
  <c r="D2252" i="6"/>
  <c r="D2236" i="6"/>
  <c r="D2220" i="6"/>
  <c r="D2204" i="6"/>
  <c r="D2188" i="6"/>
  <c r="D2180" i="6"/>
  <c r="D2164" i="6"/>
  <c r="D2148" i="6"/>
  <c r="D2132" i="6"/>
  <c r="D2116" i="6"/>
  <c r="D2100" i="6"/>
  <c r="D2084" i="6"/>
  <c r="D2068" i="6"/>
  <c r="D2052" i="6"/>
  <c r="D2036" i="6"/>
  <c r="D2020" i="6"/>
  <c r="D2012" i="6"/>
  <c r="E2363" i="6"/>
  <c r="D2347" i="6"/>
  <c r="D2331" i="6"/>
  <c r="D2323" i="6"/>
  <c r="D2307" i="6"/>
  <c r="D2291" i="6"/>
  <c r="D2275" i="6"/>
  <c r="D2259" i="6"/>
  <c r="D2243" i="6"/>
  <c r="D2227" i="6"/>
  <c r="D2211" i="6"/>
  <c r="D2195" i="6"/>
  <c r="D2179" i="6"/>
  <c r="D2163" i="6"/>
  <c r="D2147" i="6"/>
  <c r="D2131" i="6"/>
  <c r="D2115" i="6"/>
  <c r="D2099" i="6"/>
  <c r="E2083" i="6"/>
  <c r="E2067" i="6"/>
  <c r="D2043" i="6"/>
  <c r="D2027" i="6"/>
  <c r="D2011" i="6"/>
  <c r="E2362" i="6"/>
  <c r="E2193" i="6"/>
  <c r="E2241" i="6"/>
  <c r="E2113" i="6"/>
  <c r="D2321" i="6"/>
  <c r="D2353" i="6"/>
  <c r="E2225" i="6"/>
  <c r="E2097" i="6"/>
  <c r="E2257" i="6"/>
  <c r="E2337" i="6"/>
  <c r="E2209" i="6"/>
  <c r="E2081" i="6"/>
  <c r="D2365" i="6"/>
  <c r="D2333" i="6"/>
  <c r="D2301" i="6"/>
  <c r="E2269" i="6"/>
  <c r="E2237" i="6"/>
  <c r="E2205" i="6"/>
  <c r="E2173" i="6"/>
  <c r="E2141" i="6"/>
  <c r="E2109" i="6"/>
  <c r="E2077" i="6"/>
  <c r="E2045" i="6"/>
  <c r="E2013" i="6"/>
  <c r="D2345" i="6"/>
  <c r="E2313" i="6"/>
  <c r="D2281" i="6"/>
  <c r="E2249" i="6"/>
  <c r="E2217" i="6"/>
  <c r="E2185" i="6"/>
  <c r="E2153" i="6"/>
  <c r="E2121" i="6"/>
  <c r="E2089" i="6"/>
  <c r="E2057" i="6"/>
  <c r="E2025" i="6"/>
  <c r="E2357" i="6"/>
  <c r="E2325" i="6"/>
  <c r="E2293" i="6"/>
  <c r="E2261" i="6"/>
  <c r="E2229" i="6"/>
  <c r="E2197" i="6"/>
  <c r="E2165" i="6"/>
  <c r="E2133" i="6"/>
  <c r="E2101" i="6"/>
  <c r="E2069" i="6"/>
  <c r="E2037" i="6"/>
  <c r="E2005" i="6"/>
  <c r="E2360" i="6"/>
  <c r="E2352" i="6"/>
  <c r="E2344" i="6"/>
  <c r="E2336" i="6"/>
  <c r="E2328" i="6"/>
  <c r="E2320" i="6"/>
  <c r="E2312" i="6"/>
  <c r="E2304" i="6"/>
  <c r="E2296" i="6"/>
  <c r="E2288" i="6"/>
  <c r="E2280" i="6"/>
  <c r="E2272" i="6"/>
  <c r="E2264" i="6"/>
  <c r="E2256" i="6"/>
  <c r="E2248" i="6"/>
  <c r="E2240" i="6"/>
  <c r="E2232" i="6"/>
  <c r="E2224" i="6"/>
  <c r="E2216" i="6"/>
  <c r="E2208" i="6"/>
  <c r="E2200" i="6"/>
  <c r="E2192" i="6"/>
  <c r="E2184" i="6"/>
  <c r="E2176" i="6"/>
  <c r="E2168" i="6"/>
  <c r="E2160" i="6"/>
  <c r="E2152" i="6"/>
  <c r="E2144" i="6"/>
  <c r="E2136" i="6"/>
  <c r="E2128" i="6"/>
  <c r="E2120" i="6"/>
  <c r="E2112" i="6"/>
  <c r="E2104" i="6"/>
  <c r="E2096" i="6"/>
  <c r="E2088" i="6"/>
  <c r="E2080" i="6"/>
  <c r="E2072" i="6"/>
  <c r="E2064" i="6"/>
  <c r="E2056" i="6"/>
  <c r="E2048" i="6"/>
  <c r="E2040" i="6"/>
  <c r="E2032" i="6"/>
  <c r="E2024" i="6"/>
  <c r="E2016" i="6"/>
  <c r="E2008" i="6"/>
  <c r="E2367" i="6"/>
  <c r="D2359" i="6"/>
  <c r="E2351" i="6"/>
  <c r="E2343" i="6"/>
  <c r="E2335" i="6"/>
  <c r="E2327" i="6"/>
  <c r="E2319" i="6"/>
  <c r="E2311" i="6"/>
  <c r="E2303" i="6"/>
  <c r="E2295" i="6"/>
  <c r="E2287" i="6"/>
  <c r="E2279" i="6"/>
  <c r="E2271" i="6"/>
  <c r="E2263" i="6"/>
  <c r="E2255" i="6"/>
  <c r="E2247" i="6"/>
  <c r="E2239" i="6"/>
  <c r="E2231" i="6"/>
  <c r="E2223" i="6"/>
  <c r="E2215" i="6"/>
  <c r="E2207" i="6"/>
  <c r="E2199" i="6"/>
  <c r="E2191" i="6"/>
  <c r="E2183" i="6"/>
  <c r="E2175" i="6"/>
  <c r="E2167" i="6"/>
  <c r="E2159" i="6"/>
  <c r="E2151" i="6"/>
  <c r="E2143" i="6"/>
  <c r="E2135" i="6"/>
  <c r="E2127" i="6"/>
  <c r="E2119" i="6"/>
  <c r="E2111" i="6"/>
  <c r="E2103" i="6"/>
  <c r="E2095" i="6"/>
  <c r="E2087" i="6"/>
  <c r="E2079" i="6"/>
  <c r="E2071" i="6"/>
  <c r="E2063" i="6"/>
  <c r="E2055" i="6"/>
  <c r="E2047" i="6"/>
  <c r="E2039" i="6"/>
  <c r="E2031" i="6"/>
  <c r="E2023" i="6"/>
  <c r="E2015" i="6"/>
  <c r="E2007" i="6"/>
  <c r="D2366" i="6"/>
  <c r="D2358" i="6"/>
  <c r="E2350" i="6"/>
  <c r="E2342" i="6"/>
  <c r="E2334" i="6"/>
  <c r="E2326" i="6"/>
  <c r="E2318" i="6"/>
  <c r="E2310" i="6"/>
  <c r="E2302" i="6"/>
  <c r="E2294" i="6"/>
  <c r="E2286" i="6"/>
  <c r="E2278" i="6"/>
  <c r="E2270" i="6"/>
  <c r="E2262" i="6"/>
  <c r="E2254" i="6"/>
  <c r="E2246" i="6"/>
  <c r="E2238" i="6"/>
  <c r="E2230" i="6"/>
  <c r="E2222" i="6"/>
  <c r="E2214" i="6"/>
  <c r="E2206" i="6"/>
  <c r="E2198" i="6"/>
  <c r="E2190" i="6"/>
  <c r="E2182" i="6"/>
  <c r="E2174" i="6"/>
  <c r="E2166" i="6"/>
  <c r="E2158" i="6"/>
  <c r="E2150" i="6"/>
  <c r="E2142" i="6"/>
  <c r="E2134" i="6"/>
  <c r="E2126" i="6"/>
  <c r="E2118" i="6"/>
  <c r="E2110" i="6"/>
  <c r="E2102" i="6"/>
  <c r="E2094" i="6"/>
  <c r="E2086" i="6"/>
  <c r="E2078" i="6"/>
  <c r="E2070" i="6"/>
  <c r="E2062" i="6"/>
  <c r="E2054" i="6"/>
  <c r="E2046" i="6"/>
  <c r="E2038" i="6"/>
  <c r="E2030" i="6"/>
  <c r="E2014" i="6"/>
  <c r="D2177" i="6"/>
  <c r="D2049" i="6"/>
  <c r="D2129" i="6"/>
  <c r="E2289" i="6"/>
  <c r="D2161" i="6"/>
  <c r="D2065" i="6"/>
  <c r="D2145" i="6"/>
  <c r="D2349" i="6"/>
  <c r="D2285" i="6"/>
  <c r="D2189" i="6"/>
  <c r="D2125" i="6"/>
  <c r="D2061" i="6"/>
  <c r="D2361" i="6"/>
  <c r="D2297" i="6"/>
  <c r="D2233" i="6"/>
  <c r="D2169" i="6"/>
  <c r="D2105" i="6"/>
  <c r="D2041" i="6"/>
  <c r="D2341" i="6"/>
  <c r="D2277" i="6"/>
  <c r="D2213" i="6"/>
  <c r="D2149" i="6"/>
  <c r="D2085" i="6"/>
  <c r="D2021" i="6"/>
  <c r="D2348" i="6"/>
  <c r="D2332" i="6"/>
  <c r="D2316" i="6"/>
  <c r="D2292" i="6"/>
  <c r="D2276" i="6"/>
  <c r="D2260" i="6"/>
  <c r="D2244" i="6"/>
  <c r="D2228" i="6"/>
  <c r="D2212" i="6"/>
  <c r="D2196" i="6"/>
  <c r="D2172" i="6"/>
  <c r="D2156" i="6"/>
  <c r="D2140" i="6"/>
  <c r="D2124" i="6"/>
  <c r="D2108" i="6"/>
  <c r="D2092" i="6"/>
  <c r="D2076" i="6"/>
  <c r="D2060" i="6"/>
  <c r="D2044" i="6"/>
  <c r="D2028" i="6"/>
  <c r="D2004" i="6"/>
  <c r="D2355" i="6"/>
  <c r="D2339" i="6"/>
  <c r="D2315" i="6"/>
  <c r="D2299" i="6"/>
  <c r="D2283" i="6"/>
  <c r="D2267" i="6"/>
  <c r="D2251" i="6"/>
  <c r="D2235" i="6"/>
  <c r="D2219" i="6"/>
  <c r="D2203" i="6"/>
  <c r="D2187" i="6"/>
  <c r="D2171" i="6"/>
  <c r="D2155" i="6"/>
  <c r="D2139" i="6"/>
  <c r="D2123" i="6"/>
  <c r="D2107" i="6"/>
  <c r="D2091" i="6"/>
  <c r="D2075" i="6"/>
  <c r="D2059" i="6"/>
  <c r="D2051" i="6"/>
  <c r="D2035" i="6"/>
  <c r="D2019" i="6"/>
  <c r="E2003" i="6"/>
  <c r="E2354" i="6"/>
  <c r="E2305" i="6"/>
  <c r="D2289" i="6"/>
  <c r="E2273" i="6"/>
  <c r="E2317" i="6"/>
  <c r="E2189" i="6"/>
  <c r="E2061" i="6"/>
  <c r="E2297" i="6"/>
  <c r="E2169" i="6"/>
  <c r="E2041" i="6"/>
  <c r="E2277" i="6"/>
  <c r="E2149" i="6"/>
  <c r="E2021" i="6"/>
  <c r="E2340" i="6"/>
  <c r="E2308" i="6"/>
  <c r="E2276" i="6"/>
  <c r="E2244" i="6"/>
  <c r="E2212" i="6"/>
  <c r="E2180" i="6"/>
  <c r="E2148" i="6"/>
  <c r="E2116" i="6"/>
  <c r="E2084" i="6"/>
  <c r="E2052" i="6"/>
  <c r="E2020" i="6"/>
  <c r="E2355" i="6"/>
  <c r="E2323" i="6"/>
  <c r="E2291" i="6"/>
  <c r="E2259" i="6"/>
  <c r="E2227" i="6"/>
  <c r="E2195" i="6"/>
  <c r="E2163" i="6"/>
  <c r="E2131" i="6"/>
  <c r="E2099" i="6"/>
  <c r="D2067" i="6"/>
  <c r="E2035" i="6"/>
  <c r="D2003" i="6"/>
  <c r="E2346" i="6"/>
  <c r="E2330" i="6"/>
  <c r="E2314" i="6"/>
  <c r="E2298" i="6"/>
  <c r="E2282" i="6"/>
  <c r="E2266" i="6"/>
  <c r="E2250" i="6"/>
  <c r="E2234" i="6"/>
  <c r="E2218" i="6"/>
  <c r="E2202" i="6"/>
  <c r="E2186" i="6"/>
  <c r="E2170" i="6"/>
  <c r="E2154" i="6"/>
  <c r="E2138" i="6"/>
  <c r="E2122" i="6"/>
  <c r="E2106" i="6"/>
  <c r="E2090" i="6"/>
  <c r="E2074" i="6"/>
  <c r="E2058" i="6"/>
  <c r="E2042" i="6"/>
  <c r="E2026" i="6"/>
  <c r="E2010" i="6"/>
  <c r="D2050" i="6"/>
  <c r="D2018" i="6"/>
  <c r="E2049" i="6"/>
  <c r="E2017" i="6"/>
  <c r="E2125" i="6"/>
  <c r="E2233" i="6"/>
  <c r="E2341" i="6"/>
  <c r="E2085" i="6"/>
  <c r="E2324" i="6"/>
  <c r="E2260" i="6"/>
  <c r="E2196" i="6"/>
  <c r="E2132" i="6"/>
  <c r="E2036" i="6"/>
  <c r="E2339" i="6"/>
  <c r="E2275" i="6"/>
  <c r="E2211" i="6"/>
  <c r="E2147" i="6"/>
  <c r="D2083" i="6"/>
  <c r="E2051" i="6"/>
  <c r="D2354" i="6"/>
  <c r="E2322" i="6"/>
  <c r="E2290" i="6"/>
  <c r="E2258" i="6"/>
  <c r="E2226" i="6"/>
  <c r="E2210" i="6"/>
  <c r="E2178" i="6"/>
  <c r="E2146" i="6"/>
  <c r="E2130" i="6"/>
  <c r="E2098" i="6"/>
  <c r="E2066" i="6"/>
  <c r="E2050" i="6"/>
  <c r="E2018" i="6"/>
  <c r="E2129" i="6"/>
  <c r="E2349" i="6"/>
  <c r="E2221" i="6"/>
  <c r="E2329" i="6"/>
  <c r="E2073" i="6"/>
  <c r="D2309" i="6"/>
  <c r="E2053" i="6"/>
  <c r="E2316" i="6"/>
  <c r="E2252" i="6"/>
  <c r="E2188" i="6"/>
  <c r="E2124" i="6"/>
  <c r="E2092" i="6"/>
  <c r="E2028" i="6"/>
  <c r="E2331" i="6"/>
  <c r="E2267" i="6"/>
  <c r="E2203" i="6"/>
  <c r="E2139" i="6"/>
  <c r="E2075" i="6"/>
  <c r="E2011" i="6"/>
  <c r="D2346" i="6"/>
  <c r="D2314" i="6"/>
  <c r="D2282" i="6"/>
  <c r="D2250" i="6"/>
  <c r="D2218" i="6"/>
  <c r="D2186" i="6"/>
  <c r="D2170" i="6"/>
  <c r="D2138" i="6"/>
  <c r="D2106" i="6"/>
  <c r="D2074" i="6"/>
  <c r="D2042" i="6"/>
  <c r="D2010" i="6"/>
  <c r="E2177" i="6"/>
  <c r="E2161" i="6"/>
  <c r="E2145" i="6"/>
  <c r="E2285" i="6"/>
  <c r="E2157" i="6"/>
  <c r="E2029" i="6"/>
  <c r="E2265" i="6"/>
  <c r="E2137" i="6"/>
  <c r="E2009" i="6"/>
  <c r="E2245" i="6"/>
  <c r="E2117" i="6"/>
  <c r="E2364" i="6"/>
  <c r="E2332" i="6"/>
  <c r="E2300" i="6"/>
  <c r="E2268" i="6"/>
  <c r="E2236" i="6"/>
  <c r="E2204" i="6"/>
  <c r="E2172" i="6"/>
  <c r="E2140" i="6"/>
  <c r="E2108" i="6"/>
  <c r="E2076" i="6"/>
  <c r="E2044" i="6"/>
  <c r="E2012" i="6"/>
  <c r="E2347" i="6"/>
  <c r="E2315" i="6"/>
  <c r="E2283" i="6"/>
  <c r="E2251" i="6"/>
  <c r="E2219" i="6"/>
  <c r="E2187" i="6"/>
  <c r="E2155" i="6"/>
  <c r="E2123" i="6"/>
  <c r="E2091" i="6"/>
  <c r="E2059" i="6"/>
  <c r="E2027" i="6"/>
  <c r="D2362" i="6"/>
  <c r="D2338" i="6"/>
  <c r="D2322" i="6"/>
  <c r="D2306" i="6"/>
  <c r="D2290" i="6"/>
  <c r="D2274" i="6"/>
  <c r="D2258" i="6"/>
  <c r="D2242" i="6"/>
  <c r="D2226" i="6"/>
  <c r="D2210" i="6"/>
  <c r="D2194" i="6"/>
  <c r="D2178" i="6"/>
  <c r="D2162" i="6"/>
  <c r="D2146" i="6"/>
  <c r="D2130" i="6"/>
  <c r="D2114" i="6"/>
  <c r="D2098" i="6"/>
  <c r="D2082" i="6"/>
  <c r="D2066" i="6"/>
  <c r="D2034" i="6"/>
  <c r="D2002" i="6"/>
  <c r="E2033" i="6"/>
  <c r="E2253" i="6"/>
  <c r="E2361" i="6"/>
  <c r="E2105" i="6"/>
  <c r="E2213" i="6"/>
  <c r="E2356" i="6"/>
  <c r="E2292" i="6"/>
  <c r="E2228" i="6"/>
  <c r="E2164" i="6"/>
  <c r="E2100" i="6"/>
  <c r="E2068" i="6"/>
  <c r="E2004" i="6"/>
  <c r="E2307" i="6"/>
  <c r="E2243" i="6"/>
  <c r="E2179" i="6"/>
  <c r="E2115" i="6"/>
  <c r="E2019" i="6"/>
  <c r="E2338" i="6"/>
  <c r="E2306" i="6"/>
  <c r="E2274" i="6"/>
  <c r="E2242" i="6"/>
  <c r="E2194" i="6"/>
  <c r="E2162" i="6"/>
  <c r="E2114" i="6"/>
  <c r="E2082" i="6"/>
  <c r="E2034" i="6"/>
  <c r="E2002" i="6"/>
  <c r="E2065" i="6"/>
  <c r="E2093" i="6"/>
  <c r="E2201" i="6"/>
  <c r="E2181" i="6"/>
  <c r="E2348" i="6"/>
  <c r="E2284" i="6"/>
  <c r="E2220" i="6"/>
  <c r="E2156" i="6"/>
  <c r="E2060" i="6"/>
  <c r="D2363" i="6"/>
  <c r="E2299" i="6"/>
  <c r="E2235" i="6"/>
  <c r="E2171" i="6"/>
  <c r="E2107" i="6"/>
  <c r="E2043" i="6"/>
  <c r="D2330" i="6"/>
  <c r="D2298" i="6"/>
  <c r="D2266" i="6"/>
  <c r="D2234" i="6"/>
  <c r="D2202" i="6"/>
  <c r="D2154" i="6"/>
  <c r="D2122" i="6"/>
  <c r="D2090" i="6"/>
  <c r="D2058" i="6"/>
  <c r="D2026" i="6"/>
  <c r="B5"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D366D4-660B-4AD1-9601-621A34DEE1D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3423ABB-F89E-4288-B1AD-7C303A898184}" name="WorksheetConnection_AI_Sales_Insight_Dashboard.xlsx!Sales_Data3" type="102" refreshedVersion="8" minRefreshableVersion="5">
    <extLst>
      <ext xmlns:x15="http://schemas.microsoft.com/office/spreadsheetml/2010/11/main" uri="{DE250136-89BD-433C-8126-D09CA5730AF9}">
        <x15:connection id="Sales_Data3" autoDelete="1">
          <x15:rangePr sourceName="_xlcn.WorksheetConnection_AI_Sales_Insight_Dashboard.xlsxSales_Data31"/>
        </x15:connection>
      </ext>
    </extLst>
  </connection>
</connections>
</file>

<file path=xl/sharedStrings.xml><?xml version="1.0" encoding="utf-8"?>
<sst xmlns="http://schemas.openxmlformats.org/spreadsheetml/2006/main" count="20146" uniqueCount="2102">
  <si>
    <t>Order_ID</t>
  </si>
  <si>
    <t>Order_Date</t>
  </si>
  <si>
    <t>Product_Category</t>
  </si>
  <si>
    <t>Product_Name</t>
  </si>
  <si>
    <t>Region</t>
  </si>
  <si>
    <t>Customer_Segment</t>
  </si>
  <si>
    <t>Quantity</t>
  </si>
  <si>
    <t>Sales</t>
  </si>
  <si>
    <t>Profit</t>
  </si>
  <si>
    <t>ORD1001</t>
  </si>
  <si>
    <t>ORD1002</t>
  </si>
  <si>
    <t>ORD1003</t>
  </si>
  <si>
    <t>Electronics</t>
  </si>
  <si>
    <t>Furniture</t>
  </si>
  <si>
    <t>Office Supplies</t>
  </si>
  <si>
    <t>Bluetooth Speaker</t>
  </si>
  <si>
    <t>Office Chair</t>
  </si>
  <si>
    <t>Wireless Mouse</t>
  </si>
  <si>
    <t>Laptop Stand</t>
  </si>
  <si>
    <t>North</t>
  </si>
  <si>
    <t>South</t>
  </si>
  <si>
    <t>East</t>
  </si>
  <si>
    <t>West</t>
  </si>
  <si>
    <t>Consumer</t>
  </si>
  <si>
    <t>Corporate</t>
  </si>
  <si>
    <t>Home Office</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</si>
  <si>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</si>
  <si>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</si>
  <si>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</si>
  <si>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</si>
  <si>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</si>
  <si>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</si>
  <si>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</si>
  <si>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</si>
  <si>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</si>
  <si>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</si>
  <si>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</si>
  <si>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</si>
  <si>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</si>
  <si>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</si>
  <si>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</si>
  <si>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</si>
  <si>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</si>
  <si>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</si>
  <si>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</si>
  <si>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</si>
  <si>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</si>
  <si>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</si>
  <si>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</si>
  <si>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</si>
  <si>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</si>
  <si>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</si>
  <si>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</si>
  <si>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</si>
  <si>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</si>
  <si>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</si>
  <si>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</si>
  <si>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</si>
  <si>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</si>
  <si>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</si>
  <si>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</si>
  <si>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</si>
  <si>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</si>
  <si>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</si>
  <si>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</si>
  <si>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</si>
  <si>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</si>
  <si>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</si>
  <si>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</si>
  <si>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</si>
  <si>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</si>
  <si>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</si>
  <si>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</si>
  <si>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</si>
  <si>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</si>
  <si>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</si>
  <si>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</si>
  <si>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</si>
  <si>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</si>
  <si>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</si>
  <si>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</si>
  <si>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</si>
  <si>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</si>
  <si>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</si>
  <si>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</si>
  <si>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</si>
  <si>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</si>
  <si>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</si>
  <si>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</si>
  <si>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</si>
  <si>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</si>
  <si>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</si>
  <si>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</si>
  <si>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</si>
  <si>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</si>
  <si>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</si>
  <si>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</si>
  <si>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</si>
  <si>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</si>
  <si>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</si>
  <si>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</si>
  <si>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</si>
  <si>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</si>
  <si>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</si>
  <si>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</si>
  <si>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</si>
  <si>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</si>
  <si>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</si>
  <si>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</si>
  <si>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</si>
  <si>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</si>
  <si>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</si>
  <si>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</si>
  <si>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</si>
  <si>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</si>
  <si>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</si>
  <si>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</si>
  <si>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</si>
  <si>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</si>
  <si>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</si>
  <si>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</si>
  <si>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</si>
  <si>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</si>
  <si>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</si>
  <si>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</si>
  <si>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</si>
  <si>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</si>
  <si>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</si>
  <si>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</si>
  <si>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</si>
  <si>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</si>
  <si>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</si>
  <si>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</si>
  <si>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</si>
  <si>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</si>
  <si>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</si>
  <si>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</si>
  <si>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</si>
  <si>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</si>
  <si>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</si>
  <si>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</si>
  <si>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</si>
  <si>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</si>
  <si>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</si>
  <si>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</si>
  <si>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</si>
  <si>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</si>
  <si>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</si>
  <si>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</si>
  <si>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</si>
  <si>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</si>
  <si>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</si>
  <si>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</si>
  <si>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</si>
  <si>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</si>
  <si>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</si>
  <si>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</si>
  <si>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</si>
  <si>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</si>
  <si>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</si>
  <si>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</si>
  <si>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</si>
  <si>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</si>
  <si>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</si>
  <si>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</si>
  <si>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</si>
  <si>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</si>
  <si>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</si>
  <si>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</si>
  <si>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</si>
  <si>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</si>
  <si>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</si>
  <si>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</si>
  <si>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</si>
  <si>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</si>
  <si>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</si>
  <si>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</si>
  <si>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</si>
  <si>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</si>
  <si>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</si>
  <si>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</si>
  <si>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</si>
  <si>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</si>
  <si>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</si>
  <si>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</si>
  <si>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</si>
  <si>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</si>
  <si>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</si>
  <si>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</si>
  <si>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</si>
  <si>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</si>
  <si>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</si>
  <si>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</si>
  <si>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</si>
  <si>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</si>
  <si>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</si>
  <si>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</si>
  <si>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</si>
  <si>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</si>
  <si>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</si>
  <si>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</si>
  <si>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</si>
  <si>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</si>
  <si>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</si>
  <si>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</si>
  <si>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</si>
  <si>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</si>
  <si>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</si>
  <si>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</si>
  <si>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</si>
  <si>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</si>
  <si>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</si>
  <si>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</si>
  <si>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</si>
  <si>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</si>
  <si>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</si>
  <si>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</si>
  <si>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</si>
  <si>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</si>
  <si>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</si>
  <si>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</si>
  <si>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</si>
  <si>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</si>
  <si>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</si>
  <si>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</si>
  <si>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</si>
  <si>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</si>
  <si>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</si>
  <si>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</si>
  <si>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</si>
  <si>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</si>
  <si>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</si>
  <si>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</si>
  <si>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</si>
  <si>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</si>
  <si>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</si>
  <si>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</si>
  <si>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</si>
  <si>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</si>
  <si>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</si>
  <si>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</si>
  <si>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</si>
  <si>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</si>
  <si>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</si>
  <si>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</si>
  <si>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</si>
  <si>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</si>
  <si>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</si>
  <si>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</si>
  <si>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</si>
  <si>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</si>
  <si>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</si>
  <si>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</si>
  <si>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</si>
  <si>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</si>
  <si>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</si>
  <si>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</si>
  <si>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</si>
  <si>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</si>
  <si>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</si>
  <si>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</si>
  <si>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</si>
  <si>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</si>
  <si>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</si>
  <si>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</si>
  <si>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</si>
  <si>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</si>
  <si>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</si>
  <si>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</si>
  <si>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</si>
  <si>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</si>
  <si>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</si>
  <si>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</si>
  <si>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</si>
  <si>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</si>
  <si>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</si>
  <si>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</si>
  <si>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</si>
  <si>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</si>
  <si>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</si>
  <si>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</si>
  <si>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</si>
  <si>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</si>
  <si>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</si>
  <si>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</si>
  <si>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</si>
  <si>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</si>
  <si>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</si>
  <si>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</si>
  <si>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</si>
  <si>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</si>
  <si>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</si>
  <si>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</si>
  <si>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</si>
  <si>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</si>
  <si>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</si>
  <si>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</si>
  <si>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</si>
  <si>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</si>
  <si>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</si>
  <si>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</si>
  <si>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</si>
  <si>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</si>
  <si>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</si>
  <si>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</si>
  <si>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</si>
  <si>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</si>
  <si>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</si>
  <si>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</si>
  <si>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</si>
  <si>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</si>
  <si>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</si>
  <si>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</si>
  <si>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</si>
  <si>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</si>
  <si>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</si>
  <si>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</si>
  <si>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</si>
  <si>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</si>
  <si>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</si>
  <si>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</si>
  <si>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</si>
  <si>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</si>
  <si>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</si>
  <si>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</si>
  <si>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</si>
  <si>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</si>
  <si>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</si>
  <si>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</si>
  <si>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</si>
  <si>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</si>
  <si>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</si>
  <si>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</si>
  <si>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</si>
  <si>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</si>
  <si>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</si>
  <si>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</si>
  <si>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</si>
  <si>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</si>
  <si>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</si>
  <si>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</si>
  <si>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</si>
  <si>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</si>
  <si>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</si>
  <si>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</si>
  <si>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</si>
  <si>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</si>
  <si>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</si>
  <si>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</si>
  <si>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</si>
  <si>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</si>
  <si>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</si>
  <si>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</si>
  <si>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</si>
  <si>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</si>
  <si>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</si>
  <si>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</si>
  <si>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</si>
  <si>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</si>
  <si>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</si>
  <si>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</si>
  <si>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</si>
  <si>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</si>
  <si>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</si>
  <si>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</si>
  <si>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</si>
  <si>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</si>
  <si>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</si>
  <si>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</si>
  <si>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</si>
  <si>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</si>
  <si>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</si>
  <si>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</si>
  <si>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</si>
  <si>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</si>
  <si>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</si>
  <si>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</si>
  <si>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</si>
  <si>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</si>
  <si>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</si>
  <si>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</si>
  <si>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</si>
  <si>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</si>
  <si>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</si>
  <si>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</si>
  <si>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</si>
  <si>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</si>
  <si>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</si>
  <si>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</si>
  <si>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</si>
  <si>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</si>
  <si>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</si>
  <si>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</si>
  <si>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</si>
  <si>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</si>
  <si>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</si>
  <si>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</si>
  <si>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</si>
  <si>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</si>
  <si>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</si>
  <si>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</si>
  <si>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</si>
  <si>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</si>
  <si>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</si>
  <si>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</si>
  <si>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</si>
  <si>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</si>
  <si>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</si>
  <si>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</si>
  <si>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</si>
  <si>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</si>
  <si>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</si>
  <si>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</si>
  <si>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</si>
  <si>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</si>
  <si>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</si>
  <si>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</si>
  <si>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</si>
  <si>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</si>
  <si>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</si>
  <si>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</si>
  <si>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</si>
  <si>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</si>
  <si>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</si>
  <si>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</si>
  <si>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</si>
  <si>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</si>
  <si>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</si>
  <si>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</si>
  <si>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</si>
  <si>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</si>
  <si>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</si>
  <si>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</si>
  <si>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</si>
  <si>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</si>
  <si>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</si>
  <si>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</si>
  <si>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</si>
  <si>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</si>
  <si>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</si>
  <si>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</si>
  <si>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</si>
  <si>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</si>
  <si>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</si>
  <si>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</si>
  <si>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</si>
  <si>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</si>
  <si>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</si>
  <si>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</si>
  <si>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</si>
  <si>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</si>
  <si>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</si>
  <si>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</si>
  <si>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</si>
  <si>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</si>
  <si>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</si>
  <si>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</si>
  <si>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</si>
  <si>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</si>
  <si>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</si>
  <si>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</si>
  <si>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</si>
  <si>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</si>
  <si>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</si>
  <si>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</si>
  <si>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</si>
  <si>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</si>
  <si>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</si>
  <si>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</si>
  <si>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</si>
  <si>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</si>
  <si>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</si>
  <si>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</si>
  <si>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</si>
  <si>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</si>
  <si>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</si>
  <si>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</si>
  <si>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</si>
  <si>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</si>
  <si>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</si>
  <si>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</si>
  <si>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</si>
  <si>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</si>
  <si>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</si>
  <si>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</si>
  <si>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</si>
  <si>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</si>
  <si>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</si>
  <si>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</si>
  <si>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</si>
  <si>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</si>
  <si>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</si>
  <si>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</si>
  <si>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</si>
  <si>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</si>
  <si>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</si>
  <si>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</si>
  <si>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</si>
  <si>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</si>
  <si>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</si>
  <si>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</si>
  <si>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</si>
  <si>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</si>
  <si>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</si>
  <si>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</si>
  <si>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</si>
  <si>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</si>
  <si>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</si>
  <si>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</si>
  <si>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</si>
  <si>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</si>
  <si>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</si>
  <si>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</si>
  <si>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</si>
  <si>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</si>
  <si>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</si>
  <si>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</si>
  <si>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</si>
  <si>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</si>
  <si>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</si>
  <si>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</si>
  <si>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</si>
  <si>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</si>
  <si>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</si>
  <si>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</si>
  <si>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</si>
  <si>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</si>
  <si>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</si>
  <si>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</si>
  <si>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</si>
  <si>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</si>
  <si>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</si>
  <si>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</si>
  <si>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</si>
  <si>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</si>
  <si>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</si>
  <si>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</si>
  <si>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</si>
  <si>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</si>
  <si>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</si>
  <si>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</si>
  <si>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</si>
  <si>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</si>
  <si>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</si>
  <si>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</si>
  <si>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</si>
  <si>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</si>
  <si>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</si>
  <si>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</si>
  <si>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</si>
  <si>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</si>
  <si>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</si>
  <si>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</si>
  <si>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</si>
  <si>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</si>
  <si>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</si>
  <si>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</si>
  <si>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</si>
  <si>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</si>
  <si>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</si>
  <si>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</si>
  <si>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</si>
  <si>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</si>
  <si>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</si>
  <si>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</si>
  <si>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</si>
  <si>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</si>
  <si>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</si>
  <si>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</si>
  <si>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</si>
  <si>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</si>
  <si>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</si>
  <si>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</si>
  <si>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</si>
  <si>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</si>
  <si>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</si>
  <si>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</si>
  <si>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</si>
  <si>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</si>
  <si>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</si>
  <si>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</si>
  <si>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</si>
  <si>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</si>
  <si>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</si>
  <si>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</si>
  <si>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</si>
  <si>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</si>
  <si>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</si>
  <si>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</si>
  <si>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</si>
  <si>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</si>
  <si>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</si>
  <si>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</si>
  <si>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</si>
  <si>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</si>
  <si>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</si>
  <si>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</si>
  <si>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</si>
  <si>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</si>
  <si>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</si>
  <si>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</si>
  <si>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</si>
  <si>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</si>
  <si>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</si>
  <si>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</si>
  <si>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</si>
  <si>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</si>
  <si>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</si>
  <si>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</si>
  <si>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</si>
  <si>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</si>
  <si>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</si>
  <si>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</si>
  <si>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</si>
  <si>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</si>
  <si>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</si>
  <si>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</si>
  <si>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</si>
  <si>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</si>
  <si>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</si>
  <si>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</si>
  <si>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</si>
  <si>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</si>
  <si>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</si>
  <si>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</si>
  <si>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</si>
  <si>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</si>
  <si>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</si>
  <si>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</si>
  <si>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</si>
  <si>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</si>
  <si>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</si>
  <si>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</si>
  <si>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</si>
  <si>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</si>
  <si>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</si>
  <si>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</si>
  <si>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</si>
  <si>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</si>
  <si>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</si>
  <si>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</si>
  <si>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</si>
  <si>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</si>
  <si>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</si>
  <si>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</si>
  <si>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</si>
  <si>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</si>
  <si>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</si>
  <si>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</si>
  <si>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</si>
  <si>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</si>
  <si>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</si>
  <si>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</si>
  <si>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</si>
  <si>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</si>
  <si>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</si>
  <si>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</si>
  <si>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</si>
  <si>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</si>
  <si>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</si>
  <si>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</si>
  <si>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</si>
  <si>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</si>
  <si>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</si>
  <si>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</si>
  <si>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</si>
  <si>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</si>
  <si>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</si>
  <si>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</si>
  <si>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</si>
  <si>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</si>
  <si>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</si>
  <si>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</si>
  <si>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</si>
  <si>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</si>
  <si>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</si>
  <si>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</si>
  <si>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</si>
  <si>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</si>
  <si>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</si>
  <si>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</si>
  <si>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</si>
  <si>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</si>
  <si>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</si>
  <si>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</si>
  <si>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</si>
  <si>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</si>
  <si>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</si>
  <si>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</si>
  <si>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</si>
  <si>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</si>
  <si>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</si>
  <si>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</si>
  <si>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</si>
  <si>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</si>
  <si>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</si>
  <si>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</si>
  <si>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</si>
  <si>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</si>
  <si>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</si>
  <si>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</si>
  <si>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</si>
  <si>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</si>
  <si>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</si>
  <si>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</si>
  <si>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</si>
  <si>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</si>
  <si>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</si>
  <si>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</si>
  <si>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</si>
  <si>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</si>
  <si>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</si>
  <si>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</si>
  <si>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</si>
  <si>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</si>
  <si>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</si>
  <si>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</si>
  <si>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</si>
  <si>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</si>
  <si>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</si>
  <si>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</si>
  <si>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</si>
  <si>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</si>
  <si>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</si>
  <si>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</si>
  <si>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</si>
  <si>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</si>
  <si>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</si>
  <si>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</si>
  <si>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</si>
  <si>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</si>
  <si>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</si>
  <si>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</si>
  <si>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</si>
  <si>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</si>
  <si>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</si>
  <si>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</si>
  <si>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</si>
  <si>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</si>
  <si>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</si>
  <si>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</si>
  <si>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</si>
  <si>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</si>
  <si>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</si>
  <si>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</si>
  <si>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</si>
  <si>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</si>
  <si>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</si>
  <si>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</si>
  <si>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</si>
  <si>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</si>
  <si>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</si>
  <si>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</si>
  <si>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</si>
  <si>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</si>
  <si>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</si>
  <si>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</si>
  <si>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</si>
  <si>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</si>
  <si>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</si>
  <si>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</si>
  <si>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</si>
  <si>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</si>
  <si>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</si>
  <si>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</si>
  <si>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</si>
  <si>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</si>
  <si>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</si>
  <si>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</si>
  <si>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</si>
  <si>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</si>
  <si>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</si>
  <si>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</si>
  <si>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</si>
  <si>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</si>
  <si>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</si>
  <si>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</si>
  <si>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</si>
  <si>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</si>
  <si>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</si>
  <si>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</si>
  <si>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</si>
  <si>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</si>
  <si>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</si>
  <si>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</si>
  <si>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</si>
  <si>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</si>
  <si>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</si>
  <si>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</si>
  <si>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</si>
  <si>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</si>
  <si>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</si>
  <si>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</si>
  <si>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</si>
  <si>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</si>
  <si>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</si>
  <si>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</si>
  <si>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</si>
  <si>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</si>
  <si>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</si>
  <si>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</si>
  <si>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</si>
  <si>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</si>
  <si>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</si>
  <si>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</si>
  <si>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</si>
  <si>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</si>
  <si>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</si>
  <si>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</si>
  <si>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</si>
  <si>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</si>
  <si>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</si>
  <si>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</si>
  <si>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</si>
  <si>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</si>
  <si>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</si>
  <si>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</si>
  <si>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</si>
  <si>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</si>
  <si>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</si>
  <si>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</si>
  <si>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</si>
  <si>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</si>
  <si>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</si>
  <si>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</si>
  <si>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</si>
  <si>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</si>
  <si>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</si>
  <si>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</si>
  <si>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</si>
  <si>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</si>
  <si>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</si>
  <si>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</si>
  <si>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</si>
  <si>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</si>
  <si>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</si>
  <si>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</si>
  <si>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</si>
  <si>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</si>
  <si>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</si>
  <si>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</si>
  <si>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</si>
  <si>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</si>
  <si>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</si>
  <si>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</si>
  <si>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</si>
  <si>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</si>
  <si>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</si>
  <si>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</si>
  <si>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</si>
  <si>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</si>
  <si>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</si>
  <si>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</si>
  <si>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</si>
  <si>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</si>
  <si>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</si>
  <si>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</si>
  <si>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</si>
  <si>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</si>
  <si>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</si>
  <si>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</si>
  <si>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</si>
  <si>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</si>
  <si>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</si>
  <si>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</si>
  <si>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</si>
  <si>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</si>
  <si>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</si>
  <si>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</si>
  <si>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</si>
  <si>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</si>
  <si>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</si>
  <si>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</si>
  <si>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</si>
  <si>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</si>
  <si>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</si>
  <si>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</si>
  <si>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</si>
  <si>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</si>
  <si>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</si>
  <si>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</si>
  <si>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</si>
  <si>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</si>
  <si>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</si>
  <si>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</si>
  <si>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</si>
  <si>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</si>
  <si>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</si>
  <si>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</si>
  <si>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</si>
  <si>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</si>
  <si>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</si>
  <si>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</si>
  <si>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</si>
  <si>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</si>
  <si>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</si>
  <si>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</si>
  <si>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</si>
  <si>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</si>
  <si>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</si>
  <si>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</si>
  <si>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</si>
  <si>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</si>
  <si>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</si>
  <si>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</si>
  <si>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</si>
  <si>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</si>
  <si>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</si>
  <si>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</si>
  <si>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</si>
  <si>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</si>
  <si>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</si>
  <si>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</si>
  <si>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</si>
  <si>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</si>
  <si>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</si>
  <si>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</si>
  <si>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</si>
  <si>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</si>
  <si>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</si>
  <si>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</si>
  <si>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</si>
  <si>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</si>
  <si>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</si>
  <si>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</si>
  <si>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</si>
  <si>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</si>
  <si>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</si>
  <si>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</si>
  <si>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</si>
  <si>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</si>
  <si>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</si>
  <si>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</si>
  <si>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</si>
  <si>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</si>
  <si>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</si>
  <si>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</si>
  <si>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</si>
  <si>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</si>
  <si>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</si>
  <si>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</si>
  <si>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</si>
  <si>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</si>
  <si>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</si>
  <si>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</si>
  <si>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</si>
  <si>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</si>
  <si>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</si>
  <si>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</si>
  <si>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</si>
  <si>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</si>
  <si>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</si>
  <si>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</si>
  <si>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</si>
  <si>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</si>
  <si>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</si>
  <si>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</si>
  <si>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</si>
  <si>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</si>
  <si>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</si>
  <si>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</si>
  <si>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</si>
  <si>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</si>
  <si>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</si>
  <si>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</si>
  <si>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</si>
  <si>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</si>
  <si>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</si>
  <si>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</si>
  <si>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</si>
  <si>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</si>
  <si>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</si>
  <si>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</si>
  <si>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</si>
  <si>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</si>
  <si>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</si>
  <si>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</si>
  <si>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</si>
  <si>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</si>
  <si>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</si>
  <si>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</si>
  <si>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</si>
  <si>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</si>
  <si>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</si>
  <si>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</si>
  <si>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</si>
  <si>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</si>
  <si>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</si>
  <si>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</si>
  <si>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</si>
  <si>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</si>
  <si>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</si>
  <si>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</si>
  <si>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</si>
  <si>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</si>
  <si>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</si>
  <si>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</si>
  <si>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</si>
  <si>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</si>
  <si>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</si>
  <si>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</si>
  <si>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</si>
  <si>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</si>
  <si>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</si>
  <si>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</si>
  <si>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</si>
  <si>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</si>
  <si>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</si>
  <si>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</si>
  <si>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</si>
  <si>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</si>
  <si>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</si>
  <si>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</si>
  <si>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</si>
  <si>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</si>
  <si>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</si>
  <si>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</si>
  <si>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</si>
  <si>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</si>
  <si>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</si>
  <si>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</si>
  <si>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</si>
  <si>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</si>
  <si>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</si>
  <si>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</si>
  <si>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</si>
  <si>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</si>
  <si>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</si>
  <si>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</si>
  <si>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</si>
  <si>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</si>
  <si>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</si>
  <si>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</si>
  <si>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</si>
  <si>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</si>
  <si>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</si>
  <si>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</si>
  <si>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</si>
  <si>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</si>
  <si>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</si>
  <si>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</si>
  <si>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</si>
  <si>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</si>
  <si>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</si>
  <si>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</si>
  <si>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</si>
  <si>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</si>
  <si>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</si>
  <si>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</si>
  <si>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</si>
  <si>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</si>
  <si>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</si>
  <si>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</si>
  <si>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</si>
  <si>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</si>
  <si>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</si>
  <si>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</si>
  <si>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</si>
  <si>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</si>
  <si>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</si>
  <si>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</si>
  <si>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</si>
  <si>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</si>
  <si>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</si>
  <si>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</si>
  <si>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</si>
  <si>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</si>
  <si>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</si>
  <si>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</si>
  <si>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</si>
  <si>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</si>
  <si>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</si>
  <si>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</si>
  <si>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</si>
  <si>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</si>
  <si>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</si>
  <si>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</si>
  <si>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</si>
  <si>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</si>
  <si>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</si>
  <si>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</si>
  <si>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</si>
  <si>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</si>
  <si>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</si>
  <si>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</si>
  <si>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</si>
  <si>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</si>
  <si>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</si>
  <si>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</si>
  <si>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</si>
  <si>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</si>
  <si>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</si>
  <si>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</si>
  <si>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</si>
  <si>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</si>
  <si>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</si>
  <si>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</si>
  <si>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</si>
  <si>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</si>
  <si>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</si>
  <si>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</si>
  <si>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</si>
  <si>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</si>
  <si>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</si>
  <si>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</si>
  <si>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</si>
  <si>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</si>
  <si>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</si>
  <si>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</si>
  <si>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</si>
  <si>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</si>
  <si>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</si>
  <si>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</si>
  <si>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</si>
  <si>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</si>
  <si>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</si>
  <si>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</si>
  <si>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</si>
  <si>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</si>
  <si>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</si>
  <si>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</si>
  <si>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</si>
  <si>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</si>
  <si>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</si>
  <si>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</si>
  <si>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</si>
  <si>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</si>
  <si>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</si>
  <si>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</si>
  <si>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</si>
  <si>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</si>
  <si>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</si>
  <si>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</si>
  <si>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</si>
  <si>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</si>
  <si>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</si>
  <si>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</si>
  <si>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</si>
  <si>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</si>
  <si>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</si>
  <si>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</si>
  <si>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</si>
  <si>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</si>
  <si>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</si>
  <si>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</si>
  <si>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</si>
  <si>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</si>
  <si>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</si>
  <si>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</si>
  <si>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</si>
  <si>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</si>
  <si>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</si>
  <si>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</si>
  <si>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</si>
  <si>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</si>
  <si>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</si>
  <si>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</si>
  <si>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</si>
  <si>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</si>
  <si>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</si>
  <si>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</si>
  <si>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</si>
  <si>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</si>
  <si>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</si>
  <si>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</si>
  <si>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</si>
  <si>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</si>
  <si>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</si>
  <si>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</si>
  <si>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</si>
  <si>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</si>
  <si>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</si>
  <si>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</si>
  <si>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</si>
  <si>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</si>
  <si>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</si>
  <si>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</si>
  <si>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</si>
  <si>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</si>
  <si>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</si>
  <si>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</si>
  <si>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</si>
  <si>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</si>
  <si>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</si>
  <si>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</si>
  <si>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</si>
  <si>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</si>
  <si>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</si>
  <si>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</si>
  <si>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</si>
  <si>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</si>
  <si>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</si>
  <si>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</si>
  <si>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</si>
  <si>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</si>
  <si>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</si>
  <si>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</si>
  <si>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</si>
  <si>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</si>
  <si>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</si>
  <si>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</si>
  <si>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</si>
  <si>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</si>
  <si>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</si>
  <si>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</si>
  <si>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</si>
  <si>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</si>
  <si>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</si>
  <si>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</si>
  <si>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</si>
  <si>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</si>
  <si>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</si>
  <si>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</si>
  <si>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</si>
  <si>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</si>
  <si>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</si>
  <si>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</si>
  <si>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</si>
  <si>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</si>
  <si>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</si>
  <si>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</si>
  <si>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</si>
  <si>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</si>
  <si>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</si>
  <si>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</si>
  <si>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</si>
  <si>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</si>
  <si>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</si>
  <si>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</si>
  <si>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</si>
  <si>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</si>
  <si>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</si>
  <si>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</si>
  <si>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</si>
  <si>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</si>
  <si>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</si>
  <si>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</si>
  <si>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</si>
  <si>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</si>
  <si>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</si>
  <si>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</si>
  <si>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</si>
  <si>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</si>
  <si>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</si>
  <si>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</si>
  <si>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</si>
  <si>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</si>
  <si>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</si>
  <si>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</si>
  <si>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</si>
  <si>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</si>
  <si>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</si>
  <si>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</si>
  <si>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</si>
  <si>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</si>
  <si>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</si>
  <si>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</si>
  <si>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</si>
  <si>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</si>
  <si>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</si>
  <si>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</si>
  <si>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</si>
  <si>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</si>
  <si>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</si>
  <si>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</si>
  <si>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</si>
  <si>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</si>
  <si>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</si>
  <si>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</si>
  <si>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</si>
  <si>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</si>
  <si>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</si>
  <si>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</si>
  <si>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</si>
  <si>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</si>
  <si>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</si>
  <si>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</si>
  <si>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</si>
  <si>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</si>
  <si>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</si>
  <si>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</si>
  <si>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</si>
  <si>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</si>
  <si>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</si>
  <si>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</si>
  <si>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</si>
  <si>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</si>
  <si>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</si>
  <si>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</si>
  <si>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</si>
  <si>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</si>
  <si>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</si>
  <si>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</si>
  <si>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</si>
  <si>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</si>
  <si>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</si>
  <si>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</si>
  <si>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</si>
  <si>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</si>
  <si>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</si>
  <si>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</si>
  <si>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</si>
  <si>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</si>
  <si>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</si>
  <si>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</si>
  <si>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</si>
  <si>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</si>
  <si>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</si>
  <si>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</si>
  <si>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</si>
  <si>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</si>
  <si>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</si>
  <si>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</si>
  <si>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</si>
  <si>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</si>
  <si>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</si>
  <si>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</si>
  <si>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</si>
  <si>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</si>
  <si>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</si>
  <si>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</si>
  <si>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</si>
  <si>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</si>
  <si>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</si>
  <si>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</si>
  <si>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</si>
  <si>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</si>
  <si>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</si>
  <si>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</si>
  <si>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</si>
  <si>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</si>
  <si>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</si>
  <si>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</si>
  <si>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</si>
  <si>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</si>
  <si>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</si>
  <si>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</si>
  <si>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</si>
  <si>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</si>
  <si>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</si>
  <si>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</si>
  <si>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</si>
  <si>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</si>
  <si>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</si>
  <si>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</si>
  <si>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</si>
  <si>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</si>
  <si>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</si>
  <si>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</si>
  <si>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</si>
  <si>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</si>
  <si>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</si>
  <si>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</si>
  <si>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</si>
  <si>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</si>
  <si>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</si>
  <si>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</si>
  <si>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</si>
  <si>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</si>
  <si>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</si>
  <si>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</si>
  <si>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</si>
  <si>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</si>
  <si>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</si>
  <si>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</si>
  <si>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</si>
  <si>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</si>
  <si>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</si>
  <si>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</si>
  <si>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</si>
  <si>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</si>
  <si>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</si>
  <si>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</si>
  <si>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</si>
  <si>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</si>
  <si>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</si>
  <si>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</si>
  <si>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</si>
  <si>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</si>
  <si>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</si>
  <si>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</si>
  <si>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</si>
  <si>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</si>
  <si>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</si>
  <si>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</si>
  <si>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</si>
  <si>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</si>
  <si>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</si>
  <si>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</si>
  <si>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</si>
  <si>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</si>
  <si>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</si>
  <si>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</si>
  <si>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</si>
  <si>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</si>
  <si>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</si>
  <si>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</si>
  <si>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</si>
  <si>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</si>
  <si>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</si>
  <si>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</si>
  <si>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</si>
  <si>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</si>
  <si>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</si>
  <si>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</si>
  <si>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</si>
  <si>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</si>
  <si>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</si>
  <si>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</si>
  <si>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</si>
  <si>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</si>
  <si>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</si>
  <si>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</si>
  <si>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</si>
  <si>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</si>
  <si>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</si>
  <si>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</si>
  <si>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</si>
  <si>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</si>
  <si>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</si>
  <si>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</si>
  <si>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</si>
  <si>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</si>
  <si>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</si>
  <si>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</si>
  <si>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</si>
  <si>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</si>
  <si>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</si>
  <si>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</si>
  <si>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</si>
  <si>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</si>
  <si>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</si>
  <si>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</si>
  <si>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</si>
  <si>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</si>
  <si>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</si>
  <si>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</si>
  <si>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</si>
  <si>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</si>
  <si>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</si>
  <si>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</si>
  <si>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</si>
  <si>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</si>
  <si>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</si>
  <si>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</si>
  <si>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</si>
  <si>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</si>
  <si>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</si>
  <si>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</si>
  <si>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</si>
  <si>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</si>
  <si>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</si>
  <si>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</si>
  <si>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</si>
  <si>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</si>
  <si>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</si>
  <si>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</si>
  <si>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</si>
  <si>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</si>
  <si>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</si>
  <si>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</si>
  <si>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</si>
  <si>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</si>
  <si>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</si>
  <si>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</si>
  <si>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</si>
  <si>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</si>
  <si>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</si>
  <si>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</si>
  <si>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</si>
  <si>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</si>
  <si>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</si>
  <si>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</si>
  <si>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</si>
  <si>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</si>
  <si>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</si>
  <si>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</si>
  <si>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</si>
  <si>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</si>
  <si>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</si>
  <si>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</si>
  <si>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</si>
  <si>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</si>
  <si>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</si>
  <si>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</si>
  <si>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</si>
  <si>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</si>
  <si>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</si>
  <si>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</si>
  <si>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</si>
  <si>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</si>
  <si>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</si>
  <si>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</si>
  <si>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</si>
  <si>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</si>
  <si>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</si>
  <si>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</si>
  <si>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</si>
  <si>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</si>
  <si>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</si>
  <si>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</si>
  <si>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</si>
  <si>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</si>
  <si>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</si>
  <si>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</si>
  <si>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</si>
  <si>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</si>
  <si>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</si>
  <si>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</si>
  <si>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</si>
  <si>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</si>
  <si>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</si>
  <si>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</si>
  <si>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</si>
  <si>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</si>
  <si>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</si>
  <si>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</si>
  <si>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</si>
  <si>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</si>
  <si>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</si>
  <si>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</si>
  <si>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</si>
  <si>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</si>
  <si>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</si>
  <si>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</si>
  <si>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</si>
  <si>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</si>
  <si>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</si>
  <si>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</si>
  <si>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</si>
  <si>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</si>
  <si>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</si>
  <si>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</si>
  <si>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</si>
  <si>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</si>
  <si>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</si>
  <si>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</si>
  <si>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</si>
  <si>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</si>
  <si>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</si>
  <si>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</si>
  <si>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</si>
  <si>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</si>
  <si>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</si>
  <si>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</si>
  <si>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</si>
  <si>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</si>
  <si>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</si>
  <si>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</si>
  <si>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</si>
  <si>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</si>
  <si>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</si>
  <si>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</si>
  <si>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</si>
  <si>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</si>
  <si>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</si>
  <si>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</si>
  <si>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</si>
  <si>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</si>
  <si>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</si>
  <si>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</si>
  <si>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</si>
  <si>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</si>
  <si>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</si>
  <si>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</si>
  <si>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</si>
  <si>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</si>
  <si>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</si>
  <si>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</si>
  <si>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</si>
  <si>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</si>
  <si>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</si>
  <si>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</si>
  <si>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</si>
  <si>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</si>
  <si>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</si>
  <si>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</si>
  <si>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</si>
  <si>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</si>
  <si>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</si>
  <si>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</si>
  <si>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</si>
  <si>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</si>
  <si>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</si>
  <si>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</si>
  <si>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</si>
  <si>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</si>
  <si>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</si>
  <si>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</si>
  <si>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</si>
  <si>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</si>
  <si>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</si>
  <si>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</si>
  <si>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</si>
  <si>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</si>
  <si>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</si>
  <si>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</si>
  <si>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</si>
  <si>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</si>
  <si>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</si>
  <si>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</si>
  <si>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</si>
  <si>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</si>
  <si>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</si>
  <si>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</si>
  <si>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</si>
  <si>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</si>
  <si>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</si>
  <si>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</si>
  <si>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</si>
  <si>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</si>
  <si>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</si>
  <si>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</si>
  <si>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</si>
  <si>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</si>
  <si>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</si>
  <si>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</si>
  <si>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</si>
  <si>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</si>
  <si>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</si>
  <si>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</si>
  <si>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</si>
  <si>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</si>
  <si>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</si>
  <si>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</si>
  <si>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</si>
  <si>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</si>
  <si>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</si>
  <si>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</si>
  <si>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</si>
  <si>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</si>
  <si>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</si>
  <si>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</si>
  <si>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</si>
  <si>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</si>
  <si>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</si>
  <si>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</si>
  <si>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</si>
  <si>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</si>
  <si>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</si>
  <si>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</si>
  <si>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</si>
  <si>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</si>
  <si>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</si>
  <si>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</si>
  <si>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</si>
  <si>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</si>
  <si>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</si>
  <si>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</si>
  <si>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</si>
  <si>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</si>
  <si>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</si>
  <si>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</si>
  <si>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</si>
  <si>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</si>
  <si>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</si>
  <si>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</si>
  <si>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</si>
  <si>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</si>
  <si>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</si>
  <si>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</si>
  <si>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</si>
  <si>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</si>
  <si>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</si>
  <si>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</si>
  <si>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</si>
  <si>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</si>
  <si>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</si>
  <si>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</si>
  <si>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</si>
  <si>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</si>
  <si>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</si>
  <si>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</si>
  <si>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</si>
  <si>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</si>
  <si>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</si>
  <si>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</si>
  <si>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</si>
  <si>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</si>
  <si>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</si>
  <si>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</si>
  <si>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</si>
  <si>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</si>
  <si>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</si>
  <si>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</si>
  <si>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</si>
  <si>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</si>
  <si>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</si>
  <si>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</si>
  <si>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</si>
  <si>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</si>
  <si>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</si>
  <si>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</si>
  <si>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</si>
  <si>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</si>
  <si>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</si>
  <si>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</si>
  <si>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</si>
  <si>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</si>
  <si>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</si>
  <si>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</si>
  <si>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</si>
  <si>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</si>
  <si>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</si>
  <si>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</si>
  <si>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</si>
  <si>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</si>
  <si>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</si>
  <si>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</si>
  <si>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</si>
  <si>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</si>
  <si>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</si>
  <si>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</si>
  <si>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</si>
  <si>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</si>
  <si>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</si>
  <si>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</si>
  <si>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</si>
  <si>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</si>
  <si>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</si>
  <si>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</si>
  <si>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</si>
  <si>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</si>
  <si>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</si>
  <si>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</si>
  <si>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</si>
  <si>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</si>
  <si>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</si>
  <si>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</si>
  <si>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</si>
  <si>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</si>
  <si>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</si>
  <si>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</si>
  <si>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</si>
  <si>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</si>
  <si>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</si>
  <si>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</si>
  <si>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</si>
  <si>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</si>
  <si>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</si>
  <si>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</si>
  <si>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</si>
  <si>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</si>
  <si>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</si>
  <si>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</si>
  <si>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</si>
  <si>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</si>
  <si>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</si>
  <si>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</si>
  <si>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</si>
  <si>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</si>
  <si>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</si>
  <si>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</si>
  <si>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</si>
  <si>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</si>
  <si>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</si>
  <si>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</si>
  <si>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</si>
  <si>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</si>
  <si>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</si>
  <si>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</si>
  <si>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</si>
  <si>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</si>
  <si>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</si>
  <si>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</si>
  <si>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</si>
  <si>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</si>
  <si>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</si>
  <si>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</si>
  <si>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</si>
  <si>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</si>
  <si>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</si>
  <si>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</si>
  <si>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</si>
  <si>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</si>
  <si>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</si>
  <si>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</si>
  <si>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</si>
  <si>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</si>
  <si>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</si>
  <si>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</si>
  <si>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</si>
  <si>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</si>
  <si>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</si>
  <si>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</si>
  <si>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</si>
  <si>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</si>
  <si>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</si>
  <si>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</si>
  <si>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</si>
  <si>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</si>
  <si>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</si>
  <si>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</si>
  <si>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</si>
  <si>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</si>
  <si>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</si>
  <si>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</si>
  <si>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</si>
  <si>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</si>
  <si>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</si>
  <si>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</si>
  <si>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</si>
  <si>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</si>
  <si>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</si>
  <si>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</si>
  <si>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</si>
  <si>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</si>
  <si>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</si>
  <si>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</si>
  <si>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</si>
  <si>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</si>
  <si>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</si>
  <si>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</si>
  <si>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</si>
  <si>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</si>
  <si>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</si>
  <si>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</si>
  <si>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</si>
  <si>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</si>
  <si>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</si>
  <si>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</si>
  <si>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</si>
  <si>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</si>
  <si>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</si>
  <si>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</si>
  <si>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</si>
  <si>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</si>
  <si>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</si>
  <si>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</si>
  <si>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</si>
  <si>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</si>
  <si>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</si>
  <si>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</si>
  <si>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</si>
  <si>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</si>
  <si>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</si>
  <si>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</si>
  <si>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</si>
  <si>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</si>
  <si>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</si>
  <si>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</si>
  <si>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</si>
  <si>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</si>
  <si>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</si>
  <si>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</si>
  <si>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</si>
  <si>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</si>
  <si>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</si>
  <si>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</si>
  <si>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</si>
  <si>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</si>
  <si>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</si>
  <si>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</si>
  <si>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</si>
  <si>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</si>
  <si>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</si>
  <si>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</si>
  <si>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</si>
  <si>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</si>
  <si>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</si>
  <si>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</si>
  <si>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</si>
  <si>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</si>
  <si>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</si>
  <si>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</si>
  <si>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</si>
  <si>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</si>
  <si>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</si>
  <si>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</si>
  <si>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</si>
  <si>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</si>
  <si>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</si>
  <si>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</si>
  <si>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</si>
  <si>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</si>
  <si>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</si>
  <si>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</si>
  <si>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</si>
  <si>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</si>
  <si>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</si>
  <si>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</si>
  <si>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</si>
  <si>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</si>
  <si>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</si>
  <si>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</si>
  <si>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</si>
  <si>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</si>
  <si>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</si>
  <si>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</si>
  <si>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</si>
  <si>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</si>
  <si>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</si>
  <si>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</si>
  <si>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</si>
  <si>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</si>
  <si>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</si>
  <si>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</si>
  <si>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</si>
  <si>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</si>
  <si>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</si>
  <si>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</si>
  <si>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</si>
  <si>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</si>
  <si>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</si>
  <si>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</si>
  <si>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</si>
  <si>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</si>
  <si>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</si>
  <si>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</si>
  <si>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</si>
  <si>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</si>
  <si>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</si>
  <si>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</si>
  <si>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</si>
  <si>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</si>
  <si>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</si>
  <si>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</si>
  <si>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</si>
  <si>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</si>
  <si>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</si>
  <si>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</si>
  <si>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</si>
  <si>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</si>
  <si>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</si>
  <si>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</si>
  <si>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</si>
  <si>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</si>
  <si>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</si>
  <si>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</si>
  <si>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</si>
  <si>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</si>
  <si>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</si>
  <si>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</si>
  <si>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</si>
  <si>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</si>
  <si>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</si>
  <si>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</si>
  <si>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</si>
  <si>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</si>
  <si>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</si>
  <si>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</si>
  <si>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</si>
  <si>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</si>
  <si>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</si>
  <si>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</si>
  <si>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</si>
  <si>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</si>
  <si>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</si>
  <si>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</si>
  <si>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</si>
  <si>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</si>
  <si>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</si>
  <si>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</si>
  <si>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</si>
  <si>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</si>
  <si>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</si>
  <si>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</si>
  <si>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</si>
  <si>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</si>
  <si>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</si>
  <si>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</si>
  <si>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</si>
  <si>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</si>
  <si>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</si>
  <si>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</si>
  <si>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</si>
  <si>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</si>
  <si>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</si>
  <si>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</si>
  <si>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</si>
  <si>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</si>
  <si>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</si>
  <si>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</si>
  <si>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</si>
  <si>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</si>
  <si>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</si>
  <si>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</si>
  <si>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</si>
  <si>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</si>
  <si>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</si>
  <si>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</si>
  <si>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</si>
  <si>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</si>
  <si>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</si>
  <si>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</si>
  <si>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</si>
  <si>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</si>
  <si>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</si>
  <si>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</si>
  <si>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</si>
  <si>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</si>
  <si>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</si>
  <si>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</si>
  <si>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</si>
  <si>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</si>
  <si>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</si>
  <si>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</si>
  <si>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</si>
  <si>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</si>
  <si>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</si>
  <si>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</si>
  <si>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</si>
  <si>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</si>
  <si>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</si>
  <si>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</si>
  <si>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</si>
  <si>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</si>
  <si>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</si>
  <si>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</si>
  <si>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</si>
  <si>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</si>
  <si>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</si>
  <si>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</si>
  <si>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</si>
  <si>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</si>
  <si>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</si>
  <si>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</si>
  <si>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</si>
  <si>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</si>
  <si>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</si>
  <si>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</si>
  <si>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</si>
  <si>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</si>
  <si>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Keyboard</t>
  </si>
  <si>
    <t>USB Flash Drive</t>
  </si>
  <si>
    <t>External Hard Disk</t>
  </si>
  <si>
    <t>Webcam</t>
  </si>
  <si>
    <t>Noise Cancelling Headphones</t>
  </si>
  <si>
    <t>Smart Watch</t>
  </si>
  <si>
    <t>Portable Power Bank</t>
  </si>
  <si>
    <t>Study Table</t>
  </si>
  <si>
    <t>Wooden Bookshelf</t>
  </si>
  <si>
    <t>Computer Desk</t>
  </si>
  <si>
    <t>Filing Cabinet</t>
  </si>
  <si>
    <t>Visitor Chair</t>
  </si>
  <si>
    <t>Conference Table</t>
  </si>
  <si>
    <t>Drawer Unit</t>
  </si>
  <si>
    <t>Ergonomic Stool</t>
  </si>
  <si>
    <t>Office Sofa</t>
  </si>
  <si>
    <t>Ball Pen Pack</t>
  </si>
  <si>
    <t>Notebook</t>
  </si>
  <si>
    <t>Printer Paper Ream</t>
  </si>
  <si>
    <t>Stapler</t>
  </si>
  <si>
    <t>Paper Clips Box</t>
  </si>
  <si>
    <t>Highlighter Set</t>
  </si>
  <si>
    <t>Desk Organizer</t>
  </si>
  <si>
    <t>Calculator</t>
  </si>
  <si>
    <t>Sticky Notes</t>
  </si>
  <si>
    <t>Whiteboard Marker</t>
  </si>
  <si>
    <t>Discount</t>
  </si>
  <si>
    <t>Year</t>
  </si>
  <si>
    <t>Month</t>
  </si>
  <si>
    <t>Profit_Margin</t>
  </si>
  <si>
    <t>Sales_Band</t>
  </si>
  <si>
    <t>Sum of Sales</t>
  </si>
  <si>
    <t>Row Labels</t>
  </si>
  <si>
    <t>Jan</t>
  </si>
  <si>
    <t>Feb</t>
  </si>
  <si>
    <t>Mar</t>
  </si>
  <si>
    <t>Apr</t>
  </si>
  <si>
    <t>May</t>
  </si>
  <si>
    <t>Jun</t>
  </si>
  <si>
    <t>Jul</t>
  </si>
  <si>
    <t>Aug</t>
  </si>
  <si>
    <t>Sep</t>
  </si>
  <si>
    <t>Oct</t>
  </si>
  <si>
    <t>Nov</t>
  </si>
  <si>
    <t>Dec</t>
  </si>
  <si>
    <t>Sum of Profit</t>
  </si>
  <si>
    <t>Sales Trend (Year-Month)</t>
  </si>
  <si>
    <t>Region Performance</t>
  </si>
  <si>
    <t>Category Analysis</t>
  </si>
  <si>
    <t>Customer Segment Sales</t>
  </si>
  <si>
    <t xml:space="preserve"> </t>
  </si>
  <si>
    <t>Forecast_Date</t>
  </si>
  <si>
    <t>Forecast_Sales</t>
  </si>
  <si>
    <t>Forecast(Forecast_Sales)</t>
  </si>
  <si>
    <t>Lower Confidence Bound(Forecast_Sales)</t>
  </si>
  <si>
    <t>Upper Confidence Bound(Forecast_Sales)</t>
  </si>
  <si>
    <t>North Sales</t>
  </si>
  <si>
    <t>North Profit</t>
  </si>
  <si>
    <t>North Region Insight</t>
  </si>
  <si>
    <t>Average Profit Margin</t>
  </si>
  <si>
    <t>Discount Insight</t>
  </si>
  <si>
    <t>Best Category</t>
  </si>
  <si>
    <t>Lowest Performing Customer Segment</t>
  </si>
  <si>
    <t>Metric</t>
  </si>
  <si>
    <t>Value</t>
  </si>
  <si>
    <t>Recommendation</t>
  </si>
  <si>
    <t>Profit Margin</t>
  </si>
  <si>
    <t>Avg Discount</t>
  </si>
  <si>
    <t>Top Region</t>
  </si>
  <si>
    <t>Top Category</t>
  </si>
  <si>
    <t>Weak Segment</t>
  </si>
  <si>
    <t>Average of Discount</t>
  </si>
  <si>
    <t>AI-Assisted Business Analytics Dashboard</t>
  </si>
  <si>
    <t>Sales, Customer &amp; Forecast Insights using Microsoft Excel AI</t>
  </si>
  <si>
    <t>Tool used: Excel Forecast Sheet / ETS</t>
  </si>
  <si>
    <t>Basis: Historical monthly sales</t>
  </si>
  <si>
    <t>Assumption: Seasonality considered</t>
  </si>
  <si>
    <t>Confidence Interval: 95%</t>
  </si>
  <si>
    <t>Forecast Method Explanation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</si>
</sst>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6" x14ac:knownFonts="1">
    <font>
      <sz val="11"/>
      <color theme="1"/>
      <name val="Calibri"/>
      <family val="2"/>
      <scheme val="minor"/>
    </font>
    <font>
      <b/>
      <sz val="11"/>
      <color theme="1"/>
      <name val="Calibri"/>
      <family val="2"/>
      <scheme val="minor"/>
    </font>
    <font>
      <sz val="8"/>
      <name val="Calibri"/>
      <family val="2"/>
      <scheme val="minor"/>
    </font>
    <font>
      <b/>
      <sz val="14"/>
      <color theme="1"/>
      <name val="Calibri"/>
      <family val="2"/>
      <scheme val="minor"/>
    </font>
    <font>
      <b/>
      <sz val="28"/>
      <color theme="1"/>
      <name val="Calibri"/>
      <family val="2"/>
      <scheme val="minor"/>
    </font>
    <font>
      <b/>
      <i/>
      <sz val="14"/>
      <color theme="3"/>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0" fillId="0" borderId="0" xfId="0" applyAlignment="1">
      <alignment vertical="center" wrapText="1"/>
    </xf>
    <xf numFmtId="14" fontId="0" fillId="0" borderId="0" xfId="0" applyNumberFormat="1"/>
    <xf numFmtId="0" fontId="1" fillId="2" borderId="1" xfId="0" applyFont="1" applyFill="1" applyBorder="1"/>
    <xf numFmtId="14" fontId="1" fillId="2" borderId="1" xfId="0" applyNumberFormat="1" applyFont="1" applyFill="1" applyBorder="1"/>
    <xf numFmtId="0" fontId="1" fillId="2" borderId="1" xfId="0" applyFont="1" applyFill="1" applyBorder="1" applyAlignment="1">
      <alignment vertical="center" wrapText="1"/>
    </xf>
    <xf numFmtId="9" fontId="0" fillId="0" borderId="0" xfId="0" applyNumberFormat="1" applyAlignment="1">
      <alignment vertical="center" wrapText="1"/>
    </xf>
    <xf numFmtId="2" fontId="0" fillId="0" borderId="0" xfId="0" applyNumberFormat="1" applyAlignment="1">
      <alignment vertical="center" wrapText="1"/>
    </xf>
    <xf numFmtId="1" fontId="0" fillId="0" borderId="0" xfId="0" applyNumberFormat="1" applyAlignment="1">
      <alignment vertical="center" wrapText="1"/>
    </xf>
    <xf numFmtId="1"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9" fontId="0" fillId="0" borderId="0" xfId="0" applyNumberFormat="1"/>
    <xf numFmtId="0" fontId="0" fillId="0" borderId="0" xfId="0" applyAlignment="1">
      <alignment horizontal="right"/>
    </xf>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wrapText="1"/>
    </xf>
    <xf numFmtId="1" fontId="0" fillId="0" borderId="0" xfId="0" applyNumberFormat="1" applyAlignment="1">
      <alignment wrapText="1"/>
    </xf>
    <xf numFmtId="0" fontId="0" fillId="0" borderId="0" xfId="0" applyAlignment="1">
      <alignment horizontal="center" vertical="center"/>
    </xf>
    <xf numFmtId="0" fontId="0" fillId="3" borderId="0" xfId="0" applyFill="1"/>
    <xf numFmtId="0" fontId="1" fillId="0" borderId="0" xfId="0" applyFont="1"/>
    <xf numFmtId="0" fontId="4" fillId="3" borderId="0" xfId="0" applyFont="1" applyFill="1" applyAlignment="1">
      <alignment horizontal="center"/>
    </xf>
    <xf numFmtId="0" fontId="5" fillId="3" borderId="0" xfId="0" applyFont="1" applyFill="1" applyAlignment="1">
      <alignment horizontal="center"/>
    </xf>
    <xf numFmtId="0" fontId="3" fillId="0" borderId="0" xfId="0" applyFont="1" applyAlignment="1">
      <alignment horizontal="center"/>
    </xf>
  </cellXfs>
  <cellStyles count="1">
    <cellStyle name="Normal" xfId="0" builtinId="0"/>
  </cellStyles>
  <dxfs count="29">
    <dxf>
      <font>
        <color rgb="FF006100"/>
      </font>
      <fill>
        <patternFill>
          <bgColor rgb="FFC6EFCE"/>
        </patternFill>
      </fill>
    </dxf>
    <dxf>
      <font>
        <color rgb="FF9C5700"/>
      </font>
      <fill>
        <patternFill>
          <bgColor rgb="FFFFEB9C"/>
        </patternFill>
      </fill>
    </dxf>
    <dxf>
      <font>
        <color rgb="FF9C0006"/>
      </font>
      <fill>
        <patternFill>
          <bgColor rgb="FFFFC7CE"/>
        </patternFill>
      </fill>
    </dxf>
    <dxf>
      <numFmt numFmtId="1" formatCode="0"/>
    </dxf>
    <dxf>
      <numFmt numFmtId="1" formatCode="0"/>
    </dxf>
    <dxf>
      <numFmt numFmtId="1" formatCode="0"/>
    </dxf>
    <dxf>
      <numFmt numFmtId="19" formatCode="dd/mm/yyyy"/>
    </dxf>
    <dxf>
      <alignment horizontal="right"/>
    </dxf>
    <dxf>
      <numFmt numFmtId="1" formatCode="0"/>
    </dxf>
    <dxf>
      <numFmt numFmtId="19" formatCode="dd/mm/yyyy"/>
    </dxf>
    <dxf>
      <numFmt numFmtId="0" formatCode="General"/>
    </dxf>
    <dxf>
      <numFmt numFmtId="14" formatCode="0.00%"/>
    </dxf>
    <dxf>
      <numFmt numFmtId="1" formatCode="0"/>
    </dxf>
    <dxf>
      <numFmt numFmtId="2" formatCode="0.00"/>
    </dxf>
    <dxf>
      <numFmt numFmtId="1" formatCode="0"/>
    </dxf>
    <dxf>
      <numFmt numFmtId="0" formatCode="General"/>
    </dxf>
    <dxf>
      <numFmt numFmtId="0" formatCode="General"/>
    </dxf>
    <dxf>
      <numFmt numFmtId="0" formatCode="General"/>
    </dxf>
    <dxf>
      <numFmt numFmtId="19" formatCode="dd/mm/yyyy"/>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border diagonalUp="0" diagonalDown="0" outline="0">
        <left style="thin">
          <color indexed="64"/>
        </left>
        <right style="thin">
          <color indexed="64"/>
        </right>
        <top/>
        <bottom/>
      </border>
    </dxf>
    <dxf>
      <numFmt numFmtId="13" formatCode="0%"/>
    </dxf>
    <dxf>
      <numFmt numFmtId="0" formatCode="General"/>
    </dxf>
    <dxf>
      <numFmt numFmtId="0" formatCode="General"/>
    </dxf>
    <dxf>
      <numFmt numFmtId="19" formatCode="dd/mm/yyyy"/>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[AI_Sales_Insight_Dashboard.xlsx]Pivot_Analysis!PivotTable1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Pivot_Analysis!$A$3:$A$75</c:f>
              <c:multiLvlStrCache>
                <c:ptCount val="6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lvl>
                <c:lvl>
                  <c:pt idx="0">
                    <c:v>2020</c:v>
                  </c:pt>
                  <c:pt idx="12">
                    <c:v>2021</c:v>
                  </c:pt>
                  <c:pt idx="24">
                    <c:v>2022</c:v>
                  </c:pt>
                  <c:pt idx="36">
                    <c:v>2023</c:v>
                  </c:pt>
                  <c:pt idx="48">
                    <c:v>2024</c:v>
                  </c:pt>
                  <c:pt idx="60">
                    <c:v>2025</c:v>
                  </c:pt>
                </c:lvl>
              </c:multiLvlStrCache>
            </c:multiLvlStrRef>
          </c:cat>
          <c:val>
            <c:numRef>
              <c:f>Pivot_Analysis!$B$3:$B$75</c:f>
              <c:numCache>
                <c:formatCode>"₹"\ #,##0</c:formatCode>
                <c:ptCount val="67"/>
                <c:pt idx="0">
                  <c:v>191600</c:v>
                </c:pt>
                <c:pt idx="1">
                  <c:v>266700</c:v>
                </c:pt>
                <c:pt idx="2">
                  <c:v>304600</c:v>
                </c:pt>
                <c:pt idx="3">
                  <c:v>300000</c:v>
                </c:pt>
                <c:pt idx="4">
                  <c:v>295000</c:v>
                </c:pt>
                <c:pt idx="5">
                  <c:v>265800</c:v>
                </c:pt>
                <c:pt idx="6">
                  <c:v>318800</c:v>
                </c:pt>
                <c:pt idx="7">
                  <c:v>307500</c:v>
                </c:pt>
                <c:pt idx="8">
                  <c:v>281400</c:v>
                </c:pt>
                <c:pt idx="9">
                  <c:v>263700</c:v>
                </c:pt>
                <c:pt idx="10">
                  <c:v>295500</c:v>
                </c:pt>
                <c:pt idx="11">
                  <c:v>264000</c:v>
                </c:pt>
                <c:pt idx="12">
                  <c:v>319900</c:v>
                </c:pt>
                <c:pt idx="13">
                  <c:v>285700</c:v>
                </c:pt>
                <c:pt idx="14">
                  <c:v>308400</c:v>
                </c:pt>
                <c:pt idx="15">
                  <c:v>260000</c:v>
                </c:pt>
                <c:pt idx="16">
                  <c:v>305500</c:v>
                </c:pt>
                <c:pt idx="17">
                  <c:v>294600</c:v>
                </c:pt>
                <c:pt idx="18">
                  <c:v>328100</c:v>
                </c:pt>
                <c:pt idx="19">
                  <c:v>303600</c:v>
                </c:pt>
                <c:pt idx="20">
                  <c:v>286000</c:v>
                </c:pt>
                <c:pt idx="21">
                  <c:v>300100</c:v>
                </c:pt>
                <c:pt idx="22">
                  <c:v>296900</c:v>
                </c:pt>
                <c:pt idx="23">
                  <c:v>277500</c:v>
                </c:pt>
                <c:pt idx="24">
                  <c:v>283000</c:v>
                </c:pt>
                <c:pt idx="25">
                  <c:v>253700</c:v>
                </c:pt>
                <c:pt idx="26">
                  <c:v>285900</c:v>
                </c:pt>
                <c:pt idx="27">
                  <c:v>282900</c:v>
                </c:pt>
                <c:pt idx="28">
                  <c:v>274800</c:v>
                </c:pt>
                <c:pt idx="29">
                  <c:v>289700</c:v>
                </c:pt>
                <c:pt idx="30">
                  <c:v>290100</c:v>
                </c:pt>
                <c:pt idx="31">
                  <c:v>302700</c:v>
                </c:pt>
                <c:pt idx="32">
                  <c:v>304900</c:v>
                </c:pt>
                <c:pt idx="33">
                  <c:v>286100</c:v>
                </c:pt>
                <c:pt idx="34">
                  <c:v>279700</c:v>
                </c:pt>
                <c:pt idx="35">
                  <c:v>298700</c:v>
                </c:pt>
                <c:pt idx="36">
                  <c:v>313400</c:v>
                </c:pt>
                <c:pt idx="37">
                  <c:v>286400</c:v>
                </c:pt>
                <c:pt idx="38">
                  <c:v>295800</c:v>
                </c:pt>
                <c:pt idx="39">
                  <c:v>291600</c:v>
                </c:pt>
                <c:pt idx="40">
                  <c:v>261200</c:v>
                </c:pt>
                <c:pt idx="41">
                  <c:v>272100</c:v>
                </c:pt>
                <c:pt idx="42">
                  <c:v>292900</c:v>
                </c:pt>
                <c:pt idx="43">
                  <c:v>322200</c:v>
                </c:pt>
                <c:pt idx="44">
                  <c:v>282000</c:v>
                </c:pt>
                <c:pt idx="45">
                  <c:v>295700</c:v>
                </c:pt>
                <c:pt idx="46">
                  <c:v>284600</c:v>
                </c:pt>
                <c:pt idx="47">
                  <c:v>297100</c:v>
                </c:pt>
                <c:pt idx="48">
                  <c:v>280300</c:v>
                </c:pt>
                <c:pt idx="49">
                  <c:v>274600</c:v>
                </c:pt>
                <c:pt idx="50">
                  <c:v>309200</c:v>
                </c:pt>
                <c:pt idx="51">
                  <c:v>289100</c:v>
                </c:pt>
                <c:pt idx="52">
                  <c:v>305100</c:v>
                </c:pt>
                <c:pt idx="53">
                  <c:v>290500</c:v>
                </c:pt>
                <c:pt idx="54">
                  <c:v>295600</c:v>
                </c:pt>
                <c:pt idx="55">
                  <c:v>298500</c:v>
                </c:pt>
                <c:pt idx="56">
                  <c:v>303800</c:v>
                </c:pt>
                <c:pt idx="57">
                  <c:v>269300</c:v>
                </c:pt>
                <c:pt idx="58">
                  <c:v>272700</c:v>
                </c:pt>
                <c:pt idx="59">
                  <c:v>301900</c:v>
                </c:pt>
                <c:pt idx="60">
                  <c:v>309400</c:v>
                </c:pt>
                <c:pt idx="61">
                  <c:v>276000</c:v>
                </c:pt>
                <c:pt idx="62">
                  <c:v>277700</c:v>
                </c:pt>
                <c:pt idx="63">
                  <c:v>271300</c:v>
                </c:pt>
                <c:pt idx="64">
                  <c:v>285300</c:v>
                </c:pt>
                <c:pt idx="65">
                  <c:v>287000</c:v>
                </c:pt>
                <c:pt idx="66">
                  <c:v>28200</c:v>
                </c:pt>
              </c:numCache>
            </c:numRef>
          </c:val>
          <c:smooth val="0"/>
          <c:extLst>
            <c:ext xmlns:c16="http://schemas.microsoft.com/office/drawing/2014/chart" uri="{C3380CC4-5D6E-409C-BE32-E72D297353CC}">
              <c16:uniqueId val="{00000000-5045-48B9-89ED-7B69A4CD2E80}"/>
            </c:ext>
          </c:extLst>
        </c:ser>
        <c:dLbls>
          <c:showLegendKey val="0"/>
          <c:showVal val="0"/>
          <c:showCatName val="0"/>
          <c:showSerName val="0"/>
          <c:showPercent val="0"/>
          <c:showBubbleSize val="0"/>
        </c:dLbls>
        <c:marker val="1"/>
        <c:smooth val="0"/>
        <c:axId val="873767023"/>
        <c:axId val="873753583"/>
      </c:lineChart>
      <c:catAx>
        <c:axId val="8737670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3753583"/>
        <c:crosses val="autoZero"/>
        <c:auto val="1"/>
        <c:lblAlgn val="ctr"/>
        <c:lblOffset val="100"/>
        <c:noMultiLvlLbl val="0"/>
      </c:catAx>
      <c:valAx>
        <c:axId val="873753583"/>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3767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[AI_Sales_Insight_Dashboard.xlsx]Pivot_Analysis!PivotTable2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Regional Sales and Profit Comparison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Pivot_Analysis!$E$2</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Pivot_Analysis!$D$3:$D$6</c:f>
              <c:strCache>
                <c:ptCount val="4"/>
                <c:pt idx="0">
                  <c:v>East</c:v>
                </c:pt>
                <c:pt idx="1">
                  <c:v>North</c:v>
                </c:pt>
                <c:pt idx="2">
                  <c:v>South</c:v>
                </c:pt>
                <c:pt idx="3">
                  <c:v>West</c:v>
                </c:pt>
              </c:strCache>
            </c:strRef>
          </c:cat>
          <c:val>
            <c:numRef>
              <c:f>Pivot_Analysis!$E$3:$E$6</c:f>
              <c:numCache>
                <c:formatCode>"₹"\ #,##0</c:formatCode>
                <c:ptCount val="4"/>
                <c:pt idx="0">
                  <c:v>4834800</c:v>
                </c:pt>
                <c:pt idx="1">
                  <c:v>4713200</c:v>
                </c:pt>
                <c:pt idx="2">
                  <c:v>4778000</c:v>
                </c:pt>
                <c:pt idx="3">
                  <c:v>4747600</c:v>
                </c:pt>
              </c:numCache>
            </c:numRef>
          </c:val>
          <c:extLst>
            <c:ext xmlns:c16="http://schemas.microsoft.com/office/drawing/2014/chart" uri="{C3380CC4-5D6E-409C-BE32-E72D297353CC}">
              <c16:uniqueId val="{00000000-63B5-459C-98FC-32D7E0A826B2}"/>
            </c:ext>
          </c:extLst>
        </c:ser>
        <c:ser>
          <c:idx val="1"/>
          <c:order val="1"/>
          <c:tx>
            <c:strRef>
              <c:f>Pivot_Analysis!$F$2</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Pivot_Analysis!$D$3:$D$6</c:f>
              <c:strCache>
                <c:ptCount val="4"/>
                <c:pt idx="0">
                  <c:v>East</c:v>
                </c:pt>
                <c:pt idx="1">
                  <c:v>North</c:v>
                </c:pt>
                <c:pt idx="2">
                  <c:v>South</c:v>
                </c:pt>
                <c:pt idx="3">
                  <c:v>West</c:v>
                </c:pt>
              </c:strCache>
            </c:strRef>
          </c:cat>
          <c:val>
            <c:numRef>
              <c:f>Pivot_Analysis!$F$3:$F$6</c:f>
              <c:numCache>
                <c:formatCode>"₹"\ #,##0</c:formatCode>
                <c:ptCount val="4"/>
                <c:pt idx="0">
                  <c:v>4108925</c:v>
                </c:pt>
                <c:pt idx="1">
                  <c:v>4008795</c:v>
                </c:pt>
                <c:pt idx="2">
                  <c:v>4052705</c:v>
                </c:pt>
                <c:pt idx="3">
                  <c:v>4038670</c:v>
                </c:pt>
              </c:numCache>
            </c:numRef>
          </c:val>
          <c:extLst>
            <c:ext xmlns:c16="http://schemas.microsoft.com/office/drawing/2014/chart" uri="{C3380CC4-5D6E-409C-BE32-E72D297353CC}">
              <c16:uniqueId val="{00000001-63B5-459C-98FC-32D7E0A826B2}"/>
            </c:ext>
          </c:extLst>
        </c:ser>
        <c:dLbls>
          <c:showLegendKey val="0"/>
          <c:showVal val="0"/>
          <c:showCatName val="0"/>
          <c:showSerName val="0"/>
          <c:showPercent val="0"/>
          <c:showBubbleSize val="0"/>
        </c:dLbls>
        <c:gapWidth val="100"/>
        <c:overlap val="-24"/>
        <c:axId val="844499007"/>
        <c:axId val="844494207"/>
      </c:barChart>
      <c:catAx>
        <c:axId val="8444990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4494207"/>
        <c:crosses val="autoZero"/>
        <c:auto val="1"/>
        <c:lblAlgn val="ctr"/>
        <c:lblOffset val="100"/>
        <c:noMultiLvlLbl val="0"/>
      </c:catAx>
      <c:valAx>
        <c:axId val="844494207"/>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4499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[AI_Sales_Insight_Dashboard.xlsx]Pivot_Analysis!PivotTable3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Sales and Profitability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Pivot_Analysis!$I$2</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Pivot_Analysis!$H$3:$H$5</c:f>
              <c:strCache>
                <c:ptCount val="3"/>
                <c:pt idx="0">
                  <c:v>Electronics</c:v>
                </c:pt>
                <c:pt idx="1">
                  <c:v>Furniture</c:v>
                </c:pt>
                <c:pt idx="2">
                  <c:v>Office Supplies</c:v>
                </c:pt>
              </c:strCache>
            </c:strRef>
          </c:cat>
          <c:val>
            <c:numRef>
              <c:f>Pivot_Analysis!$I$3:$I$5</c:f>
              <c:numCache>
                <c:formatCode>"₹"\ #,##0</c:formatCode>
                <c:ptCount val="3"/>
                <c:pt idx="0">
                  <c:v>6436500</c:v>
                </c:pt>
                <c:pt idx="1">
                  <c:v>6384400</c:v>
                </c:pt>
                <c:pt idx="2">
                  <c:v>6252700</c:v>
                </c:pt>
              </c:numCache>
            </c:numRef>
          </c:val>
          <c:extLst>
            <c:ext xmlns:c16="http://schemas.microsoft.com/office/drawing/2014/chart" uri="{C3380CC4-5D6E-409C-BE32-E72D297353CC}">
              <c16:uniqueId val="{00000000-23E1-4462-ABC2-A9727503F992}"/>
            </c:ext>
          </c:extLst>
        </c:ser>
        <c:dLbls>
          <c:showLegendKey val="0"/>
          <c:showVal val="0"/>
          <c:showCatName val="0"/>
          <c:showSerName val="0"/>
          <c:showPercent val="0"/>
          <c:showBubbleSize val="0"/>
        </c:dLbls>
        <c:gapWidth val="247"/>
        <c:overlap val="-27"/>
        <c:axId val="1607118991"/>
        <c:axId val="1607123791"/>
      </c:barChart>
      <c:lineChart>
        <c:grouping val="standard"/>
        <c:varyColors val="0"/>
        <c:ser>
          <c:idx val="1"/>
          <c:order val="1"/>
          <c:tx>
            <c:strRef>
              <c:f>Pivot_Analysis!$J$2</c:f>
              <c:strCache>
                <c:ptCount val="1"/>
                <c:pt idx="0">
                  <c:v>Profit_Margin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Pivot_Analysis!$H$3:$H$5</c:f>
              <c:strCache>
                <c:ptCount val="3"/>
                <c:pt idx="0">
                  <c:v>Electronics</c:v>
                </c:pt>
                <c:pt idx="1">
                  <c:v>Furniture</c:v>
                </c:pt>
                <c:pt idx="2">
                  <c:v>Office Supplies</c:v>
                </c:pt>
              </c:strCache>
            </c:strRef>
          </c:cat>
          <c:val>
            <c:numRef>
              <c:f>Pivot_Analysis!$J$3:$J$5</c:f>
              <c:numCache>
                <c:formatCode>0%</c:formatCode>
                <c:ptCount val="3"/>
                <c:pt idx="0">
                  <c:v>0.84999999999999987</c:v>
                </c:pt>
                <c:pt idx="1">
                  <c:v>0.84999999999999987</c:v>
                </c:pt>
                <c:pt idx="2">
                  <c:v>0.84999999999999987</c:v>
                </c:pt>
              </c:numCache>
            </c:numRef>
          </c:val>
          <c:smooth val="0"/>
          <c:extLst>
            <c:ext xmlns:c16="http://schemas.microsoft.com/office/drawing/2014/chart" uri="{C3380CC4-5D6E-409C-BE32-E72D297353CC}">
              <c16:uniqueId val="{00000001-23E1-4462-ABC2-A9727503F992}"/>
            </c:ext>
          </c:extLst>
        </c:ser>
        <c:dLbls>
          <c:showLegendKey val="0"/>
          <c:showVal val="0"/>
          <c:showCatName val="0"/>
          <c:showSerName val="0"/>
          <c:showPercent val="0"/>
          <c:showBubbleSize val="0"/>
        </c:dLbls>
        <c:marker val="1"/>
        <c:smooth val="0"/>
        <c:axId val="1607124751"/>
        <c:axId val="1607117071"/>
      </c:lineChart>
      <c:catAx>
        <c:axId val="16071189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7123791"/>
        <c:crosses val="autoZero"/>
        <c:auto val="1"/>
        <c:lblAlgn val="ctr"/>
        <c:lblOffset val="100"/>
        <c:noMultiLvlLbl val="0"/>
      </c:catAx>
      <c:valAx>
        <c:axId val="160712379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7118991"/>
        <c:crosses val="autoZero"/>
        <c:crossBetween val="between"/>
      </c:valAx>
      <c:valAx>
        <c:axId val="1607117071"/>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7124751"/>
        <c:crosses val="max"/>
        <c:crossBetween val="between"/>
      </c:valAx>
      <c:catAx>
        <c:axId val="1607124751"/>
        <c:scaling>
          <c:orientation val="minMax"/>
        </c:scaling>
        <c:delete val="1"/>
        <c:axPos val="b"/>
        <c:numFmt formatCode="General" sourceLinked="1"/>
        <c:majorTickMark val="none"/>
        <c:minorTickMark val="none"/>
        <c:tickLblPos val="nextTo"/>
        <c:crossAx val="160711707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[AI_Sales_Insight_Dashboard.xlsx]Pivot_Analysis!PivotTable4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Customer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Pivot_Analysis!$M$2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E81-4796-B4C1-EEFAD0769F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E81-4796-B4C1-EEFAD0769F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E81-4796-B4C1-EEFAD0769F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Pivot_Analysis!$L$3:$L$5</c:f>
              <c:strCache>
                <c:ptCount val="3"/>
                <c:pt idx="0">
                  <c:v>Consumer</c:v>
                </c:pt>
                <c:pt idx="1">
                  <c:v>Corporate</c:v>
                </c:pt>
                <c:pt idx="2">
                  <c:v>Home Office</c:v>
                </c:pt>
              </c:strCache>
            </c:strRef>
          </c:cat>
          <c:val>
            <c:numRef>
              <c:f>Pivot_Analysis!$M$3:$M$5</c:f>
              <c:numCache>
                <c:formatCode>"₹"\ #,##0</c:formatCode>
                <c:ptCount val="3"/>
                <c:pt idx="0">
                  <c:v>6436500</c:v>
                </c:pt>
                <c:pt idx="1">
                  <c:v>6384400</c:v>
                </c:pt>
                <c:pt idx="2">
                  <c:v>6252700</c:v>
                </c:pt>
              </c:numCache>
            </c:numRef>
          </c:val>
          <c:extLst>
            <c:ext xmlns:c16="http://schemas.microsoft.com/office/drawing/2014/chart" uri="{C3380CC4-5D6E-409C-BE32-E72D297353CC}">
              <c16:uniqueId val="{00000006-2E81-4796-B4C1-EEFAD0769F2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Forecast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AI_Forecast!$B$1</c:f>
              <c:strCache>
                <c:ptCount val="1"/>
                <c:pt idx="0">
                  <c:v>Forecast_Sales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AI_Forecast!$B$2:$B$2367</c:f>
              <c:numCache>
                <c:formatCode>0</c:formatCode>
                <c:ptCount val="2366"/>
                <c:pt idx="0">
                  <c:v>4000</c:v>
                </c:pt>
                <c:pt idx="1">
                  <c:v>6400</c:v>
                </c:pt>
                <c:pt idx="2">
                  <c:v>13900</c:v>
                </c:pt>
                <c:pt idx="3">
                  <c:v>9500</c:v>
                </c:pt>
                <c:pt idx="4">
                  <c:v>5500</c:v>
                </c:pt>
                <c:pt idx="5">
                  <c:v>9300</c:v>
                </c:pt>
                <c:pt idx="6">
                  <c:v>13500</c:v>
                </c:pt>
                <c:pt idx="7">
                  <c:v>12400</c:v>
                </c:pt>
                <c:pt idx="8">
                  <c:v>9400</c:v>
                </c:pt>
                <c:pt idx="9">
                  <c:v>5400</c:v>
                </c:pt>
                <c:pt idx="10">
                  <c:v>6200</c:v>
                </c:pt>
                <c:pt idx="11">
                  <c:v>14500</c:v>
                </c:pt>
                <c:pt idx="12">
                  <c:v>14300</c:v>
                </c:pt>
                <c:pt idx="13">
                  <c:v>13500</c:v>
                </c:pt>
                <c:pt idx="14">
                  <c:v>12500</c:v>
                </c:pt>
                <c:pt idx="15">
                  <c:v>5500</c:v>
                </c:pt>
                <c:pt idx="16">
                  <c:v>12500</c:v>
                </c:pt>
                <c:pt idx="17">
                  <c:v>4900</c:v>
                </c:pt>
                <c:pt idx="18">
                  <c:v>12700</c:v>
                </c:pt>
                <c:pt idx="19">
                  <c:v>5700</c:v>
                </c:pt>
                <c:pt idx="20">
                  <c:v>4100</c:v>
                </c:pt>
                <c:pt idx="21">
                  <c:v>9400</c:v>
                </c:pt>
                <c:pt idx="22">
                  <c:v>14400</c:v>
                </c:pt>
                <c:pt idx="23">
                  <c:v>5300</c:v>
                </c:pt>
                <c:pt idx="24">
                  <c:v>4000</c:v>
                </c:pt>
                <c:pt idx="25">
                  <c:v>12800</c:v>
                </c:pt>
                <c:pt idx="26">
                  <c:v>10400</c:v>
                </c:pt>
                <c:pt idx="27">
                  <c:v>13200</c:v>
                </c:pt>
                <c:pt idx="28">
                  <c:v>10000</c:v>
                </c:pt>
                <c:pt idx="29">
                  <c:v>13400</c:v>
                </c:pt>
                <c:pt idx="30">
                  <c:v>7900</c:v>
                </c:pt>
                <c:pt idx="31">
                  <c:v>8900</c:v>
                </c:pt>
                <c:pt idx="32">
                  <c:v>7100</c:v>
                </c:pt>
                <c:pt idx="33">
                  <c:v>4700</c:v>
                </c:pt>
                <c:pt idx="34">
                  <c:v>5100</c:v>
                </c:pt>
                <c:pt idx="35">
                  <c:v>14900</c:v>
                </c:pt>
                <c:pt idx="36">
                  <c:v>13300</c:v>
                </c:pt>
                <c:pt idx="37">
                  <c:v>4600</c:v>
                </c:pt>
                <c:pt idx="38">
                  <c:v>5700</c:v>
                </c:pt>
                <c:pt idx="39">
                  <c:v>8200</c:v>
                </c:pt>
                <c:pt idx="40">
                  <c:v>8200</c:v>
                </c:pt>
                <c:pt idx="41">
                  <c:v>5900</c:v>
                </c:pt>
                <c:pt idx="42">
                  <c:v>14100</c:v>
                </c:pt>
                <c:pt idx="43">
                  <c:v>7400</c:v>
                </c:pt>
                <c:pt idx="44">
                  <c:v>15000</c:v>
                </c:pt>
                <c:pt idx="45">
                  <c:v>6800</c:v>
                </c:pt>
                <c:pt idx="46">
                  <c:v>7800</c:v>
                </c:pt>
                <c:pt idx="47">
                  <c:v>11600</c:v>
                </c:pt>
                <c:pt idx="48">
                  <c:v>12500</c:v>
                </c:pt>
                <c:pt idx="49">
                  <c:v>11700</c:v>
                </c:pt>
                <c:pt idx="50">
                  <c:v>10800</c:v>
                </c:pt>
                <c:pt idx="51">
                  <c:v>9100</c:v>
                </c:pt>
                <c:pt idx="52">
                  <c:v>7400</c:v>
                </c:pt>
                <c:pt idx="53">
                  <c:v>14800</c:v>
                </c:pt>
                <c:pt idx="54">
                  <c:v>9400</c:v>
                </c:pt>
                <c:pt idx="55">
                  <c:v>4100</c:v>
                </c:pt>
                <c:pt idx="56">
                  <c:v>14800</c:v>
                </c:pt>
                <c:pt idx="57">
                  <c:v>4200</c:v>
                </c:pt>
                <c:pt idx="58">
                  <c:v>14900</c:v>
                </c:pt>
                <c:pt idx="59">
                  <c:v>6700</c:v>
                </c:pt>
                <c:pt idx="60">
                  <c:v>8300</c:v>
                </c:pt>
                <c:pt idx="61">
                  <c:v>6500</c:v>
                </c:pt>
                <c:pt idx="62">
                  <c:v>6600</c:v>
                </c:pt>
                <c:pt idx="63">
                  <c:v>8700</c:v>
                </c:pt>
                <c:pt idx="64">
                  <c:v>14500</c:v>
                </c:pt>
                <c:pt idx="65">
                  <c:v>5300</c:v>
                </c:pt>
                <c:pt idx="66">
                  <c:v>11900</c:v>
                </c:pt>
                <c:pt idx="67">
                  <c:v>6600</c:v>
                </c:pt>
                <c:pt idx="68">
                  <c:v>9300</c:v>
                </c:pt>
                <c:pt idx="69">
                  <c:v>14900</c:v>
                </c:pt>
                <c:pt idx="70">
                  <c:v>14500</c:v>
                </c:pt>
                <c:pt idx="71">
                  <c:v>12500</c:v>
                </c:pt>
                <c:pt idx="72">
                  <c:v>14800</c:v>
                </c:pt>
                <c:pt idx="73">
                  <c:v>8400</c:v>
                </c:pt>
                <c:pt idx="74">
                  <c:v>11400</c:v>
                </c:pt>
                <c:pt idx="75">
                  <c:v>10700</c:v>
                </c:pt>
                <c:pt idx="76">
                  <c:v>4300</c:v>
                </c:pt>
                <c:pt idx="77">
                  <c:v>12700</c:v>
                </c:pt>
                <c:pt idx="78">
                  <c:v>4600</c:v>
                </c:pt>
                <c:pt idx="79">
                  <c:v>10200</c:v>
                </c:pt>
                <c:pt idx="80">
                  <c:v>12400</c:v>
                </c:pt>
                <c:pt idx="81">
                  <c:v>10200</c:v>
                </c:pt>
                <c:pt idx="82">
                  <c:v>12300</c:v>
                </c:pt>
                <c:pt idx="83">
                  <c:v>8100</c:v>
                </c:pt>
                <c:pt idx="84">
                  <c:v>13400</c:v>
                </c:pt>
                <c:pt idx="85">
                  <c:v>14900</c:v>
                </c:pt>
                <c:pt idx="86">
                  <c:v>10800</c:v>
                </c:pt>
                <c:pt idx="87">
                  <c:v>5100</c:v>
                </c:pt>
                <c:pt idx="88">
                  <c:v>6600</c:v>
                </c:pt>
                <c:pt idx="89">
                  <c:v>14000</c:v>
                </c:pt>
                <c:pt idx="90">
                  <c:v>9400</c:v>
                </c:pt>
                <c:pt idx="91">
                  <c:v>4800</c:v>
                </c:pt>
                <c:pt idx="92">
                  <c:v>14700</c:v>
                </c:pt>
                <c:pt idx="93">
                  <c:v>10200</c:v>
                </c:pt>
                <c:pt idx="94">
                  <c:v>11100</c:v>
                </c:pt>
                <c:pt idx="95">
                  <c:v>7400</c:v>
                </c:pt>
                <c:pt idx="96">
                  <c:v>7400</c:v>
                </c:pt>
                <c:pt idx="97">
                  <c:v>8000</c:v>
                </c:pt>
                <c:pt idx="98">
                  <c:v>7600</c:v>
                </c:pt>
                <c:pt idx="99">
                  <c:v>10800</c:v>
                </c:pt>
                <c:pt idx="100">
                  <c:v>13900</c:v>
                </c:pt>
                <c:pt idx="101">
                  <c:v>6600</c:v>
                </c:pt>
                <c:pt idx="102">
                  <c:v>9200</c:v>
                </c:pt>
                <c:pt idx="103">
                  <c:v>5100</c:v>
                </c:pt>
                <c:pt idx="104">
                  <c:v>11900</c:v>
                </c:pt>
                <c:pt idx="105">
                  <c:v>13000</c:v>
                </c:pt>
                <c:pt idx="106">
                  <c:v>10000</c:v>
                </c:pt>
                <c:pt idx="107">
                  <c:v>10400</c:v>
                </c:pt>
                <c:pt idx="108">
                  <c:v>8400</c:v>
                </c:pt>
                <c:pt idx="109">
                  <c:v>12300</c:v>
                </c:pt>
                <c:pt idx="110">
                  <c:v>10400</c:v>
                </c:pt>
                <c:pt idx="111">
                  <c:v>13500</c:v>
                </c:pt>
                <c:pt idx="112">
                  <c:v>10300</c:v>
                </c:pt>
                <c:pt idx="113">
                  <c:v>11700</c:v>
                </c:pt>
                <c:pt idx="114">
                  <c:v>10400</c:v>
                </c:pt>
                <c:pt idx="115">
                  <c:v>5400</c:v>
                </c:pt>
                <c:pt idx="116">
                  <c:v>4400</c:v>
                </c:pt>
                <c:pt idx="117">
                  <c:v>13700</c:v>
                </c:pt>
                <c:pt idx="118">
                  <c:v>8700</c:v>
                </c:pt>
                <c:pt idx="119">
                  <c:v>10500</c:v>
                </c:pt>
                <c:pt idx="120">
                  <c:v>11800</c:v>
                </c:pt>
                <c:pt idx="121">
                  <c:v>5500</c:v>
                </c:pt>
                <c:pt idx="122">
                  <c:v>14900</c:v>
                </c:pt>
                <c:pt idx="123">
                  <c:v>4800</c:v>
                </c:pt>
                <c:pt idx="124">
                  <c:v>14300</c:v>
                </c:pt>
                <c:pt idx="125">
                  <c:v>9700</c:v>
                </c:pt>
                <c:pt idx="126">
                  <c:v>5800</c:v>
                </c:pt>
                <c:pt idx="127">
                  <c:v>9400</c:v>
                </c:pt>
                <c:pt idx="128">
                  <c:v>5500</c:v>
                </c:pt>
                <c:pt idx="129">
                  <c:v>10900</c:v>
                </c:pt>
                <c:pt idx="130">
                  <c:v>11700</c:v>
                </c:pt>
                <c:pt idx="131">
                  <c:v>9500</c:v>
                </c:pt>
                <c:pt idx="132">
                  <c:v>9600</c:v>
                </c:pt>
                <c:pt idx="133">
                  <c:v>11600</c:v>
                </c:pt>
                <c:pt idx="134">
                  <c:v>5700</c:v>
                </c:pt>
                <c:pt idx="135">
                  <c:v>13200</c:v>
                </c:pt>
                <c:pt idx="136">
                  <c:v>9800</c:v>
                </c:pt>
                <c:pt idx="137">
                  <c:v>14600</c:v>
                </c:pt>
                <c:pt idx="138">
                  <c:v>4600</c:v>
                </c:pt>
                <c:pt idx="139">
                  <c:v>4000</c:v>
                </c:pt>
                <c:pt idx="140">
                  <c:v>9100</c:v>
                </c:pt>
                <c:pt idx="141">
                  <c:v>6300</c:v>
                </c:pt>
                <c:pt idx="142">
                  <c:v>10700</c:v>
                </c:pt>
                <c:pt idx="143">
                  <c:v>6500</c:v>
                </c:pt>
                <c:pt idx="144">
                  <c:v>5100</c:v>
                </c:pt>
                <c:pt idx="145">
                  <c:v>14700</c:v>
                </c:pt>
                <c:pt idx="146">
                  <c:v>9600</c:v>
                </c:pt>
                <c:pt idx="147">
                  <c:v>8900</c:v>
                </c:pt>
                <c:pt idx="148">
                  <c:v>5000</c:v>
                </c:pt>
                <c:pt idx="149">
                  <c:v>9200</c:v>
                </c:pt>
                <c:pt idx="150">
                  <c:v>4400</c:v>
                </c:pt>
                <c:pt idx="151">
                  <c:v>5700</c:v>
                </c:pt>
                <c:pt idx="152">
                  <c:v>8800</c:v>
                </c:pt>
                <c:pt idx="153">
                  <c:v>8300</c:v>
                </c:pt>
                <c:pt idx="154">
                  <c:v>6000</c:v>
                </c:pt>
                <c:pt idx="155">
                  <c:v>6800</c:v>
                </c:pt>
                <c:pt idx="156">
                  <c:v>12300</c:v>
                </c:pt>
                <c:pt idx="157">
                  <c:v>8600</c:v>
                </c:pt>
                <c:pt idx="158">
                  <c:v>7200</c:v>
                </c:pt>
                <c:pt idx="159">
                  <c:v>8300</c:v>
                </c:pt>
                <c:pt idx="160">
                  <c:v>9000</c:v>
                </c:pt>
                <c:pt idx="161">
                  <c:v>10300</c:v>
                </c:pt>
                <c:pt idx="162">
                  <c:v>10100</c:v>
                </c:pt>
                <c:pt idx="163">
                  <c:v>7700</c:v>
                </c:pt>
                <c:pt idx="164">
                  <c:v>14000</c:v>
                </c:pt>
                <c:pt idx="165">
                  <c:v>13400</c:v>
                </c:pt>
                <c:pt idx="166">
                  <c:v>4600</c:v>
                </c:pt>
                <c:pt idx="167">
                  <c:v>12400</c:v>
                </c:pt>
                <c:pt idx="168">
                  <c:v>14000</c:v>
                </c:pt>
                <c:pt idx="169">
                  <c:v>7200</c:v>
                </c:pt>
                <c:pt idx="170">
                  <c:v>10700</c:v>
                </c:pt>
                <c:pt idx="171">
                  <c:v>6900</c:v>
                </c:pt>
                <c:pt idx="172">
                  <c:v>8500</c:v>
                </c:pt>
                <c:pt idx="173">
                  <c:v>13500</c:v>
                </c:pt>
                <c:pt idx="174">
                  <c:v>7900</c:v>
                </c:pt>
                <c:pt idx="175">
                  <c:v>12100</c:v>
                </c:pt>
                <c:pt idx="176">
                  <c:v>13800</c:v>
                </c:pt>
                <c:pt idx="177">
                  <c:v>6100</c:v>
                </c:pt>
                <c:pt idx="178">
                  <c:v>13000</c:v>
                </c:pt>
                <c:pt idx="179">
                  <c:v>6500</c:v>
                </c:pt>
                <c:pt idx="180">
                  <c:v>8500</c:v>
                </c:pt>
                <c:pt idx="181">
                  <c:v>9400</c:v>
                </c:pt>
                <c:pt idx="182">
                  <c:v>12900</c:v>
                </c:pt>
                <c:pt idx="183">
                  <c:v>14200</c:v>
                </c:pt>
                <c:pt idx="184">
                  <c:v>7200</c:v>
                </c:pt>
                <c:pt idx="185">
                  <c:v>7300</c:v>
                </c:pt>
                <c:pt idx="186">
                  <c:v>10600</c:v>
                </c:pt>
                <c:pt idx="187">
                  <c:v>14000</c:v>
                </c:pt>
                <c:pt idx="188">
                  <c:v>11200</c:v>
                </c:pt>
                <c:pt idx="189">
                  <c:v>14800</c:v>
                </c:pt>
                <c:pt idx="190">
                  <c:v>8700</c:v>
                </c:pt>
                <c:pt idx="191">
                  <c:v>8700</c:v>
                </c:pt>
                <c:pt idx="192">
                  <c:v>14800</c:v>
                </c:pt>
                <c:pt idx="193">
                  <c:v>12700</c:v>
                </c:pt>
                <c:pt idx="194">
                  <c:v>10300</c:v>
                </c:pt>
                <c:pt idx="195">
                  <c:v>8500</c:v>
                </c:pt>
                <c:pt idx="196">
                  <c:v>11900</c:v>
                </c:pt>
                <c:pt idx="197">
                  <c:v>10300</c:v>
                </c:pt>
                <c:pt idx="198">
                  <c:v>5600</c:v>
                </c:pt>
                <c:pt idx="199">
                  <c:v>10900</c:v>
                </c:pt>
                <c:pt idx="200">
                  <c:v>8600</c:v>
                </c:pt>
                <c:pt idx="201">
                  <c:v>9400</c:v>
                </c:pt>
                <c:pt idx="202">
                  <c:v>11800</c:v>
                </c:pt>
                <c:pt idx="203">
                  <c:v>10800</c:v>
                </c:pt>
                <c:pt idx="204">
                  <c:v>6500</c:v>
                </c:pt>
                <c:pt idx="205">
                  <c:v>5000</c:v>
                </c:pt>
                <c:pt idx="206">
                  <c:v>4300</c:v>
                </c:pt>
                <c:pt idx="207">
                  <c:v>11700</c:v>
                </c:pt>
                <c:pt idx="208">
                  <c:v>10600</c:v>
                </c:pt>
                <c:pt idx="209">
                  <c:v>14500</c:v>
                </c:pt>
                <c:pt idx="210">
                  <c:v>14600</c:v>
                </c:pt>
                <c:pt idx="211">
                  <c:v>11700</c:v>
                </c:pt>
                <c:pt idx="212">
                  <c:v>11000</c:v>
                </c:pt>
                <c:pt idx="213">
                  <c:v>6700</c:v>
                </c:pt>
                <c:pt idx="214">
                  <c:v>10600</c:v>
                </c:pt>
                <c:pt idx="215">
                  <c:v>11300</c:v>
                </c:pt>
                <c:pt idx="216">
                  <c:v>6400</c:v>
                </c:pt>
                <c:pt idx="217">
                  <c:v>6600</c:v>
                </c:pt>
                <c:pt idx="218">
                  <c:v>11700</c:v>
                </c:pt>
                <c:pt idx="219">
                  <c:v>13300</c:v>
                </c:pt>
                <c:pt idx="220">
                  <c:v>9100</c:v>
                </c:pt>
                <c:pt idx="221">
                  <c:v>10100</c:v>
                </c:pt>
                <c:pt idx="222">
                  <c:v>4200</c:v>
                </c:pt>
                <c:pt idx="223">
                  <c:v>13000</c:v>
                </c:pt>
                <c:pt idx="224">
                  <c:v>11500</c:v>
                </c:pt>
                <c:pt idx="225">
                  <c:v>6700</c:v>
                </c:pt>
                <c:pt idx="226">
                  <c:v>8400</c:v>
                </c:pt>
                <c:pt idx="227">
                  <c:v>12400</c:v>
                </c:pt>
                <c:pt idx="228">
                  <c:v>12300</c:v>
                </c:pt>
                <c:pt idx="229">
                  <c:v>14500</c:v>
                </c:pt>
                <c:pt idx="230">
                  <c:v>9800</c:v>
                </c:pt>
                <c:pt idx="231">
                  <c:v>12200</c:v>
                </c:pt>
                <c:pt idx="232">
                  <c:v>4200</c:v>
                </c:pt>
                <c:pt idx="233">
                  <c:v>5800</c:v>
                </c:pt>
                <c:pt idx="234">
                  <c:v>6800</c:v>
                </c:pt>
                <c:pt idx="235">
                  <c:v>10300</c:v>
                </c:pt>
                <c:pt idx="236">
                  <c:v>10800</c:v>
                </c:pt>
                <c:pt idx="237">
                  <c:v>7500</c:v>
                </c:pt>
                <c:pt idx="238">
                  <c:v>6800</c:v>
                </c:pt>
                <c:pt idx="239">
                  <c:v>4900</c:v>
                </c:pt>
                <c:pt idx="240">
                  <c:v>8700</c:v>
                </c:pt>
                <c:pt idx="241">
                  <c:v>5500</c:v>
                </c:pt>
                <c:pt idx="242">
                  <c:v>14500</c:v>
                </c:pt>
                <c:pt idx="243">
                  <c:v>10700</c:v>
                </c:pt>
                <c:pt idx="244">
                  <c:v>6800</c:v>
                </c:pt>
                <c:pt idx="245">
                  <c:v>5700</c:v>
                </c:pt>
                <c:pt idx="246">
                  <c:v>4300</c:v>
                </c:pt>
                <c:pt idx="247">
                  <c:v>14600</c:v>
                </c:pt>
                <c:pt idx="248">
                  <c:v>11400</c:v>
                </c:pt>
                <c:pt idx="249">
                  <c:v>12500</c:v>
                </c:pt>
                <c:pt idx="250">
                  <c:v>9400</c:v>
                </c:pt>
                <c:pt idx="251">
                  <c:v>10400</c:v>
                </c:pt>
                <c:pt idx="252">
                  <c:v>12500</c:v>
                </c:pt>
                <c:pt idx="253">
                  <c:v>5600</c:v>
                </c:pt>
                <c:pt idx="254">
                  <c:v>4700</c:v>
                </c:pt>
                <c:pt idx="255">
                  <c:v>11500</c:v>
                </c:pt>
                <c:pt idx="256">
                  <c:v>12500</c:v>
                </c:pt>
                <c:pt idx="257">
                  <c:v>11900</c:v>
                </c:pt>
                <c:pt idx="258">
                  <c:v>14400</c:v>
                </c:pt>
                <c:pt idx="259">
                  <c:v>11900</c:v>
                </c:pt>
                <c:pt idx="260">
                  <c:v>11900</c:v>
                </c:pt>
                <c:pt idx="261">
                  <c:v>9000</c:v>
                </c:pt>
                <c:pt idx="262">
                  <c:v>8100</c:v>
                </c:pt>
                <c:pt idx="263">
                  <c:v>12800</c:v>
                </c:pt>
                <c:pt idx="264">
                  <c:v>4200</c:v>
                </c:pt>
                <c:pt idx="265">
                  <c:v>13400</c:v>
                </c:pt>
                <c:pt idx="266">
                  <c:v>4200</c:v>
                </c:pt>
                <c:pt idx="267">
                  <c:v>13800</c:v>
                </c:pt>
                <c:pt idx="268">
                  <c:v>7400</c:v>
                </c:pt>
                <c:pt idx="269">
                  <c:v>10900</c:v>
                </c:pt>
                <c:pt idx="270">
                  <c:v>11000</c:v>
                </c:pt>
                <c:pt idx="271">
                  <c:v>7400</c:v>
                </c:pt>
                <c:pt idx="272">
                  <c:v>7100</c:v>
                </c:pt>
                <c:pt idx="273">
                  <c:v>10000</c:v>
                </c:pt>
                <c:pt idx="274">
                  <c:v>12800</c:v>
                </c:pt>
                <c:pt idx="275">
                  <c:v>4900</c:v>
                </c:pt>
                <c:pt idx="276">
                  <c:v>7400</c:v>
                </c:pt>
                <c:pt idx="277">
                  <c:v>4200</c:v>
                </c:pt>
                <c:pt idx="278">
                  <c:v>5600</c:v>
                </c:pt>
                <c:pt idx="279">
                  <c:v>9200</c:v>
                </c:pt>
                <c:pt idx="280">
                  <c:v>6800</c:v>
                </c:pt>
                <c:pt idx="281">
                  <c:v>6300</c:v>
                </c:pt>
                <c:pt idx="282">
                  <c:v>11800</c:v>
                </c:pt>
                <c:pt idx="283">
                  <c:v>5500</c:v>
                </c:pt>
                <c:pt idx="284">
                  <c:v>4700</c:v>
                </c:pt>
                <c:pt idx="285">
                  <c:v>6000</c:v>
                </c:pt>
                <c:pt idx="286">
                  <c:v>13600</c:v>
                </c:pt>
                <c:pt idx="287">
                  <c:v>11300</c:v>
                </c:pt>
                <c:pt idx="288">
                  <c:v>9900</c:v>
                </c:pt>
                <c:pt idx="289">
                  <c:v>5000</c:v>
                </c:pt>
                <c:pt idx="290">
                  <c:v>11300</c:v>
                </c:pt>
                <c:pt idx="291">
                  <c:v>7700</c:v>
                </c:pt>
                <c:pt idx="292">
                  <c:v>7900</c:v>
                </c:pt>
                <c:pt idx="293">
                  <c:v>9600</c:v>
                </c:pt>
                <c:pt idx="294">
                  <c:v>4700</c:v>
                </c:pt>
                <c:pt idx="295">
                  <c:v>4700</c:v>
                </c:pt>
                <c:pt idx="296">
                  <c:v>11900</c:v>
                </c:pt>
                <c:pt idx="297">
                  <c:v>14300</c:v>
                </c:pt>
                <c:pt idx="298">
                  <c:v>13300</c:v>
                </c:pt>
                <c:pt idx="299">
                  <c:v>7500</c:v>
                </c:pt>
                <c:pt idx="300">
                  <c:v>4900</c:v>
                </c:pt>
                <c:pt idx="301">
                  <c:v>5100</c:v>
                </c:pt>
                <c:pt idx="302">
                  <c:v>14300</c:v>
                </c:pt>
                <c:pt idx="303">
                  <c:v>7600</c:v>
                </c:pt>
                <c:pt idx="304">
                  <c:v>5900</c:v>
                </c:pt>
                <c:pt idx="305">
                  <c:v>4100</c:v>
                </c:pt>
                <c:pt idx="306">
                  <c:v>10700</c:v>
                </c:pt>
                <c:pt idx="307">
                  <c:v>6600</c:v>
                </c:pt>
                <c:pt idx="308">
                  <c:v>7400</c:v>
                </c:pt>
                <c:pt idx="309">
                  <c:v>13800</c:v>
                </c:pt>
                <c:pt idx="310">
                  <c:v>9500</c:v>
                </c:pt>
                <c:pt idx="311">
                  <c:v>12100</c:v>
                </c:pt>
                <c:pt idx="312">
                  <c:v>11900</c:v>
                </c:pt>
                <c:pt idx="313">
                  <c:v>14200</c:v>
                </c:pt>
                <c:pt idx="314">
                  <c:v>15000</c:v>
                </c:pt>
                <c:pt idx="315">
                  <c:v>12800</c:v>
                </c:pt>
                <c:pt idx="316">
                  <c:v>5000</c:v>
                </c:pt>
                <c:pt idx="317">
                  <c:v>12700</c:v>
                </c:pt>
                <c:pt idx="318">
                  <c:v>11600</c:v>
                </c:pt>
                <c:pt idx="319">
                  <c:v>10200</c:v>
                </c:pt>
                <c:pt idx="320">
                  <c:v>14100</c:v>
                </c:pt>
                <c:pt idx="321">
                  <c:v>7900</c:v>
                </c:pt>
                <c:pt idx="322">
                  <c:v>14600</c:v>
                </c:pt>
                <c:pt idx="323">
                  <c:v>7100</c:v>
                </c:pt>
                <c:pt idx="324">
                  <c:v>5700</c:v>
                </c:pt>
                <c:pt idx="325">
                  <c:v>11500</c:v>
                </c:pt>
                <c:pt idx="326">
                  <c:v>10900</c:v>
                </c:pt>
                <c:pt idx="327">
                  <c:v>12800</c:v>
                </c:pt>
                <c:pt idx="328">
                  <c:v>4600</c:v>
                </c:pt>
                <c:pt idx="329">
                  <c:v>11100</c:v>
                </c:pt>
                <c:pt idx="330">
                  <c:v>7400</c:v>
                </c:pt>
                <c:pt idx="331">
                  <c:v>6900</c:v>
                </c:pt>
                <c:pt idx="332">
                  <c:v>6700</c:v>
                </c:pt>
                <c:pt idx="333">
                  <c:v>4900</c:v>
                </c:pt>
                <c:pt idx="334">
                  <c:v>11100</c:v>
                </c:pt>
                <c:pt idx="335">
                  <c:v>13200</c:v>
                </c:pt>
                <c:pt idx="336">
                  <c:v>5000</c:v>
                </c:pt>
                <c:pt idx="337">
                  <c:v>5600</c:v>
                </c:pt>
                <c:pt idx="338">
                  <c:v>10100</c:v>
                </c:pt>
                <c:pt idx="339">
                  <c:v>7600</c:v>
                </c:pt>
                <c:pt idx="340">
                  <c:v>14200</c:v>
                </c:pt>
                <c:pt idx="341">
                  <c:v>4200</c:v>
                </c:pt>
                <c:pt idx="342">
                  <c:v>8600</c:v>
                </c:pt>
                <c:pt idx="343">
                  <c:v>6600</c:v>
                </c:pt>
                <c:pt idx="344">
                  <c:v>4100</c:v>
                </c:pt>
                <c:pt idx="345">
                  <c:v>11400</c:v>
                </c:pt>
                <c:pt idx="346">
                  <c:v>12300</c:v>
                </c:pt>
                <c:pt idx="347">
                  <c:v>5700</c:v>
                </c:pt>
                <c:pt idx="348">
                  <c:v>7200</c:v>
                </c:pt>
                <c:pt idx="349">
                  <c:v>4100</c:v>
                </c:pt>
                <c:pt idx="350">
                  <c:v>14100</c:v>
                </c:pt>
                <c:pt idx="351">
                  <c:v>7900</c:v>
                </c:pt>
                <c:pt idx="352">
                  <c:v>5600</c:v>
                </c:pt>
                <c:pt idx="353">
                  <c:v>9400</c:v>
                </c:pt>
                <c:pt idx="354">
                  <c:v>13500</c:v>
                </c:pt>
                <c:pt idx="355">
                  <c:v>14700</c:v>
                </c:pt>
                <c:pt idx="356">
                  <c:v>7200</c:v>
                </c:pt>
                <c:pt idx="357">
                  <c:v>11900</c:v>
                </c:pt>
                <c:pt idx="358">
                  <c:v>4600</c:v>
                </c:pt>
                <c:pt idx="359">
                  <c:v>10800</c:v>
                </c:pt>
                <c:pt idx="360">
                  <c:v>10600</c:v>
                </c:pt>
                <c:pt idx="361">
                  <c:v>4600</c:v>
                </c:pt>
                <c:pt idx="362">
                  <c:v>12100</c:v>
                </c:pt>
                <c:pt idx="363">
                  <c:v>14700</c:v>
                </c:pt>
                <c:pt idx="364">
                  <c:v>12200</c:v>
                </c:pt>
                <c:pt idx="365">
                  <c:v>13500</c:v>
                </c:pt>
                <c:pt idx="366">
                  <c:v>11500</c:v>
                </c:pt>
                <c:pt idx="367">
                  <c:v>13900</c:v>
                </c:pt>
                <c:pt idx="368">
                  <c:v>8600</c:v>
                </c:pt>
                <c:pt idx="369">
                  <c:v>9500</c:v>
                </c:pt>
                <c:pt idx="370">
                  <c:v>13800</c:v>
                </c:pt>
                <c:pt idx="371">
                  <c:v>6000</c:v>
                </c:pt>
                <c:pt idx="372">
                  <c:v>5500</c:v>
                </c:pt>
                <c:pt idx="373">
                  <c:v>9900</c:v>
                </c:pt>
                <c:pt idx="374">
                  <c:v>6700</c:v>
                </c:pt>
                <c:pt idx="375">
                  <c:v>7000</c:v>
                </c:pt>
                <c:pt idx="376">
                  <c:v>14800</c:v>
                </c:pt>
                <c:pt idx="377">
                  <c:v>13800</c:v>
                </c:pt>
                <c:pt idx="378">
                  <c:v>11300</c:v>
                </c:pt>
                <c:pt idx="379">
                  <c:v>8400</c:v>
                </c:pt>
                <c:pt idx="380">
                  <c:v>5400</c:v>
                </c:pt>
                <c:pt idx="381">
                  <c:v>15000</c:v>
                </c:pt>
                <c:pt idx="382">
                  <c:v>14300</c:v>
                </c:pt>
                <c:pt idx="383">
                  <c:v>8700</c:v>
                </c:pt>
                <c:pt idx="384">
                  <c:v>8600</c:v>
                </c:pt>
                <c:pt idx="385">
                  <c:v>10300</c:v>
                </c:pt>
                <c:pt idx="386">
                  <c:v>13700</c:v>
                </c:pt>
                <c:pt idx="387">
                  <c:v>13500</c:v>
                </c:pt>
                <c:pt idx="388">
                  <c:v>8000</c:v>
                </c:pt>
                <c:pt idx="389">
                  <c:v>9900</c:v>
                </c:pt>
                <c:pt idx="390">
                  <c:v>6100</c:v>
                </c:pt>
                <c:pt idx="391">
                  <c:v>10000</c:v>
                </c:pt>
                <c:pt idx="392">
                  <c:v>13300</c:v>
                </c:pt>
                <c:pt idx="393">
                  <c:v>6200</c:v>
                </c:pt>
                <c:pt idx="394">
                  <c:v>14800</c:v>
                </c:pt>
                <c:pt idx="395">
                  <c:v>13300</c:v>
                </c:pt>
                <c:pt idx="396">
                  <c:v>8900</c:v>
                </c:pt>
                <c:pt idx="397">
                  <c:v>11800</c:v>
                </c:pt>
                <c:pt idx="398">
                  <c:v>13700</c:v>
                </c:pt>
                <c:pt idx="399">
                  <c:v>10600</c:v>
                </c:pt>
                <c:pt idx="400">
                  <c:v>12600</c:v>
                </c:pt>
                <c:pt idx="401">
                  <c:v>9200</c:v>
                </c:pt>
                <c:pt idx="402">
                  <c:v>7400</c:v>
                </c:pt>
                <c:pt idx="403">
                  <c:v>9900</c:v>
                </c:pt>
                <c:pt idx="404">
                  <c:v>8200</c:v>
                </c:pt>
                <c:pt idx="405">
                  <c:v>12600</c:v>
                </c:pt>
                <c:pt idx="406">
                  <c:v>12800</c:v>
                </c:pt>
                <c:pt idx="407">
                  <c:v>6100</c:v>
                </c:pt>
                <c:pt idx="408">
                  <c:v>6800</c:v>
                </c:pt>
                <c:pt idx="409">
                  <c:v>5800</c:v>
                </c:pt>
                <c:pt idx="410">
                  <c:v>10800</c:v>
                </c:pt>
                <c:pt idx="411">
                  <c:v>8300</c:v>
                </c:pt>
                <c:pt idx="412">
                  <c:v>13800</c:v>
                </c:pt>
                <c:pt idx="413">
                  <c:v>7600</c:v>
                </c:pt>
                <c:pt idx="414">
                  <c:v>13700</c:v>
                </c:pt>
                <c:pt idx="415">
                  <c:v>13600</c:v>
                </c:pt>
                <c:pt idx="416">
                  <c:v>7500</c:v>
                </c:pt>
                <c:pt idx="417">
                  <c:v>7400</c:v>
                </c:pt>
                <c:pt idx="418">
                  <c:v>6100</c:v>
                </c:pt>
                <c:pt idx="419">
                  <c:v>7800</c:v>
                </c:pt>
                <c:pt idx="420">
                  <c:v>8100</c:v>
                </c:pt>
                <c:pt idx="421">
                  <c:v>6000</c:v>
                </c:pt>
                <c:pt idx="422">
                  <c:v>7500</c:v>
                </c:pt>
                <c:pt idx="423">
                  <c:v>14200</c:v>
                </c:pt>
                <c:pt idx="424">
                  <c:v>14600</c:v>
                </c:pt>
                <c:pt idx="425">
                  <c:v>11300</c:v>
                </c:pt>
                <c:pt idx="426">
                  <c:v>13400</c:v>
                </c:pt>
                <c:pt idx="427">
                  <c:v>8200</c:v>
                </c:pt>
                <c:pt idx="428">
                  <c:v>11900</c:v>
                </c:pt>
                <c:pt idx="429">
                  <c:v>7000</c:v>
                </c:pt>
                <c:pt idx="430">
                  <c:v>13300</c:v>
                </c:pt>
                <c:pt idx="431">
                  <c:v>8800</c:v>
                </c:pt>
                <c:pt idx="432">
                  <c:v>5500</c:v>
                </c:pt>
                <c:pt idx="433">
                  <c:v>9200</c:v>
                </c:pt>
                <c:pt idx="434">
                  <c:v>12100</c:v>
                </c:pt>
                <c:pt idx="435">
                  <c:v>11100</c:v>
                </c:pt>
                <c:pt idx="436">
                  <c:v>14800</c:v>
                </c:pt>
                <c:pt idx="437">
                  <c:v>12400</c:v>
                </c:pt>
                <c:pt idx="438">
                  <c:v>9700</c:v>
                </c:pt>
                <c:pt idx="439">
                  <c:v>13900</c:v>
                </c:pt>
                <c:pt idx="440">
                  <c:v>13100</c:v>
                </c:pt>
                <c:pt idx="441">
                  <c:v>9800</c:v>
                </c:pt>
                <c:pt idx="442">
                  <c:v>5400</c:v>
                </c:pt>
                <c:pt idx="443">
                  <c:v>4300</c:v>
                </c:pt>
                <c:pt idx="444">
                  <c:v>6700</c:v>
                </c:pt>
                <c:pt idx="445">
                  <c:v>6800</c:v>
                </c:pt>
                <c:pt idx="446">
                  <c:v>11700</c:v>
                </c:pt>
                <c:pt idx="447">
                  <c:v>12300</c:v>
                </c:pt>
                <c:pt idx="448">
                  <c:v>5700</c:v>
                </c:pt>
                <c:pt idx="449">
                  <c:v>9700</c:v>
                </c:pt>
                <c:pt idx="450">
                  <c:v>4400</c:v>
                </c:pt>
                <c:pt idx="451">
                  <c:v>4200</c:v>
                </c:pt>
                <c:pt idx="452">
                  <c:v>14200</c:v>
                </c:pt>
                <c:pt idx="453">
                  <c:v>8600</c:v>
                </c:pt>
                <c:pt idx="454">
                  <c:v>7300</c:v>
                </c:pt>
                <c:pt idx="455">
                  <c:v>9800</c:v>
                </c:pt>
                <c:pt idx="456">
                  <c:v>6900</c:v>
                </c:pt>
                <c:pt idx="457">
                  <c:v>11100</c:v>
                </c:pt>
                <c:pt idx="458">
                  <c:v>11700</c:v>
                </c:pt>
                <c:pt idx="459">
                  <c:v>14100</c:v>
                </c:pt>
                <c:pt idx="460">
                  <c:v>11100</c:v>
                </c:pt>
                <c:pt idx="461">
                  <c:v>8700</c:v>
                </c:pt>
                <c:pt idx="462">
                  <c:v>8900</c:v>
                </c:pt>
                <c:pt idx="463">
                  <c:v>5300</c:v>
                </c:pt>
                <c:pt idx="464">
                  <c:v>7300</c:v>
                </c:pt>
                <c:pt idx="465">
                  <c:v>11300</c:v>
                </c:pt>
                <c:pt idx="466">
                  <c:v>6900</c:v>
                </c:pt>
                <c:pt idx="467">
                  <c:v>4600</c:v>
                </c:pt>
                <c:pt idx="468">
                  <c:v>4600</c:v>
                </c:pt>
                <c:pt idx="469">
                  <c:v>12500</c:v>
                </c:pt>
                <c:pt idx="470">
                  <c:v>12700</c:v>
                </c:pt>
                <c:pt idx="471">
                  <c:v>4000</c:v>
                </c:pt>
                <c:pt idx="472">
                  <c:v>12700</c:v>
                </c:pt>
                <c:pt idx="473">
                  <c:v>6900</c:v>
                </c:pt>
                <c:pt idx="474">
                  <c:v>4000</c:v>
                </c:pt>
                <c:pt idx="475">
                  <c:v>12900</c:v>
                </c:pt>
                <c:pt idx="476">
                  <c:v>9200</c:v>
                </c:pt>
                <c:pt idx="477">
                  <c:v>12300</c:v>
                </c:pt>
                <c:pt idx="478">
                  <c:v>4100</c:v>
                </c:pt>
                <c:pt idx="479">
                  <c:v>10600</c:v>
                </c:pt>
                <c:pt idx="480">
                  <c:v>9600</c:v>
                </c:pt>
                <c:pt idx="481">
                  <c:v>13100</c:v>
                </c:pt>
                <c:pt idx="482">
                  <c:v>12500</c:v>
                </c:pt>
                <c:pt idx="483">
                  <c:v>9300</c:v>
                </c:pt>
                <c:pt idx="484">
                  <c:v>11100</c:v>
                </c:pt>
                <c:pt idx="485">
                  <c:v>10600</c:v>
                </c:pt>
                <c:pt idx="486">
                  <c:v>10600</c:v>
                </c:pt>
                <c:pt idx="487">
                  <c:v>11800</c:v>
                </c:pt>
                <c:pt idx="488">
                  <c:v>5100</c:v>
                </c:pt>
                <c:pt idx="489">
                  <c:v>11300</c:v>
                </c:pt>
                <c:pt idx="490">
                  <c:v>13500</c:v>
                </c:pt>
                <c:pt idx="491">
                  <c:v>12600</c:v>
                </c:pt>
                <c:pt idx="492">
                  <c:v>9100</c:v>
                </c:pt>
                <c:pt idx="493">
                  <c:v>4500</c:v>
                </c:pt>
                <c:pt idx="494">
                  <c:v>13900</c:v>
                </c:pt>
                <c:pt idx="495">
                  <c:v>10700</c:v>
                </c:pt>
                <c:pt idx="496">
                  <c:v>4000</c:v>
                </c:pt>
                <c:pt idx="497">
                  <c:v>9900</c:v>
                </c:pt>
                <c:pt idx="498">
                  <c:v>14900</c:v>
                </c:pt>
                <c:pt idx="499">
                  <c:v>5000</c:v>
                </c:pt>
                <c:pt idx="500">
                  <c:v>14900</c:v>
                </c:pt>
                <c:pt idx="501">
                  <c:v>5400</c:v>
                </c:pt>
                <c:pt idx="502">
                  <c:v>12000</c:v>
                </c:pt>
                <c:pt idx="503">
                  <c:v>6600</c:v>
                </c:pt>
                <c:pt idx="504">
                  <c:v>9100</c:v>
                </c:pt>
                <c:pt idx="505">
                  <c:v>5300</c:v>
                </c:pt>
                <c:pt idx="506">
                  <c:v>10800</c:v>
                </c:pt>
                <c:pt idx="507">
                  <c:v>11600</c:v>
                </c:pt>
                <c:pt idx="508">
                  <c:v>11000</c:v>
                </c:pt>
                <c:pt idx="509">
                  <c:v>5900</c:v>
                </c:pt>
                <c:pt idx="510">
                  <c:v>12000</c:v>
                </c:pt>
                <c:pt idx="511">
                  <c:v>5300</c:v>
                </c:pt>
                <c:pt idx="512">
                  <c:v>11700</c:v>
                </c:pt>
                <c:pt idx="513">
                  <c:v>9800</c:v>
                </c:pt>
                <c:pt idx="514">
                  <c:v>11000</c:v>
                </c:pt>
                <c:pt idx="515">
                  <c:v>12000</c:v>
                </c:pt>
                <c:pt idx="516">
                  <c:v>11400</c:v>
                </c:pt>
                <c:pt idx="517">
                  <c:v>10000</c:v>
                </c:pt>
                <c:pt idx="518">
                  <c:v>7300</c:v>
                </c:pt>
                <c:pt idx="519">
                  <c:v>5300</c:v>
                </c:pt>
                <c:pt idx="520">
                  <c:v>12400</c:v>
                </c:pt>
                <c:pt idx="521">
                  <c:v>13800</c:v>
                </c:pt>
                <c:pt idx="522">
                  <c:v>11500</c:v>
                </c:pt>
                <c:pt idx="523">
                  <c:v>8300</c:v>
                </c:pt>
                <c:pt idx="524">
                  <c:v>14300</c:v>
                </c:pt>
                <c:pt idx="525">
                  <c:v>7200</c:v>
                </c:pt>
                <c:pt idx="526">
                  <c:v>9700</c:v>
                </c:pt>
                <c:pt idx="527">
                  <c:v>7200</c:v>
                </c:pt>
                <c:pt idx="528">
                  <c:v>6000</c:v>
                </c:pt>
                <c:pt idx="529">
                  <c:v>6200</c:v>
                </c:pt>
                <c:pt idx="530">
                  <c:v>13600</c:v>
                </c:pt>
                <c:pt idx="531">
                  <c:v>7700</c:v>
                </c:pt>
                <c:pt idx="532">
                  <c:v>13500</c:v>
                </c:pt>
                <c:pt idx="533">
                  <c:v>9400</c:v>
                </c:pt>
                <c:pt idx="534">
                  <c:v>5600</c:v>
                </c:pt>
                <c:pt idx="535">
                  <c:v>13100</c:v>
                </c:pt>
                <c:pt idx="536">
                  <c:v>4600</c:v>
                </c:pt>
                <c:pt idx="537">
                  <c:v>12400</c:v>
                </c:pt>
                <c:pt idx="538">
                  <c:v>5800</c:v>
                </c:pt>
                <c:pt idx="539">
                  <c:v>12200</c:v>
                </c:pt>
                <c:pt idx="540">
                  <c:v>7100</c:v>
                </c:pt>
                <c:pt idx="541">
                  <c:v>8500</c:v>
                </c:pt>
                <c:pt idx="542">
                  <c:v>9600</c:v>
                </c:pt>
                <c:pt idx="543">
                  <c:v>12600</c:v>
                </c:pt>
                <c:pt idx="544">
                  <c:v>11800</c:v>
                </c:pt>
                <c:pt idx="545">
                  <c:v>14800</c:v>
                </c:pt>
                <c:pt idx="546">
                  <c:v>14200</c:v>
                </c:pt>
                <c:pt idx="547">
                  <c:v>7100</c:v>
                </c:pt>
                <c:pt idx="548">
                  <c:v>11800</c:v>
                </c:pt>
                <c:pt idx="549">
                  <c:v>14400</c:v>
                </c:pt>
                <c:pt idx="550">
                  <c:v>5400</c:v>
                </c:pt>
                <c:pt idx="551">
                  <c:v>12900</c:v>
                </c:pt>
                <c:pt idx="552">
                  <c:v>6500</c:v>
                </c:pt>
                <c:pt idx="553">
                  <c:v>7300</c:v>
                </c:pt>
                <c:pt idx="554">
                  <c:v>14100</c:v>
                </c:pt>
                <c:pt idx="555">
                  <c:v>13500</c:v>
                </c:pt>
                <c:pt idx="556">
                  <c:v>13600</c:v>
                </c:pt>
                <c:pt idx="557">
                  <c:v>7100</c:v>
                </c:pt>
                <c:pt idx="558">
                  <c:v>13000</c:v>
                </c:pt>
                <c:pt idx="559">
                  <c:v>6900</c:v>
                </c:pt>
                <c:pt idx="560">
                  <c:v>11900</c:v>
                </c:pt>
                <c:pt idx="561">
                  <c:v>13600</c:v>
                </c:pt>
                <c:pt idx="562">
                  <c:v>12500</c:v>
                </c:pt>
                <c:pt idx="563">
                  <c:v>7200</c:v>
                </c:pt>
                <c:pt idx="564">
                  <c:v>11000</c:v>
                </c:pt>
                <c:pt idx="565">
                  <c:v>10800</c:v>
                </c:pt>
                <c:pt idx="566">
                  <c:v>13900</c:v>
                </c:pt>
                <c:pt idx="567">
                  <c:v>12700</c:v>
                </c:pt>
                <c:pt idx="568">
                  <c:v>11500</c:v>
                </c:pt>
                <c:pt idx="569">
                  <c:v>7600</c:v>
                </c:pt>
                <c:pt idx="570">
                  <c:v>14500</c:v>
                </c:pt>
                <c:pt idx="571">
                  <c:v>5800</c:v>
                </c:pt>
                <c:pt idx="572">
                  <c:v>10700</c:v>
                </c:pt>
                <c:pt idx="573">
                  <c:v>4900</c:v>
                </c:pt>
                <c:pt idx="574">
                  <c:v>8400</c:v>
                </c:pt>
                <c:pt idx="575">
                  <c:v>10800</c:v>
                </c:pt>
                <c:pt idx="576">
                  <c:v>13500</c:v>
                </c:pt>
                <c:pt idx="577">
                  <c:v>9600</c:v>
                </c:pt>
                <c:pt idx="578">
                  <c:v>8100</c:v>
                </c:pt>
                <c:pt idx="579">
                  <c:v>5400</c:v>
                </c:pt>
                <c:pt idx="580">
                  <c:v>5200</c:v>
                </c:pt>
                <c:pt idx="581">
                  <c:v>6300</c:v>
                </c:pt>
                <c:pt idx="582">
                  <c:v>8200</c:v>
                </c:pt>
                <c:pt idx="583">
                  <c:v>13000</c:v>
                </c:pt>
                <c:pt idx="584">
                  <c:v>11500</c:v>
                </c:pt>
                <c:pt idx="585">
                  <c:v>8300</c:v>
                </c:pt>
                <c:pt idx="586">
                  <c:v>6700</c:v>
                </c:pt>
                <c:pt idx="587">
                  <c:v>13300</c:v>
                </c:pt>
                <c:pt idx="588">
                  <c:v>6100</c:v>
                </c:pt>
                <c:pt idx="589">
                  <c:v>12500</c:v>
                </c:pt>
                <c:pt idx="590">
                  <c:v>4100</c:v>
                </c:pt>
                <c:pt idx="591">
                  <c:v>9300</c:v>
                </c:pt>
                <c:pt idx="592">
                  <c:v>14100</c:v>
                </c:pt>
                <c:pt idx="593">
                  <c:v>13100</c:v>
                </c:pt>
                <c:pt idx="594">
                  <c:v>14400</c:v>
                </c:pt>
                <c:pt idx="595">
                  <c:v>14900</c:v>
                </c:pt>
                <c:pt idx="596">
                  <c:v>4700</c:v>
                </c:pt>
                <c:pt idx="597">
                  <c:v>14400</c:v>
                </c:pt>
                <c:pt idx="598">
                  <c:v>13800</c:v>
                </c:pt>
                <c:pt idx="599">
                  <c:v>4000</c:v>
                </c:pt>
                <c:pt idx="600">
                  <c:v>12100</c:v>
                </c:pt>
                <c:pt idx="601">
                  <c:v>8700</c:v>
                </c:pt>
                <c:pt idx="602">
                  <c:v>11100</c:v>
                </c:pt>
                <c:pt idx="603">
                  <c:v>11700</c:v>
                </c:pt>
                <c:pt idx="604">
                  <c:v>13200</c:v>
                </c:pt>
                <c:pt idx="605">
                  <c:v>5700</c:v>
                </c:pt>
                <c:pt idx="606">
                  <c:v>7800</c:v>
                </c:pt>
                <c:pt idx="607">
                  <c:v>10600</c:v>
                </c:pt>
                <c:pt idx="608">
                  <c:v>9200</c:v>
                </c:pt>
                <c:pt idx="609">
                  <c:v>5900</c:v>
                </c:pt>
                <c:pt idx="610">
                  <c:v>4400</c:v>
                </c:pt>
                <c:pt idx="611">
                  <c:v>6400</c:v>
                </c:pt>
                <c:pt idx="612">
                  <c:v>7500</c:v>
                </c:pt>
                <c:pt idx="613">
                  <c:v>14100</c:v>
                </c:pt>
                <c:pt idx="614">
                  <c:v>4500</c:v>
                </c:pt>
                <c:pt idx="615">
                  <c:v>12500</c:v>
                </c:pt>
                <c:pt idx="616">
                  <c:v>7400</c:v>
                </c:pt>
                <c:pt idx="617">
                  <c:v>6800</c:v>
                </c:pt>
                <c:pt idx="618">
                  <c:v>14600</c:v>
                </c:pt>
                <c:pt idx="619">
                  <c:v>12300</c:v>
                </c:pt>
                <c:pt idx="620">
                  <c:v>11600</c:v>
                </c:pt>
                <c:pt idx="621">
                  <c:v>14700</c:v>
                </c:pt>
                <c:pt idx="622">
                  <c:v>14100</c:v>
                </c:pt>
                <c:pt idx="623">
                  <c:v>11500</c:v>
                </c:pt>
                <c:pt idx="624">
                  <c:v>7600</c:v>
                </c:pt>
                <c:pt idx="625">
                  <c:v>7100</c:v>
                </c:pt>
                <c:pt idx="626">
                  <c:v>4700</c:v>
                </c:pt>
                <c:pt idx="627">
                  <c:v>10400</c:v>
                </c:pt>
                <c:pt idx="628">
                  <c:v>9900</c:v>
                </c:pt>
                <c:pt idx="629">
                  <c:v>8400</c:v>
                </c:pt>
                <c:pt idx="630">
                  <c:v>4300</c:v>
                </c:pt>
                <c:pt idx="631">
                  <c:v>7400</c:v>
                </c:pt>
                <c:pt idx="632">
                  <c:v>5500</c:v>
                </c:pt>
                <c:pt idx="633">
                  <c:v>12800</c:v>
                </c:pt>
                <c:pt idx="634">
                  <c:v>13700</c:v>
                </c:pt>
                <c:pt idx="635">
                  <c:v>10800</c:v>
                </c:pt>
                <c:pt idx="636">
                  <c:v>5600</c:v>
                </c:pt>
                <c:pt idx="637">
                  <c:v>12500</c:v>
                </c:pt>
                <c:pt idx="638">
                  <c:v>9000</c:v>
                </c:pt>
                <c:pt idx="639">
                  <c:v>12000</c:v>
                </c:pt>
                <c:pt idx="640">
                  <c:v>8200</c:v>
                </c:pt>
                <c:pt idx="641">
                  <c:v>9400</c:v>
                </c:pt>
                <c:pt idx="642">
                  <c:v>12400</c:v>
                </c:pt>
                <c:pt idx="643">
                  <c:v>10200</c:v>
                </c:pt>
                <c:pt idx="644">
                  <c:v>11000</c:v>
                </c:pt>
                <c:pt idx="645">
                  <c:v>13100</c:v>
                </c:pt>
                <c:pt idx="646">
                  <c:v>13700</c:v>
                </c:pt>
                <c:pt idx="647">
                  <c:v>12100</c:v>
                </c:pt>
                <c:pt idx="648">
                  <c:v>9600</c:v>
                </c:pt>
                <c:pt idx="649">
                  <c:v>9000</c:v>
                </c:pt>
                <c:pt idx="650">
                  <c:v>6800</c:v>
                </c:pt>
                <c:pt idx="651">
                  <c:v>8200</c:v>
                </c:pt>
                <c:pt idx="652">
                  <c:v>7400</c:v>
                </c:pt>
                <c:pt idx="653">
                  <c:v>8800</c:v>
                </c:pt>
                <c:pt idx="654">
                  <c:v>9300</c:v>
                </c:pt>
                <c:pt idx="655">
                  <c:v>7900</c:v>
                </c:pt>
                <c:pt idx="656">
                  <c:v>15000</c:v>
                </c:pt>
                <c:pt idx="657">
                  <c:v>11100</c:v>
                </c:pt>
                <c:pt idx="658">
                  <c:v>5000</c:v>
                </c:pt>
                <c:pt idx="659">
                  <c:v>11500</c:v>
                </c:pt>
                <c:pt idx="660">
                  <c:v>8500</c:v>
                </c:pt>
                <c:pt idx="661">
                  <c:v>12000</c:v>
                </c:pt>
                <c:pt idx="662">
                  <c:v>5300</c:v>
                </c:pt>
                <c:pt idx="663">
                  <c:v>4800</c:v>
                </c:pt>
                <c:pt idx="664">
                  <c:v>14200</c:v>
                </c:pt>
                <c:pt idx="665">
                  <c:v>13700</c:v>
                </c:pt>
                <c:pt idx="666">
                  <c:v>12800</c:v>
                </c:pt>
                <c:pt idx="667">
                  <c:v>8800</c:v>
                </c:pt>
                <c:pt idx="668">
                  <c:v>9100</c:v>
                </c:pt>
                <c:pt idx="669">
                  <c:v>8000</c:v>
                </c:pt>
                <c:pt idx="670">
                  <c:v>12400</c:v>
                </c:pt>
                <c:pt idx="671">
                  <c:v>9100</c:v>
                </c:pt>
                <c:pt idx="672">
                  <c:v>7700</c:v>
                </c:pt>
                <c:pt idx="673">
                  <c:v>15000</c:v>
                </c:pt>
                <c:pt idx="674">
                  <c:v>10900</c:v>
                </c:pt>
                <c:pt idx="675">
                  <c:v>10700</c:v>
                </c:pt>
                <c:pt idx="676">
                  <c:v>7700</c:v>
                </c:pt>
                <c:pt idx="677">
                  <c:v>4400</c:v>
                </c:pt>
                <c:pt idx="678">
                  <c:v>9000</c:v>
                </c:pt>
                <c:pt idx="679">
                  <c:v>4900</c:v>
                </c:pt>
                <c:pt idx="680">
                  <c:v>10400</c:v>
                </c:pt>
                <c:pt idx="681">
                  <c:v>11100</c:v>
                </c:pt>
                <c:pt idx="682">
                  <c:v>6900</c:v>
                </c:pt>
                <c:pt idx="683">
                  <c:v>14500</c:v>
                </c:pt>
                <c:pt idx="684">
                  <c:v>10200</c:v>
                </c:pt>
                <c:pt idx="685">
                  <c:v>5000</c:v>
                </c:pt>
                <c:pt idx="686">
                  <c:v>13600</c:v>
                </c:pt>
                <c:pt idx="687">
                  <c:v>13100</c:v>
                </c:pt>
                <c:pt idx="688">
                  <c:v>11600</c:v>
                </c:pt>
                <c:pt idx="689">
                  <c:v>4800</c:v>
                </c:pt>
                <c:pt idx="690">
                  <c:v>13000</c:v>
                </c:pt>
                <c:pt idx="691">
                  <c:v>7100</c:v>
                </c:pt>
                <c:pt idx="692">
                  <c:v>13200</c:v>
                </c:pt>
                <c:pt idx="693">
                  <c:v>8400</c:v>
                </c:pt>
                <c:pt idx="694">
                  <c:v>12600</c:v>
                </c:pt>
                <c:pt idx="695">
                  <c:v>4800</c:v>
                </c:pt>
                <c:pt idx="696">
                  <c:v>12900</c:v>
                </c:pt>
                <c:pt idx="697">
                  <c:v>6000</c:v>
                </c:pt>
                <c:pt idx="698">
                  <c:v>11000</c:v>
                </c:pt>
                <c:pt idx="699">
                  <c:v>6100</c:v>
                </c:pt>
                <c:pt idx="700">
                  <c:v>6200</c:v>
                </c:pt>
                <c:pt idx="701">
                  <c:v>5000</c:v>
                </c:pt>
                <c:pt idx="702">
                  <c:v>7000</c:v>
                </c:pt>
                <c:pt idx="703">
                  <c:v>12000</c:v>
                </c:pt>
                <c:pt idx="704">
                  <c:v>6400</c:v>
                </c:pt>
                <c:pt idx="705">
                  <c:v>4500</c:v>
                </c:pt>
                <c:pt idx="706">
                  <c:v>7700</c:v>
                </c:pt>
                <c:pt idx="707">
                  <c:v>6800</c:v>
                </c:pt>
                <c:pt idx="708">
                  <c:v>9700</c:v>
                </c:pt>
                <c:pt idx="709">
                  <c:v>13800</c:v>
                </c:pt>
                <c:pt idx="710">
                  <c:v>12700</c:v>
                </c:pt>
                <c:pt idx="711">
                  <c:v>9600</c:v>
                </c:pt>
                <c:pt idx="712">
                  <c:v>8500</c:v>
                </c:pt>
                <c:pt idx="713">
                  <c:v>10800</c:v>
                </c:pt>
                <c:pt idx="714">
                  <c:v>7700</c:v>
                </c:pt>
                <c:pt idx="715">
                  <c:v>12500</c:v>
                </c:pt>
                <c:pt idx="716">
                  <c:v>8500</c:v>
                </c:pt>
                <c:pt idx="717">
                  <c:v>6800</c:v>
                </c:pt>
                <c:pt idx="718">
                  <c:v>14100</c:v>
                </c:pt>
                <c:pt idx="719">
                  <c:v>7300</c:v>
                </c:pt>
                <c:pt idx="720">
                  <c:v>6900</c:v>
                </c:pt>
                <c:pt idx="721">
                  <c:v>7400</c:v>
                </c:pt>
                <c:pt idx="722">
                  <c:v>12500</c:v>
                </c:pt>
                <c:pt idx="723">
                  <c:v>14100</c:v>
                </c:pt>
                <c:pt idx="724">
                  <c:v>8900</c:v>
                </c:pt>
                <c:pt idx="725">
                  <c:v>10400</c:v>
                </c:pt>
                <c:pt idx="726">
                  <c:v>7700</c:v>
                </c:pt>
                <c:pt idx="727">
                  <c:v>9300</c:v>
                </c:pt>
                <c:pt idx="728">
                  <c:v>12600</c:v>
                </c:pt>
                <c:pt idx="729">
                  <c:v>7600</c:v>
                </c:pt>
                <c:pt idx="730">
                  <c:v>5900</c:v>
                </c:pt>
                <c:pt idx="731">
                  <c:v>13200</c:v>
                </c:pt>
                <c:pt idx="732">
                  <c:v>12400</c:v>
                </c:pt>
                <c:pt idx="733">
                  <c:v>12600</c:v>
                </c:pt>
                <c:pt idx="734">
                  <c:v>10300</c:v>
                </c:pt>
                <c:pt idx="735">
                  <c:v>4300</c:v>
                </c:pt>
                <c:pt idx="736">
                  <c:v>10300</c:v>
                </c:pt>
                <c:pt idx="737">
                  <c:v>14500</c:v>
                </c:pt>
                <c:pt idx="738">
                  <c:v>9500</c:v>
                </c:pt>
                <c:pt idx="739">
                  <c:v>6300</c:v>
                </c:pt>
                <c:pt idx="740">
                  <c:v>5900</c:v>
                </c:pt>
                <c:pt idx="741">
                  <c:v>10800</c:v>
                </c:pt>
                <c:pt idx="742">
                  <c:v>11000</c:v>
                </c:pt>
                <c:pt idx="743">
                  <c:v>5000</c:v>
                </c:pt>
                <c:pt idx="744">
                  <c:v>10200</c:v>
                </c:pt>
                <c:pt idx="745">
                  <c:v>4600</c:v>
                </c:pt>
                <c:pt idx="746">
                  <c:v>6900</c:v>
                </c:pt>
                <c:pt idx="747">
                  <c:v>12200</c:v>
                </c:pt>
                <c:pt idx="748">
                  <c:v>8600</c:v>
                </c:pt>
                <c:pt idx="749">
                  <c:v>6900</c:v>
                </c:pt>
                <c:pt idx="750">
                  <c:v>4200</c:v>
                </c:pt>
                <c:pt idx="751">
                  <c:v>9500</c:v>
                </c:pt>
                <c:pt idx="752">
                  <c:v>4200</c:v>
                </c:pt>
                <c:pt idx="753">
                  <c:v>6400</c:v>
                </c:pt>
                <c:pt idx="754">
                  <c:v>4500</c:v>
                </c:pt>
                <c:pt idx="755">
                  <c:v>11500</c:v>
                </c:pt>
                <c:pt idx="756">
                  <c:v>6600</c:v>
                </c:pt>
                <c:pt idx="757">
                  <c:v>10000</c:v>
                </c:pt>
                <c:pt idx="758">
                  <c:v>10000</c:v>
                </c:pt>
                <c:pt idx="759">
                  <c:v>8200</c:v>
                </c:pt>
                <c:pt idx="760">
                  <c:v>13700</c:v>
                </c:pt>
                <c:pt idx="761">
                  <c:v>13800</c:v>
                </c:pt>
                <c:pt idx="762">
                  <c:v>7800</c:v>
                </c:pt>
                <c:pt idx="763">
                  <c:v>4300</c:v>
                </c:pt>
                <c:pt idx="764">
                  <c:v>8900</c:v>
                </c:pt>
                <c:pt idx="765">
                  <c:v>10700</c:v>
                </c:pt>
                <c:pt idx="766">
                  <c:v>13100</c:v>
                </c:pt>
                <c:pt idx="767">
                  <c:v>6300</c:v>
                </c:pt>
                <c:pt idx="768">
                  <c:v>14500</c:v>
                </c:pt>
                <c:pt idx="769">
                  <c:v>10900</c:v>
                </c:pt>
                <c:pt idx="770">
                  <c:v>11100</c:v>
                </c:pt>
                <c:pt idx="771">
                  <c:v>5300</c:v>
                </c:pt>
                <c:pt idx="772">
                  <c:v>13500</c:v>
                </c:pt>
                <c:pt idx="773">
                  <c:v>6100</c:v>
                </c:pt>
                <c:pt idx="774">
                  <c:v>6600</c:v>
                </c:pt>
                <c:pt idx="775">
                  <c:v>7500</c:v>
                </c:pt>
                <c:pt idx="776">
                  <c:v>10800</c:v>
                </c:pt>
                <c:pt idx="777">
                  <c:v>9000</c:v>
                </c:pt>
                <c:pt idx="778">
                  <c:v>8900</c:v>
                </c:pt>
                <c:pt idx="779">
                  <c:v>10100</c:v>
                </c:pt>
                <c:pt idx="780">
                  <c:v>6500</c:v>
                </c:pt>
                <c:pt idx="781">
                  <c:v>11600</c:v>
                </c:pt>
                <c:pt idx="782">
                  <c:v>11600</c:v>
                </c:pt>
                <c:pt idx="783">
                  <c:v>11200</c:v>
                </c:pt>
                <c:pt idx="784">
                  <c:v>12600</c:v>
                </c:pt>
                <c:pt idx="785">
                  <c:v>12400</c:v>
                </c:pt>
                <c:pt idx="786">
                  <c:v>14600</c:v>
                </c:pt>
                <c:pt idx="787">
                  <c:v>5600</c:v>
                </c:pt>
                <c:pt idx="788">
                  <c:v>7400</c:v>
                </c:pt>
                <c:pt idx="789">
                  <c:v>4600</c:v>
                </c:pt>
                <c:pt idx="790">
                  <c:v>10800</c:v>
                </c:pt>
                <c:pt idx="791">
                  <c:v>8000</c:v>
                </c:pt>
                <c:pt idx="792">
                  <c:v>12600</c:v>
                </c:pt>
                <c:pt idx="793">
                  <c:v>6900</c:v>
                </c:pt>
                <c:pt idx="794">
                  <c:v>8400</c:v>
                </c:pt>
                <c:pt idx="795">
                  <c:v>10900</c:v>
                </c:pt>
                <c:pt idx="796">
                  <c:v>8000</c:v>
                </c:pt>
                <c:pt idx="797">
                  <c:v>11900</c:v>
                </c:pt>
                <c:pt idx="798">
                  <c:v>8000</c:v>
                </c:pt>
                <c:pt idx="799">
                  <c:v>10000</c:v>
                </c:pt>
                <c:pt idx="800">
                  <c:v>11300</c:v>
                </c:pt>
                <c:pt idx="801">
                  <c:v>7100</c:v>
                </c:pt>
                <c:pt idx="802">
                  <c:v>4300</c:v>
                </c:pt>
                <c:pt idx="803">
                  <c:v>7900</c:v>
                </c:pt>
                <c:pt idx="804">
                  <c:v>5400</c:v>
                </c:pt>
                <c:pt idx="805">
                  <c:v>10900</c:v>
                </c:pt>
                <c:pt idx="806">
                  <c:v>9800</c:v>
                </c:pt>
                <c:pt idx="807">
                  <c:v>9500</c:v>
                </c:pt>
                <c:pt idx="808">
                  <c:v>10600</c:v>
                </c:pt>
                <c:pt idx="809">
                  <c:v>5400</c:v>
                </c:pt>
                <c:pt idx="810">
                  <c:v>9200</c:v>
                </c:pt>
                <c:pt idx="811">
                  <c:v>5700</c:v>
                </c:pt>
                <c:pt idx="812">
                  <c:v>9600</c:v>
                </c:pt>
                <c:pt idx="813">
                  <c:v>13600</c:v>
                </c:pt>
                <c:pt idx="814">
                  <c:v>5600</c:v>
                </c:pt>
                <c:pt idx="815">
                  <c:v>8400</c:v>
                </c:pt>
                <c:pt idx="816">
                  <c:v>10000</c:v>
                </c:pt>
                <c:pt idx="817">
                  <c:v>14100</c:v>
                </c:pt>
                <c:pt idx="818">
                  <c:v>10200</c:v>
                </c:pt>
                <c:pt idx="819">
                  <c:v>11200</c:v>
                </c:pt>
                <c:pt idx="820">
                  <c:v>11200</c:v>
                </c:pt>
                <c:pt idx="821">
                  <c:v>8700</c:v>
                </c:pt>
                <c:pt idx="822">
                  <c:v>4600</c:v>
                </c:pt>
                <c:pt idx="823">
                  <c:v>6100</c:v>
                </c:pt>
                <c:pt idx="824">
                  <c:v>14900</c:v>
                </c:pt>
                <c:pt idx="825">
                  <c:v>14200</c:v>
                </c:pt>
                <c:pt idx="826">
                  <c:v>7700</c:v>
                </c:pt>
                <c:pt idx="827">
                  <c:v>11900</c:v>
                </c:pt>
                <c:pt idx="828">
                  <c:v>12300</c:v>
                </c:pt>
                <c:pt idx="829">
                  <c:v>12600</c:v>
                </c:pt>
                <c:pt idx="830">
                  <c:v>5100</c:v>
                </c:pt>
                <c:pt idx="831">
                  <c:v>5400</c:v>
                </c:pt>
                <c:pt idx="832">
                  <c:v>6100</c:v>
                </c:pt>
                <c:pt idx="833">
                  <c:v>12900</c:v>
                </c:pt>
                <c:pt idx="834">
                  <c:v>9500</c:v>
                </c:pt>
                <c:pt idx="835">
                  <c:v>11400</c:v>
                </c:pt>
                <c:pt idx="836">
                  <c:v>5100</c:v>
                </c:pt>
                <c:pt idx="837">
                  <c:v>12700</c:v>
                </c:pt>
                <c:pt idx="838">
                  <c:v>5100</c:v>
                </c:pt>
                <c:pt idx="839">
                  <c:v>7800</c:v>
                </c:pt>
                <c:pt idx="840">
                  <c:v>9000</c:v>
                </c:pt>
                <c:pt idx="841">
                  <c:v>13700</c:v>
                </c:pt>
                <c:pt idx="842">
                  <c:v>13100</c:v>
                </c:pt>
                <c:pt idx="843">
                  <c:v>7000</c:v>
                </c:pt>
                <c:pt idx="844">
                  <c:v>13400</c:v>
                </c:pt>
                <c:pt idx="845">
                  <c:v>9400</c:v>
                </c:pt>
                <c:pt idx="846">
                  <c:v>14000</c:v>
                </c:pt>
                <c:pt idx="847">
                  <c:v>4000</c:v>
                </c:pt>
                <c:pt idx="848">
                  <c:v>12600</c:v>
                </c:pt>
                <c:pt idx="849">
                  <c:v>11800</c:v>
                </c:pt>
                <c:pt idx="850">
                  <c:v>4900</c:v>
                </c:pt>
                <c:pt idx="851">
                  <c:v>4600</c:v>
                </c:pt>
                <c:pt idx="852">
                  <c:v>7700</c:v>
                </c:pt>
                <c:pt idx="853">
                  <c:v>8600</c:v>
                </c:pt>
                <c:pt idx="854">
                  <c:v>6200</c:v>
                </c:pt>
                <c:pt idx="855">
                  <c:v>5800</c:v>
                </c:pt>
                <c:pt idx="856">
                  <c:v>6900</c:v>
                </c:pt>
                <c:pt idx="857">
                  <c:v>14200</c:v>
                </c:pt>
                <c:pt idx="858">
                  <c:v>10100</c:v>
                </c:pt>
                <c:pt idx="859">
                  <c:v>4300</c:v>
                </c:pt>
                <c:pt idx="860">
                  <c:v>9800</c:v>
                </c:pt>
                <c:pt idx="861">
                  <c:v>6100</c:v>
                </c:pt>
                <c:pt idx="862">
                  <c:v>7600</c:v>
                </c:pt>
                <c:pt idx="863">
                  <c:v>13000</c:v>
                </c:pt>
                <c:pt idx="864">
                  <c:v>9600</c:v>
                </c:pt>
                <c:pt idx="865">
                  <c:v>9600</c:v>
                </c:pt>
                <c:pt idx="866">
                  <c:v>4600</c:v>
                </c:pt>
                <c:pt idx="867">
                  <c:v>7600</c:v>
                </c:pt>
                <c:pt idx="868">
                  <c:v>7000</c:v>
                </c:pt>
                <c:pt idx="869">
                  <c:v>7000</c:v>
                </c:pt>
                <c:pt idx="870">
                  <c:v>11600</c:v>
                </c:pt>
                <c:pt idx="871">
                  <c:v>14600</c:v>
                </c:pt>
                <c:pt idx="872">
                  <c:v>14000</c:v>
                </c:pt>
                <c:pt idx="873">
                  <c:v>9100</c:v>
                </c:pt>
                <c:pt idx="874">
                  <c:v>6900</c:v>
                </c:pt>
                <c:pt idx="875">
                  <c:v>11500</c:v>
                </c:pt>
                <c:pt idx="876">
                  <c:v>14000</c:v>
                </c:pt>
                <c:pt idx="877">
                  <c:v>14700</c:v>
                </c:pt>
                <c:pt idx="878">
                  <c:v>13900</c:v>
                </c:pt>
                <c:pt idx="879">
                  <c:v>7800</c:v>
                </c:pt>
                <c:pt idx="880">
                  <c:v>11600</c:v>
                </c:pt>
                <c:pt idx="881">
                  <c:v>4100</c:v>
                </c:pt>
                <c:pt idx="882">
                  <c:v>6300</c:v>
                </c:pt>
                <c:pt idx="883">
                  <c:v>8600</c:v>
                </c:pt>
                <c:pt idx="884">
                  <c:v>14300</c:v>
                </c:pt>
                <c:pt idx="885">
                  <c:v>7900</c:v>
                </c:pt>
                <c:pt idx="886">
                  <c:v>4100</c:v>
                </c:pt>
                <c:pt idx="887">
                  <c:v>14600</c:v>
                </c:pt>
                <c:pt idx="888">
                  <c:v>4800</c:v>
                </c:pt>
                <c:pt idx="889">
                  <c:v>6600</c:v>
                </c:pt>
                <c:pt idx="890">
                  <c:v>6700</c:v>
                </c:pt>
                <c:pt idx="891">
                  <c:v>4900</c:v>
                </c:pt>
                <c:pt idx="892">
                  <c:v>10300</c:v>
                </c:pt>
                <c:pt idx="893">
                  <c:v>5400</c:v>
                </c:pt>
                <c:pt idx="894">
                  <c:v>14100</c:v>
                </c:pt>
                <c:pt idx="895">
                  <c:v>9600</c:v>
                </c:pt>
                <c:pt idx="896">
                  <c:v>7500</c:v>
                </c:pt>
                <c:pt idx="897">
                  <c:v>14300</c:v>
                </c:pt>
                <c:pt idx="898">
                  <c:v>11400</c:v>
                </c:pt>
                <c:pt idx="899">
                  <c:v>6200</c:v>
                </c:pt>
                <c:pt idx="900">
                  <c:v>9900</c:v>
                </c:pt>
                <c:pt idx="901">
                  <c:v>8900</c:v>
                </c:pt>
                <c:pt idx="902">
                  <c:v>12500</c:v>
                </c:pt>
                <c:pt idx="903">
                  <c:v>10200</c:v>
                </c:pt>
                <c:pt idx="904">
                  <c:v>5300</c:v>
                </c:pt>
                <c:pt idx="905">
                  <c:v>12000</c:v>
                </c:pt>
                <c:pt idx="906">
                  <c:v>12300</c:v>
                </c:pt>
                <c:pt idx="907">
                  <c:v>11400</c:v>
                </c:pt>
                <c:pt idx="908">
                  <c:v>13600</c:v>
                </c:pt>
                <c:pt idx="909">
                  <c:v>7000</c:v>
                </c:pt>
                <c:pt idx="910">
                  <c:v>10300</c:v>
                </c:pt>
                <c:pt idx="911">
                  <c:v>5600</c:v>
                </c:pt>
                <c:pt idx="912">
                  <c:v>14900</c:v>
                </c:pt>
                <c:pt idx="913">
                  <c:v>11100</c:v>
                </c:pt>
                <c:pt idx="914">
                  <c:v>10300</c:v>
                </c:pt>
                <c:pt idx="915">
                  <c:v>11500</c:v>
                </c:pt>
                <c:pt idx="916">
                  <c:v>8700</c:v>
                </c:pt>
                <c:pt idx="917">
                  <c:v>4100</c:v>
                </c:pt>
                <c:pt idx="918">
                  <c:v>5500</c:v>
                </c:pt>
                <c:pt idx="919">
                  <c:v>12000</c:v>
                </c:pt>
                <c:pt idx="920">
                  <c:v>8800</c:v>
                </c:pt>
                <c:pt idx="921">
                  <c:v>9400</c:v>
                </c:pt>
                <c:pt idx="922">
                  <c:v>11800</c:v>
                </c:pt>
                <c:pt idx="923">
                  <c:v>4000</c:v>
                </c:pt>
                <c:pt idx="924">
                  <c:v>5300</c:v>
                </c:pt>
                <c:pt idx="925">
                  <c:v>11000</c:v>
                </c:pt>
                <c:pt idx="926">
                  <c:v>8200</c:v>
                </c:pt>
                <c:pt idx="927">
                  <c:v>8600</c:v>
                </c:pt>
                <c:pt idx="928">
                  <c:v>8100</c:v>
                </c:pt>
                <c:pt idx="929">
                  <c:v>11100</c:v>
                </c:pt>
                <c:pt idx="930">
                  <c:v>9300</c:v>
                </c:pt>
                <c:pt idx="931">
                  <c:v>7300</c:v>
                </c:pt>
                <c:pt idx="932">
                  <c:v>13300</c:v>
                </c:pt>
                <c:pt idx="933">
                  <c:v>8300</c:v>
                </c:pt>
                <c:pt idx="934">
                  <c:v>14800</c:v>
                </c:pt>
                <c:pt idx="935">
                  <c:v>12500</c:v>
                </c:pt>
                <c:pt idx="936">
                  <c:v>8300</c:v>
                </c:pt>
                <c:pt idx="937">
                  <c:v>13800</c:v>
                </c:pt>
                <c:pt idx="938">
                  <c:v>6400</c:v>
                </c:pt>
                <c:pt idx="939">
                  <c:v>4900</c:v>
                </c:pt>
                <c:pt idx="940">
                  <c:v>9600</c:v>
                </c:pt>
                <c:pt idx="941">
                  <c:v>4400</c:v>
                </c:pt>
                <c:pt idx="942">
                  <c:v>10200</c:v>
                </c:pt>
                <c:pt idx="943">
                  <c:v>8600</c:v>
                </c:pt>
                <c:pt idx="944">
                  <c:v>10400</c:v>
                </c:pt>
                <c:pt idx="945">
                  <c:v>12000</c:v>
                </c:pt>
                <c:pt idx="946">
                  <c:v>12400</c:v>
                </c:pt>
                <c:pt idx="947">
                  <c:v>14700</c:v>
                </c:pt>
                <c:pt idx="948">
                  <c:v>13400</c:v>
                </c:pt>
                <c:pt idx="949">
                  <c:v>9000</c:v>
                </c:pt>
                <c:pt idx="950">
                  <c:v>5100</c:v>
                </c:pt>
                <c:pt idx="951">
                  <c:v>14000</c:v>
                </c:pt>
                <c:pt idx="952">
                  <c:v>11900</c:v>
                </c:pt>
                <c:pt idx="953">
                  <c:v>9000</c:v>
                </c:pt>
                <c:pt idx="954">
                  <c:v>4800</c:v>
                </c:pt>
                <c:pt idx="955">
                  <c:v>7400</c:v>
                </c:pt>
                <c:pt idx="956">
                  <c:v>4200</c:v>
                </c:pt>
                <c:pt idx="957">
                  <c:v>8700</c:v>
                </c:pt>
                <c:pt idx="958">
                  <c:v>14700</c:v>
                </c:pt>
                <c:pt idx="959">
                  <c:v>9500</c:v>
                </c:pt>
                <c:pt idx="960">
                  <c:v>12600</c:v>
                </c:pt>
                <c:pt idx="961">
                  <c:v>9500</c:v>
                </c:pt>
                <c:pt idx="962">
                  <c:v>4300</c:v>
                </c:pt>
                <c:pt idx="963">
                  <c:v>12700</c:v>
                </c:pt>
                <c:pt idx="964">
                  <c:v>11600</c:v>
                </c:pt>
                <c:pt idx="965">
                  <c:v>12000</c:v>
                </c:pt>
                <c:pt idx="966">
                  <c:v>11600</c:v>
                </c:pt>
                <c:pt idx="967">
                  <c:v>9500</c:v>
                </c:pt>
                <c:pt idx="968">
                  <c:v>12100</c:v>
                </c:pt>
                <c:pt idx="969">
                  <c:v>6700</c:v>
                </c:pt>
                <c:pt idx="970">
                  <c:v>7100</c:v>
                </c:pt>
                <c:pt idx="971">
                  <c:v>12700</c:v>
                </c:pt>
                <c:pt idx="972">
                  <c:v>5400</c:v>
                </c:pt>
                <c:pt idx="973">
                  <c:v>9200</c:v>
                </c:pt>
                <c:pt idx="974">
                  <c:v>5000</c:v>
                </c:pt>
                <c:pt idx="975">
                  <c:v>11600</c:v>
                </c:pt>
                <c:pt idx="976">
                  <c:v>9000</c:v>
                </c:pt>
                <c:pt idx="977">
                  <c:v>11700</c:v>
                </c:pt>
                <c:pt idx="978">
                  <c:v>14400</c:v>
                </c:pt>
                <c:pt idx="979">
                  <c:v>8800</c:v>
                </c:pt>
                <c:pt idx="980">
                  <c:v>8700</c:v>
                </c:pt>
                <c:pt idx="981">
                  <c:v>13900</c:v>
                </c:pt>
                <c:pt idx="982">
                  <c:v>14000</c:v>
                </c:pt>
                <c:pt idx="983">
                  <c:v>6500</c:v>
                </c:pt>
                <c:pt idx="984">
                  <c:v>6500</c:v>
                </c:pt>
                <c:pt idx="985">
                  <c:v>12700</c:v>
                </c:pt>
                <c:pt idx="986">
                  <c:v>13800</c:v>
                </c:pt>
                <c:pt idx="987">
                  <c:v>5800</c:v>
                </c:pt>
                <c:pt idx="988">
                  <c:v>13300</c:v>
                </c:pt>
                <c:pt idx="989">
                  <c:v>10800</c:v>
                </c:pt>
                <c:pt idx="990">
                  <c:v>6700</c:v>
                </c:pt>
                <c:pt idx="991">
                  <c:v>8600</c:v>
                </c:pt>
                <c:pt idx="992">
                  <c:v>12500</c:v>
                </c:pt>
                <c:pt idx="993">
                  <c:v>14400</c:v>
                </c:pt>
                <c:pt idx="994">
                  <c:v>8900</c:v>
                </c:pt>
                <c:pt idx="995">
                  <c:v>5100</c:v>
                </c:pt>
                <c:pt idx="996">
                  <c:v>6500</c:v>
                </c:pt>
                <c:pt idx="997">
                  <c:v>12500</c:v>
                </c:pt>
                <c:pt idx="998">
                  <c:v>13100</c:v>
                </c:pt>
                <c:pt idx="999">
                  <c:v>12200</c:v>
                </c:pt>
                <c:pt idx="1000">
                  <c:v>4800</c:v>
                </c:pt>
                <c:pt idx="1001">
                  <c:v>7000</c:v>
                </c:pt>
                <c:pt idx="1002">
                  <c:v>9700</c:v>
                </c:pt>
                <c:pt idx="1003">
                  <c:v>14300</c:v>
                </c:pt>
                <c:pt idx="1004">
                  <c:v>13000</c:v>
                </c:pt>
                <c:pt idx="1005">
                  <c:v>8600</c:v>
                </c:pt>
                <c:pt idx="1006">
                  <c:v>8400</c:v>
                </c:pt>
                <c:pt idx="1007">
                  <c:v>6800</c:v>
                </c:pt>
                <c:pt idx="1008">
                  <c:v>6100</c:v>
                </c:pt>
                <c:pt idx="1009">
                  <c:v>8100</c:v>
                </c:pt>
                <c:pt idx="1010">
                  <c:v>14800</c:v>
                </c:pt>
                <c:pt idx="1011">
                  <c:v>7000</c:v>
                </c:pt>
                <c:pt idx="1012">
                  <c:v>6500</c:v>
                </c:pt>
                <c:pt idx="1013">
                  <c:v>6600</c:v>
                </c:pt>
                <c:pt idx="1014">
                  <c:v>4900</c:v>
                </c:pt>
                <c:pt idx="1015">
                  <c:v>11100</c:v>
                </c:pt>
                <c:pt idx="1016">
                  <c:v>13700</c:v>
                </c:pt>
                <c:pt idx="1017">
                  <c:v>11900</c:v>
                </c:pt>
                <c:pt idx="1018">
                  <c:v>6100</c:v>
                </c:pt>
                <c:pt idx="1019">
                  <c:v>8900</c:v>
                </c:pt>
                <c:pt idx="1020">
                  <c:v>9400</c:v>
                </c:pt>
                <c:pt idx="1021">
                  <c:v>8500</c:v>
                </c:pt>
                <c:pt idx="1022">
                  <c:v>11300</c:v>
                </c:pt>
                <c:pt idx="1023">
                  <c:v>5900</c:v>
                </c:pt>
                <c:pt idx="1024">
                  <c:v>10200</c:v>
                </c:pt>
                <c:pt idx="1025">
                  <c:v>6600</c:v>
                </c:pt>
                <c:pt idx="1026">
                  <c:v>7500</c:v>
                </c:pt>
                <c:pt idx="1027">
                  <c:v>13500</c:v>
                </c:pt>
                <c:pt idx="1028">
                  <c:v>5700</c:v>
                </c:pt>
                <c:pt idx="1029">
                  <c:v>12000</c:v>
                </c:pt>
                <c:pt idx="1030">
                  <c:v>5400</c:v>
                </c:pt>
                <c:pt idx="1031">
                  <c:v>11300</c:v>
                </c:pt>
                <c:pt idx="1032">
                  <c:v>4100</c:v>
                </c:pt>
                <c:pt idx="1033">
                  <c:v>11500</c:v>
                </c:pt>
                <c:pt idx="1034">
                  <c:v>4200</c:v>
                </c:pt>
                <c:pt idx="1035">
                  <c:v>5700</c:v>
                </c:pt>
                <c:pt idx="1036">
                  <c:v>6800</c:v>
                </c:pt>
                <c:pt idx="1037">
                  <c:v>4900</c:v>
                </c:pt>
                <c:pt idx="1038">
                  <c:v>12800</c:v>
                </c:pt>
                <c:pt idx="1039">
                  <c:v>11000</c:v>
                </c:pt>
                <c:pt idx="1040">
                  <c:v>10500</c:v>
                </c:pt>
                <c:pt idx="1041">
                  <c:v>12000</c:v>
                </c:pt>
                <c:pt idx="1042">
                  <c:v>12900</c:v>
                </c:pt>
                <c:pt idx="1043">
                  <c:v>8700</c:v>
                </c:pt>
                <c:pt idx="1044">
                  <c:v>4200</c:v>
                </c:pt>
                <c:pt idx="1045">
                  <c:v>7800</c:v>
                </c:pt>
                <c:pt idx="1046">
                  <c:v>13500</c:v>
                </c:pt>
                <c:pt idx="1047">
                  <c:v>10800</c:v>
                </c:pt>
                <c:pt idx="1048">
                  <c:v>10500</c:v>
                </c:pt>
                <c:pt idx="1049">
                  <c:v>13100</c:v>
                </c:pt>
                <c:pt idx="1050">
                  <c:v>11000</c:v>
                </c:pt>
                <c:pt idx="1051">
                  <c:v>11000</c:v>
                </c:pt>
                <c:pt idx="1052">
                  <c:v>12100</c:v>
                </c:pt>
                <c:pt idx="1053">
                  <c:v>8400</c:v>
                </c:pt>
                <c:pt idx="1054">
                  <c:v>8300</c:v>
                </c:pt>
                <c:pt idx="1055">
                  <c:v>14300</c:v>
                </c:pt>
                <c:pt idx="1056">
                  <c:v>9300</c:v>
                </c:pt>
                <c:pt idx="1057">
                  <c:v>11100</c:v>
                </c:pt>
                <c:pt idx="1058">
                  <c:v>4600</c:v>
                </c:pt>
                <c:pt idx="1059">
                  <c:v>10300</c:v>
                </c:pt>
                <c:pt idx="1060">
                  <c:v>14800</c:v>
                </c:pt>
                <c:pt idx="1061">
                  <c:v>11400</c:v>
                </c:pt>
                <c:pt idx="1062">
                  <c:v>6800</c:v>
                </c:pt>
                <c:pt idx="1063">
                  <c:v>8400</c:v>
                </c:pt>
                <c:pt idx="1064">
                  <c:v>12600</c:v>
                </c:pt>
                <c:pt idx="1065">
                  <c:v>4900</c:v>
                </c:pt>
                <c:pt idx="1066">
                  <c:v>5200</c:v>
                </c:pt>
                <c:pt idx="1067">
                  <c:v>12300</c:v>
                </c:pt>
                <c:pt idx="1068">
                  <c:v>8100</c:v>
                </c:pt>
                <c:pt idx="1069">
                  <c:v>10900</c:v>
                </c:pt>
                <c:pt idx="1070">
                  <c:v>11500</c:v>
                </c:pt>
                <c:pt idx="1071">
                  <c:v>13800</c:v>
                </c:pt>
                <c:pt idx="1072">
                  <c:v>5800</c:v>
                </c:pt>
                <c:pt idx="1073">
                  <c:v>13700</c:v>
                </c:pt>
                <c:pt idx="1074">
                  <c:v>5500</c:v>
                </c:pt>
                <c:pt idx="1075">
                  <c:v>4100</c:v>
                </c:pt>
                <c:pt idx="1076">
                  <c:v>8400</c:v>
                </c:pt>
                <c:pt idx="1077">
                  <c:v>11600</c:v>
                </c:pt>
                <c:pt idx="1078">
                  <c:v>14900</c:v>
                </c:pt>
                <c:pt idx="1079">
                  <c:v>7000</c:v>
                </c:pt>
                <c:pt idx="1080">
                  <c:v>11700</c:v>
                </c:pt>
                <c:pt idx="1081">
                  <c:v>12500</c:v>
                </c:pt>
                <c:pt idx="1082">
                  <c:v>8300</c:v>
                </c:pt>
                <c:pt idx="1083">
                  <c:v>11000</c:v>
                </c:pt>
                <c:pt idx="1084">
                  <c:v>5600</c:v>
                </c:pt>
                <c:pt idx="1085">
                  <c:v>8400</c:v>
                </c:pt>
                <c:pt idx="1086">
                  <c:v>4600</c:v>
                </c:pt>
                <c:pt idx="1087">
                  <c:v>12400</c:v>
                </c:pt>
                <c:pt idx="1088">
                  <c:v>7400</c:v>
                </c:pt>
                <c:pt idx="1089">
                  <c:v>7500</c:v>
                </c:pt>
                <c:pt idx="1090">
                  <c:v>9300</c:v>
                </c:pt>
                <c:pt idx="1091">
                  <c:v>11100</c:v>
                </c:pt>
                <c:pt idx="1092">
                  <c:v>6300</c:v>
                </c:pt>
                <c:pt idx="1093">
                  <c:v>12600</c:v>
                </c:pt>
                <c:pt idx="1094">
                  <c:v>5100</c:v>
                </c:pt>
                <c:pt idx="1095">
                  <c:v>9600</c:v>
                </c:pt>
                <c:pt idx="1096">
                  <c:v>7200</c:v>
                </c:pt>
                <c:pt idx="1097">
                  <c:v>13300</c:v>
                </c:pt>
                <c:pt idx="1098">
                  <c:v>10300</c:v>
                </c:pt>
                <c:pt idx="1099">
                  <c:v>10800</c:v>
                </c:pt>
                <c:pt idx="1100">
                  <c:v>10600</c:v>
                </c:pt>
                <c:pt idx="1101">
                  <c:v>10000</c:v>
                </c:pt>
                <c:pt idx="1102">
                  <c:v>6700</c:v>
                </c:pt>
                <c:pt idx="1103">
                  <c:v>11700</c:v>
                </c:pt>
                <c:pt idx="1104">
                  <c:v>11100</c:v>
                </c:pt>
                <c:pt idx="1105">
                  <c:v>14100</c:v>
                </c:pt>
                <c:pt idx="1106">
                  <c:v>5700</c:v>
                </c:pt>
                <c:pt idx="1107">
                  <c:v>13800</c:v>
                </c:pt>
                <c:pt idx="1108">
                  <c:v>14500</c:v>
                </c:pt>
                <c:pt idx="1109">
                  <c:v>14900</c:v>
                </c:pt>
                <c:pt idx="1110">
                  <c:v>7500</c:v>
                </c:pt>
                <c:pt idx="1111">
                  <c:v>13200</c:v>
                </c:pt>
                <c:pt idx="1112">
                  <c:v>14900</c:v>
                </c:pt>
                <c:pt idx="1113">
                  <c:v>12600</c:v>
                </c:pt>
                <c:pt idx="1114">
                  <c:v>9800</c:v>
                </c:pt>
                <c:pt idx="1115">
                  <c:v>6400</c:v>
                </c:pt>
                <c:pt idx="1116">
                  <c:v>7800</c:v>
                </c:pt>
                <c:pt idx="1117">
                  <c:v>12900</c:v>
                </c:pt>
                <c:pt idx="1118">
                  <c:v>13400</c:v>
                </c:pt>
                <c:pt idx="1119">
                  <c:v>10200</c:v>
                </c:pt>
                <c:pt idx="1120">
                  <c:v>14400</c:v>
                </c:pt>
                <c:pt idx="1121">
                  <c:v>12300</c:v>
                </c:pt>
                <c:pt idx="1122">
                  <c:v>13500</c:v>
                </c:pt>
                <c:pt idx="1123">
                  <c:v>7400</c:v>
                </c:pt>
                <c:pt idx="1124">
                  <c:v>11300</c:v>
                </c:pt>
                <c:pt idx="1125">
                  <c:v>7900</c:v>
                </c:pt>
                <c:pt idx="1126">
                  <c:v>14900</c:v>
                </c:pt>
                <c:pt idx="1127">
                  <c:v>10900</c:v>
                </c:pt>
                <c:pt idx="1128">
                  <c:v>13400</c:v>
                </c:pt>
                <c:pt idx="1129">
                  <c:v>10800</c:v>
                </c:pt>
                <c:pt idx="1130">
                  <c:v>11800</c:v>
                </c:pt>
                <c:pt idx="1131">
                  <c:v>5200</c:v>
                </c:pt>
                <c:pt idx="1132">
                  <c:v>5600</c:v>
                </c:pt>
                <c:pt idx="1133">
                  <c:v>11100</c:v>
                </c:pt>
                <c:pt idx="1134">
                  <c:v>7100</c:v>
                </c:pt>
                <c:pt idx="1135">
                  <c:v>7900</c:v>
                </c:pt>
                <c:pt idx="1136">
                  <c:v>4100</c:v>
                </c:pt>
                <c:pt idx="1137">
                  <c:v>7500</c:v>
                </c:pt>
                <c:pt idx="1138">
                  <c:v>11800</c:v>
                </c:pt>
                <c:pt idx="1139">
                  <c:v>5400</c:v>
                </c:pt>
                <c:pt idx="1140">
                  <c:v>8400</c:v>
                </c:pt>
                <c:pt idx="1141">
                  <c:v>11400</c:v>
                </c:pt>
                <c:pt idx="1142">
                  <c:v>14000</c:v>
                </c:pt>
                <c:pt idx="1143">
                  <c:v>14000</c:v>
                </c:pt>
                <c:pt idx="1144">
                  <c:v>10900</c:v>
                </c:pt>
                <c:pt idx="1145">
                  <c:v>4200</c:v>
                </c:pt>
                <c:pt idx="1146">
                  <c:v>9000</c:v>
                </c:pt>
                <c:pt idx="1147">
                  <c:v>9000</c:v>
                </c:pt>
                <c:pt idx="1148">
                  <c:v>10100</c:v>
                </c:pt>
                <c:pt idx="1149">
                  <c:v>15000</c:v>
                </c:pt>
                <c:pt idx="1150">
                  <c:v>14500</c:v>
                </c:pt>
                <c:pt idx="1151">
                  <c:v>5600</c:v>
                </c:pt>
                <c:pt idx="1152">
                  <c:v>6800</c:v>
                </c:pt>
                <c:pt idx="1153">
                  <c:v>7500</c:v>
                </c:pt>
                <c:pt idx="1154">
                  <c:v>4600</c:v>
                </c:pt>
                <c:pt idx="1155">
                  <c:v>4600</c:v>
                </c:pt>
                <c:pt idx="1156">
                  <c:v>13500</c:v>
                </c:pt>
                <c:pt idx="1157">
                  <c:v>12900</c:v>
                </c:pt>
                <c:pt idx="1158">
                  <c:v>10300</c:v>
                </c:pt>
                <c:pt idx="1159">
                  <c:v>13400</c:v>
                </c:pt>
                <c:pt idx="1160">
                  <c:v>6600</c:v>
                </c:pt>
                <c:pt idx="1161">
                  <c:v>14800</c:v>
                </c:pt>
                <c:pt idx="1162">
                  <c:v>5500</c:v>
                </c:pt>
                <c:pt idx="1163">
                  <c:v>4300</c:v>
                </c:pt>
                <c:pt idx="1164">
                  <c:v>9300</c:v>
                </c:pt>
                <c:pt idx="1165">
                  <c:v>14700</c:v>
                </c:pt>
                <c:pt idx="1166">
                  <c:v>5200</c:v>
                </c:pt>
                <c:pt idx="1167">
                  <c:v>8400</c:v>
                </c:pt>
                <c:pt idx="1168">
                  <c:v>7600</c:v>
                </c:pt>
                <c:pt idx="1169">
                  <c:v>13400</c:v>
                </c:pt>
                <c:pt idx="1170">
                  <c:v>6800</c:v>
                </c:pt>
                <c:pt idx="1171">
                  <c:v>12100</c:v>
                </c:pt>
                <c:pt idx="1172">
                  <c:v>11000</c:v>
                </c:pt>
                <c:pt idx="1173">
                  <c:v>13100</c:v>
                </c:pt>
                <c:pt idx="1174">
                  <c:v>11100</c:v>
                </c:pt>
                <c:pt idx="1175">
                  <c:v>6800</c:v>
                </c:pt>
                <c:pt idx="1176">
                  <c:v>6200</c:v>
                </c:pt>
                <c:pt idx="1177">
                  <c:v>11400</c:v>
                </c:pt>
                <c:pt idx="1178">
                  <c:v>14400</c:v>
                </c:pt>
                <c:pt idx="1179">
                  <c:v>14900</c:v>
                </c:pt>
                <c:pt idx="1180">
                  <c:v>14300</c:v>
                </c:pt>
                <c:pt idx="1181">
                  <c:v>11900</c:v>
                </c:pt>
                <c:pt idx="1182">
                  <c:v>5000</c:v>
                </c:pt>
                <c:pt idx="1183">
                  <c:v>9200</c:v>
                </c:pt>
                <c:pt idx="1184">
                  <c:v>7100</c:v>
                </c:pt>
                <c:pt idx="1185">
                  <c:v>12700</c:v>
                </c:pt>
                <c:pt idx="1186">
                  <c:v>13000</c:v>
                </c:pt>
                <c:pt idx="1187">
                  <c:v>5900</c:v>
                </c:pt>
                <c:pt idx="1188">
                  <c:v>6000</c:v>
                </c:pt>
                <c:pt idx="1189">
                  <c:v>13900</c:v>
                </c:pt>
                <c:pt idx="1190">
                  <c:v>4000</c:v>
                </c:pt>
                <c:pt idx="1191">
                  <c:v>6100</c:v>
                </c:pt>
                <c:pt idx="1192">
                  <c:v>6200</c:v>
                </c:pt>
                <c:pt idx="1193">
                  <c:v>8900</c:v>
                </c:pt>
                <c:pt idx="1194">
                  <c:v>8100</c:v>
                </c:pt>
                <c:pt idx="1195">
                  <c:v>14600</c:v>
                </c:pt>
                <c:pt idx="1196">
                  <c:v>9900</c:v>
                </c:pt>
                <c:pt idx="1197">
                  <c:v>5500</c:v>
                </c:pt>
                <c:pt idx="1198">
                  <c:v>11400</c:v>
                </c:pt>
                <c:pt idx="1199">
                  <c:v>7600</c:v>
                </c:pt>
                <c:pt idx="1200">
                  <c:v>11300</c:v>
                </c:pt>
                <c:pt idx="1201">
                  <c:v>11200</c:v>
                </c:pt>
                <c:pt idx="1202">
                  <c:v>9000</c:v>
                </c:pt>
                <c:pt idx="1203">
                  <c:v>14400</c:v>
                </c:pt>
                <c:pt idx="1204">
                  <c:v>10700</c:v>
                </c:pt>
                <c:pt idx="1205">
                  <c:v>7100</c:v>
                </c:pt>
                <c:pt idx="1206">
                  <c:v>14800</c:v>
                </c:pt>
                <c:pt idx="1207">
                  <c:v>7200</c:v>
                </c:pt>
                <c:pt idx="1208">
                  <c:v>14500</c:v>
                </c:pt>
                <c:pt idx="1209">
                  <c:v>5100</c:v>
                </c:pt>
                <c:pt idx="1210">
                  <c:v>4200</c:v>
                </c:pt>
                <c:pt idx="1211">
                  <c:v>4900</c:v>
                </c:pt>
                <c:pt idx="1212">
                  <c:v>8000</c:v>
                </c:pt>
                <c:pt idx="1213">
                  <c:v>9900</c:v>
                </c:pt>
                <c:pt idx="1214">
                  <c:v>8600</c:v>
                </c:pt>
                <c:pt idx="1215">
                  <c:v>6200</c:v>
                </c:pt>
                <c:pt idx="1216">
                  <c:v>4100</c:v>
                </c:pt>
                <c:pt idx="1217">
                  <c:v>4200</c:v>
                </c:pt>
                <c:pt idx="1218">
                  <c:v>10700</c:v>
                </c:pt>
                <c:pt idx="1219">
                  <c:v>8500</c:v>
                </c:pt>
                <c:pt idx="1220">
                  <c:v>11000</c:v>
                </c:pt>
                <c:pt idx="1221">
                  <c:v>6100</c:v>
                </c:pt>
                <c:pt idx="1222">
                  <c:v>5900</c:v>
                </c:pt>
                <c:pt idx="1223">
                  <c:v>5800</c:v>
                </c:pt>
                <c:pt idx="1224">
                  <c:v>14700</c:v>
                </c:pt>
                <c:pt idx="1225">
                  <c:v>9800</c:v>
                </c:pt>
                <c:pt idx="1226">
                  <c:v>5500</c:v>
                </c:pt>
                <c:pt idx="1227">
                  <c:v>6200</c:v>
                </c:pt>
                <c:pt idx="1228">
                  <c:v>11500</c:v>
                </c:pt>
                <c:pt idx="1229">
                  <c:v>13600</c:v>
                </c:pt>
                <c:pt idx="1230">
                  <c:v>9800</c:v>
                </c:pt>
                <c:pt idx="1231">
                  <c:v>11100</c:v>
                </c:pt>
                <c:pt idx="1232">
                  <c:v>12400</c:v>
                </c:pt>
                <c:pt idx="1233">
                  <c:v>5400</c:v>
                </c:pt>
                <c:pt idx="1234">
                  <c:v>9800</c:v>
                </c:pt>
                <c:pt idx="1235">
                  <c:v>4600</c:v>
                </c:pt>
                <c:pt idx="1236">
                  <c:v>4100</c:v>
                </c:pt>
                <c:pt idx="1237">
                  <c:v>5100</c:v>
                </c:pt>
                <c:pt idx="1238">
                  <c:v>4900</c:v>
                </c:pt>
                <c:pt idx="1239">
                  <c:v>8200</c:v>
                </c:pt>
                <c:pt idx="1240">
                  <c:v>5400</c:v>
                </c:pt>
                <c:pt idx="1241">
                  <c:v>4300</c:v>
                </c:pt>
                <c:pt idx="1242">
                  <c:v>8400</c:v>
                </c:pt>
                <c:pt idx="1243">
                  <c:v>7200</c:v>
                </c:pt>
                <c:pt idx="1244">
                  <c:v>6600</c:v>
                </c:pt>
                <c:pt idx="1245">
                  <c:v>7500</c:v>
                </c:pt>
                <c:pt idx="1246">
                  <c:v>11800</c:v>
                </c:pt>
                <c:pt idx="1247">
                  <c:v>8800</c:v>
                </c:pt>
                <c:pt idx="1248">
                  <c:v>14100</c:v>
                </c:pt>
                <c:pt idx="1249">
                  <c:v>14100</c:v>
                </c:pt>
                <c:pt idx="1250">
                  <c:v>14600</c:v>
                </c:pt>
                <c:pt idx="1251">
                  <c:v>4800</c:v>
                </c:pt>
                <c:pt idx="1252">
                  <c:v>10600</c:v>
                </c:pt>
                <c:pt idx="1253">
                  <c:v>5500</c:v>
                </c:pt>
                <c:pt idx="1254">
                  <c:v>7000</c:v>
                </c:pt>
                <c:pt idx="1255">
                  <c:v>10700</c:v>
                </c:pt>
                <c:pt idx="1256">
                  <c:v>7900</c:v>
                </c:pt>
                <c:pt idx="1257">
                  <c:v>11000</c:v>
                </c:pt>
                <c:pt idx="1258">
                  <c:v>11200</c:v>
                </c:pt>
                <c:pt idx="1259">
                  <c:v>14200</c:v>
                </c:pt>
                <c:pt idx="1260">
                  <c:v>8300</c:v>
                </c:pt>
                <c:pt idx="1261">
                  <c:v>11400</c:v>
                </c:pt>
                <c:pt idx="1262">
                  <c:v>13400</c:v>
                </c:pt>
                <c:pt idx="1263">
                  <c:v>5800</c:v>
                </c:pt>
                <c:pt idx="1264">
                  <c:v>11000</c:v>
                </c:pt>
                <c:pt idx="1265">
                  <c:v>14200</c:v>
                </c:pt>
                <c:pt idx="1266">
                  <c:v>5500</c:v>
                </c:pt>
                <c:pt idx="1267">
                  <c:v>10400</c:v>
                </c:pt>
                <c:pt idx="1268">
                  <c:v>6400</c:v>
                </c:pt>
                <c:pt idx="1269">
                  <c:v>12300</c:v>
                </c:pt>
                <c:pt idx="1270">
                  <c:v>10300</c:v>
                </c:pt>
                <c:pt idx="1271">
                  <c:v>9500</c:v>
                </c:pt>
                <c:pt idx="1272">
                  <c:v>14500</c:v>
                </c:pt>
                <c:pt idx="1273">
                  <c:v>14500</c:v>
                </c:pt>
                <c:pt idx="1274">
                  <c:v>10200</c:v>
                </c:pt>
                <c:pt idx="1275">
                  <c:v>12200</c:v>
                </c:pt>
                <c:pt idx="1276">
                  <c:v>5800</c:v>
                </c:pt>
                <c:pt idx="1277">
                  <c:v>6300</c:v>
                </c:pt>
                <c:pt idx="1278">
                  <c:v>14300</c:v>
                </c:pt>
                <c:pt idx="1279">
                  <c:v>6500</c:v>
                </c:pt>
                <c:pt idx="1280">
                  <c:v>10300</c:v>
                </c:pt>
                <c:pt idx="1281">
                  <c:v>7200</c:v>
                </c:pt>
                <c:pt idx="1282">
                  <c:v>13400</c:v>
                </c:pt>
                <c:pt idx="1283">
                  <c:v>9200</c:v>
                </c:pt>
                <c:pt idx="1284">
                  <c:v>8800</c:v>
                </c:pt>
                <c:pt idx="1285">
                  <c:v>13000</c:v>
                </c:pt>
                <c:pt idx="1286">
                  <c:v>4500</c:v>
                </c:pt>
                <c:pt idx="1287">
                  <c:v>10600</c:v>
                </c:pt>
                <c:pt idx="1288">
                  <c:v>4000</c:v>
                </c:pt>
                <c:pt idx="1289">
                  <c:v>8000</c:v>
                </c:pt>
                <c:pt idx="1290">
                  <c:v>7600</c:v>
                </c:pt>
                <c:pt idx="1291">
                  <c:v>8800</c:v>
                </c:pt>
                <c:pt idx="1292">
                  <c:v>10500</c:v>
                </c:pt>
                <c:pt idx="1293">
                  <c:v>6500</c:v>
                </c:pt>
                <c:pt idx="1294">
                  <c:v>9500</c:v>
                </c:pt>
                <c:pt idx="1295">
                  <c:v>7500</c:v>
                </c:pt>
                <c:pt idx="1296">
                  <c:v>14800</c:v>
                </c:pt>
                <c:pt idx="1297">
                  <c:v>4800</c:v>
                </c:pt>
                <c:pt idx="1298">
                  <c:v>11600</c:v>
                </c:pt>
                <c:pt idx="1299">
                  <c:v>9700</c:v>
                </c:pt>
                <c:pt idx="1300">
                  <c:v>7200</c:v>
                </c:pt>
                <c:pt idx="1301">
                  <c:v>5900</c:v>
                </c:pt>
                <c:pt idx="1302">
                  <c:v>12500</c:v>
                </c:pt>
                <c:pt idx="1303">
                  <c:v>14100</c:v>
                </c:pt>
                <c:pt idx="1304">
                  <c:v>4400</c:v>
                </c:pt>
                <c:pt idx="1305">
                  <c:v>12900</c:v>
                </c:pt>
                <c:pt idx="1306">
                  <c:v>6900</c:v>
                </c:pt>
                <c:pt idx="1307">
                  <c:v>10700</c:v>
                </c:pt>
                <c:pt idx="1308">
                  <c:v>5200</c:v>
                </c:pt>
                <c:pt idx="1309">
                  <c:v>7200</c:v>
                </c:pt>
                <c:pt idx="1310">
                  <c:v>14600</c:v>
                </c:pt>
                <c:pt idx="1311">
                  <c:v>10700</c:v>
                </c:pt>
                <c:pt idx="1312">
                  <c:v>13000</c:v>
                </c:pt>
                <c:pt idx="1313">
                  <c:v>12900</c:v>
                </c:pt>
                <c:pt idx="1314">
                  <c:v>5800</c:v>
                </c:pt>
                <c:pt idx="1315">
                  <c:v>9200</c:v>
                </c:pt>
                <c:pt idx="1316">
                  <c:v>12600</c:v>
                </c:pt>
                <c:pt idx="1317">
                  <c:v>10000</c:v>
                </c:pt>
                <c:pt idx="1318">
                  <c:v>13200</c:v>
                </c:pt>
                <c:pt idx="1319">
                  <c:v>14700</c:v>
                </c:pt>
                <c:pt idx="1320">
                  <c:v>14800</c:v>
                </c:pt>
                <c:pt idx="1321">
                  <c:v>13500</c:v>
                </c:pt>
                <c:pt idx="1322">
                  <c:v>13300</c:v>
                </c:pt>
                <c:pt idx="1323">
                  <c:v>14100</c:v>
                </c:pt>
                <c:pt idx="1324">
                  <c:v>7400</c:v>
                </c:pt>
                <c:pt idx="1325">
                  <c:v>8500</c:v>
                </c:pt>
                <c:pt idx="1326">
                  <c:v>10700</c:v>
                </c:pt>
                <c:pt idx="1327">
                  <c:v>10100</c:v>
                </c:pt>
                <c:pt idx="1328">
                  <c:v>5500</c:v>
                </c:pt>
                <c:pt idx="1329">
                  <c:v>9100</c:v>
                </c:pt>
                <c:pt idx="1330">
                  <c:v>5700</c:v>
                </c:pt>
                <c:pt idx="1331">
                  <c:v>5200</c:v>
                </c:pt>
                <c:pt idx="1332">
                  <c:v>4800</c:v>
                </c:pt>
                <c:pt idx="1333">
                  <c:v>12200</c:v>
                </c:pt>
                <c:pt idx="1334">
                  <c:v>12300</c:v>
                </c:pt>
                <c:pt idx="1335">
                  <c:v>10500</c:v>
                </c:pt>
                <c:pt idx="1336">
                  <c:v>10000</c:v>
                </c:pt>
                <c:pt idx="1337">
                  <c:v>9600</c:v>
                </c:pt>
                <c:pt idx="1338">
                  <c:v>4600</c:v>
                </c:pt>
                <c:pt idx="1339">
                  <c:v>7900</c:v>
                </c:pt>
                <c:pt idx="1340">
                  <c:v>15000</c:v>
                </c:pt>
                <c:pt idx="1341">
                  <c:v>5900</c:v>
                </c:pt>
                <c:pt idx="1342">
                  <c:v>14200</c:v>
                </c:pt>
                <c:pt idx="1343">
                  <c:v>9200</c:v>
                </c:pt>
                <c:pt idx="1344">
                  <c:v>10700</c:v>
                </c:pt>
                <c:pt idx="1345">
                  <c:v>9500</c:v>
                </c:pt>
                <c:pt idx="1346">
                  <c:v>7300</c:v>
                </c:pt>
                <c:pt idx="1347">
                  <c:v>4600</c:v>
                </c:pt>
                <c:pt idx="1348">
                  <c:v>12700</c:v>
                </c:pt>
                <c:pt idx="1349">
                  <c:v>6900</c:v>
                </c:pt>
                <c:pt idx="1350">
                  <c:v>9000</c:v>
                </c:pt>
                <c:pt idx="1351">
                  <c:v>10100</c:v>
                </c:pt>
                <c:pt idx="1352">
                  <c:v>9900</c:v>
                </c:pt>
                <c:pt idx="1353">
                  <c:v>13000</c:v>
                </c:pt>
                <c:pt idx="1354">
                  <c:v>10100</c:v>
                </c:pt>
                <c:pt idx="1355">
                  <c:v>13500</c:v>
                </c:pt>
                <c:pt idx="1356">
                  <c:v>12700</c:v>
                </c:pt>
                <c:pt idx="1357">
                  <c:v>10300</c:v>
                </c:pt>
                <c:pt idx="1358">
                  <c:v>12100</c:v>
                </c:pt>
                <c:pt idx="1359">
                  <c:v>11700</c:v>
                </c:pt>
                <c:pt idx="1360">
                  <c:v>7500</c:v>
                </c:pt>
                <c:pt idx="1361">
                  <c:v>14600</c:v>
                </c:pt>
                <c:pt idx="1362">
                  <c:v>4200</c:v>
                </c:pt>
                <c:pt idx="1363">
                  <c:v>12300</c:v>
                </c:pt>
                <c:pt idx="1364">
                  <c:v>5600</c:v>
                </c:pt>
                <c:pt idx="1365">
                  <c:v>14200</c:v>
                </c:pt>
                <c:pt idx="1366">
                  <c:v>13400</c:v>
                </c:pt>
                <c:pt idx="1367">
                  <c:v>14700</c:v>
                </c:pt>
                <c:pt idx="1368">
                  <c:v>7600</c:v>
                </c:pt>
                <c:pt idx="1369">
                  <c:v>12200</c:v>
                </c:pt>
                <c:pt idx="1370">
                  <c:v>8300</c:v>
                </c:pt>
                <c:pt idx="1371">
                  <c:v>9800</c:v>
                </c:pt>
                <c:pt idx="1372">
                  <c:v>10300</c:v>
                </c:pt>
                <c:pt idx="1373">
                  <c:v>7400</c:v>
                </c:pt>
                <c:pt idx="1374">
                  <c:v>6200</c:v>
                </c:pt>
                <c:pt idx="1375">
                  <c:v>8800</c:v>
                </c:pt>
                <c:pt idx="1376">
                  <c:v>7300</c:v>
                </c:pt>
                <c:pt idx="1377">
                  <c:v>12600</c:v>
                </c:pt>
                <c:pt idx="1378">
                  <c:v>11000</c:v>
                </c:pt>
                <c:pt idx="1379">
                  <c:v>11200</c:v>
                </c:pt>
                <c:pt idx="1380">
                  <c:v>4400</c:v>
                </c:pt>
                <c:pt idx="1381">
                  <c:v>4800</c:v>
                </c:pt>
                <c:pt idx="1382">
                  <c:v>11700</c:v>
                </c:pt>
                <c:pt idx="1383">
                  <c:v>6400</c:v>
                </c:pt>
                <c:pt idx="1384">
                  <c:v>8000</c:v>
                </c:pt>
                <c:pt idx="1385">
                  <c:v>8100</c:v>
                </c:pt>
                <c:pt idx="1386">
                  <c:v>12700</c:v>
                </c:pt>
                <c:pt idx="1387">
                  <c:v>5200</c:v>
                </c:pt>
                <c:pt idx="1388">
                  <c:v>11400</c:v>
                </c:pt>
                <c:pt idx="1389">
                  <c:v>7000</c:v>
                </c:pt>
                <c:pt idx="1390">
                  <c:v>10000</c:v>
                </c:pt>
                <c:pt idx="1391">
                  <c:v>4700</c:v>
                </c:pt>
                <c:pt idx="1392">
                  <c:v>13300</c:v>
                </c:pt>
                <c:pt idx="1393">
                  <c:v>13400</c:v>
                </c:pt>
                <c:pt idx="1394">
                  <c:v>11200</c:v>
                </c:pt>
                <c:pt idx="1395">
                  <c:v>13200</c:v>
                </c:pt>
                <c:pt idx="1396">
                  <c:v>9400</c:v>
                </c:pt>
                <c:pt idx="1397">
                  <c:v>8600</c:v>
                </c:pt>
                <c:pt idx="1398">
                  <c:v>13000</c:v>
                </c:pt>
                <c:pt idx="1399">
                  <c:v>8500</c:v>
                </c:pt>
                <c:pt idx="1400">
                  <c:v>11400</c:v>
                </c:pt>
                <c:pt idx="1401">
                  <c:v>5500</c:v>
                </c:pt>
                <c:pt idx="1402">
                  <c:v>5000</c:v>
                </c:pt>
                <c:pt idx="1403">
                  <c:v>14900</c:v>
                </c:pt>
                <c:pt idx="1404">
                  <c:v>4500</c:v>
                </c:pt>
                <c:pt idx="1405">
                  <c:v>14500</c:v>
                </c:pt>
                <c:pt idx="1406">
                  <c:v>4300</c:v>
                </c:pt>
                <c:pt idx="1407">
                  <c:v>10700</c:v>
                </c:pt>
                <c:pt idx="1408">
                  <c:v>8600</c:v>
                </c:pt>
                <c:pt idx="1409">
                  <c:v>13700</c:v>
                </c:pt>
                <c:pt idx="1410">
                  <c:v>10100</c:v>
                </c:pt>
                <c:pt idx="1411">
                  <c:v>5400</c:v>
                </c:pt>
                <c:pt idx="1412">
                  <c:v>12300</c:v>
                </c:pt>
                <c:pt idx="1413">
                  <c:v>6400</c:v>
                </c:pt>
                <c:pt idx="1414">
                  <c:v>8500</c:v>
                </c:pt>
                <c:pt idx="1415">
                  <c:v>9900</c:v>
                </c:pt>
                <c:pt idx="1416">
                  <c:v>11900</c:v>
                </c:pt>
                <c:pt idx="1417">
                  <c:v>7900</c:v>
                </c:pt>
                <c:pt idx="1418">
                  <c:v>6800</c:v>
                </c:pt>
                <c:pt idx="1419">
                  <c:v>13400</c:v>
                </c:pt>
                <c:pt idx="1420">
                  <c:v>4400</c:v>
                </c:pt>
                <c:pt idx="1421">
                  <c:v>6900</c:v>
                </c:pt>
                <c:pt idx="1422">
                  <c:v>13000</c:v>
                </c:pt>
                <c:pt idx="1423">
                  <c:v>6000</c:v>
                </c:pt>
                <c:pt idx="1424">
                  <c:v>4800</c:v>
                </c:pt>
                <c:pt idx="1425">
                  <c:v>10200</c:v>
                </c:pt>
                <c:pt idx="1426">
                  <c:v>5600</c:v>
                </c:pt>
                <c:pt idx="1427">
                  <c:v>8000</c:v>
                </c:pt>
                <c:pt idx="1428">
                  <c:v>6000</c:v>
                </c:pt>
                <c:pt idx="1429">
                  <c:v>14800</c:v>
                </c:pt>
                <c:pt idx="1430">
                  <c:v>11100</c:v>
                </c:pt>
                <c:pt idx="1431">
                  <c:v>14500</c:v>
                </c:pt>
                <c:pt idx="1432">
                  <c:v>13600</c:v>
                </c:pt>
                <c:pt idx="1433">
                  <c:v>5400</c:v>
                </c:pt>
                <c:pt idx="1434">
                  <c:v>7100</c:v>
                </c:pt>
                <c:pt idx="1435">
                  <c:v>4600</c:v>
                </c:pt>
                <c:pt idx="1436">
                  <c:v>11300</c:v>
                </c:pt>
                <c:pt idx="1437">
                  <c:v>13300</c:v>
                </c:pt>
                <c:pt idx="1438">
                  <c:v>14900</c:v>
                </c:pt>
                <c:pt idx="1439">
                  <c:v>14600</c:v>
                </c:pt>
                <c:pt idx="1440">
                  <c:v>10100</c:v>
                </c:pt>
                <c:pt idx="1441">
                  <c:v>7500</c:v>
                </c:pt>
                <c:pt idx="1442">
                  <c:v>9900</c:v>
                </c:pt>
                <c:pt idx="1443">
                  <c:v>7200</c:v>
                </c:pt>
                <c:pt idx="1444">
                  <c:v>15000</c:v>
                </c:pt>
                <c:pt idx="1445">
                  <c:v>6900</c:v>
                </c:pt>
                <c:pt idx="1446">
                  <c:v>12400</c:v>
                </c:pt>
                <c:pt idx="1447">
                  <c:v>5000</c:v>
                </c:pt>
                <c:pt idx="1448">
                  <c:v>5800</c:v>
                </c:pt>
                <c:pt idx="1449">
                  <c:v>13800</c:v>
                </c:pt>
                <c:pt idx="1450">
                  <c:v>6100</c:v>
                </c:pt>
                <c:pt idx="1451">
                  <c:v>13300</c:v>
                </c:pt>
                <c:pt idx="1452">
                  <c:v>4100</c:v>
                </c:pt>
                <c:pt idx="1453">
                  <c:v>6700</c:v>
                </c:pt>
                <c:pt idx="1454">
                  <c:v>14800</c:v>
                </c:pt>
                <c:pt idx="1455">
                  <c:v>5800</c:v>
                </c:pt>
                <c:pt idx="1456">
                  <c:v>10700</c:v>
                </c:pt>
                <c:pt idx="1457">
                  <c:v>10000</c:v>
                </c:pt>
                <c:pt idx="1458">
                  <c:v>6200</c:v>
                </c:pt>
                <c:pt idx="1459">
                  <c:v>14800</c:v>
                </c:pt>
                <c:pt idx="1460">
                  <c:v>12500</c:v>
                </c:pt>
                <c:pt idx="1461">
                  <c:v>7000</c:v>
                </c:pt>
                <c:pt idx="1462">
                  <c:v>7300</c:v>
                </c:pt>
                <c:pt idx="1463">
                  <c:v>9900</c:v>
                </c:pt>
                <c:pt idx="1464">
                  <c:v>7800</c:v>
                </c:pt>
                <c:pt idx="1465">
                  <c:v>8100</c:v>
                </c:pt>
                <c:pt idx="1466">
                  <c:v>4500</c:v>
                </c:pt>
                <c:pt idx="1467">
                  <c:v>8300</c:v>
                </c:pt>
                <c:pt idx="1468">
                  <c:v>7500</c:v>
                </c:pt>
                <c:pt idx="1469">
                  <c:v>5800</c:v>
                </c:pt>
                <c:pt idx="1470">
                  <c:v>9900</c:v>
                </c:pt>
                <c:pt idx="1471">
                  <c:v>5500</c:v>
                </c:pt>
                <c:pt idx="1472">
                  <c:v>5700</c:v>
                </c:pt>
                <c:pt idx="1473">
                  <c:v>7200</c:v>
                </c:pt>
                <c:pt idx="1474">
                  <c:v>10800</c:v>
                </c:pt>
                <c:pt idx="1475">
                  <c:v>6800</c:v>
                </c:pt>
                <c:pt idx="1476">
                  <c:v>14500</c:v>
                </c:pt>
                <c:pt idx="1477">
                  <c:v>11300</c:v>
                </c:pt>
                <c:pt idx="1478">
                  <c:v>12600</c:v>
                </c:pt>
                <c:pt idx="1479">
                  <c:v>11800</c:v>
                </c:pt>
                <c:pt idx="1480">
                  <c:v>13000</c:v>
                </c:pt>
                <c:pt idx="1481">
                  <c:v>8600</c:v>
                </c:pt>
                <c:pt idx="1482">
                  <c:v>12800</c:v>
                </c:pt>
                <c:pt idx="1483">
                  <c:v>11600</c:v>
                </c:pt>
                <c:pt idx="1484">
                  <c:v>5200</c:v>
                </c:pt>
                <c:pt idx="1485">
                  <c:v>6600</c:v>
                </c:pt>
                <c:pt idx="1486">
                  <c:v>8600</c:v>
                </c:pt>
                <c:pt idx="1487">
                  <c:v>8400</c:v>
                </c:pt>
                <c:pt idx="1488">
                  <c:v>10400</c:v>
                </c:pt>
                <c:pt idx="1489">
                  <c:v>12200</c:v>
                </c:pt>
                <c:pt idx="1490">
                  <c:v>7200</c:v>
                </c:pt>
                <c:pt idx="1491">
                  <c:v>14400</c:v>
                </c:pt>
                <c:pt idx="1492">
                  <c:v>14300</c:v>
                </c:pt>
                <c:pt idx="1493">
                  <c:v>7300</c:v>
                </c:pt>
                <c:pt idx="1494">
                  <c:v>13500</c:v>
                </c:pt>
                <c:pt idx="1495">
                  <c:v>9400</c:v>
                </c:pt>
                <c:pt idx="1496">
                  <c:v>10800</c:v>
                </c:pt>
                <c:pt idx="1497">
                  <c:v>7200</c:v>
                </c:pt>
                <c:pt idx="1498">
                  <c:v>11100</c:v>
                </c:pt>
                <c:pt idx="1499">
                  <c:v>7900</c:v>
                </c:pt>
                <c:pt idx="1500">
                  <c:v>6600</c:v>
                </c:pt>
                <c:pt idx="1501">
                  <c:v>13400</c:v>
                </c:pt>
                <c:pt idx="1502">
                  <c:v>5800</c:v>
                </c:pt>
                <c:pt idx="1503">
                  <c:v>10900</c:v>
                </c:pt>
                <c:pt idx="1504">
                  <c:v>5300</c:v>
                </c:pt>
                <c:pt idx="1505">
                  <c:v>5100</c:v>
                </c:pt>
                <c:pt idx="1506">
                  <c:v>10200</c:v>
                </c:pt>
                <c:pt idx="1507">
                  <c:v>11900</c:v>
                </c:pt>
                <c:pt idx="1508">
                  <c:v>12300</c:v>
                </c:pt>
                <c:pt idx="1509">
                  <c:v>5600</c:v>
                </c:pt>
                <c:pt idx="1510">
                  <c:v>14700</c:v>
                </c:pt>
                <c:pt idx="1511">
                  <c:v>4900</c:v>
                </c:pt>
                <c:pt idx="1512">
                  <c:v>8500</c:v>
                </c:pt>
                <c:pt idx="1513">
                  <c:v>9200</c:v>
                </c:pt>
                <c:pt idx="1514">
                  <c:v>13400</c:v>
                </c:pt>
                <c:pt idx="1515">
                  <c:v>10800</c:v>
                </c:pt>
                <c:pt idx="1516">
                  <c:v>12400</c:v>
                </c:pt>
                <c:pt idx="1517">
                  <c:v>7800</c:v>
                </c:pt>
                <c:pt idx="1518">
                  <c:v>11300</c:v>
                </c:pt>
                <c:pt idx="1519">
                  <c:v>6300</c:v>
                </c:pt>
                <c:pt idx="1520">
                  <c:v>11500</c:v>
                </c:pt>
                <c:pt idx="1521">
                  <c:v>14100</c:v>
                </c:pt>
                <c:pt idx="1522">
                  <c:v>4500</c:v>
                </c:pt>
                <c:pt idx="1523">
                  <c:v>9500</c:v>
                </c:pt>
                <c:pt idx="1524">
                  <c:v>15000</c:v>
                </c:pt>
                <c:pt idx="1525">
                  <c:v>4500</c:v>
                </c:pt>
                <c:pt idx="1526">
                  <c:v>14500</c:v>
                </c:pt>
                <c:pt idx="1527">
                  <c:v>5800</c:v>
                </c:pt>
                <c:pt idx="1528">
                  <c:v>13900</c:v>
                </c:pt>
                <c:pt idx="1529">
                  <c:v>7400</c:v>
                </c:pt>
                <c:pt idx="1530">
                  <c:v>5000</c:v>
                </c:pt>
                <c:pt idx="1531">
                  <c:v>11700</c:v>
                </c:pt>
                <c:pt idx="1532">
                  <c:v>11600</c:v>
                </c:pt>
                <c:pt idx="1533">
                  <c:v>13800</c:v>
                </c:pt>
                <c:pt idx="1534">
                  <c:v>11200</c:v>
                </c:pt>
                <c:pt idx="1535">
                  <c:v>14500</c:v>
                </c:pt>
                <c:pt idx="1536">
                  <c:v>10600</c:v>
                </c:pt>
                <c:pt idx="1537">
                  <c:v>7900</c:v>
                </c:pt>
                <c:pt idx="1538">
                  <c:v>8200</c:v>
                </c:pt>
                <c:pt idx="1539">
                  <c:v>9200</c:v>
                </c:pt>
                <c:pt idx="1540">
                  <c:v>5500</c:v>
                </c:pt>
                <c:pt idx="1541">
                  <c:v>8600</c:v>
                </c:pt>
                <c:pt idx="1542">
                  <c:v>8200</c:v>
                </c:pt>
                <c:pt idx="1543">
                  <c:v>10800</c:v>
                </c:pt>
                <c:pt idx="1544">
                  <c:v>9800</c:v>
                </c:pt>
                <c:pt idx="1545">
                  <c:v>7100</c:v>
                </c:pt>
                <c:pt idx="1546">
                  <c:v>14400</c:v>
                </c:pt>
                <c:pt idx="1547">
                  <c:v>11400</c:v>
                </c:pt>
                <c:pt idx="1548">
                  <c:v>12600</c:v>
                </c:pt>
                <c:pt idx="1549">
                  <c:v>10100</c:v>
                </c:pt>
                <c:pt idx="1550">
                  <c:v>9900</c:v>
                </c:pt>
                <c:pt idx="1551">
                  <c:v>14900</c:v>
                </c:pt>
                <c:pt idx="1552">
                  <c:v>13700</c:v>
                </c:pt>
                <c:pt idx="1553">
                  <c:v>5300</c:v>
                </c:pt>
                <c:pt idx="1554">
                  <c:v>12700</c:v>
                </c:pt>
                <c:pt idx="1555">
                  <c:v>8900</c:v>
                </c:pt>
                <c:pt idx="1556">
                  <c:v>4300</c:v>
                </c:pt>
                <c:pt idx="1557">
                  <c:v>9200</c:v>
                </c:pt>
                <c:pt idx="1558">
                  <c:v>4300</c:v>
                </c:pt>
                <c:pt idx="1559">
                  <c:v>8000</c:v>
                </c:pt>
                <c:pt idx="1560">
                  <c:v>6300</c:v>
                </c:pt>
                <c:pt idx="1561">
                  <c:v>8600</c:v>
                </c:pt>
                <c:pt idx="1562">
                  <c:v>13100</c:v>
                </c:pt>
                <c:pt idx="1563">
                  <c:v>10700</c:v>
                </c:pt>
                <c:pt idx="1564">
                  <c:v>4100</c:v>
                </c:pt>
                <c:pt idx="1565">
                  <c:v>14800</c:v>
                </c:pt>
                <c:pt idx="1566">
                  <c:v>12900</c:v>
                </c:pt>
                <c:pt idx="1567">
                  <c:v>10100</c:v>
                </c:pt>
                <c:pt idx="1568">
                  <c:v>9500</c:v>
                </c:pt>
                <c:pt idx="1569">
                  <c:v>8200</c:v>
                </c:pt>
                <c:pt idx="1570">
                  <c:v>6600</c:v>
                </c:pt>
                <c:pt idx="1571">
                  <c:v>13400</c:v>
                </c:pt>
                <c:pt idx="1572">
                  <c:v>7500</c:v>
                </c:pt>
                <c:pt idx="1573">
                  <c:v>14300</c:v>
                </c:pt>
                <c:pt idx="1574">
                  <c:v>10000</c:v>
                </c:pt>
                <c:pt idx="1575">
                  <c:v>14500</c:v>
                </c:pt>
                <c:pt idx="1576">
                  <c:v>13600</c:v>
                </c:pt>
                <c:pt idx="1577">
                  <c:v>5000</c:v>
                </c:pt>
                <c:pt idx="1578">
                  <c:v>6200</c:v>
                </c:pt>
                <c:pt idx="1579">
                  <c:v>5300</c:v>
                </c:pt>
                <c:pt idx="1580">
                  <c:v>9600</c:v>
                </c:pt>
                <c:pt idx="1581">
                  <c:v>10000</c:v>
                </c:pt>
                <c:pt idx="1582">
                  <c:v>5900</c:v>
                </c:pt>
                <c:pt idx="1583">
                  <c:v>11900</c:v>
                </c:pt>
                <c:pt idx="1584">
                  <c:v>9900</c:v>
                </c:pt>
                <c:pt idx="1585">
                  <c:v>5500</c:v>
                </c:pt>
                <c:pt idx="1586">
                  <c:v>11900</c:v>
                </c:pt>
                <c:pt idx="1587">
                  <c:v>8100</c:v>
                </c:pt>
                <c:pt idx="1588">
                  <c:v>12400</c:v>
                </c:pt>
                <c:pt idx="1589">
                  <c:v>10800</c:v>
                </c:pt>
                <c:pt idx="1590">
                  <c:v>4300</c:v>
                </c:pt>
                <c:pt idx="1591">
                  <c:v>8600</c:v>
                </c:pt>
                <c:pt idx="1592">
                  <c:v>9200</c:v>
                </c:pt>
                <c:pt idx="1593">
                  <c:v>9500</c:v>
                </c:pt>
                <c:pt idx="1594">
                  <c:v>14400</c:v>
                </c:pt>
                <c:pt idx="1595">
                  <c:v>13700</c:v>
                </c:pt>
                <c:pt idx="1596">
                  <c:v>5500</c:v>
                </c:pt>
                <c:pt idx="1597">
                  <c:v>10400</c:v>
                </c:pt>
                <c:pt idx="1598">
                  <c:v>11100</c:v>
                </c:pt>
                <c:pt idx="1599">
                  <c:v>9400</c:v>
                </c:pt>
                <c:pt idx="1600">
                  <c:v>11300</c:v>
                </c:pt>
                <c:pt idx="1601">
                  <c:v>11900</c:v>
                </c:pt>
                <c:pt idx="1602">
                  <c:v>14400</c:v>
                </c:pt>
                <c:pt idx="1603">
                  <c:v>8000</c:v>
                </c:pt>
                <c:pt idx="1604">
                  <c:v>13300</c:v>
                </c:pt>
                <c:pt idx="1605">
                  <c:v>6400</c:v>
                </c:pt>
                <c:pt idx="1606">
                  <c:v>10400</c:v>
                </c:pt>
                <c:pt idx="1607">
                  <c:v>8200</c:v>
                </c:pt>
                <c:pt idx="1608">
                  <c:v>4900</c:v>
                </c:pt>
                <c:pt idx="1609">
                  <c:v>14300</c:v>
                </c:pt>
                <c:pt idx="1610">
                  <c:v>5900</c:v>
                </c:pt>
                <c:pt idx="1611">
                  <c:v>9000</c:v>
                </c:pt>
                <c:pt idx="1612">
                  <c:v>6400</c:v>
                </c:pt>
                <c:pt idx="1613">
                  <c:v>14400</c:v>
                </c:pt>
                <c:pt idx="1614">
                  <c:v>7200</c:v>
                </c:pt>
                <c:pt idx="1615">
                  <c:v>11800</c:v>
                </c:pt>
                <c:pt idx="1616">
                  <c:v>14500</c:v>
                </c:pt>
                <c:pt idx="1617">
                  <c:v>5600</c:v>
                </c:pt>
                <c:pt idx="1618">
                  <c:v>13100</c:v>
                </c:pt>
                <c:pt idx="1619">
                  <c:v>9400</c:v>
                </c:pt>
                <c:pt idx="1620">
                  <c:v>7700</c:v>
                </c:pt>
                <c:pt idx="1621">
                  <c:v>6400</c:v>
                </c:pt>
                <c:pt idx="1622">
                  <c:v>10900</c:v>
                </c:pt>
                <c:pt idx="1623">
                  <c:v>9600</c:v>
                </c:pt>
                <c:pt idx="1624">
                  <c:v>13300</c:v>
                </c:pt>
                <c:pt idx="1625">
                  <c:v>5800</c:v>
                </c:pt>
                <c:pt idx="1626">
                  <c:v>13100</c:v>
                </c:pt>
                <c:pt idx="1627">
                  <c:v>6700</c:v>
                </c:pt>
                <c:pt idx="1628">
                  <c:v>8200</c:v>
                </c:pt>
                <c:pt idx="1629">
                  <c:v>10700</c:v>
                </c:pt>
                <c:pt idx="1630">
                  <c:v>6300</c:v>
                </c:pt>
                <c:pt idx="1631">
                  <c:v>14600</c:v>
                </c:pt>
                <c:pt idx="1632">
                  <c:v>14800</c:v>
                </c:pt>
                <c:pt idx="1633">
                  <c:v>11700</c:v>
                </c:pt>
                <c:pt idx="1634">
                  <c:v>8300</c:v>
                </c:pt>
                <c:pt idx="1635">
                  <c:v>7600</c:v>
                </c:pt>
                <c:pt idx="1636">
                  <c:v>6200</c:v>
                </c:pt>
                <c:pt idx="1637">
                  <c:v>14100</c:v>
                </c:pt>
                <c:pt idx="1638">
                  <c:v>4100</c:v>
                </c:pt>
                <c:pt idx="1639">
                  <c:v>10500</c:v>
                </c:pt>
                <c:pt idx="1640">
                  <c:v>9300</c:v>
                </c:pt>
                <c:pt idx="1641">
                  <c:v>7400</c:v>
                </c:pt>
                <c:pt idx="1642">
                  <c:v>5900</c:v>
                </c:pt>
                <c:pt idx="1643">
                  <c:v>13900</c:v>
                </c:pt>
                <c:pt idx="1644">
                  <c:v>9400</c:v>
                </c:pt>
                <c:pt idx="1645">
                  <c:v>8100</c:v>
                </c:pt>
                <c:pt idx="1646">
                  <c:v>10200</c:v>
                </c:pt>
                <c:pt idx="1647">
                  <c:v>12700</c:v>
                </c:pt>
                <c:pt idx="1648">
                  <c:v>9900</c:v>
                </c:pt>
                <c:pt idx="1649">
                  <c:v>9800</c:v>
                </c:pt>
                <c:pt idx="1650">
                  <c:v>6900</c:v>
                </c:pt>
                <c:pt idx="1651">
                  <c:v>4700</c:v>
                </c:pt>
                <c:pt idx="1652">
                  <c:v>7400</c:v>
                </c:pt>
                <c:pt idx="1653">
                  <c:v>11700</c:v>
                </c:pt>
                <c:pt idx="1654">
                  <c:v>14000</c:v>
                </c:pt>
                <c:pt idx="1655">
                  <c:v>7200</c:v>
                </c:pt>
                <c:pt idx="1656">
                  <c:v>7600</c:v>
                </c:pt>
                <c:pt idx="1657">
                  <c:v>5500</c:v>
                </c:pt>
                <c:pt idx="1658">
                  <c:v>14100</c:v>
                </c:pt>
                <c:pt idx="1659">
                  <c:v>13800</c:v>
                </c:pt>
                <c:pt idx="1660">
                  <c:v>5300</c:v>
                </c:pt>
                <c:pt idx="1661">
                  <c:v>12400</c:v>
                </c:pt>
                <c:pt idx="1662">
                  <c:v>11100</c:v>
                </c:pt>
                <c:pt idx="1663">
                  <c:v>10100</c:v>
                </c:pt>
                <c:pt idx="1664">
                  <c:v>7900</c:v>
                </c:pt>
                <c:pt idx="1665">
                  <c:v>10300</c:v>
                </c:pt>
                <c:pt idx="1666">
                  <c:v>11100</c:v>
                </c:pt>
                <c:pt idx="1667">
                  <c:v>4500</c:v>
                </c:pt>
                <c:pt idx="1668">
                  <c:v>11900</c:v>
                </c:pt>
                <c:pt idx="1669">
                  <c:v>7600</c:v>
                </c:pt>
                <c:pt idx="1670">
                  <c:v>4400</c:v>
                </c:pt>
                <c:pt idx="1671">
                  <c:v>11800</c:v>
                </c:pt>
                <c:pt idx="1672">
                  <c:v>10700</c:v>
                </c:pt>
                <c:pt idx="1673">
                  <c:v>12800</c:v>
                </c:pt>
                <c:pt idx="1674">
                  <c:v>9400</c:v>
                </c:pt>
                <c:pt idx="1675">
                  <c:v>8300</c:v>
                </c:pt>
                <c:pt idx="1676">
                  <c:v>5400</c:v>
                </c:pt>
                <c:pt idx="1677">
                  <c:v>5800</c:v>
                </c:pt>
                <c:pt idx="1678">
                  <c:v>9800</c:v>
                </c:pt>
                <c:pt idx="1679">
                  <c:v>9800</c:v>
                </c:pt>
                <c:pt idx="1680">
                  <c:v>9500</c:v>
                </c:pt>
                <c:pt idx="1681">
                  <c:v>7400</c:v>
                </c:pt>
                <c:pt idx="1682">
                  <c:v>14000</c:v>
                </c:pt>
                <c:pt idx="1683">
                  <c:v>14000</c:v>
                </c:pt>
                <c:pt idx="1684">
                  <c:v>12000</c:v>
                </c:pt>
                <c:pt idx="1685">
                  <c:v>4500</c:v>
                </c:pt>
                <c:pt idx="1686">
                  <c:v>8600</c:v>
                </c:pt>
                <c:pt idx="1687">
                  <c:v>8900</c:v>
                </c:pt>
                <c:pt idx="1688">
                  <c:v>10700</c:v>
                </c:pt>
                <c:pt idx="1689">
                  <c:v>11400</c:v>
                </c:pt>
                <c:pt idx="1690">
                  <c:v>13900</c:v>
                </c:pt>
                <c:pt idx="1691">
                  <c:v>5900</c:v>
                </c:pt>
                <c:pt idx="1692">
                  <c:v>12000</c:v>
                </c:pt>
                <c:pt idx="1693">
                  <c:v>14100</c:v>
                </c:pt>
                <c:pt idx="1694">
                  <c:v>11800</c:v>
                </c:pt>
                <c:pt idx="1695">
                  <c:v>9800</c:v>
                </c:pt>
                <c:pt idx="1696">
                  <c:v>4500</c:v>
                </c:pt>
                <c:pt idx="1697">
                  <c:v>10200</c:v>
                </c:pt>
                <c:pt idx="1698">
                  <c:v>14500</c:v>
                </c:pt>
                <c:pt idx="1699">
                  <c:v>14400</c:v>
                </c:pt>
                <c:pt idx="1700">
                  <c:v>6600</c:v>
                </c:pt>
                <c:pt idx="1701">
                  <c:v>14500</c:v>
                </c:pt>
                <c:pt idx="1702">
                  <c:v>5300</c:v>
                </c:pt>
                <c:pt idx="1703">
                  <c:v>14800</c:v>
                </c:pt>
                <c:pt idx="1704">
                  <c:v>11600</c:v>
                </c:pt>
                <c:pt idx="1705">
                  <c:v>4200</c:v>
                </c:pt>
                <c:pt idx="1706">
                  <c:v>13100</c:v>
                </c:pt>
                <c:pt idx="1707">
                  <c:v>8200</c:v>
                </c:pt>
                <c:pt idx="1708">
                  <c:v>6000</c:v>
                </c:pt>
                <c:pt idx="1709">
                  <c:v>9000</c:v>
                </c:pt>
                <c:pt idx="1710">
                  <c:v>12700</c:v>
                </c:pt>
                <c:pt idx="1711">
                  <c:v>9500</c:v>
                </c:pt>
                <c:pt idx="1712">
                  <c:v>14500</c:v>
                </c:pt>
                <c:pt idx="1713">
                  <c:v>8200</c:v>
                </c:pt>
                <c:pt idx="1714">
                  <c:v>13400</c:v>
                </c:pt>
                <c:pt idx="1715">
                  <c:v>11900</c:v>
                </c:pt>
                <c:pt idx="1716">
                  <c:v>10300</c:v>
                </c:pt>
                <c:pt idx="1717">
                  <c:v>4500</c:v>
                </c:pt>
                <c:pt idx="1718">
                  <c:v>6800</c:v>
                </c:pt>
                <c:pt idx="1719">
                  <c:v>9800</c:v>
                </c:pt>
                <c:pt idx="1720">
                  <c:v>7300</c:v>
                </c:pt>
                <c:pt idx="1721">
                  <c:v>14800</c:v>
                </c:pt>
                <c:pt idx="1722">
                  <c:v>7600</c:v>
                </c:pt>
                <c:pt idx="1723">
                  <c:v>14000</c:v>
                </c:pt>
                <c:pt idx="1724">
                  <c:v>7000</c:v>
                </c:pt>
                <c:pt idx="1725">
                  <c:v>5600</c:v>
                </c:pt>
                <c:pt idx="1726">
                  <c:v>14100</c:v>
                </c:pt>
                <c:pt idx="1727">
                  <c:v>11100</c:v>
                </c:pt>
                <c:pt idx="1728">
                  <c:v>7900</c:v>
                </c:pt>
                <c:pt idx="1729">
                  <c:v>7400</c:v>
                </c:pt>
                <c:pt idx="1730">
                  <c:v>8200</c:v>
                </c:pt>
                <c:pt idx="1731">
                  <c:v>9400</c:v>
                </c:pt>
                <c:pt idx="1732">
                  <c:v>10900</c:v>
                </c:pt>
                <c:pt idx="1733">
                  <c:v>13700</c:v>
                </c:pt>
                <c:pt idx="1734">
                  <c:v>8100</c:v>
                </c:pt>
                <c:pt idx="1735">
                  <c:v>10600</c:v>
                </c:pt>
                <c:pt idx="1736">
                  <c:v>8300</c:v>
                </c:pt>
                <c:pt idx="1737">
                  <c:v>7400</c:v>
                </c:pt>
                <c:pt idx="1738">
                  <c:v>6500</c:v>
                </c:pt>
                <c:pt idx="1739">
                  <c:v>6500</c:v>
                </c:pt>
                <c:pt idx="1740">
                  <c:v>5000</c:v>
                </c:pt>
                <c:pt idx="1741">
                  <c:v>6300</c:v>
                </c:pt>
                <c:pt idx="1742">
                  <c:v>8000</c:v>
                </c:pt>
                <c:pt idx="1743">
                  <c:v>9300</c:v>
                </c:pt>
                <c:pt idx="1744">
                  <c:v>14600</c:v>
                </c:pt>
                <c:pt idx="1745">
                  <c:v>7600</c:v>
                </c:pt>
                <c:pt idx="1746">
                  <c:v>12300</c:v>
                </c:pt>
                <c:pt idx="1747">
                  <c:v>11300</c:v>
                </c:pt>
                <c:pt idx="1748">
                  <c:v>11800</c:v>
                </c:pt>
                <c:pt idx="1749">
                  <c:v>9000</c:v>
                </c:pt>
                <c:pt idx="1750">
                  <c:v>8700</c:v>
                </c:pt>
                <c:pt idx="1751">
                  <c:v>8100</c:v>
                </c:pt>
                <c:pt idx="1752">
                  <c:v>4500</c:v>
                </c:pt>
                <c:pt idx="1753">
                  <c:v>4000</c:v>
                </c:pt>
                <c:pt idx="1754">
                  <c:v>6100</c:v>
                </c:pt>
                <c:pt idx="1755">
                  <c:v>13700</c:v>
                </c:pt>
                <c:pt idx="1756">
                  <c:v>9500</c:v>
                </c:pt>
                <c:pt idx="1757">
                  <c:v>5100</c:v>
                </c:pt>
                <c:pt idx="1758">
                  <c:v>8700</c:v>
                </c:pt>
                <c:pt idx="1759">
                  <c:v>13900</c:v>
                </c:pt>
                <c:pt idx="1760">
                  <c:v>12700</c:v>
                </c:pt>
                <c:pt idx="1761">
                  <c:v>10600</c:v>
                </c:pt>
                <c:pt idx="1762">
                  <c:v>6700</c:v>
                </c:pt>
                <c:pt idx="1763">
                  <c:v>5300</c:v>
                </c:pt>
                <c:pt idx="1764">
                  <c:v>10100</c:v>
                </c:pt>
                <c:pt idx="1765">
                  <c:v>9400</c:v>
                </c:pt>
                <c:pt idx="1766">
                  <c:v>6400</c:v>
                </c:pt>
                <c:pt idx="1767">
                  <c:v>7100</c:v>
                </c:pt>
                <c:pt idx="1768">
                  <c:v>8500</c:v>
                </c:pt>
                <c:pt idx="1769">
                  <c:v>14600</c:v>
                </c:pt>
                <c:pt idx="1770">
                  <c:v>5800</c:v>
                </c:pt>
                <c:pt idx="1771">
                  <c:v>6100</c:v>
                </c:pt>
                <c:pt idx="1772">
                  <c:v>7600</c:v>
                </c:pt>
                <c:pt idx="1773">
                  <c:v>8700</c:v>
                </c:pt>
                <c:pt idx="1774">
                  <c:v>6000</c:v>
                </c:pt>
                <c:pt idx="1775">
                  <c:v>8300</c:v>
                </c:pt>
                <c:pt idx="1776">
                  <c:v>10100</c:v>
                </c:pt>
                <c:pt idx="1777">
                  <c:v>11400</c:v>
                </c:pt>
                <c:pt idx="1778">
                  <c:v>4500</c:v>
                </c:pt>
                <c:pt idx="1779">
                  <c:v>9100</c:v>
                </c:pt>
                <c:pt idx="1780">
                  <c:v>13400</c:v>
                </c:pt>
                <c:pt idx="1781">
                  <c:v>13700</c:v>
                </c:pt>
                <c:pt idx="1782">
                  <c:v>7400</c:v>
                </c:pt>
                <c:pt idx="1783">
                  <c:v>12000</c:v>
                </c:pt>
                <c:pt idx="1784">
                  <c:v>6300</c:v>
                </c:pt>
                <c:pt idx="1785">
                  <c:v>4100</c:v>
                </c:pt>
                <c:pt idx="1786">
                  <c:v>5800</c:v>
                </c:pt>
                <c:pt idx="1787">
                  <c:v>8500</c:v>
                </c:pt>
                <c:pt idx="1788">
                  <c:v>11200</c:v>
                </c:pt>
                <c:pt idx="1789">
                  <c:v>14700</c:v>
                </c:pt>
                <c:pt idx="1790">
                  <c:v>14200</c:v>
                </c:pt>
                <c:pt idx="1791">
                  <c:v>14500</c:v>
                </c:pt>
                <c:pt idx="1792">
                  <c:v>11300</c:v>
                </c:pt>
                <c:pt idx="1793">
                  <c:v>7800</c:v>
                </c:pt>
                <c:pt idx="1794">
                  <c:v>6600</c:v>
                </c:pt>
                <c:pt idx="1795">
                  <c:v>12300</c:v>
                </c:pt>
                <c:pt idx="1796">
                  <c:v>4000</c:v>
                </c:pt>
                <c:pt idx="1797">
                  <c:v>12100</c:v>
                </c:pt>
                <c:pt idx="1798">
                  <c:v>14700</c:v>
                </c:pt>
                <c:pt idx="1799">
                  <c:v>8400</c:v>
                </c:pt>
                <c:pt idx="1800">
                  <c:v>4700</c:v>
                </c:pt>
                <c:pt idx="1801">
                  <c:v>7000</c:v>
                </c:pt>
                <c:pt idx="1802">
                  <c:v>7900</c:v>
                </c:pt>
                <c:pt idx="1803">
                  <c:v>12100</c:v>
                </c:pt>
                <c:pt idx="1804">
                  <c:v>9200</c:v>
                </c:pt>
                <c:pt idx="1805">
                  <c:v>9700</c:v>
                </c:pt>
                <c:pt idx="1806">
                  <c:v>14600</c:v>
                </c:pt>
                <c:pt idx="1807">
                  <c:v>13700</c:v>
                </c:pt>
                <c:pt idx="1808">
                  <c:v>14800</c:v>
                </c:pt>
                <c:pt idx="1809">
                  <c:v>9000</c:v>
                </c:pt>
                <c:pt idx="1810">
                  <c:v>12100</c:v>
                </c:pt>
                <c:pt idx="1811">
                  <c:v>8000</c:v>
                </c:pt>
                <c:pt idx="1812">
                  <c:v>5700</c:v>
                </c:pt>
                <c:pt idx="1813">
                  <c:v>6000</c:v>
                </c:pt>
                <c:pt idx="1814">
                  <c:v>11900</c:v>
                </c:pt>
                <c:pt idx="1815">
                  <c:v>5300</c:v>
                </c:pt>
                <c:pt idx="1816">
                  <c:v>14600</c:v>
                </c:pt>
                <c:pt idx="1817">
                  <c:v>10800</c:v>
                </c:pt>
                <c:pt idx="1818">
                  <c:v>9700</c:v>
                </c:pt>
                <c:pt idx="1819">
                  <c:v>12500</c:v>
                </c:pt>
                <c:pt idx="1820">
                  <c:v>4600</c:v>
                </c:pt>
                <c:pt idx="1821">
                  <c:v>11900</c:v>
                </c:pt>
                <c:pt idx="1822">
                  <c:v>12600</c:v>
                </c:pt>
                <c:pt idx="1823">
                  <c:v>9100</c:v>
                </c:pt>
                <c:pt idx="1824">
                  <c:v>7500</c:v>
                </c:pt>
                <c:pt idx="1825">
                  <c:v>10900</c:v>
                </c:pt>
                <c:pt idx="1826">
                  <c:v>14400</c:v>
                </c:pt>
                <c:pt idx="1827">
                  <c:v>14400</c:v>
                </c:pt>
                <c:pt idx="1828">
                  <c:v>12100</c:v>
                </c:pt>
                <c:pt idx="1829">
                  <c:v>13600</c:v>
                </c:pt>
                <c:pt idx="1830">
                  <c:v>14500</c:v>
                </c:pt>
                <c:pt idx="1831">
                  <c:v>6100</c:v>
                </c:pt>
                <c:pt idx="1832">
                  <c:v>7900</c:v>
                </c:pt>
                <c:pt idx="1833">
                  <c:v>5400</c:v>
                </c:pt>
                <c:pt idx="1834">
                  <c:v>7000</c:v>
                </c:pt>
                <c:pt idx="1835">
                  <c:v>6800</c:v>
                </c:pt>
                <c:pt idx="1836">
                  <c:v>9500</c:v>
                </c:pt>
                <c:pt idx="1837">
                  <c:v>13000</c:v>
                </c:pt>
                <c:pt idx="1838">
                  <c:v>14700</c:v>
                </c:pt>
                <c:pt idx="1839">
                  <c:v>4200</c:v>
                </c:pt>
                <c:pt idx="1840">
                  <c:v>14800</c:v>
                </c:pt>
                <c:pt idx="1841">
                  <c:v>4700</c:v>
                </c:pt>
                <c:pt idx="1842">
                  <c:v>11200</c:v>
                </c:pt>
                <c:pt idx="1843">
                  <c:v>7400</c:v>
                </c:pt>
                <c:pt idx="1844">
                  <c:v>10400</c:v>
                </c:pt>
                <c:pt idx="1845">
                  <c:v>5100</c:v>
                </c:pt>
                <c:pt idx="1846">
                  <c:v>8000</c:v>
                </c:pt>
                <c:pt idx="1847">
                  <c:v>7400</c:v>
                </c:pt>
                <c:pt idx="1848">
                  <c:v>6200</c:v>
                </c:pt>
                <c:pt idx="1849">
                  <c:v>8300</c:v>
                </c:pt>
                <c:pt idx="1850">
                  <c:v>7100</c:v>
                </c:pt>
                <c:pt idx="1851">
                  <c:v>7700</c:v>
                </c:pt>
                <c:pt idx="1852">
                  <c:v>7400</c:v>
                </c:pt>
                <c:pt idx="1853">
                  <c:v>12800</c:v>
                </c:pt>
                <c:pt idx="1854">
                  <c:v>12500</c:v>
                </c:pt>
                <c:pt idx="1855">
                  <c:v>12000</c:v>
                </c:pt>
                <c:pt idx="1856">
                  <c:v>14300</c:v>
                </c:pt>
                <c:pt idx="1857">
                  <c:v>9100</c:v>
                </c:pt>
                <c:pt idx="1858">
                  <c:v>7700</c:v>
                </c:pt>
                <c:pt idx="1859">
                  <c:v>4700</c:v>
                </c:pt>
                <c:pt idx="1860">
                  <c:v>14600</c:v>
                </c:pt>
                <c:pt idx="1861">
                  <c:v>7600</c:v>
                </c:pt>
                <c:pt idx="1862">
                  <c:v>11200</c:v>
                </c:pt>
                <c:pt idx="1863">
                  <c:v>14500</c:v>
                </c:pt>
                <c:pt idx="1864">
                  <c:v>4600</c:v>
                </c:pt>
                <c:pt idx="1865">
                  <c:v>10400</c:v>
                </c:pt>
                <c:pt idx="1866">
                  <c:v>13400</c:v>
                </c:pt>
                <c:pt idx="1867">
                  <c:v>4900</c:v>
                </c:pt>
                <c:pt idx="1868">
                  <c:v>14100</c:v>
                </c:pt>
                <c:pt idx="1869">
                  <c:v>12200</c:v>
                </c:pt>
                <c:pt idx="1870">
                  <c:v>6900</c:v>
                </c:pt>
                <c:pt idx="1871">
                  <c:v>14600</c:v>
                </c:pt>
                <c:pt idx="1872">
                  <c:v>6300</c:v>
                </c:pt>
                <c:pt idx="1873">
                  <c:v>9100</c:v>
                </c:pt>
                <c:pt idx="1874">
                  <c:v>14400</c:v>
                </c:pt>
                <c:pt idx="1875">
                  <c:v>9700</c:v>
                </c:pt>
                <c:pt idx="1876">
                  <c:v>14000</c:v>
                </c:pt>
                <c:pt idx="1877">
                  <c:v>13400</c:v>
                </c:pt>
                <c:pt idx="1878">
                  <c:v>5200</c:v>
                </c:pt>
                <c:pt idx="1879">
                  <c:v>11100</c:v>
                </c:pt>
                <c:pt idx="1880">
                  <c:v>8000</c:v>
                </c:pt>
                <c:pt idx="1881">
                  <c:v>12800</c:v>
                </c:pt>
                <c:pt idx="1882">
                  <c:v>8100</c:v>
                </c:pt>
                <c:pt idx="1883">
                  <c:v>11300</c:v>
                </c:pt>
                <c:pt idx="1884">
                  <c:v>4000</c:v>
                </c:pt>
                <c:pt idx="1885">
                  <c:v>7200</c:v>
                </c:pt>
                <c:pt idx="1886">
                  <c:v>4300</c:v>
                </c:pt>
                <c:pt idx="1887">
                  <c:v>11600</c:v>
                </c:pt>
                <c:pt idx="1888">
                  <c:v>6200</c:v>
                </c:pt>
                <c:pt idx="1889">
                  <c:v>7200</c:v>
                </c:pt>
                <c:pt idx="1890">
                  <c:v>6600</c:v>
                </c:pt>
                <c:pt idx="1891">
                  <c:v>9900</c:v>
                </c:pt>
                <c:pt idx="1892">
                  <c:v>10900</c:v>
                </c:pt>
                <c:pt idx="1893">
                  <c:v>10500</c:v>
                </c:pt>
                <c:pt idx="1894">
                  <c:v>10300</c:v>
                </c:pt>
                <c:pt idx="1895">
                  <c:v>13700</c:v>
                </c:pt>
                <c:pt idx="1896">
                  <c:v>11100</c:v>
                </c:pt>
                <c:pt idx="1897">
                  <c:v>4200</c:v>
                </c:pt>
                <c:pt idx="1898">
                  <c:v>6600</c:v>
                </c:pt>
                <c:pt idx="1899">
                  <c:v>5600</c:v>
                </c:pt>
                <c:pt idx="1900">
                  <c:v>5500</c:v>
                </c:pt>
                <c:pt idx="1901">
                  <c:v>7900</c:v>
                </c:pt>
                <c:pt idx="1902">
                  <c:v>10100</c:v>
                </c:pt>
                <c:pt idx="1903">
                  <c:v>7300</c:v>
                </c:pt>
                <c:pt idx="1904">
                  <c:v>8500</c:v>
                </c:pt>
                <c:pt idx="1905">
                  <c:v>14900</c:v>
                </c:pt>
                <c:pt idx="1906">
                  <c:v>13000</c:v>
                </c:pt>
                <c:pt idx="1907">
                  <c:v>4800</c:v>
                </c:pt>
                <c:pt idx="1908">
                  <c:v>5500</c:v>
                </c:pt>
                <c:pt idx="1909">
                  <c:v>15000</c:v>
                </c:pt>
                <c:pt idx="1910">
                  <c:v>11300</c:v>
                </c:pt>
                <c:pt idx="1911">
                  <c:v>12300</c:v>
                </c:pt>
                <c:pt idx="1912">
                  <c:v>5600</c:v>
                </c:pt>
                <c:pt idx="1913">
                  <c:v>12100</c:v>
                </c:pt>
                <c:pt idx="1914">
                  <c:v>4700</c:v>
                </c:pt>
                <c:pt idx="1915">
                  <c:v>9800</c:v>
                </c:pt>
                <c:pt idx="1916">
                  <c:v>9400</c:v>
                </c:pt>
                <c:pt idx="1917">
                  <c:v>7400</c:v>
                </c:pt>
                <c:pt idx="1918">
                  <c:v>9300</c:v>
                </c:pt>
                <c:pt idx="1919">
                  <c:v>7100</c:v>
                </c:pt>
                <c:pt idx="1920">
                  <c:v>13700</c:v>
                </c:pt>
                <c:pt idx="1921">
                  <c:v>4400</c:v>
                </c:pt>
                <c:pt idx="1922">
                  <c:v>7700</c:v>
                </c:pt>
                <c:pt idx="1923">
                  <c:v>4200</c:v>
                </c:pt>
                <c:pt idx="1924">
                  <c:v>14600</c:v>
                </c:pt>
                <c:pt idx="1925">
                  <c:v>8700</c:v>
                </c:pt>
                <c:pt idx="1926">
                  <c:v>12400</c:v>
                </c:pt>
                <c:pt idx="1927">
                  <c:v>7200</c:v>
                </c:pt>
                <c:pt idx="1928">
                  <c:v>4600</c:v>
                </c:pt>
                <c:pt idx="1929">
                  <c:v>7300</c:v>
                </c:pt>
                <c:pt idx="1930">
                  <c:v>6300</c:v>
                </c:pt>
                <c:pt idx="1931">
                  <c:v>7500</c:v>
                </c:pt>
                <c:pt idx="1932">
                  <c:v>4600</c:v>
                </c:pt>
                <c:pt idx="1933">
                  <c:v>14300</c:v>
                </c:pt>
                <c:pt idx="1934">
                  <c:v>11600</c:v>
                </c:pt>
                <c:pt idx="1935">
                  <c:v>14900</c:v>
                </c:pt>
                <c:pt idx="1936">
                  <c:v>6300</c:v>
                </c:pt>
                <c:pt idx="1937">
                  <c:v>8700</c:v>
                </c:pt>
                <c:pt idx="1938">
                  <c:v>13800</c:v>
                </c:pt>
                <c:pt idx="1939">
                  <c:v>13600</c:v>
                </c:pt>
                <c:pt idx="1940">
                  <c:v>11200</c:v>
                </c:pt>
                <c:pt idx="1941">
                  <c:v>8200</c:v>
                </c:pt>
                <c:pt idx="1942">
                  <c:v>8000</c:v>
                </c:pt>
                <c:pt idx="1943">
                  <c:v>11800</c:v>
                </c:pt>
                <c:pt idx="1944">
                  <c:v>7400</c:v>
                </c:pt>
                <c:pt idx="1945">
                  <c:v>12900</c:v>
                </c:pt>
                <c:pt idx="1946">
                  <c:v>11800</c:v>
                </c:pt>
                <c:pt idx="1947">
                  <c:v>5800</c:v>
                </c:pt>
                <c:pt idx="1948">
                  <c:v>8700</c:v>
                </c:pt>
                <c:pt idx="1949">
                  <c:v>13500</c:v>
                </c:pt>
                <c:pt idx="1950">
                  <c:v>7100</c:v>
                </c:pt>
                <c:pt idx="1951">
                  <c:v>7600</c:v>
                </c:pt>
                <c:pt idx="1952">
                  <c:v>4100</c:v>
                </c:pt>
                <c:pt idx="1953">
                  <c:v>5800</c:v>
                </c:pt>
                <c:pt idx="1954">
                  <c:v>5200</c:v>
                </c:pt>
                <c:pt idx="1955">
                  <c:v>7400</c:v>
                </c:pt>
                <c:pt idx="1956">
                  <c:v>14100</c:v>
                </c:pt>
                <c:pt idx="1957">
                  <c:v>7800</c:v>
                </c:pt>
                <c:pt idx="1958">
                  <c:v>8100</c:v>
                </c:pt>
                <c:pt idx="1959">
                  <c:v>9200</c:v>
                </c:pt>
                <c:pt idx="1960">
                  <c:v>11400</c:v>
                </c:pt>
                <c:pt idx="1961">
                  <c:v>11700</c:v>
                </c:pt>
                <c:pt idx="1962">
                  <c:v>4800</c:v>
                </c:pt>
                <c:pt idx="1963">
                  <c:v>14500</c:v>
                </c:pt>
                <c:pt idx="1964">
                  <c:v>5600</c:v>
                </c:pt>
                <c:pt idx="1965">
                  <c:v>14200</c:v>
                </c:pt>
                <c:pt idx="1966">
                  <c:v>5000</c:v>
                </c:pt>
                <c:pt idx="1967">
                  <c:v>4600</c:v>
                </c:pt>
                <c:pt idx="1968">
                  <c:v>4200</c:v>
                </c:pt>
                <c:pt idx="1969">
                  <c:v>4900</c:v>
                </c:pt>
                <c:pt idx="1970">
                  <c:v>11300</c:v>
                </c:pt>
                <c:pt idx="1971">
                  <c:v>7900</c:v>
                </c:pt>
                <c:pt idx="1972">
                  <c:v>5400</c:v>
                </c:pt>
                <c:pt idx="1973">
                  <c:v>5900</c:v>
                </c:pt>
                <c:pt idx="1974">
                  <c:v>8400</c:v>
                </c:pt>
                <c:pt idx="1975">
                  <c:v>14200</c:v>
                </c:pt>
                <c:pt idx="1976">
                  <c:v>9100</c:v>
                </c:pt>
                <c:pt idx="1977">
                  <c:v>9100</c:v>
                </c:pt>
                <c:pt idx="1978">
                  <c:v>11700</c:v>
                </c:pt>
                <c:pt idx="1979">
                  <c:v>9300</c:v>
                </c:pt>
                <c:pt idx="1980">
                  <c:v>10500</c:v>
                </c:pt>
                <c:pt idx="1981">
                  <c:v>8200</c:v>
                </c:pt>
                <c:pt idx="1982">
                  <c:v>15000</c:v>
                </c:pt>
                <c:pt idx="1983">
                  <c:v>11600</c:v>
                </c:pt>
                <c:pt idx="1984">
                  <c:v>11900</c:v>
                </c:pt>
                <c:pt idx="1985">
                  <c:v>12100</c:v>
                </c:pt>
                <c:pt idx="1986">
                  <c:v>10400</c:v>
                </c:pt>
                <c:pt idx="1987">
                  <c:v>14200</c:v>
                </c:pt>
                <c:pt idx="1988">
                  <c:v>13600</c:v>
                </c:pt>
                <c:pt idx="1989">
                  <c:v>8200</c:v>
                </c:pt>
                <c:pt idx="1990">
                  <c:v>13000</c:v>
                </c:pt>
                <c:pt idx="1991">
                  <c:v>12500</c:v>
                </c:pt>
                <c:pt idx="1992">
                  <c:v>4000</c:v>
                </c:pt>
                <c:pt idx="1993">
                  <c:v>4000</c:v>
                </c:pt>
                <c:pt idx="1994">
                  <c:v>10600</c:v>
                </c:pt>
                <c:pt idx="1995">
                  <c:v>12000</c:v>
                </c:pt>
                <c:pt idx="1996">
                  <c:v>9200</c:v>
                </c:pt>
                <c:pt idx="1997">
                  <c:v>4200</c:v>
                </c:pt>
                <c:pt idx="1998">
                  <c:v>13600</c:v>
                </c:pt>
                <c:pt idx="1999">
                  <c:v>10400</c:v>
                </c:pt>
              </c:numCache>
            </c:numRef>
          </c:val>
          <c:smooth val="0"/>
          <c:extLst>
            <c:ext xmlns:c16="http://schemas.microsoft.com/office/drawing/2014/chart" uri="{C3380CC4-5D6E-409C-BE32-E72D297353CC}">
              <c16:uniqueId val="{00000000-EF04-4EF9-AB9C-83D2C24F01C8}"/>
            </c:ext>
          </c:extLst>
        </c:ser>
        <c:ser>
          <c:idx val="1"/>
          <c:order val="1"/>
          <c:tx>
            <c:strRef>
              <c:f>AI_Forecast!$C$1</c:f>
              <c:strCache>
                <c:ptCount val="1"/>
                <c:pt idx="0">
                  <c:v>Forecast(Forecast_Sales)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AI_Forecast!$A$2:$A$2367</c:f>
              <c:numCache>
                <c:formatCode>m/d/yyyy</c:formatCode>
                <c:ptCount val="2366"/>
                <c:pt idx="0">
                  <c:v>43842</c:v>
                </c:pt>
                <c:pt idx="1">
                  <c:v>43843</c:v>
                </c:pt>
                <c:pt idx="2">
                  <c:v>43844</c:v>
                </c:pt>
                <c:pt idx="3">
                  <c:v>43845</c:v>
                </c:pt>
                <c:pt idx="4">
                  <c:v>43846</c:v>
                </c:pt>
                <c:pt idx="5">
                  <c:v>43847</c:v>
                </c:pt>
                <c:pt idx="6">
                  <c:v>43848</c:v>
                </c:pt>
                <c:pt idx="7">
                  <c:v>43849</c:v>
                </c:pt>
                <c:pt idx="8">
                  <c:v>43850</c:v>
                </c:pt>
                <c:pt idx="9">
                  <c:v>43851</c:v>
                </c:pt>
                <c:pt idx="10">
                  <c:v>43852</c:v>
                </c:pt>
                <c:pt idx="11">
                  <c:v>43853</c:v>
                </c:pt>
                <c:pt idx="12">
                  <c:v>43854</c:v>
                </c:pt>
                <c:pt idx="13">
                  <c:v>43855</c:v>
                </c:pt>
                <c:pt idx="14">
                  <c:v>43856</c:v>
                </c:pt>
                <c:pt idx="15">
                  <c:v>43857</c:v>
                </c:pt>
                <c:pt idx="16">
                  <c:v>43858</c:v>
                </c:pt>
                <c:pt idx="17">
                  <c:v>43859</c:v>
                </c:pt>
                <c:pt idx="18">
                  <c:v>43860</c:v>
                </c:pt>
                <c:pt idx="19">
                  <c:v>43861</c:v>
                </c:pt>
                <c:pt idx="20">
                  <c:v>43862</c:v>
                </c:pt>
                <c:pt idx="21">
                  <c:v>43863</c:v>
                </c:pt>
                <c:pt idx="22">
                  <c:v>43864</c:v>
                </c:pt>
                <c:pt idx="23">
                  <c:v>43865</c:v>
                </c:pt>
                <c:pt idx="24">
                  <c:v>43866</c:v>
                </c:pt>
                <c:pt idx="25">
                  <c:v>43867</c:v>
                </c:pt>
                <c:pt idx="26">
                  <c:v>43868</c:v>
                </c:pt>
                <c:pt idx="27">
                  <c:v>43869</c:v>
                </c:pt>
                <c:pt idx="28">
                  <c:v>43870</c:v>
                </c:pt>
                <c:pt idx="29">
                  <c:v>43871</c:v>
                </c:pt>
                <c:pt idx="30">
                  <c:v>43872</c:v>
                </c:pt>
                <c:pt idx="31">
                  <c:v>43873</c:v>
                </c:pt>
                <c:pt idx="32">
                  <c:v>43874</c:v>
                </c:pt>
                <c:pt idx="33">
                  <c:v>43875</c:v>
                </c:pt>
                <c:pt idx="34">
                  <c:v>43876</c:v>
                </c:pt>
                <c:pt idx="35">
                  <c:v>43877</c:v>
                </c:pt>
                <c:pt idx="36">
                  <c:v>43878</c:v>
                </c:pt>
                <c:pt idx="37">
                  <c:v>43879</c:v>
                </c:pt>
                <c:pt idx="38">
                  <c:v>43880</c:v>
                </c:pt>
                <c:pt idx="39">
                  <c:v>43881</c:v>
                </c:pt>
                <c:pt idx="40">
                  <c:v>43882</c:v>
                </c:pt>
                <c:pt idx="41">
                  <c:v>43883</c:v>
                </c:pt>
                <c:pt idx="42">
                  <c:v>43884</c:v>
                </c:pt>
                <c:pt idx="43">
                  <c:v>43885</c:v>
                </c:pt>
                <c:pt idx="44">
                  <c:v>43886</c:v>
                </c:pt>
                <c:pt idx="45">
                  <c:v>43887</c:v>
                </c:pt>
                <c:pt idx="46">
                  <c:v>43888</c:v>
                </c:pt>
                <c:pt idx="47">
                  <c:v>43889</c:v>
                </c:pt>
                <c:pt idx="48">
                  <c:v>43890</c:v>
                </c:pt>
                <c:pt idx="49">
                  <c:v>43891</c:v>
                </c:pt>
                <c:pt idx="50">
                  <c:v>43892</c:v>
                </c:pt>
                <c:pt idx="51">
                  <c:v>43893</c:v>
                </c:pt>
                <c:pt idx="52">
                  <c:v>43894</c:v>
                </c:pt>
                <c:pt idx="53">
                  <c:v>43895</c:v>
                </c:pt>
                <c:pt idx="54">
                  <c:v>43896</c:v>
                </c:pt>
                <c:pt idx="55">
                  <c:v>43897</c:v>
                </c:pt>
                <c:pt idx="56">
                  <c:v>43898</c:v>
                </c:pt>
                <c:pt idx="57">
                  <c:v>43899</c:v>
                </c:pt>
                <c:pt idx="58">
                  <c:v>43900</c:v>
                </c:pt>
                <c:pt idx="59">
                  <c:v>43901</c:v>
                </c:pt>
                <c:pt idx="60">
                  <c:v>43902</c:v>
                </c:pt>
                <c:pt idx="61">
                  <c:v>43903</c:v>
                </c:pt>
                <c:pt idx="62">
                  <c:v>43904</c:v>
                </c:pt>
                <c:pt idx="63">
                  <c:v>43905</c:v>
                </c:pt>
                <c:pt idx="64">
                  <c:v>43906</c:v>
                </c:pt>
                <c:pt idx="65">
                  <c:v>43907</c:v>
                </c:pt>
                <c:pt idx="66">
                  <c:v>43908</c:v>
                </c:pt>
                <c:pt idx="67">
                  <c:v>43909</c:v>
                </c:pt>
                <c:pt idx="68">
                  <c:v>43910</c:v>
                </c:pt>
                <c:pt idx="69">
                  <c:v>43911</c:v>
                </c:pt>
                <c:pt idx="70">
                  <c:v>43912</c:v>
                </c:pt>
                <c:pt idx="71">
                  <c:v>43913</c:v>
                </c:pt>
                <c:pt idx="72">
                  <c:v>43914</c:v>
                </c:pt>
                <c:pt idx="73">
                  <c:v>43915</c:v>
                </c:pt>
                <c:pt idx="74">
                  <c:v>43916</c:v>
                </c:pt>
                <c:pt idx="75">
                  <c:v>43917</c:v>
                </c:pt>
                <c:pt idx="76">
                  <c:v>43918</c:v>
                </c:pt>
                <c:pt idx="77">
                  <c:v>43919</c:v>
                </c:pt>
                <c:pt idx="78">
                  <c:v>43920</c:v>
                </c:pt>
                <c:pt idx="79">
                  <c:v>43921</c:v>
                </c:pt>
                <c:pt idx="80">
                  <c:v>43922</c:v>
                </c:pt>
                <c:pt idx="81">
                  <c:v>43923</c:v>
                </c:pt>
                <c:pt idx="82">
                  <c:v>43924</c:v>
                </c:pt>
                <c:pt idx="83">
                  <c:v>43925</c:v>
                </c:pt>
                <c:pt idx="84">
                  <c:v>43926</c:v>
                </c:pt>
                <c:pt idx="85">
                  <c:v>43927</c:v>
                </c:pt>
                <c:pt idx="86">
                  <c:v>43928</c:v>
                </c:pt>
                <c:pt idx="87">
                  <c:v>43929</c:v>
                </c:pt>
                <c:pt idx="88">
                  <c:v>43930</c:v>
                </c:pt>
                <c:pt idx="89">
                  <c:v>43931</c:v>
                </c:pt>
                <c:pt idx="90">
                  <c:v>43932</c:v>
                </c:pt>
                <c:pt idx="91">
                  <c:v>43933</c:v>
                </c:pt>
                <c:pt idx="92">
                  <c:v>43934</c:v>
                </c:pt>
                <c:pt idx="93">
                  <c:v>43935</c:v>
                </c:pt>
                <c:pt idx="94">
                  <c:v>43936</c:v>
                </c:pt>
                <c:pt idx="95">
                  <c:v>43937</c:v>
                </c:pt>
                <c:pt idx="96">
                  <c:v>43938</c:v>
                </c:pt>
                <c:pt idx="97">
                  <c:v>43939</c:v>
                </c:pt>
                <c:pt idx="98">
                  <c:v>43940</c:v>
                </c:pt>
                <c:pt idx="99">
                  <c:v>43941</c:v>
                </c:pt>
                <c:pt idx="100">
                  <c:v>43942</c:v>
                </c:pt>
                <c:pt idx="101">
                  <c:v>43943</c:v>
                </c:pt>
                <c:pt idx="102">
                  <c:v>43944</c:v>
                </c:pt>
                <c:pt idx="103">
                  <c:v>43945</c:v>
                </c:pt>
                <c:pt idx="104">
                  <c:v>43946</c:v>
                </c:pt>
                <c:pt idx="105">
                  <c:v>43947</c:v>
                </c:pt>
                <c:pt idx="106">
                  <c:v>43948</c:v>
                </c:pt>
                <c:pt idx="107">
                  <c:v>43949</c:v>
                </c:pt>
                <c:pt idx="108">
                  <c:v>43950</c:v>
                </c:pt>
                <c:pt idx="109">
                  <c:v>43951</c:v>
                </c:pt>
                <c:pt idx="110">
                  <c:v>43952</c:v>
                </c:pt>
                <c:pt idx="111">
                  <c:v>43953</c:v>
                </c:pt>
                <c:pt idx="112">
                  <c:v>43954</c:v>
                </c:pt>
                <c:pt idx="113">
                  <c:v>43955</c:v>
                </c:pt>
                <c:pt idx="114">
                  <c:v>43956</c:v>
                </c:pt>
                <c:pt idx="115">
                  <c:v>43957</c:v>
                </c:pt>
                <c:pt idx="116">
                  <c:v>43958</c:v>
                </c:pt>
                <c:pt idx="117">
                  <c:v>43959</c:v>
                </c:pt>
                <c:pt idx="118">
                  <c:v>43960</c:v>
                </c:pt>
                <c:pt idx="119">
                  <c:v>43961</c:v>
                </c:pt>
                <c:pt idx="120">
                  <c:v>43962</c:v>
                </c:pt>
                <c:pt idx="121">
                  <c:v>43963</c:v>
                </c:pt>
                <c:pt idx="122">
                  <c:v>43964</c:v>
                </c:pt>
                <c:pt idx="123">
                  <c:v>43965</c:v>
                </c:pt>
                <c:pt idx="124">
                  <c:v>43966</c:v>
                </c:pt>
                <c:pt idx="125">
                  <c:v>43967</c:v>
                </c:pt>
                <c:pt idx="126">
                  <c:v>43968</c:v>
                </c:pt>
                <c:pt idx="127">
                  <c:v>43969</c:v>
                </c:pt>
                <c:pt idx="128">
                  <c:v>43970</c:v>
                </c:pt>
                <c:pt idx="129">
                  <c:v>43971</c:v>
                </c:pt>
                <c:pt idx="130">
                  <c:v>43972</c:v>
                </c:pt>
                <c:pt idx="131">
                  <c:v>43973</c:v>
                </c:pt>
                <c:pt idx="132">
                  <c:v>43974</c:v>
                </c:pt>
                <c:pt idx="133">
                  <c:v>43975</c:v>
                </c:pt>
                <c:pt idx="134">
                  <c:v>43976</c:v>
                </c:pt>
                <c:pt idx="135">
                  <c:v>43977</c:v>
                </c:pt>
                <c:pt idx="136">
                  <c:v>43978</c:v>
                </c:pt>
                <c:pt idx="137">
                  <c:v>43979</c:v>
                </c:pt>
                <c:pt idx="138">
                  <c:v>43980</c:v>
                </c:pt>
                <c:pt idx="139">
                  <c:v>43981</c:v>
                </c:pt>
                <c:pt idx="140">
                  <c:v>43982</c:v>
                </c:pt>
                <c:pt idx="141">
                  <c:v>43983</c:v>
                </c:pt>
                <c:pt idx="142">
                  <c:v>43984</c:v>
                </c:pt>
                <c:pt idx="143">
                  <c:v>43985</c:v>
                </c:pt>
                <c:pt idx="144">
                  <c:v>43986</c:v>
                </c:pt>
                <c:pt idx="145">
                  <c:v>43987</c:v>
                </c:pt>
                <c:pt idx="146">
                  <c:v>43988</c:v>
                </c:pt>
                <c:pt idx="147">
                  <c:v>43989</c:v>
                </c:pt>
                <c:pt idx="148">
                  <c:v>43990</c:v>
                </c:pt>
                <c:pt idx="149">
                  <c:v>43991</c:v>
                </c:pt>
                <c:pt idx="150">
                  <c:v>43992</c:v>
                </c:pt>
                <c:pt idx="151">
                  <c:v>43993</c:v>
                </c:pt>
                <c:pt idx="152">
                  <c:v>43994</c:v>
                </c:pt>
                <c:pt idx="153">
                  <c:v>43995</c:v>
                </c:pt>
                <c:pt idx="154">
                  <c:v>43996</c:v>
                </c:pt>
                <c:pt idx="155">
                  <c:v>43997</c:v>
                </c:pt>
                <c:pt idx="156">
                  <c:v>43998</c:v>
                </c:pt>
                <c:pt idx="157">
                  <c:v>43999</c:v>
                </c:pt>
                <c:pt idx="158">
                  <c:v>44000</c:v>
                </c:pt>
                <c:pt idx="159">
                  <c:v>44001</c:v>
                </c:pt>
                <c:pt idx="160">
                  <c:v>44002</c:v>
                </c:pt>
                <c:pt idx="161">
                  <c:v>44003</c:v>
                </c:pt>
                <c:pt idx="162">
                  <c:v>44004</c:v>
                </c:pt>
                <c:pt idx="163">
                  <c:v>44005</c:v>
                </c:pt>
                <c:pt idx="164">
                  <c:v>44006</c:v>
                </c:pt>
                <c:pt idx="165">
                  <c:v>44007</c:v>
                </c:pt>
                <c:pt idx="166">
                  <c:v>44008</c:v>
                </c:pt>
                <c:pt idx="167">
                  <c:v>44009</c:v>
                </c:pt>
                <c:pt idx="168">
                  <c:v>44010</c:v>
                </c:pt>
                <c:pt idx="169">
                  <c:v>44011</c:v>
                </c:pt>
                <c:pt idx="170">
                  <c:v>44012</c:v>
                </c:pt>
                <c:pt idx="171">
                  <c:v>44013</c:v>
                </c:pt>
                <c:pt idx="172">
                  <c:v>44014</c:v>
                </c:pt>
                <c:pt idx="173">
                  <c:v>44015</c:v>
                </c:pt>
                <c:pt idx="174">
                  <c:v>44016</c:v>
                </c:pt>
                <c:pt idx="175">
                  <c:v>44017</c:v>
                </c:pt>
                <c:pt idx="176">
                  <c:v>44018</c:v>
                </c:pt>
                <c:pt idx="177">
                  <c:v>44019</c:v>
                </c:pt>
                <c:pt idx="178">
                  <c:v>44020</c:v>
                </c:pt>
                <c:pt idx="179">
                  <c:v>44021</c:v>
                </c:pt>
                <c:pt idx="180">
                  <c:v>44022</c:v>
                </c:pt>
                <c:pt idx="181">
                  <c:v>44023</c:v>
                </c:pt>
                <c:pt idx="182">
                  <c:v>44024</c:v>
                </c:pt>
                <c:pt idx="183">
                  <c:v>44025</c:v>
                </c:pt>
                <c:pt idx="184">
                  <c:v>44026</c:v>
                </c:pt>
                <c:pt idx="185">
                  <c:v>44027</c:v>
                </c:pt>
                <c:pt idx="186">
                  <c:v>44028</c:v>
                </c:pt>
                <c:pt idx="187">
                  <c:v>44029</c:v>
                </c:pt>
                <c:pt idx="188">
                  <c:v>44030</c:v>
                </c:pt>
                <c:pt idx="189">
                  <c:v>44031</c:v>
                </c:pt>
                <c:pt idx="190">
                  <c:v>44032</c:v>
                </c:pt>
                <c:pt idx="191">
                  <c:v>44033</c:v>
                </c:pt>
                <c:pt idx="192">
                  <c:v>44034</c:v>
                </c:pt>
                <c:pt idx="193">
                  <c:v>44035</c:v>
                </c:pt>
                <c:pt idx="194">
                  <c:v>44036</c:v>
                </c:pt>
                <c:pt idx="195">
                  <c:v>44037</c:v>
                </c:pt>
                <c:pt idx="196">
                  <c:v>44038</c:v>
                </c:pt>
                <c:pt idx="197">
                  <c:v>44039</c:v>
                </c:pt>
                <c:pt idx="198">
                  <c:v>44040</c:v>
                </c:pt>
                <c:pt idx="199">
                  <c:v>44041</c:v>
                </c:pt>
                <c:pt idx="200">
                  <c:v>44042</c:v>
                </c:pt>
                <c:pt idx="201">
                  <c:v>44043</c:v>
                </c:pt>
                <c:pt idx="202">
                  <c:v>44044</c:v>
                </c:pt>
                <c:pt idx="203">
                  <c:v>44045</c:v>
                </c:pt>
                <c:pt idx="204">
                  <c:v>44046</c:v>
                </c:pt>
                <c:pt idx="205">
                  <c:v>44047</c:v>
                </c:pt>
                <c:pt idx="206">
                  <c:v>44048</c:v>
                </c:pt>
                <c:pt idx="207">
                  <c:v>44049</c:v>
                </c:pt>
                <c:pt idx="208">
                  <c:v>44050</c:v>
                </c:pt>
                <c:pt idx="209">
                  <c:v>44051</c:v>
                </c:pt>
                <c:pt idx="210">
                  <c:v>44052</c:v>
                </c:pt>
                <c:pt idx="211">
                  <c:v>44053</c:v>
                </c:pt>
                <c:pt idx="212">
                  <c:v>44054</c:v>
                </c:pt>
                <c:pt idx="213">
                  <c:v>44055</c:v>
                </c:pt>
                <c:pt idx="214">
                  <c:v>44056</c:v>
                </c:pt>
                <c:pt idx="215">
                  <c:v>44057</c:v>
                </c:pt>
                <c:pt idx="216">
                  <c:v>44058</c:v>
                </c:pt>
                <c:pt idx="217">
                  <c:v>44059</c:v>
                </c:pt>
                <c:pt idx="218">
                  <c:v>44060</c:v>
                </c:pt>
                <c:pt idx="219">
                  <c:v>44061</c:v>
                </c:pt>
                <c:pt idx="220">
                  <c:v>44062</c:v>
                </c:pt>
                <c:pt idx="221">
                  <c:v>44063</c:v>
                </c:pt>
                <c:pt idx="222">
                  <c:v>44064</c:v>
                </c:pt>
                <c:pt idx="223">
                  <c:v>44065</c:v>
                </c:pt>
                <c:pt idx="224">
                  <c:v>44066</c:v>
                </c:pt>
                <c:pt idx="225">
                  <c:v>44067</c:v>
                </c:pt>
                <c:pt idx="226">
                  <c:v>44068</c:v>
                </c:pt>
                <c:pt idx="227">
                  <c:v>44069</c:v>
                </c:pt>
                <c:pt idx="228">
                  <c:v>44070</c:v>
                </c:pt>
                <c:pt idx="229">
                  <c:v>44071</c:v>
                </c:pt>
                <c:pt idx="230">
                  <c:v>44072</c:v>
                </c:pt>
                <c:pt idx="231">
                  <c:v>44073</c:v>
                </c:pt>
                <c:pt idx="232">
                  <c:v>44074</c:v>
                </c:pt>
                <c:pt idx="233">
                  <c:v>44075</c:v>
                </c:pt>
                <c:pt idx="234">
                  <c:v>44076</c:v>
                </c:pt>
                <c:pt idx="235">
                  <c:v>44077</c:v>
                </c:pt>
                <c:pt idx="236">
                  <c:v>44078</c:v>
                </c:pt>
                <c:pt idx="237">
                  <c:v>44079</c:v>
                </c:pt>
                <c:pt idx="238">
                  <c:v>44080</c:v>
                </c:pt>
                <c:pt idx="239">
                  <c:v>44081</c:v>
                </c:pt>
                <c:pt idx="240">
                  <c:v>44082</c:v>
                </c:pt>
                <c:pt idx="241">
                  <c:v>44083</c:v>
                </c:pt>
                <c:pt idx="242">
                  <c:v>44084</c:v>
                </c:pt>
                <c:pt idx="243">
                  <c:v>44085</c:v>
                </c:pt>
                <c:pt idx="244">
                  <c:v>44086</c:v>
                </c:pt>
                <c:pt idx="245">
                  <c:v>44087</c:v>
                </c:pt>
                <c:pt idx="246">
                  <c:v>44088</c:v>
                </c:pt>
                <c:pt idx="247">
                  <c:v>44089</c:v>
                </c:pt>
                <c:pt idx="248">
                  <c:v>44090</c:v>
                </c:pt>
                <c:pt idx="249">
                  <c:v>44091</c:v>
                </c:pt>
                <c:pt idx="250">
                  <c:v>44092</c:v>
                </c:pt>
                <c:pt idx="251">
                  <c:v>44093</c:v>
                </c:pt>
                <c:pt idx="252">
                  <c:v>44094</c:v>
                </c:pt>
                <c:pt idx="253">
                  <c:v>44095</c:v>
                </c:pt>
                <c:pt idx="254">
                  <c:v>44096</c:v>
                </c:pt>
                <c:pt idx="255">
                  <c:v>44097</c:v>
                </c:pt>
                <c:pt idx="256">
                  <c:v>44098</c:v>
                </c:pt>
                <c:pt idx="257">
                  <c:v>44099</c:v>
                </c:pt>
                <c:pt idx="258">
                  <c:v>44100</c:v>
                </c:pt>
                <c:pt idx="259">
                  <c:v>44101</c:v>
                </c:pt>
                <c:pt idx="260">
                  <c:v>44102</c:v>
                </c:pt>
                <c:pt idx="261">
                  <c:v>44103</c:v>
                </c:pt>
                <c:pt idx="262">
                  <c:v>44104</c:v>
                </c:pt>
                <c:pt idx="263">
                  <c:v>44105</c:v>
                </c:pt>
                <c:pt idx="264">
                  <c:v>44106</c:v>
                </c:pt>
                <c:pt idx="265">
                  <c:v>44107</c:v>
                </c:pt>
                <c:pt idx="266">
                  <c:v>44108</c:v>
                </c:pt>
                <c:pt idx="267">
                  <c:v>44109</c:v>
                </c:pt>
                <c:pt idx="268">
                  <c:v>44110</c:v>
                </c:pt>
                <c:pt idx="269">
                  <c:v>44111</c:v>
                </c:pt>
                <c:pt idx="270">
                  <c:v>44112</c:v>
                </c:pt>
                <c:pt idx="271">
                  <c:v>44113</c:v>
                </c:pt>
                <c:pt idx="272">
                  <c:v>44114</c:v>
                </c:pt>
                <c:pt idx="273">
                  <c:v>44115</c:v>
                </c:pt>
                <c:pt idx="274">
                  <c:v>44116</c:v>
                </c:pt>
                <c:pt idx="275">
                  <c:v>44117</c:v>
                </c:pt>
                <c:pt idx="276">
                  <c:v>44118</c:v>
                </c:pt>
                <c:pt idx="277">
                  <c:v>44119</c:v>
                </c:pt>
                <c:pt idx="278">
                  <c:v>44120</c:v>
                </c:pt>
                <c:pt idx="279">
                  <c:v>44121</c:v>
                </c:pt>
                <c:pt idx="280">
                  <c:v>44122</c:v>
                </c:pt>
                <c:pt idx="281">
                  <c:v>44123</c:v>
                </c:pt>
                <c:pt idx="282">
                  <c:v>44124</c:v>
                </c:pt>
                <c:pt idx="283">
                  <c:v>44125</c:v>
                </c:pt>
                <c:pt idx="284">
                  <c:v>44126</c:v>
                </c:pt>
                <c:pt idx="285">
                  <c:v>44127</c:v>
                </c:pt>
                <c:pt idx="286">
                  <c:v>44128</c:v>
                </c:pt>
                <c:pt idx="287">
                  <c:v>44129</c:v>
                </c:pt>
                <c:pt idx="288">
                  <c:v>44130</c:v>
                </c:pt>
                <c:pt idx="289">
                  <c:v>44131</c:v>
                </c:pt>
                <c:pt idx="290">
                  <c:v>44132</c:v>
                </c:pt>
                <c:pt idx="291">
                  <c:v>44133</c:v>
                </c:pt>
                <c:pt idx="292">
                  <c:v>44134</c:v>
                </c:pt>
                <c:pt idx="293">
                  <c:v>44135</c:v>
                </c:pt>
                <c:pt idx="294">
                  <c:v>44136</c:v>
                </c:pt>
                <c:pt idx="295">
                  <c:v>44137</c:v>
                </c:pt>
                <c:pt idx="296">
                  <c:v>44138</c:v>
                </c:pt>
                <c:pt idx="297">
                  <c:v>44139</c:v>
                </c:pt>
                <c:pt idx="298">
                  <c:v>44140</c:v>
                </c:pt>
                <c:pt idx="299">
                  <c:v>44141</c:v>
                </c:pt>
                <c:pt idx="300">
                  <c:v>44142</c:v>
                </c:pt>
                <c:pt idx="301">
                  <c:v>44143</c:v>
                </c:pt>
                <c:pt idx="302">
                  <c:v>44144</c:v>
                </c:pt>
                <c:pt idx="303">
                  <c:v>44145</c:v>
                </c:pt>
                <c:pt idx="304">
                  <c:v>44146</c:v>
                </c:pt>
                <c:pt idx="305">
                  <c:v>44147</c:v>
                </c:pt>
                <c:pt idx="306">
                  <c:v>44148</c:v>
                </c:pt>
                <c:pt idx="307">
                  <c:v>44149</c:v>
                </c:pt>
                <c:pt idx="308">
                  <c:v>44150</c:v>
                </c:pt>
                <c:pt idx="309">
                  <c:v>44151</c:v>
                </c:pt>
                <c:pt idx="310">
                  <c:v>44152</c:v>
                </c:pt>
                <c:pt idx="311">
                  <c:v>44153</c:v>
                </c:pt>
                <c:pt idx="312">
                  <c:v>44154</c:v>
                </c:pt>
                <c:pt idx="313">
                  <c:v>44155</c:v>
                </c:pt>
                <c:pt idx="314">
                  <c:v>44156</c:v>
                </c:pt>
                <c:pt idx="315">
                  <c:v>44157</c:v>
                </c:pt>
                <c:pt idx="316">
                  <c:v>44158</c:v>
                </c:pt>
                <c:pt idx="317">
                  <c:v>44159</c:v>
                </c:pt>
                <c:pt idx="318">
                  <c:v>44160</c:v>
                </c:pt>
                <c:pt idx="319">
                  <c:v>44161</c:v>
                </c:pt>
                <c:pt idx="320">
                  <c:v>44162</c:v>
                </c:pt>
                <c:pt idx="321">
                  <c:v>44163</c:v>
                </c:pt>
                <c:pt idx="322">
                  <c:v>44164</c:v>
                </c:pt>
                <c:pt idx="323">
                  <c:v>44165</c:v>
                </c:pt>
                <c:pt idx="324">
                  <c:v>44166</c:v>
                </c:pt>
                <c:pt idx="325">
                  <c:v>44167</c:v>
                </c:pt>
                <c:pt idx="326">
                  <c:v>44168</c:v>
                </c:pt>
                <c:pt idx="327">
                  <c:v>44169</c:v>
                </c:pt>
                <c:pt idx="328">
                  <c:v>44170</c:v>
                </c:pt>
                <c:pt idx="329">
                  <c:v>44171</c:v>
                </c:pt>
                <c:pt idx="330">
                  <c:v>44172</c:v>
                </c:pt>
                <c:pt idx="331">
                  <c:v>44173</c:v>
                </c:pt>
                <c:pt idx="332">
                  <c:v>44174</c:v>
                </c:pt>
                <c:pt idx="333">
                  <c:v>44175</c:v>
                </c:pt>
                <c:pt idx="334">
                  <c:v>44176</c:v>
                </c:pt>
                <c:pt idx="335">
                  <c:v>44177</c:v>
                </c:pt>
                <c:pt idx="336">
                  <c:v>44178</c:v>
                </c:pt>
                <c:pt idx="337">
                  <c:v>44179</c:v>
                </c:pt>
                <c:pt idx="338">
                  <c:v>44180</c:v>
                </c:pt>
                <c:pt idx="339">
                  <c:v>44181</c:v>
                </c:pt>
                <c:pt idx="340">
                  <c:v>44182</c:v>
                </c:pt>
                <c:pt idx="341">
                  <c:v>44183</c:v>
                </c:pt>
                <c:pt idx="342">
                  <c:v>44184</c:v>
                </c:pt>
                <c:pt idx="343">
                  <c:v>44185</c:v>
                </c:pt>
                <c:pt idx="344">
                  <c:v>44186</c:v>
                </c:pt>
                <c:pt idx="345">
                  <c:v>44187</c:v>
                </c:pt>
                <c:pt idx="346">
                  <c:v>44188</c:v>
                </c:pt>
                <c:pt idx="347">
                  <c:v>44189</c:v>
                </c:pt>
                <c:pt idx="348">
                  <c:v>44190</c:v>
                </c:pt>
                <c:pt idx="349">
                  <c:v>44191</c:v>
                </c:pt>
                <c:pt idx="350">
                  <c:v>44192</c:v>
                </c:pt>
                <c:pt idx="351">
                  <c:v>44193</c:v>
                </c:pt>
                <c:pt idx="352">
                  <c:v>44194</c:v>
                </c:pt>
                <c:pt idx="353">
                  <c:v>44195</c:v>
                </c:pt>
                <c:pt idx="354">
                  <c:v>44196</c:v>
                </c:pt>
                <c:pt idx="355">
                  <c:v>44197</c:v>
                </c:pt>
                <c:pt idx="356">
                  <c:v>44198</c:v>
                </c:pt>
                <c:pt idx="357">
                  <c:v>44199</c:v>
                </c:pt>
                <c:pt idx="358">
                  <c:v>44200</c:v>
                </c:pt>
                <c:pt idx="359">
                  <c:v>44201</c:v>
                </c:pt>
                <c:pt idx="360">
                  <c:v>44202</c:v>
                </c:pt>
                <c:pt idx="361">
                  <c:v>44203</c:v>
                </c:pt>
                <c:pt idx="362">
                  <c:v>44204</c:v>
                </c:pt>
                <c:pt idx="363">
                  <c:v>44205</c:v>
                </c:pt>
                <c:pt idx="364">
                  <c:v>44206</c:v>
                </c:pt>
                <c:pt idx="365">
                  <c:v>44207</c:v>
                </c:pt>
                <c:pt idx="366">
                  <c:v>44208</c:v>
                </c:pt>
                <c:pt idx="367">
                  <c:v>44209</c:v>
                </c:pt>
                <c:pt idx="368">
                  <c:v>44210</c:v>
                </c:pt>
                <c:pt idx="369">
                  <c:v>44211</c:v>
                </c:pt>
                <c:pt idx="370">
                  <c:v>44212</c:v>
                </c:pt>
                <c:pt idx="371">
                  <c:v>44213</c:v>
                </c:pt>
                <c:pt idx="372">
                  <c:v>44214</c:v>
                </c:pt>
                <c:pt idx="373">
                  <c:v>44215</c:v>
                </c:pt>
                <c:pt idx="374">
                  <c:v>44216</c:v>
                </c:pt>
                <c:pt idx="375">
                  <c:v>44217</c:v>
                </c:pt>
                <c:pt idx="376">
                  <c:v>44218</c:v>
                </c:pt>
                <c:pt idx="377">
                  <c:v>44219</c:v>
                </c:pt>
                <c:pt idx="378">
                  <c:v>44220</c:v>
                </c:pt>
                <c:pt idx="379">
                  <c:v>44221</c:v>
                </c:pt>
                <c:pt idx="380">
                  <c:v>44222</c:v>
                </c:pt>
                <c:pt idx="381">
                  <c:v>44223</c:v>
                </c:pt>
                <c:pt idx="382">
                  <c:v>44224</c:v>
                </c:pt>
                <c:pt idx="383">
                  <c:v>44225</c:v>
                </c:pt>
                <c:pt idx="384">
                  <c:v>44226</c:v>
                </c:pt>
                <c:pt idx="385">
                  <c:v>44227</c:v>
                </c:pt>
                <c:pt idx="386">
                  <c:v>44228</c:v>
                </c:pt>
                <c:pt idx="387">
                  <c:v>44229</c:v>
                </c:pt>
                <c:pt idx="388">
                  <c:v>44230</c:v>
                </c:pt>
                <c:pt idx="389">
                  <c:v>44231</c:v>
                </c:pt>
                <c:pt idx="390">
                  <c:v>44232</c:v>
                </c:pt>
                <c:pt idx="391">
                  <c:v>44233</c:v>
                </c:pt>
                <c:pt idx="392">
                  <c:v>44234</c:v>
                </c:pt>
                <c:pt idx="393">
                  <c:v>44235</c:v>
                </c:pt>
                <c:pt idx="394">
                  <c:v>44236</c:v>
                </c:pt>
                <c:pt idx="395">
                  <c:v>44237</c:v>
                </c:pt>
                <c:pt idx="396">
                  <c:v>44238</c:v>
                </c:pt>
                <c:pt idx="397">
                  <c:v>44239</c:v>
                </c:pt>
                <c:pt idx="398">
                  <c:v>44240</c:v>
                </c:pt>
                <c:pt idx="399">
                  <c:v>44241</c:v>
                </c:pt>
                <c:pt idx="400">
                  <c:v>44242</c:v>
                </c:pt>
                <c:pt idx="401">
                  <c:v>44243</c:v>
                </c:pt>
                <c:pt idx="402">
                  <c:v>44244</c:v>
                </c:pt>
                <c:pt idx="403">
                  <c:v>44245</c:v>
                </c:pt>
                <c:pt idx="404">
                  <c:v>44246</c:v>
                </c:pt>
                <c:pt idx="405">
                  <c:v>44247</c:v>
                </c:pt>
                <c:pt idx="406">
                  <c:v>44248</c:v>
                </c:pt>
                <c:pt idx="407">
                  <c:v>44249</c:v>
                </c:pt>
                <c:pt idx="408">
                  <c:v>44250</c:v>
                </c:pt>
                <c:pt idx="409">
                  <c:v>44251</c:v>
                </c:pt>
                <c:pt idx="410">
                  <c:v>44252</c:v>
                </c:pt>
                <c:pt idx="411">
                  <c:v>44253</c:v>
                </c:pt>
                <c:pt idx="412">
                  <c:v>44254</c:v>
                </c:pt>
                <c:pt idx="413">
                  <c:v>44255</c:v>
                </c:pt>
                <c:pt idx="414">
                  <c:v>44256</c:v>
                </c:pt>
                <c:pt idx="415">
                  <c:v>44257</c:v>
                </c:pt>
                <c:pt idx="416">
                  <c:v>44258</c:v>
                </c:pt>
                <c:pt idx="417">
                  <c:v>44259</c:v>
                </c:pt>
                <c:pt idx="418">
                  <c:v>44260</c:v>
                </c:pt>
                <c:pt idx="419">
                  <c:v>44261</c:v>
                </c:pt>
                <c:pt idx="420">
                  <c:v>44262</c:v>
                </c:pt>
                <c:pt idx="421">
                  <c:v>44263</c:v>
                </c:pt>
                <c:pt idx="422">
                  <c:v>44264</c:v>
                </c:pt>
                <c:pt idx="423">
                  <c:v>44265</c:v>
                </c:pt>
                <c:pt idx="424">
                  <c:v>44266</c:v>
                </c:pt>
                <c:pt idx="425">
                  <c:v>44267</c:v>
                </c:pt>
                <c:pt idx="426">
                  <c:v>44268</c:v>
                </c:pt>
                <c:pt idx="427">
                  <c:v>44269</c:v>
                </c:pt>
                <c:pt idx="428">
                  <c:v>44270</c:v>
                </c:pt>
                <c:pt idx="429">
                  <c:v>44271</c:v>
                </c:pt>
                <c:pt idx="430">
                  <c:v>44272</c:v>
                </c:pt>
                <c:pt idx="431">
                  <c:v>44273</c:v>
                </c:pt>
                <c:pt idx="432">
                  <c:v>44274</c:v>
                </c:pt>
                <c:pt idx="433">
                  <c:v>44275</c:v>
                </c:pt>
                <c:pt idx="434">
                  <c:v>44276</c:v>
                </c:pt>
                <c:pt idx="435">
                  <c:v>44277</c:v>
                </c:pt>
                <c:pt idx="436">
                  <c:v>44278</c:v>
                </c:pt>
                <c:pt idx="437">
                  <c:v>44279</c:v>
                </c:pt>
                <c:pt idx="438">
                  <c:v>44280</c:v>
                </c:pt>
                <c:pt idx="439">
                  <c:v>44281</c:v>
                </c:pt>
                <c:pt idx="440">
                  <c:v>44282</c:v>
                </c:pt>
                <c:pt idx="441">
                  <c:v>44283</c:v>
                </c:pt>
                <c:pt idx="442">
                  <c:v>44284</c:v>
                </c:pt>
                <c:pt idx="443">
                  <c:v>44285</c:v>
                </c:pt>
                <c:pt idx="444">
                  <c:v>44286</c:v>
                </c:pt>
                <c:pt idx="445">
                  <c:v>44287</c:v>
                </c:pt>
                <c:pt idx="446">
                  <c:v>44288</c:v>
                </c:pt>
                <c:pt idx="447">
                  <c:v>44289</c:v>
                </c:pt>
                <c:pt idx="448">
                  <c:v>44290</c:v>
                </c:pt>
                <c:pt idx="449">
                  <c:v>44291</c:v>
                </c:pt>
                <c:pt idx="450">
                  <c:v>44292</c:v>
                </c:pt>
                <c:pt idx="451">
                  <c:v>44293</c:v>
                </c:pt>
                <c:pt idx="452">
                  <c:v>44294</c:v>
                </c:pt>
                <c:pt idx="453">
                  <c:v>44295</c:v>
                </c:pt>
                <c:pt idx="454">
                  <c:v>44296</c:v>
                </c:pt>
                <c:pt idx="455">
                  <c:v>44297</c:v>
                </c:pt>
                <c:pt idx="456">
                  <c:v>44298</c:v>
                </c:pt>
                <c:pt idx="457">
                  <c:v>44299</c:v>
                </c:pt>
                <c:pt idx="458">
                  <c:v>44300</c:v>
                </c:pt>
                <c:pt idx="459">
                  <c:v>44301</c:v>
                </c:pt>
                <c:pt idx="460">
                  <c:v>44302</c:v>
                </c:pt>
                <c:pt idx="461">
                  <c:v>44303</c:v>
                </c:pt>
                <c:pt idx="462">
                  <c:v>44304</c:v>
                </c:pt>
                <c:pt idx="463">
                  <c:v>44305</c:v>
                </c:pt>
                <c:pt idx="464">
                  <c:v>44306</c:v>
                </c:pt>
                <c:pt idx="465">
                  <c:v>44307</c:v>
                </c:pt>
                <c:pt idx="466">
                  <c:v>44308</c:v>
                </c:pt>
                <c:pt idx="467">
                  <c:v>44309</c:v>
                </c:pt>
                <c:pt idx="468">
                  <c:v>44310</c:v>
                </c:pt>
                <c:pt idx="469">
                  <c:v>44311</c:v>
                </c:pt>
                <c:pt idx="470">
                  <c:v>44312</c:v>
                </c:pt>
                <c:pt idx="471">
                  <c:v>44313</c:v>
                </c:pt>
                <c:pt idx="472">
                  <c:v>44314</c:v>
                </c:pt>
                <c:pt idx="473">
                  <c:v>44315</c:v>
                </c:pt>
                <c:pt idx="474">
                  <c:v>44316</c:v>
                </c:pt>
                <c:pt idx="475">
                  <c:v>44317</c:v>
                </c:pt>
                <c:pt idx="476">
                  <c:v>44318</c:v>
                </c:pt>
                <c:pt idx="477">
                  <c:v>44319</c:v>
                </c:pt>
                <c:pt idx="478">
                  <c:v>44320</c:v>
                </c:pt>
                <c:pt idx="479">
                  <c:v>44321</c:v>
                </c:pt>
                <c:pt idx="480">
                  <c:v>44322</c:v>
                </c:pt>
                <c:pt idx="481">
                  <c:v>44323</c:v>
                </c:pt>
                <c:pt idx="482">
                  <c:v>44324</c:v>
                </c:pt>
                <c:pt idx="483">
                  <c:v>44325</c:v>
                </c:pt>
                <c:pt idx="484">
                  <c:v>44326</c:v>
                </c:pt>
                <c:pt idx="485">
                  <c:v>44327</c:v>
                </c:pt>
                <c:pt idx="486">
                  <c:v>44328</c:v>
                </c:pt>
                <c:pt idx="487">
                  <c:v>44329</c:v>
                </c:pt>
                <c:pt idx="488">
                  <c:v>44330</c:v>
                </c:pt>
                <c:pt idx="489">
                  <c:v>44331</c:v>
                </c:pt>
                <c:pt idx="490">
                  <c:v>44332</c:v>
                </c:pt>
                <c:pt idx="491">
                  <c:v>44333</c:v>
                </c:pt>
                <c:pt idx="492">
                  <c:v>44334</c:v>
                </c:pt>
                <c:pt idx="493">
                  <c:v>44335</c:v>
                </c:pt>
                <c:pt idx="494">
                  <c:v>44336</c:v>
                </c:pt>
                <c:pt idx="495">
                  <c:v>44337</c:v>
                </c:pt>
                <c:pt idx="496">
                  <c:v>44338</c:v>
                </c:pt>
                <c:pt idx="497">
                  <c:v>44339</c:v>
                </c:pt>
                <c:pt idx="498">
                  <c:v>44340</c:v>
                </c:pt>
                <c:pt idx="499">
                  <c:v>44341</c:v>
                </c:pt>
                <c:pt idx="500">
                  <c:v>44342</c:v>
                </c:pt>
                <c:pt idx="501">
                  <c:v>44343</c:v>
                </c:pt>
                <c:pt idx="502">
                  <c:v>44344</c:v>
                </c:pt>
                <c:pt idx="503">
                  <c:v>44345</c:v>
                </c:pt>
                <c:pt idx="504">
                  <c:v>44346</c:v>
                </c:pt>
                <c:pt idx="505">
                  <c:v>44347</c:v>
                </c:pt>
                <c:pt idx="506">
                  <c:v>44348</c:v>
                </c:pt>
                <c:pt idx="507">
                  <c:v>44349</c:v>
                </c:pt>
                <c:pt idx="508">
                  <c:v>44350</c:v>
                </c:pt>
                <c:pt idx="509">
                  <c:v>44351</c:v>
                </c:pt>
                <c:pt idx="510">
                  <c:v>44352</c:v>
                </c:pt>
                <c:pt idx="511">
                  <c:v>44353</c:v>
                </c:pt>
                <c:pt idx="512">
                  <c:v>44354</c:v>
                </c:pt>
                <c:pt idx="513">
                  <c:v>44355</c:v>
                </c:pt>
                <c:pt idx="514">
                  <c:v>44356</c:v>
                </c:pt>
                <c:pt idx="515">
                  <c:v>44357</c:v>
                </c:pt>
                <c:pt idx="516">
                  <c:v>44358</c:v>
                </c:pt>
                <c:pt idx="517">
                  <c:v>44359</c:v>
                </c:pt>
                <c:pt idx="518">
                  <c:v>44360</c:v>
                </c:pt>
                <c:pt idx="519">
                  <c:v>44361</c:v>
                </c:pt>
                <c:pt idx="520">
                  <c:v>44362</c:v>
                </c:pt>
                <c:pt idx="521">
                  <c:v>44363</c:v>
                </c:pt>
                <c:pt idx="522">
                  <c:v>44364</c:v>
                </c:pt>
                <c:pt idx="523">
                  <c:v>44365</c:v>
                </c:pt>
                <c:pt idx="524">
                  <c:v>44366</c:v>
                </c:pt>
                <c:pt idx="525">
                  <c:v>44367</c:v>
                </c:pt>
                <c:pt idx="526">
                  <c:v>44368</c:v>
                </c:pt>
                <c:pt idx="527">
                  <c:v>44369</c:v>
                </c:pt>
                <c:pt idx="528">
                  <c:v>44370</c:v>
                </c:pt>
                <c:pt idx="529">
                  <c:v>44371</c:v>
                </c:pt>
                <c:pt idx="530">
                  <c:v>44372</c:v>
                </c:pt>
                <c:pt idx="531">
                  <c:v>44373</c:v>
                </c:pt>
                <c:pt idx="532">
                  <c:v>44374</c:v>
                </c:pt>
                <c:pt idx="533">
                  <c:v>44375</c:v>
                </c:pt>
                <c:pt idx="534">
                  <c:v>44376</c:v>
                </c:pt>
                <c:pt idx="535">
                  <c:v>44377</c:v>
                </c:pt>
                <c:pt idx="536">
                  <c:v>44378</c:v>
                </c:pt>
                <c:pt idx="537">
                  <c:v>44379</c:v>
                </c:pt>
                <c:pt idx="538">
                  <c:v>44380</c:v>
                </c:pt>
                <c:pt idx="539">
                  <c:v>44381</c:v>
                </c:pt>
                <c:pt idx="540">
                  <c:v>44382</c:v>
                </c:pt>
                <c:pt idx="541">
                  <c:v>44383</c:v>
                </c:pt>
                <c:pt idx="542">
                  <c:v>44384</c:v>
                </c:pt>
                <c:pt idx="543">
                  <c:v>44385</c:v>
                </c:pt>
                <c:pt idx="544">
                  <c:v>44386</c:v>
                </c:pt>
                <c:pt idx="545">
                  <c:v>44387</c:v>
                </c:pt>
                <c:pt idx="546">
                  <c:v>44388</c:v>
                </c:pt>
                <c:pt idx="547">
                  <c:v>44389</c:v>
                </c:pt>
                <c:pt idx="548">
                  <c:v>44390</c:v>
                </c:pt>
                <c:pt idx="549">
                  <c:v>44391</c:v>
                </c:pt>
                <c:pt idx="550">
                  <c:v>44392</c:v>
                </c:pt>
                <c:pt idx="551">
                  <c:v>44393</c:v>
                </c:pt>
                <c:pt idx="552">
                  <c:v>44394</c:v>
                </c:pt>
                <c:pt idx="553">
                  <c:v>44395</c:v>
                </c:pt>
                <c:pt idx="554">
                  <c:v>44396</c:v>
                </c:pt>
                <c:pt idx="555">
                  <c:v>44397</c:v>
                </c:pt>
                <c:pt idx="556">
                  <c:v>44398</c:v>
                </c:pt>
                <c:pt idx="557">
                  <c:v>44399</c:v>
                </c:pt>
                <c:pt idx="558">
                  <c:v>44400</c:v>
                </c:pt>
                <c:pt idx="559">
                  <c:v>44401</c:v>
                </c:pt>
                <c:pt idx="560">
                  <c:v>44402</c:v>
                </c:pt>
                <c:pt idx="561">
                  <c:v>44403</c:v>
                </c:pt>
                <c:pt idx="562">
                  <c:v>44404</c:v>
                </c:pt>
                <c:pt idx="563">
                  <c:v>44405</c:v>
                </c:pt>
                <c:pt idx="564">
                  <c:v>44406</c:v>
                </c:pt>
                <c:pt idx="565">
                  <c:v>44407</c:v>
                </c:pt>
                <c:pt idx="566">
                  <c:v>44408</c:v>
                </c:pt>
                <c:pt idx="567">
                  <c:v>44409</c:v>
                </c:pt>
                <c:pt idx="568">
                  <c:v>44410</c:v>
                </c:pt>
                <c:pt idx="569">
                  <c:v>44411</c:v>
                </c:pt>
                <c:pt idx="570">
                  <c:v>44412</c:v>
                </c:pt>
                <c:pt idx="571">
                  <c:v>44413</c:v>
                </c:pt>
                <c:pt idx="572">
                  <c:v>44414</c:v>
                </c:pt>
                <c:pt idx="573">
                  <c:v>44415</c:v>
                </c:pt>
                <c:pt idx="574">
                  <c:v>44416</c:v>
                </c:pt>
                <c:pt idx="575">
                  <c:v>44417</c:v>
                </c:pt>
                <c:pt idx="576">
                  <c:v>44418</c:v>
                </c:pt>
                <c:pt idx="577">
                  <c:v>44419</c:v>
                </c:pt>
                <c:pt idx="578">
                  <c:v>44420</c:v>
                </c:pt>
                <c:pt idx="579">
                  <c:v>44421</c:v>
                </c:pt>
                <c:pt idx="580">
                  <c:v>44422</c:v>
                </c:pt>
                <c:pt idx="581">
                  <c:v>44423</c:v>
                </c:pt>
                <c:pt idx="582">
                  <c:v>44424</c:v>
                </c:pt>
                <c:pt idx="583">
                  <c:v>44425</c:v>
                </c:pt>
                <c:pt idx="584">
                  <c:v>44426</c:v>
                </c:pt>
                <c:pt idx="585">
                  <c:v>44427</c:v>
                </c:pt>
                <c:pt idx="586">
                  <c:v>44428</c:v>
                </c:pt>
                <c:pt idx="587">
                  <c:v>44429</c:v>
                </c:pt>
                <c:pt idx="588">
                  <c:v>44430</c:v>
                </c:pt>
                <c:pt idx="589">
                  <c:v>44431</c:v>
                </c:pt>
                <c:pt idx="590">
                  <c:v>44432</c:v>
                </c:pt>
                <c:pt idx="591">
                  <c:v>44433</c:v>
                </c:pt>
                <c:pt idx="592">
                  <c:v>44434</c:v>
                </c:pt>
                <c:pt idx="593">
                  <c:v>44435</c:v>
                </c:pt>
                <c:pt idx="594">
                  <c:v>44436</c:v>
                </c:pt>
                <c:pt idx="595">
                  <c:v>44437</c:v>
                </c:pt>
                <c:pt idx="596">
                  <c:v>44438</c:v>
                </c:pt>
                <c:pt idx="597">
                  <c:v>44439</c:v>
                </c:pt>
                <c:pt idx="598">
                  <c:v>44440</c:v>
                </c:pt>
                <c:pt idx="599">
                  <c:v>44441</c:v>
                </c:pt>
                <c:pt idx="600">
                  <c:v>44442</c:v>
                </c:pt>
                <c:pt idx="601">
                  <c:v>44443</c:v>
                </c:pt>
                <c:pt idx="602">
                  <c:v>44444</c:v>
                </c:pt>
                <c:pt idx="603">
                  <c:v>44445</c:v>
                </c:pt>
                <c:pt idx="604">
                  <c:v>44446</c:v>
                </c:pt>
                <c:pt idx="605">
                  <c:v>44447</c:v>
                </c:pt>
                <c:pt idx="606">
                  <c:v>44448</c:v>
                </c:pt>
                <c:pt idx="607">
                  <c:v>44449</c:v>
                </c:pt>
                <c:pt idx="608">
                  <c:v>44450</c:v>
                </c:pt>
                <c:pt idx="609">
                  <c:v>44451</c:v>
                </c:pt>
                <c:pt idx="610">
                  <c:v>44452</c:v>
                </c:pt>
                <c:pt idx="611">
                  <c:v>44453</c:v>
                </c:pt>
                <c:pt idx="612">
                  <c:v>44454</c:v>
                </c:pt>
                <c:pt idx="613">
                  <c:v>44455</c:v>
                </c:pt>
                <c:pt idx="614">
                  <c:v>44456</c:v>
                </c:pt>
                <c:pt idx="615">
                  <c:v>44457</c:v>
                </c:pt>
                <c:pt idx="616">
                  <c:v>44458</c:v>
                </c:pt>
                <c:pt idx="617">
                  <c:v>44459</c:v>
                </c:pt>
                <c:pt idx="618">
                  <c:v>44460</c:v>
                </c:pt>
                <c:pt idx="619">
                  <c:v>44461</c:v>
                </c:pt>
                <c:pt idx="620">
                  <c:v>44462</c:v>
                </c:pt>
                <c:pt idx="621">
                  <c:v>44463</c:v>
                </c:pt>
                <c:pt idx="622">
                  <c:v>44464</c:v>
                </c:pt>
                <c:pt idx="623">
                  <c:v>44465</c:v>
                </c:pt>
                <c:pt idx="624">
                  <c:v>44466</c:v>
                </c:pt>
                <c:pt idx="625">
                  <c:v>44467</c:v>
                </c:pt>
                <c:pt idx="626">
                  <c:v>44468</c:v>
                </c:pt>
                <c:pt idx="627">
                  <c:v>44469</c:v>
                </c:pt>
                <c:pt idx="628">
                  <c:v>44470</c:v>
                </c:pt>
                <c:pt idx="629">
                  <c:v>44471</c:v>
                </c:pt>
                <c:pt idx="630">
                  <c:v>44472</c:v>
                </c:pt>
                <c:pt idx="631">
                  <c:v>44473</c:v>
                </c:pt>
                <c:pt idx="632">
                  <c:v>44474</c:v>
                </c:pt>
                <c:pt idx="633">
                  <c:v>44475</c:v>
                </c:pt>
                <c:pt idx="634">
                  <c:v>44476</c:v>
                </c:pt>
                <c:pt idx="635">
                  <c:v>44477</c:v>
                </c:pt>
                <c:pt idx="636">
                  <c:v>44478</c:v>
                </c:pt>
                <c:pt idx="637">
                  <c:v>44479</c:v>
                </c:pt>
                <c:pt idx="638">
                  <c:v>44480</c:v>
                </c:pt>
                <c:pt idx="639">
                  <c:v>44481</c:v>
                </c:pt>
                <c:pt idx="640">
                  <c:v>44482</c:v>
                </c:pt>
                <c:pt idx="641">
                  <c:v>44483</c:v>
                </c:pt>
                <c:pt idx="642">
                  <c:v>44484</c:v>
                </c:pt>
                <c:pt idx="643">
                  <c:v>44485</c:v>
                </c:pt>
                <c:pt idx="644">
                  <c:v>44486</c:v>
                </c:pt>
                <c:pt idx="645">
                  <c:v>44487</c:v>
                </c:pt>
                <c:pt idx="646">
                  <c:v>44488</c:v>
                </c:pt>
                <c:pt idx="647">
                  <c:v>44489</c:v>
                </c:pt>
                <c:pt idx="648">
                  <c:v>44490</c:v>
                </c:pt>
                <c:pt idx="649">
                  <c:v>44491</c:v>
                </c:pt>
                <c:pt idx="650">
                  <c:v>44492</c:v>
                </c:pt>
                <c:pt idx="651">
                  <c:v>44493</c:v>
                </c:pt>
                <c:pt idx="652">
                  <c:v>44494</c:v>
                </c:pt>
                <c:pt idx="653">
                  <c:v>44495</c:v>
                </c:pt>
                <c:pt idx="654">
                  <c:v>44496</c:v>
                </c:pt>
                <c:pt idx="655">
                  <c:v>44497</c:v>
                </c:pt>
                <c:pt idx="656">
                  <c:v>44498</c:v>
                </c:pt>
                <c:pt idx="657">
                  <c:v>44499</c:v>
                </c:pt>
                <c:pt idx="658">
                  <c:v>44500</c:v>
                </c:pt>
                <c:pt idx="659">
                  <c:v>44501</c:v>
                </c:pt>
                <c:pt idx="660">
                  <c:v>44502</c:v>
                </c:pt>
                <c:pt idx="661">
                  <c:v>44503</c:v>
                </c:pt>
                <c:pt idx="662">
                  <c:v>44504</c:v>
                </c:pt>
                <c:pt idx="663">
                  <c:v>44505</c:v>
                </c:pt>
                <c:pt idx="664">
                  <c:v>44506</c:v>
                </c:pt>
                <c:pt idx="665">
                  <c:v>44507</c:v>
                </c:pt>
                <c:pt idx="666">
                  <c:v>44508</c:v>
                </c:pt>
                <c:pt idx="667">
                  <c:v>44509</c:v>
                </c:pt>
                <c:pt idx="668">
                  <c:v>44510</c:v>
                </c:pt>
                <c:pt idx="669">
                  <c:v>44511</c:v>
                </c:pt>
                <c:pt idx="670">
                  <c:v>44512</c:v>
                </c:pt>
                <c:pt idx="671">
                  <c:v>44513</c:v>
                </c:pt>
                <c:pt idx="672">
                  <c:v>44514</c:v>
                </c:pt>
                <c:pt idx="673">
                  <c:v>44515</c:v>
                </c:pt>
                <c:pt idx="674">
                  <c:v>44516</c:v>
                </c:pt>
                <c:pt idx="675">
                  <c:v>44517</c:v>
                </c:pt>
                <c:pt idx="676">
                  <c:v>44518</c:v>
                </c:pt>
                <c:pt idx="677">
                  <c:v>44519</c:v>
                </c:pt>
                <c:pt idx="678">
                  <c:v>44520</c:v>
                </c:pt>
                <c:pt idx="679">
                  <c:v>44521</c:v>
                </c:pt>
                <c:pt idx="680">
                  <c:v>44522</c:v>
                </c:pt>
                <c:pt idx="681">
                  <c:v>44523</c:v>
                </c:pt>
                <c:pt idx="682">
                  <c:v>44524</c:v>
                </c:pt>
                <c:pt idx="683">
                  <c:v>44525</c:v>
                </c:pt>
                <c:pt idx="684">
                  <c:v>44526</c:v>
                </c:pt>
                <c:pt idx="685">
                  <c:v>44527</c:v>
                </c:pt>
                <c:pt idx="686">
                  <c:v>44528</c:v>
                </c:pt>
                <c:pt idx="687">
                  <c:v>44529</c:v>
                </c:pt>
                <c:pt idx="688">
                  <c:v>44530</c:v>
                </c:pt>
                <c:pt idx="689">
                  <c:v>44531</c:v>
                </c:pt>
                <c:pt idx="690">
                  <c:v>44532</c:v>
                </c:pt>
                <c:pt idx="691">
                  <c:v>44533</c:v>
                </c:pt>
                <c:pt idx="692">
                  <c:v>44534</c:v>
                </c:pt>
                <c:pt idx="693">
                  <c:v>44535</c:v>
                </c:pt>
                <c:pt idx="694">
                  <c:v>44536</c:v>
                </c:pt>
                <c:pt idx="695">
                  <c:v>44537</c:v>
                </c:pt>
                <c:pt idx="696">
                  <c:v>44538</c:v>
                </c:pt>
                <c:pt idx="697">
                  <c:v>44539</c:v>
                </c:pt>
                <c:pt idx="698">
                  <c:v>44540</c:v>
                </c:pt>
                <c:pt idx="699">
                  <c:v>44541</c:v>
                </c:pt>
                <c:pt idx="700">
                  <c:v>44542</c:v>
                </c:pt>
                <c:pt idx="701">
                  <c:v>44543</c:v>
                </c:pt>
                <c:pt idx="702">
                  <c:v>44544</c:v>
                </c:pt>
                <c:pt idx="703">
                  <c:v>44545</c:v>
                </c:pt>
                <c:pt idx="704">
                  <c:v>44546</c:v>
                </c:pt>
                <c:pt idx="705">
                  <c:v>44547</c:v>
                </c:pt>
                <c:pt idx="706">
                  <c:v>44548</c:v>
                </c:pt>
                <c:pt idx="707">
                  <c:v>44549</c:v>
                </c:pt>
                <c:pt idx="708">
                  <c:v>44550</c:v>
                </c:pt>
                <c:pt idx="709">
                  <c:v>44551</c:v>
                </c:pt>
                <c:pt idx="710">
                  <c:v>44552</c:v>
                </c:pt>
                <c:pt idx="711">
                  <c:v>44553</c:v>
                </c:pt>
                <c:pt idx="712">
                  <c:v>44554</c:v>
                </c:pt>
                <c:pt idx="713">
                  <c:v>44555</c:v>
                </c:pt>
                <c:pt idx="714">
                  <c:v>44556</c:v>
                </c:pt>
                <c:pt idx="715">
                  <c:v>44557</c:v>
                </c:pt>
                <c:pt idx="716">
                  <c:v>44558</c:v>
                </c:pt>
                <c:pt idx="717">
                  <c:v>44559</c:v>
                </c:pt>
                <c:pt idx="718">
                  <c:v>44560</c:v>
                </c:pt>
                <c:pt idx="719">
                  <c:v>44561</c:v>
                </c:pt>
                <c:pt idx="720">
                  <c:v>44562</c:v>
                </c:pt>
                <c:pt idx="721">
                  <c:v>44563</c:v>
                </c:pt>
                <c:pt idx="722">
                  <c:v>44564</c:v>
                </c:pt>
                <c:pt idx="723">
                  <c:v>44565</c:v>
                </c:pt>
                <c:pt idx="724">
                  <c:v>44566</c:v>
                </c:pt>
                <c:pt idx="725">
                  <c:v>44567</c:v>
                </c:pt>
                <c:pt idx="726">
                  <c:v>44568</c:v>
                </c:pt>
                <c:pt idx="727">
                  <c:v>44569</c:v>
                </c:pt>
                <c:pt idx="728">
                  <c:v>44570</c:v>
                </c:pt>
                <c:pt idx="729">
                  <c:v>44571</c:v>
                </c:pt>
                <c:pt idx="730">
                  <c:v>44572</c:v>
                </c:pt>
                <c:pt idx="731">
                  <c:v>44573</c:v>
                </c:pt>
                <c:pt idx="732">
                  <c:v>44574</c:v>
                </c:pt>
                <c:pt idx="733">
                  <c:v>44575</c:v>
                </c:pt>
                <c:pt idx="734">
                  <c:v>44576</c:v>
                </c:pt>
                <c:pt idx="735">
                  <c:v>44577</c:v>
                </c:pt>
                <c:pt idx="736">
                  <c:v>44578</c:v>
                </c:pt>
                <c:pt idx="737">
                  <c:v>44579</c:v>
                </c:pt>
                <c:pt idx="738">
                  <c:v>44580</c:v>
                </c:pt>
                <c:pt idx="739">
                  <c:v>44581</c:v>
                </c:pt>
                <c:pt idx="740">
                  <c:v>44582</c:v>
                </c:pt>
                <c:pt idx="741">
                  <c:v>44583</c:v>
                </c:pt>
                <c:pt idx="742">
                  <c:v>44584</c:v>
                </c:pt>
                <c:pt idx="743">
                  <c:v>44585</c:v>
                </c:pt>
                <c:pt idx="744">
                  <c:v>44586</c:v>
                </c:pt>
                <c:pt idx="745">
                  <c:v>44587</c:v>
                </c:pt>
                <c:pt idx="746">
                  <c:v>44588</c:v>
                </c:pt>
                <c:pt idx="747">
                  <c:v>44589</c:v>
                </c:pt>
                <c:pt idx="748">
                  <c:v>44590</c:v>
                </c:pt>
                <c:pt idx="749">
                  <c:v>44591</c:v>
                </c:pt>
                <c:pt idx="750">
                  <c:v>44592</c:v>
                </c:pt>
                <c:pt idx="751">
                  <c:v>44593</c:v>
                </c:pt>
                <c:pt idx="752">
                  <c:v>44594</c:v>
                </c:pt>
                <c:pt idx="753">
                  <c:v>44595</c:v>
                </c:pt>
                <c:pt idx="754">
                  <c:v>44596</c:v>
                </c:pt>
                <c:pt idx="755">
                  <c:v>44597</c:v>
                </c:pt>
                <c:pt idx="756">
                  <c:v>44598</c:v>
                </c:pt>
                <c:pt idx="757">
                  <c:v>44599</c:v>
                </c:pt>
                <c:pt idx="758">
                  <c:v>44600</c:v>
                </c:pt>
                <c:pt idx="759">
                  <c:v>44601</c:v>
                </c:pt>
                <c:pt idx="760">
                  <c:v>44602</c:v>
                </c:pt>
                <c:pt idx="761">
                  <c:v>44603</c:v>
                </c:pt>
                <c:pt idx="762">
                  <c:v>44604</c:v>
                </c:pt>
                <c:pt idx="763">
                  <c:v>44605</c:v>
                </c:pt>
                <c:pt idx="764">
                  <c:v>44606</c:v>
                </c:pt>
                <c:pt idx="765">
                  <c:v>44607</c:v>
                </c:pt>
                <c:pt idx="766">
                  <c:v>44608</c:v>
                </c:pt>
                <c:pt idx="767">
                  <c:v>44609</c:v>
                </c:pt>
                <c:pt idx="768">
                  <c:v>44610</c:v>
                </c:pt>
                <c:pt idx="769">
                  <c:v>44611</c:v>
                </c:pt>
                <c:pt idx="770">
                  <c:v>44612</c:v>
                </c:pt>
                <c:pt idx="771">
                  <c:v>44613</c:v>
                </c:pt>
                <c:pt idx="772">
                  <c:v>44614</c:v>
                </c:pt>
                <c:pt idx="773">
                  <c:v>44615</c:v>
                </c:pt>
                <c:pt idx="774">
                  <c:v>44616</c:v>
                </c:pt>
                <c:pt idx="775">
                  <c:v>44617</c:v>
                </c:pt>
                <c:pt idx="776">
                  <c:v>44618</c:v>
                </c:pt>
                <c:pt idx="777">
                  <c:v>44619</c:v>
                </c:pt>
                <c:pt idx="778">
                  <c:v>44620</c:v>
                </c:pt>
                <c:pt idx="779">
                  <c:v>44621</c:v>
                </c:pt>
                <c:pt idx="780">
                  <c:v>44622</c:v>
                </c:pt>
                <c:pt idx="781">
                  <c:v>44623</c:v>
                </c:pt>
                <c:pt idx="782">
                  <c:v>44624</c:v>
                </c:pt>
                <c:pt idx="783">
                  <c:v>44625</c:v>
                </c:pt>
                <c:pt idx="784">
                  <c:v>44626</c:v>
                </c:pt>
                <c:pt idx="785">
                  <c:v>44627</c:v>
                </c:pt>
                <c:pt idx="786">
                  <c:v>44628</c:v>
                </c:pt>
                <c:pt idx="787">
                  <c:v>44629</c:v>
                </c:pt>
                <c:pt idx="788">
                  <c:v>44630</c:v>
                </c:pt>
                <c:pt idx="789">
                  <c:v>44631</c:v>
                </c:pt>
                <c:pt idx="790">
                  <c:v>44632</c:v>
                </c:pt>
                <c:pt idx="791">
                  <c:v>44633</c:v>
                </c:pt>
                <c:pt idx="792">
                  <c:v>44634</c:v>
                </c:pt>
                <c:pt idx="793">
                  <c:v>44635</c:v>
                </c:pt>
                <c:pt idx="794">
                  <c:v>44636</c:v>
                </c:pt>
                <c:pt idx="795">
                  <c:v>44637</c:v>
                </c:pt>
                <c:pt idx="796">
                  <c:v>44638</c:v>
                </c:pt>
                <c:pt idx="797">
                  <c:v>44639</c:v>
                </c:pt>
                <c:pt idx="798">
                  <c:v>44640</c:v>
                </c:pt>
                <c:pt idx="799">
                  <c:v>44641</c:v>
                </c:pt>
                <c:pt idx="800">
                  <c:v>44642</c:v>
                </c:pt>
                <c:pt idx="801">
                  <c:v>44643</c:v>
                </c:pt>
                <c:pt idx="802">
                  <c:v>44644</c:v>
                </c:pt>
                <c:pt idx="803">
                  <c:v>44645</c:v>
                </c:pt>
                <c:pt idx="804">
                  <c:v>44646</c:v>
                </c:pt>
                <c:pt idx="805">
                  <c:v>44647</c:v>
                </c:pt>
                <c:pt idx="806">
                  <c:v>44648</c:v>
                </c:pt>
                <c:pt idx="807">
                  <c:v>44649</c:v>
                </c:pt>
                <c:pt idx="808">
                  <c:v>44650</c:v>
                </c:pt>
                <c:pt idx="809">
                  <c:v>44651</c:v>
                </c:pt>
                <c:pt idx="810">
                  <c:v>44652</c:v>
                </c:pt>
                <c:pt idx="811">
                  <c:v>44653</c:v>
                </c:pt>
                <c:pt idx="812">
                  <c:v>44654</c:v>
                </c:pt>
                <c:pt idx="813">
                  <c:v>44655</c:v>
                </c:pt>
                <c:pt idx="814">
                  <c:v>44656</c:v>
                </c:pt>
                <c:pt idx="815">
                  <c:v>44657</c:v>
                </c:pt>
                <c:pt idx="816">
                  <c:v>44658</c:v>
                </c:pt>
                <c:pt idx="817">
                  <c:v>44659</c:v>
                </c:pt>
                <c:pt idx="818">
                  <c:v>44660</c:v>
                </c:pt>
                <c:pt idx="819">
                  <c:v>44661</c:v>
                </c:pt>
                <c:pt idx="820">
                  <c:v>44662</c:v>
                </c:pt>
                <c:pt idx="821">
                  <c:v>44663</c:v>
                </c:pt>
                <c:pt idx="822">
                  <c:v>44664</c:v>
                </c:pt>
                <c:pt idx="823">
                  <c:v>44665</c:v>
                </c:pt>
                <c:pt idx="824">
                  <c:v>44666</c:v>
                </c:pt>
                <c:pt idx="825">
                  <c:v>44667</c:v>
                </c:pt>
                <c:pt idx="826">
                  <c:v>44668</c:v>
                </c:pt>
                <c:pt idx="827">
                  <c:v>44669</c:v>
                </c:pt>
                <c:pt idx="828">
                  <c:v>44670</c:v>
                </c:pt>
                <c:pt idx="829">
                  <c:v>44671</c:v>
                </c:pt>
                <c:pt idx="830">
                  <c:v>44672</c:v>
                </c:pt>
                <c:pt idx="831">
                  <c:v>44673</c:v>
                </c:pt>
                <c:pt idx="832">
                  <c:v>44674</c:v>
                </c:pt>
                <c:pt idx="833">
                  <c:v>44675</c:v>
                </c:pt>
                <c:pt idx="834">
                  <c:v>44676</c:v>
                </c:pt>
                <c:pt idx="835">
                  <c:v>44677</c:v>
                </c:pt>
                <c:pt idx="836">
                  <c:v>44678</c:v>
                </c:pt>
                <c:pt idx="837">
                  <c:v>44679</c:v>
                </c:pt>
                <c:pt idx="838">
                  <c:v>44680</c:v>
                </c:pt>
                <c:pt idx="839">
                  <c:v>44681</c:v>
                </c:pt>
                <c:pt idx="840">
                  <c:v>44682</c:v>
                </c:pt>
                <c:pt idx="841">
                  <c:v>44683</c:v>
                </c:pt>
                <c:pt idx="842">
                  <c:v>44684</c:v>
                </c:pt>
                <c:pt idx="843">
                  <c:v>44685</c:v>
                </c:pt>
                <c:pt idx="844">
                  <c:v>44686</c:v>
                </c:pt>
                <c:pt idx="845">
                  <c:v>44687</c:v>
                </c:pt>
                <c:pt idx="846">
                  <c:v>44688</c:v>
                </c:pt>
                <c:pt idx="847">
                  <c:v>44689</c:v>
                </c:pt>
                <c:pt idx="848">
                  <c:v>44690</c:v>
                </c:pt>
                <c:pt idx="849">
                  <c:v>44691</c:v>
                </c:pt>
                <c:pt idx="850">
                  <c:v>44692</c:v>
                </c:pt>
                <c:pt idx="851">
                  <c:v>44693</c:v>
                </c:pt>
                <c:pt idx="852">
                  <c:v>44694</c:v>
                </c:pt>
                <c:pt idx="853">
                  <c:v>44695</c:v>
                </c:pt>
                <c:pt idx="854">
                  <c:v>44696</c:v>
                </c:pt>
                <c:pt idx="855">
                  <c:v>44697</c:v>
                </c:pt>
                <c:pt idx="856">
                  <c:v>44698</c:v>
                </c:pt>
                <c:pt idx="857">
                  <c:v>44699</c:v>
                </c:pt>
                <c:pt idx="858">
                  <c:v>44700</c:v>
                </c:pt>
                <c:pt idx="859">
                  <c:v>44701</c:v>
                </c:pt>
                <c:pt idx="860">
                  <c:v>44702</c:v>
                </c:pt>
                <c:pt idx="861">
                  <c:v>44703</c:v>
                </c:pt>
                <c:pt idx="862">
                  <c:v>44704</c:v>
                </c:pt>
                <c:pt idx="863">
                  <c:v>44705</c:v>
                </c:pt>
                <c:pt idx="864">
                  <c:v>44706</c:v>
                </c:pt>
                <c:pt idx="865">
                  <c:v>44707</c:v>
                </c:pt>
                <c:pt idx="866">
                  <c:v>44708</c:v>
                </c:pt>
                <c:pt idx="867">
                  <c:v>44709</c:v>
                </c:pt>
                <c:pt idx="868">
                  <c:v>44710</c:v>
                </c:pt>
                <c:pt idx="869">
                  <c:v>44711</c:v>
                </c:pt>
                <c:pt idx="870">
                  <c:v>44712</c:v>
                </c:pt>
                <c:pt idx="871">
                  <c:v>44713</c:v>
                </c:pt>
                <c:pt idx="872">
                  <c:v>44714</c:v>
                </c:pt>
                <c:pt idx="873">
                  <c:v>44715</c:v>
                </c:pt>
                <c:pt idx="874">
                  <c:v>44716</c:v>
                </c:pt>
                <c:pt idx="875">
                  <c:v>44717</c:v>
                </c:pt>
                <c:pt idx="876">
                  <c:v>44718</c:v>
                </c:pt>
                <c:pt idx="877">
                  <c:v>44719</c:v>
                </c:pt>
                <c:pt idx="878">
                  <c:v>44720</c:v>
                </c:pt>
                <c:pt idx="879">
                  <c:v>44721</c:v>
                </c:pt>
                <c:pt idx="880">
                  <c:v>44722</c:v>
                </c:pt>
                <c:pt idx="881">
                  <c:v>44723</c:v>
                </c:pt>
                <c:pt idx="882">
                  <c:v>44724</c:v>
                </c:pt>
                <c:pt idx="883">
                  <c:v>44725</c:v>
                </c:pt>
                <c:pt idx="884">
                  <c:v>44726</c:v>
                </c:pt>
                <c:pt idx="885">
                  <c:v>44727</c:v>
                </c:pt>
                <c:pt idx="886">
                  <c:v>44728</c:v>
                </c:pt>
                <c:pt idx="887">
                  <c:v>44729</c:v>
                </c:pt>
                <c:pt idx="888">
                  <c:v>44730</c:v>
                </c:pt>
                <c:pt idx="889">
                  <c:v>44731</c:v>
                </c:pt>
                <c:pt idx="890">
                  <c:v>44732</c:v>
                </c:pt>
                <c:pt idx="891">
                  <c:v>44733</c:v>
                </c:pt>
                <c:pt idx="892">
                  <c:v>44734</c:v>
                </c:pt>
                <c:pt idx="893">
                  <c:v>44735</c:v>
                </c:pt>
                <c:pt idx="894">
                  <c:v>44736</c:v>
                </c:pt>
                <c:pt idx="895">
                  <c:v>44737</c:v>
                </c:pt>
                <c:pt idx="896">
                  <c:v>44738</c:v>
                </c:pt>
                <c:pt idx="897">
                  <c:v>44739</c:v>
                </c:pt>
                <c:pt idx="898">
                  <c:v>44740</c:v>
                </c:pt>
                <c:pt idx="899">
                  <c:v>44741</c:v>
                </c:pt>
                <c:pt idx="900">
                  <c:v>44742</c:v>
                </c:pt>
                <c:pt idx="901">
                  <c:v>44743</c:v>
                </c:pt>
                <c:pt idx="902">
                  <c:v>44744</c:v>
                </c:pt>
                <c:pt idx="903">
                  <c:v>44745</c:v>
                </c:pt>
                <c:pt idx="904">
                  <c:v>44746</c:v>
                </c:pt>
                <c:pt idx="905">
                  <c:v>44747</c:v>
                </c:pt>
                <c:pt idx="906">
                  <c:v>44748</c:v>
                </c:pt>
                <c:pt idx="907">
                  <c:v>44749</c:v>
                </c:pt>
                <c:pt idx="908">
                  <c:v>44750</c:v>
                </c:pt>
                <c:pt idx="909">
                  <c:v>44751</c:v>
                </c:pt>
                <c:pt idx="910">
                  <c:v>44752</c:v>
                </c:pt>
                <c:pt idx="911">
                  <c:v>44753</c:v>
                </c:pt>
                <c:pt idx="912">
                  <c:v>44754</c:v>
                </c:pt>
                <c:pt idx="913">
                  <c:v>44755</c:v>
                </c:pt>
                <c:pt idx="914">
                  <c:v>44756</c:v>
                </c:pt>
                <c:pt idx="915">
                  <c:v>44757</c:v>
                </c:pt>
                <c:pt idx="916">
                  <c:v>44758</c:v>
                </c:pt>
                <c:pt idx="917">
                  <c:v>44759</c:v>
                </c:pt>
                <c:pt idx="918">
                  <c:v>44760</c:v>
                </c:pt>
                <c:pt idx="919">
                  <c:v>44761</c:v>
                </c:pt>
                <c:pt idx="920">
                  <c:v>44762</c:v>
                </c:pt>
                <c:pt idx="921">
                  <c:v>44763</c:v>
                </c:pt>
                <c:pt idx="922">
                  <c:v>44764</c:v>
                </c:pt>
                <c:pt idx="923">
                  <c:v>44765</c:v>
                </c:pt>
                <c:pt idx="924">
                  <c:v>44766</c:v>
                </c:pt>
                <c:pt idx="925">
                  <c:v>44767</c:v>
                </c:pt>
                <c:pt idx="926">
                  <c:v>44768</c:v>
                </c:pt>
                <c:pt idx="927">
                  <c:v>44769</c:v>
                </c:pt>
                <c:pt idx="928">
                  <c:v>44770</c:v>
                </c:pt>
                <c:pt idx="929">
                  <c:v>44771</c:v>
                </c:pt>
                <c:pt idx="930">
                  <c:v>44772</c:v>
                </c:pt>
                <c:pt idx="931">
                  <c:v>44773</c:v>
                </c:pt>
                <c:pt idx="932">
                  <c:v>44774</c:v>
                </c:pt>
                <c:pt idx="933">
                  <c:v>44775</c:v>
                </c:pt>
                <c:pt idx="934">
                  <c:v>44776</c:v>
                </c:pt>
                <c:pt idx="935">
                  <c:v>44777</c:v>
                </c:pt>
                <c:pt idx="936">
                  <c:v>44778</c:v>
                </c:pt>
                <c:pt idx="937">
                  <c:v>44779</c:v>
                </c:pt>
                <c:pt idx="938">
                  <c:v>44780</c:v>
                </c:pt>
                <c:pt idx="939">
                  <c:v>44781</c:v>
                </c:pt>
                <c:pt idx="940">
                  <c:v>44782</c:v>
                </c:pt>
                <c:pt idx="941">
                  <c:v>44783</c:v>
                </c:pt>
                <c:pt idx="942">
                  <c:v>44784</c:v>
                </c:pt>
                <c:pt idx="943">
                  <c:v>44785</c:v>
                </c:pt>
                <c:pt idx="944">
                  <c:v>44786</c:v>
                </c:pt>
                <c:pt idx="945">
                  <c:v>44787</c:v>
                </c:pt>
                <c:pt idx="946">
                  <c:v>44788</c:v>
                </c:pt>
                <c:pt idx="947">
                  <c:v>44789</c:v>
                </c:pt>
                <c:pt idx="948">
                  <c:v>44790</c:v>
                </c:pt>
                <c:pt idx="949">
                  <c:v>44791</c:v>
                </c:pt>
                <c:pt idx="950">
                  <c:v>44792</c:v>
                </c:pt>
                <c:pt idx="951">
                  <c:v>44793</c:v>
                </c:pt>
                <c:pt idx="952">
                  <c:v>44794</c:v>
                </c:pt>
                <c:pt idx="953">
                  <c:v>44795</c:v>
                </c:pt>
                <c:pt idx="954">
                  <c:v>44796</c:v>
                </c:pt>
                <c:pt idx="955">
                  <c:v>44797</c:v>
                </c:pt>
                <c:pt idx="956">
                  <c:v>44798</c:v>
                </c:pt>
                <c:pt idx="957">
                  <c:v>44799</c:v>
                </c:pt>
                <c:pt idx="958">
                  <c:v>44800</c:v>
                </c:pt>
                <c:pt idx="959">
                  <c:v>44801</c:v>
                </c:pt>
                <c:pt idx="960">
                  <c:v>44802</c:v>
                </c:pt>
                <c:pt idx="961">
                  <c:v>44803</c:v>
                </c:pt>
                <c:pt idx="962">
                  <c:v>44804</c:v>
                </c:pt>
                <c:pt idx="963">
                  <c:v>44805</c:v>
                </c:pt>
                <c:pt idx="964">
                  <c:v>44806</c:v>
                </c:pt>
                <c:pt idx="965">
                  <c:v>44807</c:v>
                </c:pt>
                <c:pt idx="966">
                  <c:v>44808</c:v>
                </c:pt>
                <c:pt idx="967">
                  <c:v>44809</c:v>
                </c:pt>
                <c:pt idx="968">
                  <c:v>44810</c:v>
                </c:pt>
                <c:pt idx="969">
                  <c:v>44811</c:v>
                </c:pt>
                <c:pt idx="970">
                  <c:v>44812</c:v>
                </c:pt>
                <c:pt idx="971">
                  <c:v>44813</c:v>
                </c:pt>
                <c:pt idx="972">
                  <c:v>44814</c:v>
                </c:pt>
                <c:pt idx="973">
                  <c:v>44815</c:v>
                </c:pt>
                <c:pt idx="974">
                  <c:v>44816</c:v>
                </c:pt>
                <c:pt idx="975">
                  <c:v>44817</c:v>
                </c:pt>
                <c:pt idx="976">
                  <c:v>44818</c:v>
                </c:pt>
                <c:pt idx="977">
                  <c:v>44819</c:v>
                </c:pt>
                <c:pt idx="978">
                  <c:v>44820</c:v>
                </c:pt>
                <c:pt idx="979">
                  <c:v>44821</c:v>
                </c:pt>
                <c:pt idx="980">
                  <c:v>44822</c:v>
                </c:pt>
                <c:pt idx="981">
                  <c:v>44823</c:v>
                </c:pt>
                <c:pt idx="982">
                  <c:v>44824</c:v>
                </c:pt>
                <c:pt idx="983">
                  <c:v>44825</c:v>
                </c:pt>
                <c:pt idx="984">
                  <c:v>44826</c:v>
                </c:pt>
                <c:pt idx="985">
                  <c:v>44827</c:v>
                </c:pt>
                <c:pt idx="986">
                  <c:v>44828</c:v>
                </c:pt>
                <c:pt idx="987">
                  <c:v>44829</c:v>
                </c:pt>
                <c:pt idx="988">
                  <c:v>44830</c:v>
                </c:pt>
                <c:pt idx="989">
                  <c:v>44831</c:v>
                </c:pt>
                <c:pt idx="990">
                  <c:v>44832</c:v>
                </c:pt>
                <c:pt idx="991">
                  <c:v>44833</c:v>
                </c:pt>
                <c:pt idx="992">
                  <c:v>44834</c:v>
                </c:pt>
                <c:pt idx="993">
                  <c:v>44835</c:v>
                </c:pt>
                <c:pt idx="994">
                  <c:v>44836</c:v>
                </c:pt>
                <c:pt idx="995">
                  <c:v>44837</c:v>
                </c:pt>
                <c:pt idx="996">
                  <c:v>44838</c:v>
                </c:pt>
                <c:pt idx="997">
                  <c:v>44839</c:v>
                </c:pt>
                <c:pt idx="998">
                  <c:v>44840</c:v>
                </c:pt>
                <c:pt idx="999">
                  <c:v>44841</c:v>
                </c:pt>
                <c:pt idx="1000">
                  <c:v>44842</c:v>
                </c:pt>
                <c:pt idx="1001">
                  <c:v>44843</c:v>
                </c:pt>
                <c:pt idx="1002">
                  <c:v>44844</c:v>
                </c:pt>
                <c:pt idx="1003">
                  <c:v>44845</c:v>
                </c:pt>
                <c:pt idx="1004">
                  <c:v>44846</c:v>
                </c:pt>
                <c:pt idx="1005">
                  <c:v>44847</c:v>
                </c:pt>
                <c:pt idx="1006">
                  <c:v>44848</c:v>
                </c:pt>
                <c:pt idx="1007">
                  <c:v>44849</c:v>
                </c:pt>
                <c:pt idx="1008">
                  <c:v>44850</c:v>
                </c:pt>
                <c:pt idx="1009">
                  <c:v>44851</c:v>
                </c:pt>
                <c:pt idx="1010">
                  <c:v>44852</c:v>
                </c:pt>
                <c:pt idx="1011">
                  <c:v>44853</c:v>
                </c:pt>
                <c:pt idx="1012">
                  <c:v>44854</c:v>
                </c:pt>
                <c:pt idx="1013">
                  <c:v>44855</c:v>
                </c:pt>
                <c:pt idx="1014">
                  <c:v>44856</c:v>
                </c:pt>
                <c:pt idx="1015">
                  <c:v>44857</c:v>
                </c:pt>
                <c:pt idx="1016">
                  <c:v>44858</c:v>
                </c:pt>
                <c:pt idx="1017">
                  <c:v>44859</c:v>
                </c:pt>
                <c:pt idx="1018">
                  <c:v>44860</c:v>
                </c:pt>
                <c:pt idx="1019">
                  <c:v>44861</c:v>
                </c:pt>
                <c:pt idx="1020">
                  <c:v>44862</c:v>
                </c:pt>
                <c:pt idx="1021">
                  <c:v>44863</c:v>
                </c:pt>
                <c:pt idx="1022">
                  <c:v>44864</c:v>
                </c:pt>
                <c:pt idx="1023">
                  <c:v>44865</c:v>
                </c:pt>
                <c:pt idx="1024">
                  <c:v>44866</c:v>
                </c:pt>
                <c:pt idx="1025">
                  <c:v>44867</c:v>
                </c:pt>
                <c:pt idx="1026">
                  <c:v>44868</c:v>
                </c:pt>
                <c:pt idx="1027">
                  <c:v>44869</c:v>
                </c:pt>
                <c:pt idx="1028">
                  <c:v>44870</c:v>
                </c:pt>
                <c:pt idx="1029">
                  <c:v>44871</c:v>
                </c:pt>
                <c:pt idx="1030">
                  <c:v>44872</c:v>
                </c:pt>
                <c:pt idx="1031">
                  <c:v>44873</c:v>
                </c:pt>
                <c:pt idx="1032">
                  <c:v>44874</c:v>
                </c:pt>
                <c:pt idx="1033">
                  <c:v>44875</c:v>
                </c:pt>
                <c:pt idx="1034">
                  <c:v>44876</c:v>
                </c:pt>
                <c:pt idx="1035">
                  <c:v>44877</c:v>
                </c:pt>
                <c:pt idx="1036">
                  <c:v>44878</c:v>
                </c:pt>
                <c:pt idx="1037">
                  <c:v>44879</c:v>
                </c:pt>
                <c:pt idx="1038">
                  <c:v>44880</c:v>
                </c:pt>
                <c:pt idx="1039">
                  <c:v>44881</c:v>
                </c:pt>
                <c:pt idx="1040">
                  <c:v>44882</c:v>
                </c:pt>
                <c:pt idx="1041">
                  <c:v>44883</c:v>
                </c:pt>
                <c:pt idx="1042">
                  <c:v>44884</c:v>
                </c:pt>
                <c:pt idx="1043">
                  <c:v>44885</c:v>
                </c:pt>
                <c:pt idx="1044">
                  <c:v>44886</c:v>
                </c:pt>
                <c:pt idx="1045">
                  <c:v>44887</c:v>
                </c:pt>
                <c:pt idx="1046">
                  <c:v>44888</c:v>
                </c:pt>
                <c:pt idx="1047">
                  <c:v>44889</c:v>
                </c:pt>
                <c:pt idx="1048">
                  <c:v>44890</c:v>
                </c:pt>
                <c:pt idx="1049">
                  <c:v>44891</c:v>
                </c:pt>
                <c:pt idx="1050">
                  <c:v>44892</c:v>
                </c:pt>
                <c:pt idx="1051">
                  <c:v>44893</c:v>
                </c:pt>
                <c:pt idx="1052">
                  <c:v>44894</c:v>
                </c:pt>
                <c:pt idx="1053">
                  <c:v>44895</c:v>
                </c:pt>
                <c:pt idx="1054">
                  <c:v>44896</c:v>
                </c:pt>
                <c:pt idx="1055">
                  <c:v>44897</c:v>
                </c:pt>
                <c:pt idx="1056">
                  <c:v>44898</c:v>
                </c:pt>
                <c:pt idx="1057">
                  <c:v>44899</c:v>
                </c:pt>
                <c:pt idx="1058">
                  <c:v>44900</c:v>
                </c:pt>
                <c:pt idx="1059">
                  <c:v>44901</c:v>
                </c:pt>
                <c:pt idx="1060">
                  <c:v>44902</c:v>
                </c:pt>
                <c:pt idx="1061">
                  <c:v>44903</c:v>
                </c:pt>
                <c:pt idx="1062">
                  <c:v>44904</c:v>
                </c:pt>
                <c:pt idx="1063">
                  <c:v>44905</c:v>
                </c:pt>
                <c:pt idx="1064">
                  <c:v>44906</c:v>
                </c:pt>
                <c:pt idx="1065">
                  <c:v>44907</c:v>
                </c:pt>
                <c:pt idx="1066">
                  <c:v>44908</c:v>
                </c:pt>
                <c:pt idx="1067">
                  <c:v>44909</c:v>
                </c:pt>
                <c:pt idx="1068">
                  <c:v>44910</c:v>
                </c:pt>
                <c:pt idx="1069">
                  <c:v>44911</c:v>
                </c:pt>
                <c:pt idx="1070">
                  <c:v>44912</c:v>
                </c:pt>
                <c:pt idx="1071">
                  <c:v>44913</c:v>
                </c:pt>
                <c:pt idx="1072">
                  <c:v>44914</c:v>
                </c:pt>
                <c:pt idx="1073">
                  <c:v>44915</c:v>
                </c:pt>
                <c:pt idx="1074">
                  <c:v>44916</c:v>
                </c:pt>
                <c:pt idx="1075">
                  <c:v>44917</c:v>
                </c:pt>
                <c:pt idx="1076">
                  <c:v>44918</c:v>
                </c:pt>
                <c:pt idx="1077">
                  <c:v>44919</c:v>
                </c:pt>
                <c:pt idx="1078">
                  <c:v>44920</c:v>
                </c:pt>
                <c:pt idx="1079">
                  <c:v>44921</c:v>
                </c:pt>
                <c:pt idx="1080">
                  <c:v>44922</c:v>
                </c:pt>
                <c:pt idx="1081">
                  <c:v>44923</c:v>
                </c:pt>
                <c:pt idx="1082">
                  <c:v>44924</c:v>
                </c:pt>
                <c:pt idx="1083">
                  <c:v>44925</c:v>
                </c:pt>
                <c:pt idx="1084">
                  <c:v>44926</c:v>
                </c:pt>
                <c:pt idx="1085">
                  <c:v>44927</c:v>
                </c:pt>
                <c:pt idx="1086">
                  <c:v>44928</c:v>
                </c:pt>
                <c:pt idx="1087">
                  <c:v>44929</c:v>
                </c:pt>
                <c:pt idx="1088">
                  <c:v>44930</c:v>
                </c:pt>
                <c:pt idx="1089">
                  <c:v>44931</c:v>
                </c:pt>
                <c:pt idx="1090">
                  <c:v>44932</c:v>
                </c:pt>
                <c:pt idx="1091">
                  <c:v>44933</c:v>
                </c:pt>
                <c:pt idx="1092">
                  <c:v>44934</c:v>
                </c:pt>
                <c:pt idx="1093">
                  <c:v>44935</c:v>
                </c:pt>
                <c:pt idx="1094">
                  <c:v>44936</c:v>
                </c:pt>
                <c:pt idx="1095">
                  <c:v>44937</c:v>
                </c:pt>
                <c:pt idx="1096">
                  <c:v>44938</c:v>
                </c:pt>
                <c:pt idx="1097">
                  <c:v>44939</c:v>
                </c:pt>
                <c:pt idx="1098">
                  <c:v>44940</c:v>
                </c:pt>
                <c:pt idx="1099">
                  <c:v>44941</c:v>
                </c:pt>
                <c:pt idx="1100">
                  <c:v>44942</c:v>
                </c:pt>
                <c:pt idx="1101">
                  <c:v>44943</c:v>
                </c:pt>
                <c:pt idx="1102">
                  <c:v>44944</c:v>
                </c:pt>
                <c:pt idx="1103">
                  <c:v>44945</c:v>
                </c:pt>
                <c:pt idx="1104">
                  <c:v>44946</c:v>
                </c:pt>
                <c:pt idx="1105">
                  <c:v>44947</c:v>
                </c:pt>
                <c:pt idx="1106">
                  <c:v>44948</c:v>
                </c:pt>
                <c:pt idx="1107">
                  <c:v>44949</c:v>
                </c:pt>
                <c:pt idx="1108">
                  <c:v>44950</c:v>
                </c:pt>
                <c:pt idx="1109">
                  <c:v>44951</c:v>
                </c:pt>
                <c:pt idx="1110">
                  <c:v>44952</c:v>
                </c:pt>
                <c:pt idx="1111">
                  <c:v>44953</c:v>
                </c:pt>
                <c:pt idx="1112">
                  <c:v>44954</c:v>
                </c:pt>
                <c:pt idx="1113">
                  <c:v>44955</c:v>
                </c:pt>
                <c:pt idx="1114">
                  <c:v>44956</c:v>
                </c:pt>
                <c:pt idx="1115">
                  <c:v>44957</c:v>
                </c:pt>
                <c:pt idx="1116">
                  <c:v>44958</c:v>
                </c:pt>
                <c:pt idx="1117">
                  <c:v>44959</c:v>
                </c:pt>
                <c:pt idx="1118">
                  <c:v>44960</c:v>
                </c:pt>
                <c:pt idx="1119">
                  <c:v>44961</c:v>
                </c:pt>
                <c:pt idx="1120">
                  <c:v>44962</c:v>
                </c:pt>
                <c:pt idx="1121">
                  <c:v>44963</c:v>
                </c:pt>
                <c:pt idx="1122">
                  <c:v>44964</c:v>
                </c:pt>
                <c:pt idx="1123">
                  <c:v>44965</c:v>
                </c:pt>
                <c:pt idx="1124">
                  <c:v>44966</c:v>
                </c:pt>
                <c:pt idx="1125">
                  <c:v>44967</c:v>
                </c:pt>
                <c:pt idx="1126">
                  <c:v>44968</c:v>
                </c:pt>
                <c:pt idx="1127">
                  <c:v>44969</c:v>
                </c:pt>
                <c:pt idx="1128">
                  <c:v>44970</c:v>
                </c:pt>
                <c:pt idx="1129">
                  <c:v>44971</c:v>
                </c:pt>
                <c:pt idx="1130">
                  <c:v>44972</c:v>
                </c:pt>
                <c:pt idx="1131">
                  <c:v>44973</c:v>
                </c:pt>
                <c:pt idx="1132">
                  <c:v>44974</c:v>
                </c:pt>
                <c:pt idx="1133">
                  <c:v>44975</c:v>
                </c:pt>
                <c:pt idx="1134">
                  <c:v>44976</c:v>
                </c:pt>
                <c:pt idx="1135">
                  <c:v>44977</c:v>
                </c:pt>
                <c:pt idx="1136">
                  <c:v>44978</c:v>
                </c:pt>
                <c:pt idx="1137">
                  <c:v>44979</c:v>
                </c:pt>
                <c:pt idx="1138">
                  <c:v>44980</c:v>
                </c:pt>
                <c:pt idx="1139">
                  <c:v>44981</c:v>
                </c:pt>
                <c:pt idx="1140">
                  <c:v>44982</c:v>
                </c:pt>
                <c:pt idx="1141">
                  <c:v>44983</c:v>
                </c:pt>
                <c:pt idx="1142">
                  <c:v>44984</c:v>
                </c:pt>
                <c:pt idx="1143">
                  <c:v>44985</c:v>
                </c:pt>
                <c:pt idx="1144">
                  <c:v>44986</c:v>
                </c:pt>
                <c:pt idx="1145">
                  <c:v>44987</c:v>
                </c:pt>
                <c:pt idx="1146">
                  <c:v>44988</c:v>
                </c:pt>
                <c:pt idx="1147">
                  <c:v>44989</c:v>
                </c:pt>
                <c:pt idx="1148">
                  <c:v>44990</c:v>
                </c:pt>
                <c:pt idx="1149">
                  <c:v>44991</c:v>
                </c:pt>
                <c:pt idx="1150">
                  <c:v>44992</c:v>
                </c:pt>
                <c:pt idx="1151">
                  <c:v>44993</c:v>
                </c:pt>
                <c:pt idx="1152">
                  <c:v>44994</c:v>
                </c:pt>
                <c:pt idx="1153">
                  <c:v>44995</c:v>
                </c:pt>
                <c:pt idx="1154">
                  <c:v>44996</c:v>
                </c:pt>
                <c:pt idx="1155">
                  <c:v>44997</c:v>
                </c:pt>
                <c:pt idx="1156">
                  <c:v>44998</c:v>
                </c:pt>
                <c:pt idx="1157">
                  <c:v>44999</c:v>
                </c:pt>
                <c:pt idx="1158">
                  <c:v>45000</c:v>
                </c:pt>
                <c:pt idx="1159">
                  <c:v>45001</c:v>
                </c:pt>
                <c:pt idx="1160">
                  <c:v>45002</c:v>
                </c:pt>
                <c:pt idx="1161">
                  <c:v>45003</c:v>
                </c:pt>
                <c:pt idx="1162">
                  <c:v>45004</c:v>
                </c:pt>
                <c:pt idx="1163">
                  <c:v>45005</c:v>
                </c:pt>
                <c:pt idx="1164">
                  <c:v>45006</c:v>
                </c:pt>
                <c:pt idx="1165">
                  <c:v>45007</c:v>
                </c:pt>
                <c:pt idx="1166">
                  <c:v>45008</c:v>
                </c:pt>
                <c:pt idx="1167">
                  <c:v>45009</c:v>
                </c:pt>
                <c:pt idx="1168">
                  <c:v>45010</c:v>
                </c:pt>
                <c:pt idx="1169">
                  <c:v>45011</c:v>
                </c:pt>
                <c:pt idx="1170">
                  <c:v>45012</c:v>
                </c:pt>
                <c:pt idx="1171">
                  <c:v>45013</c:v>
                </c:pt>
                <c:pt idx="1172">
                  <c:v>45014</c:v>
                </c:pt>
                <c:pt idx="1173">
                  <c:v>45015</c:v>
                </c:pt>
                <c:pt idx="1174">
                  <c:v>45016</c:v>
                </c:pt>
                <c:pt idx="1175">
                  <c:v>45017</c:v>
                </c:pt>
                <c:pt idx="1176">
                  <c:v>45018</c:v>
                </c:pt>
                <c:pt idx="1177">
                  <c:v>45019</c:v>
                </c:pt>
                <c:pt idx="1178">
                  <c:v>45020</c:v>
                </c:pt>
                <c:pt idx="1179">
                  <c:v>45021</c:v>
                </c:pt>
                <c:pt idx="1180">
                  <c:v>45022</c:v>
                </c:pt>
                <c:pt idx="1181">
                  <c:v>45023</c:v>
                </c:pt>
                <c:pt idx="1182">
                  <c:v>45024</c:v>
                </c:pt>
                <c:pt idx="1183">
                  <c:v>45025</c:v>
                </c:pt>
                <c:pt idx="1184">
                  <c:v>45026</c:v>
                </c:pt>
                <c:pt idx="1185">
                  <c:v>45027</c:v>
                </c:pt>
                <c:pt idx="1186">
                  <c:v>45028</c:v>
                </c:pt>
                <c:pt idx="1187">
                  <c:v>45029</c:v>
                </c:pt>
                <c:pt idx="1188">
                  <c:v>45030</c:v>
                </c:pt>
                <c:pt idx="1189">
                  <c:v>45031</c:v>
                </c:pt>
                <c:pt idx="1190">
                  <c:v>45032</c:v>
                </c:pt>
                <c:pt idx="1191">
                  <c:v>45033</c:v>
                </c:pt>
                <c:pt idx="1192">
                  <c:v>45034</c:v>
                </c:pt>
                <c:pt idx="1193">
                  <c:v>45035</c:v>
                </c:pt>
                <c:pt idx="1194">
                  <c:v>45036</c:v>
                </c:pt>
                <c:pt idx="1195">
                  <c:v>45037</c:v>
                </c:pt>
                <c:pt idx="1196">
                  <c:v>45038</c:v>
                </c:pt>
                <c:pt idx="1197">
                  <c:v>45039</c:v>
                </c:pt>
                <c:pt idx="1198">
                  <c:v>45040</c:v>
                </c:pt>
                <c:pt idx="1199">
                  <c:v>45041</c:v>
                </c:pt>
                <c:pt idx="1200">
                  <c:v>45042</c:v>
                </c:pt>
                <c:pt idx="1201">
                  <c:v>45043</c:v>
                </c:pt>
                <c:pt idx="1202">
                  <c:v>45044</c:v>
                </c:pt>
                <c:pt idx="1203">
                  <c:v>45045</c:v>
                </c:pt>
                <c:pt idx="1204">
                  <c:v>45046</c:v>
                </c:pt>
                <c:pt idx="1205">
                  <c:v>45047</c:v>
                </c:pt>
                <c:pt idx="1206">
                  <c:v>45048</c:v>
                </c:pt>
                <c:pt idx="1207">
                  <c:v>45049</c:v>
                </c:pt>
                <c:pt idx="1208">
                  <c:v>45050</c:v>
                </c:pt>
                <c:pt idx="1209">
                  <c:v>45051</c:v>
                </c:pt>
                <c:pt idx="1210">
                  <c:v>45052</c:v>
                </c:pt>
                <c:pt idx="1211">
                  <c:v>45053</c:v>
                </c:pt>
                <c:pt idx="1212">
                  <c:v>45054</c:v>
                </c:pt>
                <c:pt idx="1213">
                  <c:v>45055</c:v>
                </c:pt>
                <c:pt idx="1214">
                  <c:v>45056</c:v>
                </c:pt>
                <c:pt idx="1215">
                  <c:v>45057</c:v>
                </c:pt>
                <c:pt idx="1216">
                  <c:v>45058</c:v>
                </c:pt>
                <c:pt idx="1217">
                  <c:v>45059</c:v>
                </c:pt>
                <c:pt idx="1218">
                  <c:v>45060</c:v>
                </c:pt>
                <c:pt idx="1219">
                  <c:v>45061</c:v>
                </c:pt>
                <c:pt idx="1220">
                  <c:v>45062</c:v>
                </c:pt>
                <c:pt idx="1221">
                  <c:v>45063</c:v>
                </c:pt>
                <c:pt idx="1222">
                  <c:v>45064</c:v>
                </c:pt>
                <c:pt idx="1223">
                  <c:v>45065</c:v>
                </c:pt>
                <c:pt idx="1224">
                  <c:v>45066</c:v>
                </c:pt>
                <c:pt idx="1225">
                  <c:v>45067</c:v>
                </c:pt>
                <c:pt idx="1226">
                  <c:v>45068</c:v>
                </c:pt>
                <c:pt idx="1227">
                  <c:v>45069</c:v>
                </c:pt>
                <c:pt idx="1228">
                  <c:v>45070</c:v>
                </c:pt>
                <c:pt idx="1229">
                  <c:v>45071</c:v>
                </c:pt>
                <c:pt idx="1230">
                  <c:v>45072</c:v>
                </c:pt>
                <c:pt idx="1231">
                  <c:v>45073</c:v>
                </c:pt>
                <c:pt idx="1232">
                  <c:v>45074</c:v>
                </c:pt>
                <c:pt idx="1233">
                  <c:v>45075</c:v>
                </c:pt>
                <c:pt idx="1234">
                  <c:v>45076</c:v>
                </c:pt>
                <c:pt idx="1235">
                  <c:v>45077</c:v>
                </c:pt>
                <c:pt idx="1236">
                  <c:v>45078</c:v>
                </c:pt>
                <c:pt idx="1237">
                  <c:v>45079</c:v>
                </c:pt>
                <c:pt idx="1238">
                  <c:v>45080</c:v>
                </c:pt>
                <c:pt idx="1239">
                  <c:v>45081</c:v>
                </c:pt>
                <c:pt idx="1240">
                  <c:v>45082</c:v>
                </c:pt>
                <c:pt idx="1241">
                  <c:v>45083</c:v>
                </c:pt>
                <c:pt idx="1242">
                  <c:v>45084</c:v>
                </c:pt>
                <c:pt idx="1243">
                  <c:v>45085</c:v>
                </c:pt>
                <c:pt idx="1244">
                  <c:v>45086</c:v>
                </c:pt>
                <c:pt idx="1245">
                  <c:v>45087</c:v>
                </c:pt>
                <c:pt idx="1246">
                  <c:v>45088</c:v>
                </c:pt>
                <c:pt idx="1247">
                  <c:v>45089</c:v>
                </c:pt>
                <c:pt idx="1248">
                  <c:v>45090</c:v>
                </c:pt>
                <c:pt idx="1249">
                  <c:v>45091</c:v>
                </c:pt>
                <c:pt idx="1250">
                  <c:v>45092</c:v>
                </c:pt>
                <c:pt idx="1251">
                  <c:v>45093</c:v>
                </c:pt>
                <c:pt idx="1252">
                  <c:v>45094</c:v>
                </c:pt>
                <c:pt idx="1253">
                  <c:v>45095</c:v>
                </c:pt>
                <c:pt idx="1254">
                  <c:v>45096</c:v>
                </c:pt>
                <c:pt idx="1255">
                  <c:v>45097</c:v>
                </c:pt>
                <c:pt idx="1256">
                  <c:v>45098</c:v>
                </c:pt>
                <c:pt idx="1257">
                  <c:v>45099</c:v>
                </c:pt>
                <c:pt idx="1258">
                  <c:v>45100</c:v>
                </c:pt>
                <c:pt idx="1259">
                  <c:v>45101</c:v>
                </c:pt>
                <c:pt idx="1260">
                  <c:v>45102</c:v>
                </c:pt>
                <c:pt idx="1261">
                  <c:v>45103</c:v>
                </c:pt>
                <c:pt idx="1262">
                  <c:v>45104</c:v>
                </c:pt>
                <c:pt idx="1263">
                  <c:v>45105</c:v>
                </c:pt>
                <c:pt idx="1264">
                  <c:v>45106</c:v>
                </c:pt>
                <c:pt idx="1265">
                  <c:v>45107</c:v>
                </c:pt>
                <c:pt idx="1266">
                  <c:v>45108</c:v>
                </c:pt>
                <c:pt idx="1267">
                  <c:v>45109</c:v>
                </c:pt>
                <c:pt idx="1268">
                  <c:v>45110</c:v>
                </c:pt>
                <c:pt idx="1269">
                  <c:v>45111</c:v>
                </c:pt>
                <c:pt idx="1270">
                  <c:v>45112</c:v>
                </c:pt>
                <c:pt idx="1271">
                  <c:v>45113</c:v>
                </c:pt>
                <c:pt idx="1272">
                  <c:v>45114</c:v>
                </c:pt>
                <c:pt idx="1273">
                  <c:v>45115</c:v>
                </c:pt>
                <c:pt idx="1274">
                  <c:v>45116</c:v>
                </c:pt>
                <c:pt idx="1275">
                  <c:v>45117</c:v>
                </c:pt>
                <c:pt idx="1276">
                  <c:v>45118</c:v>
                </c:pt>
                <c:pt idx="1277">
                  <c:v>45119</c:v>
                </c:pt>
                <c:pt idx="1278">
                  <c:v>45120</c:v>
                </c:pt>
                <c:pt idx="1279">
                  <c:v>45121</c:v>
                </c:pt>
                <c:pt idx="1280">
                  <c:v>45122</c:v>
                </c:pt>
                <c:pt idx="1281">
                  <c:v>45123</c:v>
                </c:pt>
                <c:pt idx="1282">
                  <c:v>45124</c:v>
                </c:pt>
                <c:pt idx="1283">
                  <c:v>45125</c:v>
                </c:pt>
                <c:pt idx="1284">
                  <c:v>45126</c:v>
                </c:pt>
                <c:pt idx="1285">
                  <c:v>45127</c:v>
                </c:pt>
                <c:pt idx="1286">
                  <c:v>45128</c:v>
                </c:pt>
                <c:pt idx="1287">
                  <c:v>45129</c:v>
                </c:pt>
                <c:pt idx="1288">
                  <c:v>45130</c:v>
                </c:pt>
                <c:pt idx="1289">
                  <c:v>45131</c:v>
                </c:pt>
                <c:pt idx="1290">
                  <c:v>45132</c:v>
                </c:pt>
                <c:pt idx="1291">
                  <c:v>45133</c:v>
                </c:pt>
                <c:pt idx="1292">
                  <c:v>45134</c:v>
                </c:pt>
                <c:pt idx="1293">
                  <c:v>45135</c:v>
                </c:pt>
                <c:pt idx="1294">
                  <c:v>45136</c:v>
                </c:pt>
                <c:pt idx="1295">
                  <c:v>45137</c:v>
                </c:pt>
                <c:pt idx="1296">
                  <c:v>45138</c:v>
                </c:pt>
                <c:pt idx="1297">
                  <c:v>45139</c:v>
                </c:pt>
                <c:pt idx="1298">
                  <c:v>45140</c:v>
                </c:pt>
                <c:pt idx="1299">
                  <c:v>45141</c:v>
                </c:pt>
                <c:pt idx="1300">
                  <c:v>45142</c:v>
                </c:pt>
                <c:pt idx="1301">
                  <c:v>45143</c:v>
                </c:pt>
                <c:pt idx="1302">
                  <c:v>45144</c:v>
                </c:pt>
                <c:pt idx="1303">
                  <c:v>45145</c:v>
                </c:pt>
                <c:pt idx="1304">
                  <c:v>45146</c:v>
                </c:pt>
                <c:pt idx="1305">
                  <c:v>45147</c:v>
                </c:pt>
                <c:pt idx="1306">
                  <c:v>45148</c:v>
                </c:pt>
                <c:pt idx="1307">
                  <c:v>45149</c:v>
                </c:pt>
                <c:pt idx="1308">
                  <c:v>45150</c:v>
                </c:pt>
                <c:pt idx="1309">
                  <c:v>45151</c:v>
                </c:pt>
                <c:pt idx="1310">
                  <c:v>45152</c:v>
                </c:pt>
                <c:pt idx="1311">
                  <c:v>45153</c:v>
                </c:pt>
                <c:pt idx="1312">
                  <c:v>45154</c:v>
                </c:pt>
                <c:pt idx="1313">
                  <c:v>45155</c:v>
                </c:pt>
                <c:pt idx="1314">
                  <c:v>45156</c:v>
                </c:pt>
                <c:pt idx="1315">
                  <c:v>45157</c:v>
                </c:pt>
                <c:pt idx="1316">
                  <c:v>45158</c:v>
                </c:pt>
                <c:pt idx="1317">
                  <c:v>45159</c:v>
                </c:pt>
                <c:pt idx="1318">
                  <c:v>45160</c:v>
                </c:pt>
                <c:pt idx="1319">
                  <c:v>45161</c:v>
                </c:pt>
                <c:pt idx="1320">
                  <c:v>45162</c:v>
                </c:pt>
                <c:pt idx="1321">
                  <c:v>45163</c:v>
                </c:pt>
                <c:pt idx="1322">
                  <c:v>45164</c:v>
                </c:pt>
                <c:pt idx="1323">
                  <c:v>45165</c:v>
                </c:pt>
                <c:pt idx="1324">
                  <c:v>45166</c:v>
                </c:pt>
                <c:pt idx="1325">
                  <c:v>45167</c:v>
                </c:pt>
                <c:pt idx="1326">
                  <c:v>45168</c:v>
                </c:pt>
                <c:pt idx="1327">
                  <c:v>45169</c:v>
                </c:pt>
                <c:pt idx="1328">
                  <c:v>45170</c:v>
                </c:pt>
                <c:pt idx="1329">
                  <c:v>45171</c:v>
                </c:pt>
                <c:pt idx="1330">
                  <c:v>45172</c:v>
                </c:pt>
                <c:pt idx="1331">
                  <c:v>45173</c:v>
                </c:pt>
                <c:pt idx="1332">
                  <c:v>45174</c:v>
                </c:pt>
                <c:pt idx="1333">
                  <c:v>45175</c:v>
                </c:pt>
                <c:pt idx="1334">
                  <c:v>45176</c:v>
                </c:pt>
                <c:pt idx="1335">
                  <c:v>45177</c:v>
                </c:pt>
                <c:pt idx="1336">
                  <c:v>45178</c:v>
                </c:pt>
                <c:pt idx="1337">
                  <c:v>45179</c:v>
                </c:pt>
                <c:pt idx="1338">
                  <c:v>45180</c:v>
                </c:pt>
                <c:pt idx="1339">
                  <c:v>45181</c:v>
                </c:pt>
                <c:pt idx="1340">
                  <c:v>45182</c:v>
                </c:pt>
                <c:pt idx="1341">
                  <c:v>45183</c:v>
                </c:pt>
                <c:pt idx="1342">
                  <c:v>45184</c:v>
                </c:pt>
                <c:pt idx="1343">
                  <c:v>45185</c:v>
                </c:pt>
                <c:pt idx="1344">
                  <c:v>45186</c:v>
                </c:pt>
                <c:pt idx="1345">
                  <c:v>45187</c:v>
                </c:pt>
                <c:pt idx="1346">
                  <c:v>45188</c:v>
                </c:pt>
                <c:pt idx="1347">
                  <c:v>45189</c:v>
                </c:pt>
                <c:pt idx="1348">
                  <c:v>45190</c:v>
                </c:pt>
                <c:pt idx="1349">
                  <c:v>45191</c:v>
                </c:pt>
                <c:pt idx="1350">
                  <c:v>45192</c:v>
                </c:pt>
                <c:pt idx="1351">
                  <c:v>45193</c:v>
                </c:pt>
                <c:pt idx="1352">
                  <c:v>45194</c:v>
                </c:pt>
                <c:pt idx="1353">
                  <c:v>45195</c:v>
                </c:pt>
                <c:pt idx="1354">
                  <c:v>45196</c:v>
                </c:pt>
                <c:pt idx="1355">
                  <c:v>45197</c:v>
                </c:pt>
                <c:pt idx="1356">
                  <c:v>45198</c:v>
                </c:pt>
                <c:pt idx="1357">
                  <c:v>45199</c:v>
                </c:pt>
                <c:pt idx="1358">
                  <c:v>45200</c:v>
                </c:pt>
                <c:pt idx="1359">
                  <c:v>45201</c:v>
                </c:pt>
                <c:pt idx="1360">
                  <c:v>45202</c:v>
                </c:pt>
                <c:pt idx="1361">
                  <c:v>45203</c:v>
                </c:pt>
                <c:pt idx="1362">
                  <c:v>45204</c:v>
                </c:pt>
                <c:pt idx="1363">
                  <c:v>45205</c:v>
                </c:pt>
                <c:pt idx="1364">
                  <c:v>45206</c:v>
                </c:pt>
                <c:pt idx="1365">
                  <c:v>45207</c:v>
                </c:pt>
                <c:pt idx="1366">
                  <c:v>45208</c:v>
                </c:pt>
                <c:pt idx="1367">
                  <c:v>45209</c:v>
                </c:pt>
                <c:pt idx="1368">
                  <c:v>45210</c:v>
                </c:pt>
                <c:pt idx="1369">
                  <c:v>45211</c:v>
                </c:pt>
                <c:pt idx="1370">
                  <c:v>45212</c:v>
                </c:pt>
                <c:pt idx="1371">
                  <c:v>45213</c:v>
                </c:pt>
                <c:pt idx="1372">
                  <c:v>45214</c:v>
                </c:pt>
                <c:pt idx="1373">
                  <c:v>45215</c:v>
                </c:pt>
                <c:pt idx="1374">
                  <c:v>45216</c:v>
                </c:pt>
                <c:pt idx="1375">
                  <c:v>45217</c:v>
                </c:pt>
                <c:pt idx="1376">
                  <c:v>45218</c:v>
                </c:pt>
                <c:pt idx="1377">
                  <c:v>45219</c:v>
                </c:pt>
                <c:pt idx="1378">
                  <c:v>45220</c:v>
                </c:pt>
                <c:pt idx="1379">
                  <c:v>45221</c:v>
                </c:pt>
                <c:pt idx="1380">
                  <c:v>45222</c:v>
                </c:pt>
                <c:pt idx="1381">
                  <c:v>45223</c:v>
                </c:pt>
                <c:pt idx="1382">
                  <c:v>45224</c:v>
                </c:pt>
                <c:pt idx="1383">
                  <c:v>45225</c:v>
                </c:pt>
                <c:pt idx="1384">
                  <c:v>45226</c:v>
                </c:pt>
                <c:pt idx="1385">
                  <c:v>45227</c:v>
                </c:pt>
                <c:pt idx="1386">
                  <c:v>45228</c:v>
                </c:pt>
                <c:pt idx="1387">
                  <c:v>45229</c:v>
                </c:pt>
                <c:pt idx="1388">
                  <c:v>45230</c:v>
                </c:pt>
                <c:pt idx="1389">
                  <c:v>45231</c:v>
                </c:pt>
                <c:pt idx="1390">
                  <c:v>45232</c:v>
                </c:pt>
                <c:pt idx="1391">
                  <c:v>45233</c:v>
                </c:pt>
                <c:pt idx="1392">
                  <c:v>45234</c:v>
                </c:pt>
                <c:pt idx="1393">
                  <c:v>45235</c:v>
                </c:pt>
                <c:pt idx="1394">
                  <c:v>45236</c:v>
                </c:pt>
                <c:pt idx="1395">
                  <c:v>45237</c:v>
                </c:pt>
                <c:pt idx="1396">
                  <c:v>45238</c:v>
                </c:pt>
                <c:pt idx="1397">
                  <c:v>45239</c:v>
                </c:pt>
                <c:pt idx="1398">
                  <c:v>45240</c:v>
                </c:pt>
                <c:pt idx="1399">
                  <c:v>45241</c:v>
                </c:pt>
                <c:pt idx="1400">
                  <c:v>45242</c:v>
                </c:pt>
                <c:pt idx="1401">
                  <c:v>45243</c:v>
                </c:pt>
                <c:pt idx="1402">
                  <c:v>45244</c:v>
                </c:pt>
                <c:pt idx="1403">
                  <c:v>45245</c:v>
                </c:pt>
                <c:pt idx="1404">
                  <c:v>45246</c:v>
                </c:pt>
                <c:pt idx="1405">
                  <c:v>45247</c:v>
                </c:pt>
                <c:pt idx="1406">
                  <c:v>45248</c:v>
                </c:pt>
                <c:pt idx="1407">
                  <c:v>45249</c:v>
                </c:pt>
                <c:pt idx="1408">
                  <c:v>45250</c:v>
                </c:pt>
                <c:pt idx="1409">
                  <c:v>45251</c:v>
                </c:pt>
                <c:pt idx="1410">
                  <c:v>45252</c:v>
                </c:pt>
                <c:pt idx="1411">
                  <c:v>45253</c:v>
                </c:pt>
                <c:pt idx="1412">
                  <c:v>45254</c:v>
                </c:pt>
                <c:pt idx="1413">
                  <c:v>45255</c:v>
                </c:pt>
                <c:pt idx="1414">
                  <c:v>45256</c:v>
                </c:pt>
                <c:pt idx="1415">
                  <c:v>45257</c:v>
                </c:pt>
                <c:pt idx="1416">
                  <c:v>45258</c:v>
                </c:pt>
                <c:pt idx="1417">
                  <c:v>45259</c:v>
                </c:pt>
                <c:pt idx="1418">
                  <c:v>45260</c:v>
                </c:pt>
                <c:pt idx="1419">
                  <c:v>45261</c:v>
                </c:pt>
                <c:pt idx="1420">
                  <c:v>45262</c:v>
                </c:pt>
                <c:pt idx="1421">
                  <c:v>45263</c:v>
                </c:pt>
                <c:pt idx="1422">
                  <c:v>45264</c:v>
                </c:pt>
                <c:pt idx="1423">
                  <c:v>45265</c:v>
                </c:pt>
                <c:pt idx="1424">
                  <c:v>45266</c:v>
                </c:pt>
                <c:pt idx="1425">
                  <c:v>45267</c:v>
                </c:pt>
                <c:pt idx="1426">
                  <c:v>45268</c:v>
                </c:pt>
                <c:pt idx="1427">
                  <c:v>45269</c:v>
                </c:pt>
                <c:pt idx="1428">
                  <c:v>45270</c:v>
                </c:pt>
                <c:pt idx="1429">
                  <c:v>45271</c:v>
                </c:pt>
                <c:pt idx="1430">
                  <c:v>45272</c:v>
                </c:pt>
                <c:pt idx="1431">
                  <c:v>45273</c:v>
                </c:pt>
                <c:pt idx="1432">
                  <c:v>45274</c:v>
                </c:pt>
                <c:pt idx="1433">
                  <c:v>45275</c:v>
                </c:pt>
                <c:pt idx="1434">
                  <c:v>45276</c:v>
                </c:pt>
                <c:pt idx="1435">
                  <c:v>45277</c:v>
                </c:pt>
                <c:pt idx="1436">
                  <c:v>45278</c:v>
                </c:pt>
                <c:pt idx="1437">
                  <c:v>45279</c:v>
                </c:pt>
                <c:pt idx="1438">
                  <c:v>45280</c:v>
                </c:pt>
                <c:pt idx="1439">
                  <c:v>45281</c:v>
                </c:pt>
                <c:pt idx="1440">
                  <c:v>45282</c:v>
                </c:pt>
                <c:pt idx="1441">
                  <c:v>45283</c:v>
                </c:pt>
                <c:pt idx="1442">
                  <c:v>45284</c:v>
                </c:pt>
                <c:pt idx="1443">
                  <c:v>45285</c:v>
                </c:pt>
                <c:pt idx="1444">
                  <c:v>45286</c:v>
                </c:pt>
                <c:pt idx="1445">
                  <c:v>45287</c:v>
                </c:pt>
                <c:pt idx="1446">
                  <c:v>45288</c:v>
                </c:pt>
                <c:pt idx="1447">
                  <c:v>45289</c:v>
                </c:pt>
                <c:pt idx="1448">
                  <c:v>45290</c:v>
                </c:pt>
                <c:pt idx="1449">
                  <c:v>45291</c:v>
                </c:pt>
                <c:pt idx="1450">
                  <c:v>45292</c:v>
                </c:pt>
                <c:pt idx="1451">
                  <c:v>45293</c:v>
                </c:pt>
                <c:pt idx="1452">
                  <c:v>45294</c:v>
                </c:pt>
                <c:pt idx="1453">
                  <c:v>45295</c:v>
                </c:pt>
                <c:pt idx="1454">
                  <c:v>45296</c:v>
                </c:pt>
                <c:pt idx="1455">
                  <c:v>45297</c:v>
                </c:pt>
                <c:pt idx="1456">
                  <c:v>45298</c:v>
                </c:pt>
                <c:pt idx="1457">
                  <c:v>45299</c:v>
                </c:pt>
                <c:pt idx="1458">
                  <c:v>45300</c:v>
                </c:pt>
                <c:pt idx="1459">
                  <c:v>45301</c:v>
                </c:pt>
                <c:pt idx="1460">
                  <c:v>45302</c:v>
                </c:pt>
                <c:pt idx="1461">
                  <c:v>45303</c:v>
                </c:pt>
                <c:pt idx="1462">
                  <c:v>45304</c:v>
                </c:pt>
                <c:pt idx="1463">
                  <c:v>45305</c:v>
                </c:pt>
                <c:pt idx="1464">
                  <c:v>45306</c:v>
                </c:pt>
                <c:pt idx="1465">
                  <c:v>45307</c:v>
                </c:pt>
                <c:pt idx="1466">
                  <c:v>45308</c:v>
                </c:pt>
                <c:pt idx="1467">
                  <c:v>45309</c:v>
                </c:pt>
                <c:pt idx="1468">
                  <c:v>45310</c:v>
                </c:pt>
                <c:pt idx="1469">
                  <c:v>45311</c:v>
                </c:pt>
                <c:pt idx="1470">
                  <c:v>45312</c:v>
                </c:pt>
                <c:pt idx="1471">
                  <c:v>45313</c:v>
                </c:pt>
                <c:pt idx="1472">
                  <c:v>45314</c:v>
                </c:pt>
                <c:pt idx="1473">
                  <c:v>45315</c:v>
                </c:pt>
                <c:pt idx="1474">
                  <c:v>45316</c:v>
                </c:pt>
                <c:pt idx="1475">
                  <c:v>45317</c:v>
                </c:pt>
                <c:pt idx="1476">
                  <c:v>45318</c:v>
                </c:pt>
                <c:pt idx="1477">
                  <c:v>45319</c:v>
                </c:pt>
                <c:pt idx="1478">
                  <c:v>45320</c:v>
                </c:pt>
                <c:pt idx="1479">
                  <c:v>45321</c:v>
                </c:pt>
                <c:pt idx="1480">
                  <c:v>45322</c:v>
                </c:pt>
                <c:pt idx="1481">
                  <c:v>45323</c:v>
                </c:pt>
                <c:pt idx="1482">
                  <c:v>45324</c:v>
                </c:pt>
                <c:pt idx="1483">
                  <c:v>45325</c:v>
                </c:pt>
                <c:pt idx="1484">
                  <c:v>45326</c:v>
                </c:pt>
                <c:pt idx="1485">
                  <c:v>45327</c:v>
                </c:pt>
                <c:pt idx="1486">
                  <c:v>45328</c:v>
                </c:pt>
                <c:pt idx="1487">
                  <c:v>45329</c:v>
                </c:pt>
                <c:pt idx="1488">
                  <c:v>45330</c:v>
                </c:pt>
                <c:pt idx="1489">
                  <c:v>45331</c:v>
                </c:pt>
                <c:pt idx="1490">
                  <c:v>45332</c:v>
                </c:pt>
                <c:pt idx="1491">
                  <c:v>45333</c:v>
                </c:pt>
                <c:pt idx="1492">
                  <c:v>45334</c:v>
                </c:pt>
                <c:pt idx="1493">
                  <c:v>45335</c:v>
                </c:pt>
                <c:pt idx="1494">
                  <c:v>45336</c:v>
                </c:pt>
                <c:pt idx="1495">
                  <c:v>45337</c:v>
                </c:pt>
                <c:pt idx="1496">
                  <c:v>45338</c:v>
                </c:pt>
                <c:pt idx="1497">
                  <c:v>45339</c:v>
                </c:pt>
                <c:pt idx="1498">
                  <c:v>45340</c:v>
                </c:pt>
                <c:pt idx="1499">
                  <c:v>45341</c:v>
                </c:pt>
                <c:pt idx="1500">
                  <c:v>45342</c:v>
                </c:pt>
                <c:pt idx="1501">
                  <c:v>45343</c:v>
                </c:pt>
                <c:pt idx="1502">
                  <c:v>45344</c:v>
                </c:pt>
                <c:pt idx="1503">
                  <c:v>45345</c:v>
                </c:pt>
                <c:pt idx="1504">
                  <c:v>45346</c:v>
                </c:pt>
                <c:pt idx="1505">
                  <c:v>45347</c:v>
                </c:pt>
                <c:pt idx="1506">
                  <c:v>45348</c:v>
                </c:pt>
                <c:pt idx="1507">
                  <c:v>45349</c:v>
                </c:pt>
                <c:pt idx="1508">
                  <c:v>45350</c:v>
                </c:pt>
                <c:pt idx="1509">
                  <c:v>45351</c:v>
                </c:pt>
                <c:pt idx="1510">
                  <c:v>45352</c:v>
                </c:pt>
                <c:pt idx="1511">
                  <c:v>45353</c:v>
                </c:pt>
                <c:pt idx="1512">
                  <c:v>45354</c:v>
                </c:pt>
                <c:pt idx="1513">
                  <c:v>45355</c:v>
                </c:pt>
                <c:pt idx="1514">
                  <c:v>45356</c:v>
                </c:pt>
                <c:pt idx="1515">
                  <c:v>45357</c:v>
                </c:pt>
                <c:pt idx="1516">
                  <c:v>45358</c:v>
                </c:pt>
                <c:pt idx="1517">
                  <c:v>45359</c:v>
                </c:pt>
                <c:pt idx="1518">
                  <c:v>45360</c:v>
                </c:pt>
                <c:pt idx="1519">
                  <c:v>45361</c:v>
                </c:pt>
                <c:pt idx="1520">
                  <c:v>45362</c:v>
                </c:pt>
                <c:pt idx="1521">
                  <c:v>45363</c:v>
                </c:pt>
                <c:pt idx="1522">
                  <c:v>45364</c:v>
                </c:pt>
                <c:pt idx="1523">
                  <c:v>45365</c:v>
                </c:pt>
                <c:pt idx="1524">
                  <c:v>45366</c:v>
                </c:pt>
                <c:pt idx="1525">
                  <c:v>45367</c:v>
                </c:pt>
                <c:pt idx="1526">
                  <c:v>45368</c:v>
                </c:pt>
                <c:pt idx="1527">
                  <c:v>45369</c:v>
                </c:pt>
                <c:pt idx="1528">
                  <c:v>45370</c:v>
                </c:pt>
                <c:pt idx="1529">
                  <c:v>45371</c:v>
                </c:pt>
                <c:pt idx="1530">
                  <c:v>45372</c:v>
                </c:pt>
                <c:pt idx="1531">
                  <c:v>45373</c:v>
                </c:pt>
                <c:pt idx="1532">
                  <c:v>45374</c:v>
                </c:pt>
                <c:pt idx="1533">
                  <c:v>45375</c:v>
                </c:pt>
                <c:pt idx="1534">
                  <c:v>45376</c:v>
                </c:pt>
                <c:pt idx="1535">
                  <c:v>45377</c:v>
                </c:pt>
                <c:pt idx="1536">
                  <c:v>45378</c:v>
                </c:pt>
                <c:pt idx="1537">
                  <c:v>45379</c:v>
                </c:pt>
                <c:pt idx="1538">
                  <c:v>45380</c:v>
                </c:pt>
                <c:pt idx="1539">
                  <c:v>45381</c:v>
                </c:pt>
                <c:pt idx="1540">
                  <c:v>45382</c:v>
                </c:pt>
                <c:pt idx="1541">
                  <c:v>45383</c:v>
                </c:pt>
                <c:pt idx="1542">
                  <c:v>45384</c:v>
                </c:pt>
                <c:pt idx="1543">
                  <c:v>45385</c:v>
                </c:pt>
                <c:pt idx="1544">
                  <c:v>45386</c:v>
                </c:pt>
                <c:pt idx="1545">
                  <c:v>45387</c:v>
                </c:pt>
                <c:pt idx="1546">
                  <c:v>45388</c:v>
                </c:pt>
                <c:pt idx="1547">
                  <c:v>45389</c:v>
                </c:pt>
                <c:pt idx="1548">
                  <c:v>45390</c:v>
                </c:pt>
                <c:pt idx="1549">
                  <c:v>45391</c:v>
                </c:pt>
                <c:pt idx="1550">
                  <c:v>45392</c:v>
                </c:pt>
                <c:pt idx="1551">
                  <c:v>45393</c:v>
                </c:pt>
                <c:pt idx="1552">
                  <c:v>45394</c:v>
                </c:pt>
                <c:pt idx="1553">
                  <c:v>45395</c:v>
                </c:pt>
                <c:pt idx="1554">
                  <c:v>45396</c:v>
                </c:pt>
                <c:pt idx="1555">
                  <c:v>45397</c:v>
                </c:pt>
                <c:pt idx="1556">
                  <c:v>45398</c:v>
                </c:pt>
                <c:pt idx="1557">
                  <c:v>45399</c:v>
                </c:pt>
                <c:pt idx="1558">
                  <c:v>45400</c:v>
                </c:pt>
                <c:pt idx="1559">
                  <c:v>45401</c:v>
                </c:pt>
                <c:pt idx="1560">
                  <c:v>45402</c:v>
                </c:pt>
                <c:pt idx="1561">
                  <c:v>45403</c:v>
                </c:pt>
                <c:pt idx="1562">
                  <c:v>45404</c:v>
                </c:pt>
                <c:pt idx="1563">
                  <c:v>45405</c:v>
                </c:pt>
                <c:pt idx="1564">
                  <c:v>45406</c:v>
                </c:pt>
                <c:pt idx="1565">
                  <c:v>45407</c:v>
                </c:pt>
                <c:pt idx="1566">
                  <c:v>45408</c:v>
                </c:pt>
                <c:pt idx="1567">
                  <c:v>45409</c:v>
                </c:pt>
                <c:pt idx="1568">
                  <c:v>45410</c:v>
                </c:pt>
                <c:pt idx="1569">
                  <c:v>45411</c:v>
                </c:pt>
                <c:pt idx="1570">
                  <c:v>45412</c:v>
                </c:pt>
                <c:pt idx="1571">
                  <c:v>45413</c:v>
                </c:pt>
                <c:pt idx="1572">
                  <c:v>45414</c:v>
                </c:pt>
                <c:pt idx="1573">
                  <c:v>45415</c:v>
                </c:pt>
                <c:pt idx="1574">
                  <c:v>45416</c:v>
                </c:pt>
                <c:pt idx="1575">
                  <c:v>45417</c:v>
                </c:pt>
                <c:pt idx="1576">
                  <c:v>45418</c:v>
                </c:pt>
                <c:pt idx="1577">
                  <c:v>45419</c:v>
                </c:pt>
                <c:pt idx="1578">
                  <c:v>45420</c:v>
                </c:pt>
                <c:pt idx="1579">
                  <c:v>45421</c:v>
                </c:pt>
                <c:pt idx="1580">
                  <c:v>45422</c:v>
                </c:pt>
                <c:pt idx="1581">
                  <c:v>45423</c:v>
                </c:pt>
                <c:pt idx="1582">
                  <c:v>45424</c:v>
                </c:pt>
                <c:pt idx="1583">
                  <c:v>45425</c:v>
                </c:pt>
                <c:pt idx="1584">
                  <c:v>45426</c:v>
                </c:pt>
                <c:pt idx="1585">
                  <c:v>45427</c:v>
                </c:pt>
                <c:pt idx="1586">
                  <c:v>45428</c:v>
                </c:pt>
                <c:pt idx="1587">
                  <c:v>45429</c:v>
                </c:pt>
                <c:pt idx="1588">
                  <c:v>45430</c:v>
                </c:pt>
                <c:pt idx="1589">
                  <c:v>45431</c:v>
                </c:pt>
                <c:pt idx="1590">
                  <c:v>45432</c:v>
                </c:pt>
                <c:pt idx="1591">
                  <c:v>45433</c:v>
                </c:pt>
                <c:pt idx="1592">
                  <c:v>45434</c:v>
                </c:pt>
                <c:pt idx="1593">
                  <c:v>45435</c:v>
                </c:pt>
                <c:pt idx="1594">
                  <c:v>45436</c:v>
                </c:pt>
                <c:pt idx="1595">
                  <c:v>45437</c:v>
                </c:pt>
                <c:pt idx="1596">
                  <c:v>45438</c:v>
                </c:pt>
                <c:pt idx="1597">
                  <c:v>45439</c:v>
                </c:pt>
                <c:pt idx="1598">
                  <c:v>45440</c:v>
                </c:pt>
                <c:pt idx="1599">
                  <c:v>45441</c:v>
                </c:pt>
                <c:pt idx="1600">
                  <c:v>45442</c:v>
                </c:pt>
                <c:pt idx="1601">
                  <c:v>45443</c:v>
                </c:pt>
                <c:pt idx="1602">
                  <c:v>45444</c:v>
                </c:pt>
                <c:pt idx="1603">
                  <c:v>45445</c:v>
                </c:pt>
                <c:pt idx="1604">
                  <c:v>45446</c:v>
                </c:pt>
                <c:pt idx="1605">
                  <c:v>45447</c:v>
                </c:pt>
                <c:pt idx="1606">
                  <c:v>45448</c:v>
                </c:pt>
                <c:pt idx="1607">
                  <c:v>45449</c:v>
                </c:pt>
                <c:pt idx="1608">
                  <c:v>45450</c:v>
                </c:pt>
                <c:pt idx="1609">
                  <c:v>45451</c:v>
                </c:pt>
                <c:pt idx="1610">
                  <c:v>45452</c:v>
                </c:pt>
                <c:pt idx="1611">
                  <c:v>45453</c:v>
                </c:pt>
                <c:pt idx="1612">
                  <c:v>45454</c:v>
                </c:pt>
                <c:pt idx="1613">
                  <c:v>45455</c:v>
                </c:pt>
                <c:pt idx="1614">
                  <c:v>45456</c:v>
                </c:pt>
                <c:pt idx="1615">
                  <c:v>45457</c:v>
                </c:pt>
                <c:pt idx="1616">
                  <c:v>45458</c:v>
                </c:pt>
                <c:pt idx="1617">
                  <c:v>45459</c:v>
                </c:pt>
                <c:pt idx="1618">
                  <c:v>45460</c:v>
                </c:pt>
                <c:pt idx="1619">
                  <c:v>45461</c:v>
                </c:pt>
                <c:pt idx="1620">
                  <c:v>45462</c:v>
                </c:pt>
                <c:pt idx="1621">
                  <c:v>45463</c:v>
                </c:pt>
                <c:pt idx="1622">
                  <c:v>45464</c:v>
                </c:pt>
                <c:pt idx="1623">
                  <c:v>45465</c:v>
                </c:pt>
                <c:pt idx="1624">
                  <c:v>45466</c:v>
                </c:pt>
                <c:pt idx="1625">
                  <c:v>45467</c:v>
                </c:pt>
                <c:pt idx="1626">
                  <c:v>45468</c:v>
                </c:pt>
                <c:pt idx="1627">
                  <c:v>45469</c:v>
                </c:pt>
                <c:pt idx="1628">
                  <c:v>45470</c:v>
                </c:pt>
                <c:pt idx="1629">
                  <c:v>45471</c:v>
                </c:pt>
                <c:pt idx="1630">
                  <c:v>45472</c:v>
                </c:pt>
                <c:pt idx="1631">
                  <c:v>45473</c:v>
                </c:pt>
                <c:pt idx="1632">
                  <c:v>45474</c:v>
                </c:pt>
                <c:pt idx="1633">
                  <c:v>45475</c:v>
                </c:pt>
                <c:pt idx="1634">
                  <c:v>45476</c:v>
                </c:pt>
                <c:pt idx="1635">
                  <c:v>45477</c:v>
                </c:pt>
                <c:pt idx="1636">
                  <c:v>45478</c:v>
                </c:pt>
                <c:pt idx="1637">
                  <c:v>45479</c:v>
                </c:pt>
                <c:pt idx="1638">
                  <c:v>45480</c:v>
                </c:pt>
                <c:pt idx="1639">
                  <c:v>45481</c:v>
                </c:pt>
                <c:pt idx="1640">
                  <c:v>45482</c:v>
                </c:pt>
                <c:pt idx="1641">
                  <c:v>45483</c:v>
                </c:pt>
                <c:pt idx="1642">
                  <c:v>45484</c:v>
                </c:pt>
                <c:pt idx="1643">
                  <c:v>45485</c:v>
                </c:pt>
                <c:pt idx="1644">
                  <c:v>45486</c:v>
                </c:pt>
                <c:pt idx="1645">
                  <c:v>45487</c:v>
                </c:pt>
                <c:pt idx="1646">
                  <c:v>45488</c:v>
                </c:pt>
                <c:pt idx="1647">
                  <c:v>45489</c:v>
                </c:pt>
                <c:pt idx="1648">
                  <c:v>45490</c:v>
                </c:pt>
                <c:pt idx="1649">
                  <c:v>45491</c:v>
                </c:pt>
                <c:pt idx="1650">
                  <c:v>45492</c:v>
                </c:pt>
                <c:pt idx="1651">
                  <c:v>45493</c:v>
                </c:pt>
                <c:pt idx="1652">
                  <c:v>45494</c:v>
                </c:pt>
                <c:pt idx="1653">
                  <c:v>45495</c:v>
                </c:pt>
                <c:pt idx="1654">
                  <c:v>45496</c:v>
                </c:pt>
                <c:pt idx="1655">
                  <c:v>45497</c:v>
                </c:pt>
                <c:pt idx="1656">
                  <c:v>45498</c:v>
                </c:pt>
                <c:pt idx="1657">
                  <c:v>45499</c:v>
                </c:pt>
                <c:pt idx="1658">
                  <c:v>45500</c:v>
                </c:pt>
                <c:pt idx="1659">
                  <c:v>45501</c:v>
                </c:pt>
                <c:pt idx="1660">
                  <c:v>45502</c:v>
                </c:pt>
                <c:pt idx="1661">
                  <c:v>45503</c:v>
                </c:pt>
                <c:pt idx="1662">
                  <c:v>45504</c:v>
                </c:pt>
                <c:pt idx="1663">
                  <c:v>45505</c:v>
                </c:pt>
                <c:pt idx="1664">
                  <c:v>45506</c:v>
                </c:pt>
                <c:pt idx="1665">
                  <c:v>45507</c:v>
                </c:pt>
                <c:pt idx="1666">
                  <c:v>45508</c:v>
                </c:pt>
                <c:pt idx="1667">
                  <c:v>45509</c:v>
                </c:pt>
                <c:pt idx="1668">
                  <c:v>45510</c:v>
                </c:pt>
                <c:pt idx="1669">
                  <c:v>45511</c:v>
                </c:pt>
                <c:pt idx="1670">
                  <c:v>45512</c:v>
                </c:pt>
                <c:pt idx="1671">
                  <c:v>45513</c:v>
                </c:pt>
                <c:pt idx="1672">
                  <c:v>45514</c:v>
                </c:pt>
                <c:pt idx="1673">
                  <c:v>45515</c:v>
                </c:pt>
                <c:pt idx="1674">
                  <c:v>45516</c:v>
                </c:pt>
                <c:pt idx="1675">
                  <c:v>45517</c:v>
                </c:pt>
                <c:pt idx="1676">
                  <c:v>45518</c:v>
                </c:pt>
                <c:pt idx="1677">
                  <c:v>45519</c:v>
                </c:pt>
                <c:pt idx="1678">
                  <c:v>45520</c:v>
                </c:pt>
                <c:pt idx="1679">
                  <c:v>45521</c:v>
                </c:pt>
                <c:pt idx="1680">
                  <c:v>45522</c:v>
                </c:pt>
                <c:pt idx="1681">
                  <c:v>45523</c:v>
                </c:pt>
                <c:pt idx="1682">
                  <c:v>45524</c:v>
                </c:pt>
                <c:pt idx="1683">
                  <c:v>45525</c:v>
                </c:pt>
                <c:pt idx="1684">
                  <c:v>45526</c:v>
                </c:pt>
                <c:pt idx="1685">
                  <c:v>45527</c:v>
                </c:pt>
                <c:pt idx="1686">
                  <c:v>45528</c:v>
                </c:pt>
                <c:pt idx="1687">
                  <c:v>45529</c:v>
                </c:pt>
                <c:pt idx="1688">
                  <c:v>45530</c:v>
                </c:pt>
                <c:pt idx="1689">
                  <c:v>45531</c:v>
                </c:pt>
                <c:pt idx="1690">
                  <c:v>45532</c:v>
                </c:pt>
                <c:pt idx="1691">
                  <c:v>45533</c:v>
                </c:pt>
                <c:pt idx="1692">
                  <c:v>45534</c:v>
                </c:pt>
                <c:pt idx="1693">
                  <c:v>45535</c:v>
                </c:pt>
                <c:pt idx="1694">
                  <c:v>45536</c:v>
                </c:pt>
                <c:pt idx="1695">
                  <c:v>45537</c:v>
                </c:pt>
                <c:pt idx="1696">
                  <c:v>45538</c:v>
                </c:pt>
                <c:pt idx="1697">
                  <c:v>45539</c:v>
                </c:pt>
                <c:pt idx="1698">
                  <c:v>45540</c:v>
                </c:pt>
                <c:pt idx="1699">
                  <c:v>45541</c:v>
                </c:pt>
                <c:pt idx="1700">
                  <c:v>45542</c:v>
                </c:pt>
                <c:pt idx="1701">
                  <c:v>45543</c:v>
                </c:pt>
                <c:pt idx="1702">
                  <c:v>45544</c:v>
                </c:pt>
                <c:pt idx="1703">
                  <c:v>45545</c:v>
                </c:pt>
                <c:pt idx="1704">
                  <c:v>45546</c:v>
                </c:pt>
                <c:pt idx="1705">
                  <c:v>45547</c:v>
                </c:pt>
                <c:pt idx="1706">
                  <c:v>45548</c:v>
                </c:pt>
                <c:pt idx="1707">
                  <c:v>45549</c:v>
                </c:pt>
                <c:pt idx="1708">
                  <c:v>45550</c:v>
                </c:pt>
                <c:pt idx="1709">
                  <c:v>45551</c:v>
                </c:pt>
                <c:pt idx="1710">
                  <c:v>45552</c:v>
                </c:pt>
                <c:pt idx="1711">
                  <c:v>45553</c:v>
                </c:pt>
                <c:pt idx="1712">
                  <c:v>45554</c:v>
                </c:pt>
                <c:pt idx="1713">
                  <c:v>45555</c:v>
                </c:pt>
                <c:pt idx="1714">
                  <c:v>45556</c:v>
                </c:pt>
                <c:pt idx="1715">
                  <c:v>45557</c:v>
                </c:pt>
                <c:pt idx="1716">
                  <c:v>45558</c:v>
                </c:pt>
                <c:pt idx="1717">
                  <c:v>45559</c:v>
                </c:pt>
                <c:pt idx="1718">
                  <c:v>45560</c:v>
                </c:pt>
                <c:pt idx="1719">
                  <c:v>45561</c:v>
                </c:pt>
                <c:pt idx="1720">
                  <c:v>45562</c:v>
                </c:pt>
                <c:pt idx="1721">
                  <c:v>45563</c:v>
                </c:pt>
                <c:pt idx="1722">
                  <c:v>45564</c:v>
                </c:pt>
                <c:pt idx="1723">
                  <c:v>45565</c:v>
                </c:pt>
                <c:pt idx="1724">
                  <c:v>45566</c:v>
                </c:pt>
                <c:pt idx="1725">
                  <c:v>45567</c:v>
                </c:pt>
                <c:pt idx="1726">
                  <c:v>45568</c:v>
                </c:pt>
                <c:pt idx="1727">
                  <c:v>45569</c:v>
                </c:pt>
                <c:pt idx="1728">
                  <c:v>45570</c:v>
                </c:pt>
                <c:pt idx="1729">
                  <c:v>45571</c:v>
                </c:pt>
                <c:pt idx="1730">
                  <c:v>45572</c:v>
                </c:pt>
                <c:pt idx="1731">
                  <c:v>45573</c:v>
                </c:pt>
                <c:pt idx="1732">
                  <c:v>45574</c:v>
                </c:pt>
                <c:pt idx="1733">
                  <c:v>45575</c:v>
                </c:pt>
                <c:pt idx="1734">
                  <c:v>45576</c:v>
                </c:pt>
                <c:pt idx="1735">
                  <c:v>45577</c:v>
                </c:pt>
                <c:pt idx="1736">
                  <c:v>45578</c:v>
                </c:pt>
                <c:pt idx="1737">
                  <c:v>45579</c:v>
                </c:pt>
                <c:pt idx="1738">
                  <c:v>45580</c:v>
                </c:pt>
                <c:pt idx="1739">
                  <c:v>45581</c:v>
                </c:pt>
                <c:pt idx="1740">
                  <c:v>45582</c:v>
                </c:pt>
                <c:pt idx="1741">
                  <c:v>45583</c:v>
                </c:pt>
                <c:pt idx="1742">
                  <c:v>45584</c:v>
                </c:pt>
                <c:pt idx="1743">
                  <c:v>45585</c:v>
                </c:pt>
                <c:pt idx="1744">
                  <c:v>45586</c:v>
                </c:pt>
                <c:pt idx="1745">
                  <c:v>45587</c:v>
                </c:pt>
                <c:pt idx="1746">
                  <c:v>45588</c:v>
                </c:pt>
                <c:pt idx="1747">
                  <c:v>45589</c:v>
                </c:pt>
                <c:pt idx="1748">
                  <c:v>45590</c:v>
                </c:pt>
                <c:pt idx="1749">
                  <c:v>45591</c:v>
                </c:pt>
                <c:pt idx="1750">
                  <c:v>45592</c:v>
                </c:pt>
                <c:pt idx="1751">
                  <c:v>45593</c:v>
                </c:pt>
                <c:pt idx="1752">
                  <c:v>45594</c:v>
                </c:pt>
                <c:pt idx="1753">
                  <c:v>45595</c:v>
                </c:pt>
                <c:pt idx="1754">
                  <c:v>45596</c:v>
                </c:pt>
                <c:pt idx="1755">
                  <c:v>45597</c:v>
                </c:pt>
                <c:pt idx="1756">
                  <c:v>45598</c:v>
                </c:pt>
                <c:pt idx="1757">
                  <c:v>45599</c:v>
                </c:pt>
                <c:pt idx="1758">
                  <c:v>45600</c:v>
                </c:pt>
                <c:pt idx="1759">
                  <c:v>45601</c:v>
                </c:pt>
                <c:pt idx="1760">
                  <c:v>45602</c:v>
                </c:pt>
                <c:pt idx="1761">
                  <c:v>45603</c:v>
                </c:pt>
                <c:pt idx="1762">
                  <c:v>45604</c:v>
                </c:pt>
                <c:pt idx="1763">
                  <c:v>45605</c:v>
                </c:pt>
                <c:pt idx="1764">
                  <c:v>45606</c:v>
                </c:pt>
                <c:pt idx="1765">
                  <c:v>45607</c:v>
                </c:pt>
                <c:pt idx="1766">
                  <c:v>45608</c:v>
                </c:pt>
                <c:pt idx="1767">
                  <c:v>45609</c:v>
                </c:pt>
                <c:pt idx="1768">
                  <c:v>45610</c:v>
                </c:pt>
                <c:pt idx="1769">
                  <c:v>45611</c:v>
                </c:pt>
                <c:pt idx="1770">
                  <c:v>45612</c:v>
                </c:pt>
                <c:pt idx="1771">
                  <c:v>45613</c:v>
                </c:pt>
                <c:pt idx="1772">
                  <c:v>45614</c:v>
                </c:pt>
                <c:pt idx="1773">
                  <c:v>45615</c:v>
                </c:pt>
                <c:pt idx="1774">
                  <c:v>45616</c:v>
                </c:pt>
                <c:pt idx="1775">
                  <c:v>45617</c:v>
                </c:pt>
                <c:pt idx="1776">
                  <c:v>45618</c:v>
                </c:pt>
                <c:pt idx="1777">
                  <c:v>45619</c:v>
                </c:pt>
                <c:pt idx="1778">
                  <c:v>45620</c:v>
                </c:pt>
                <c:pt idx="1779">
                  <c:v>45621</c:v>
                </c:pt>
                <c:pt idx="1780">
                  <c:v>45622</c:v>
                </c:pt>
                <c:pt idx="1781">
                  <c:v>45623</c:v>
                </c:pt>
                <c:pt idx="1782">
                  <c:v>45624</c:v>
                </c:pt>
                <c:pt idx="1783">
                  <c:v>45625</c:v>
                </c:pt>
                <c:pt idx="1784">
                  <c:v>45626</c:v>
                </c:pt>
                <c:pt idx="1785">
                  <c:v>45627</c:v>
                </c:pt>
                <c:pt idx="1786">
                  <c:v>45628</c:v>
                </c:pt>
                <c:pt idx="1787">
                  <c:v>45629</c:v>
                </c:pt>
                <c:pt idx="1788">
                  <c:v>45630</c:v>
                </c:pt>
                <c:pt idx="1789">
                  <c:v>45631</c:v>
                </c:pt>
                <c:pt idx="1790">
                  <c:v>45632</c:v>
                </c:pt>
                <c:pt idx="1791">
                  <c:v>45633</c:v>
                </c:pt>
                <c:pt idx="1792">
                  <c:v>45634</c:v>
                </c:pt>
                <c:pt idx="1793">
                  <c:v>45635</c:v>
                </c:pt>
                <c:pt idx="1794">
                  <c:v>45636</c:v>
                </c:pt>
                <c:pt idx="1795">
                  <c:v>45637</c:v>
                </c:pt>
                <c:pt idx="1796">
                  <c:v>45638</c:v>
                </c:pt>
                <c:pt idx="1797">
                  <c:v>45639</c:v>
                </c:pt>
                <c:pt idx="1798">
                  <c:v>45640</c:v>
                </c:pt>
                <c:pt idx="1799">
                  <c:v>45641</c:v>
                </c:pt>
                <c:pt idx="1800">
                  <c:v>45642</c:v>
                </c:pt>
                <c:pt idx="1801">
                  <c:v>45643</c:v>
                </c:pt>
                <c:pt idx="1802">
                  <c:v>45644</c:v>
                </c:pt>
                <c:pt idx="1803">
                  <c:v>45645</c:v>
                </c:pt>
                <c:pt idx="1804">
                  <c:v>45646</c:v>
                </c:pt>
                <c:pt idx="1805">
                  <c:v>45647</c:v>
                </c:pt>
                <c:pt idx="1806">
                  <c:v>45648</c:v>
                </c:pt>
                <c:pt idx="1807">
                  <c:v>45649</c:v>
                </c:pt>
                <c:pt idx="1808">
                  <c:v>45650</c:v>
                </c:pt>
                <c:pt idx="1809">
                  <c:v>45651</c:v>
                </c:pt>
                <c:pt idx="1810">
                  <c:v>45652</c:v>
                </c:pt>
                <c:pt idx="1811">
                  <c:v>45653</c:v>
                </c:pt>
                <c:pt idx="1812">
                  <c:v>45654</c:v>
                </c:pt>
                <c:pt idx="1813">
                  <c:v>45655</c:v>
                </c:pt>
                <c:pt idx="1814">
                  <c:v>45656</c:v>
                </c:pt>
                <c:pt idx="1815">
                  <c:v>45657</c:v>
                </c:pt>
                <c:pt idx="1816">
                  <c:v>45658</c:v>
                </c:pt>
                <c:pt idx="1817">
                  <c:v>45659</c:v>
                </c:pt>
                <c:pt idx="1818">
                  <c:v>45660</c:v>
                </c:pt>
                <c:pt idx="1819">
                  <c:v>45661</c:v>
                </c:pt>
                <c:pt idx="1820">
                  <c:v>45662</c:v>
                </c:pt>
                <c:pt idx="1821">
                  <c:v>45663</c:v>
                </c:pt>
                <c:pt idx="1822">
                  <c:v>45664</c:v>
                </c:pt>
                <c:pt idx="1823">
                  <c:v>45665</c:v>
                </c:pt>
                <c:pt idx="1824">
                  <c:v>45666</c:v>
                </c:pt>
                <c:pt idx="1825">
                  <c:v>45667</c:v>
                </c:pt>
                <c:pt idx="1826">
                  <c:v>45668</c:v>
                </c:pt>
                <c:pt idx="1827">
                  <c:v>45669</c:v>
                </c:pt>
                <c:pt idx="1828">
                  <c:v>45670</c:v>
                </c:pt>
                <c:pt idx="1829">
                  <c:v>45671</c:v>
                </c:pt>
                <c:pt idx="1830">
                  <c:v>45672</c:v>
                </c:pt>
                <c:pt idx="1831">
                  <c:v>45673</c:v>
                </c:pt>
                <c:pt idx="1832">
                  <c:v>45674</c:v>
                </c:pt>
                <c:pt idx="1833">
                  <c:v>45675</c:v>
                </c:pt>
                <c:pt idx="1834">
                  <c:v>45676</c:v>
                </c:pt>
                <c:pt idx="1835">
                  <c:v>45677</c:v>
                </c:pt>
                <c:pt idx="1836">
                  <c:v>45678</c:v>
                </c:pt>
                <c:pt idx="1837">
                  <c:v>45679</c:v>
                </c:pt>
                <c:pt idx="1838">
                  <c:v>45680</c:v>
                </c:pt>
                <c:pt idx="1839">
                  <c:v>45681</c:v>
                </c:pt>
                <c:pt idx="1840">
                  <c:v>45682</c:v>
                </c:pt>
                <c:pt idx="1841">
                  <c:v>45683</c:v>
                </c:pt>
                <c:pt idx="1842">
                  <c:v>45684</c:v>
                </c:pt>
                <c:pt idx="1843">
                  <c:v>45685</c:v>
                </c:pt>
                <c:pt idx="1844">
                  <c:v>45686</c:v>
                </c:pt>
                <c:pt idx="1845">
                  <c:v>45687</c:v>
                </c:pt>
                <c:pt idx="1846">
                  <c:v>45688</c:v>
                </c:pt>
                <c:pt idx="1847">
                  <c:v>45689</c:v>
                </c:pt>
                <c:pt idx="1848">
                  <c:v>45690</c:v>
                </c:pt>
                <c:pt idx="1849">
                  <c:v>45691</c:v>
                </c:pt>
                <c:pt idx="1850">
                  <c:v>45692</c:v>
                </c:pt>
                <c:pt idx="1851">
                  <c:v>45693</c:v>
                </c:pt>
                <c:pt idx="1852">
                  <c:v>45694</c:v>
                </c:pt>
                <c:pt idx="1853">
                  <c:v>45695</c:v>
                </c:pt>
                <c:pt idx="1854">
                  <c:v>45696</c:v>
                </c:pt>
                <c:pt idx="1855">
                  <c:v>45697</c:v>
                </c:pt>
                <c:pt idx="1856">
                  <c:v>45698</c:v>
                </c:pt>
                <c:pt idx="1857">
                  <c:v>45699</c:v>
                </c:pt>
                <c:pt idx="1858">
                  <c:v>45700</c:v>
                </c:pt>
                <c:pt idx="1859">
                  <c:v>45701</c:v>
                </c:pt>
                <c:pt idx="1860">
                  <c:v>45702</c:v>
                </c:pt>
                <c:pt idx="1861">
                  <c:v>45703</c:v>
                </c:pt>
                <c:pt idx="1862">
                  <c:v>45704</c:v>
                </c:pt>
                <c:pt idx="1863">
                  <c:v>45705</c:v>
                </c:pt>
                <c:pt idx="1864">
                  <c:v>45706</c:v>
                </c:pt>
                <c:pt idx="1865">
                  <c:v>45707</c:v>
                </c:pt>
                <c:pt idx="1866">
                  <c:v>45708</c:v>
                </c:pt>
                <c:pt idx="1867">
                  <c:v>45709</c:v>
                </c:pt>
                <c:pt idx="1868">
                  <c:v>45710</c:v>
                </c:pt>
                <c:pt idx="1869">
                  <c:v>45711</c:v>
                </c:pt>
                <c:pt idx="1870">
                  <c:v>45712</c:v>
                </c:pt>
                <c:pt idx="1871">
                  <c:v>45713</c:v>
                </c:pt>
                <c:pt idx="1872">
                  <c:v>45714</c:v>
                </c:pt>
                <c:pt idx="1873">
                  <c:v>45715</c:v>
                </c:pt>
                <c:pt idx="1874">
                  <c:v>45716</c:v>
                </c:pt>
                <c:pt idx="1875">
                  <c:v>45717</c:v>
                </c:pt>
                <c:pt idx="1876">
                  <c:v>45718</c:v>
                </c:pt>
                <c:pt idx="1877">
                  <c:v>45719</c:v>
                </c:pt>
                <c:pt idx="1878">
                  <c:v>45720</c:v>
                </c:pt>
                <c:pt idx="1879">
                  <c:v>45721</c:v>
                </c:pt>
                <c:pt idx="1880">
                  <c:v>45722</c:v>
                </c:pt>
                <c:pt idx="1881">
                  <c:v>45723</c:v>
                </c:pt>
                <c:pt idx="1882">
                  <c:v>45724</c:v>
                </c:pt>
                <c:pt idx="1883">
                  <c:v>45725</c:v>
                </c:pt>
                <c:pt idx="1884">
                  <c:v>45726</c:v>
                </c:pt>
                <c:pt idx="1885">
                  <c:v>45727</c:v>
                </c:pt>
                <c:pt idx="1886">
                  <c:v>45728</c:v>
                </c:pt>
                <c:pt idx="1887">
                  <c:v>45729</c:v>
                </c:pt>
                <c:pt idx="1888">
                  <c:v>45730</c:v>
                </c:pt>
                <c:pt idx="1889">
                  <c:v>45731</c:v>
                </c:pt>
                <c:pt idx="1890">
                  <c:v>45732</c:v>
                </c:pt>
                <c:pt idx="1891">
                  <c:v>45733</c:v>
                </c:pt>
                <c:pt idx="1892">
                  <c:v>45734</c:v>
                </c:pt>
                <c:pt idx="1893">
                  <c:v>45735</c:v>
                </c:pt>
                <c:pt idx="1894">
                  <c:v>45736</c:v>
                </c:pt>
                <c:pt idx="1895">
                  <c:v>45737</c:v>
                </c:pt>
                <c:pt idx="1896">
                  <c:v>45738</c:v>
                </c:pt>
                <c:pt idx="1897">
                  <c:v>45739</c:v>
                </c:pt>
                <c:pt idx="1898">
                  <c:v>45740</c:v>
                </c:pt>
                <c:pt idx="1899">
                  <c:v>45741</c:v>
                </c:pt>
                <c:pt idx="1900">
                  <c:v>45742</c:v>
                </c:pt>
                <c:pt idx="1901">
                  <c:v>45743</c:v>
                </c:pt>
                <c:pt idx="1902">
                  <c:v>45744</c:v>
                </c:pt>
                <c:pt idx="1903">
                  <c:v>45745</c:v>
                </c:pt>
                <c:pt idx="1904">
                  <c:v>45746</c:v>
                </c:pt>
                <c:pt idx="1905">
                  <c:v>45747</c:v>
                </c:pt>
                <c:pt idx="1906">
                  <c:v>45748</c:v>
                </c:pt>
                <c:pt idx="1907">
                  <c:v>45749</c:v>
                </c:pt>
                <c:pt idx="1908">
                  <c:v>45750</c:v>
                </c:pt>
                <c:pt idx="1909">
                  <c:v>45751</c:v>
                </c:pt>
                <c:pt idx="1910">
                  <c:v>45752</c:v>
                </c:pt>
                <c:pt idx="1911">
                  <c:v>45753</c:v>
                </c:pt>
                <c:pt idx="1912">
                  <c:v>45754</c:v>
                </c:pt>
                <c:pt idx="1913">
                  <c:v>45755</c:v>
                </c:pt>
                <c:pt idx="1914">
                  <c:v>45756</c:v>
                </c:pt>
                <c:pt idx="1915">
                  <c:v>45757</c:v>
                </c:pt>
                <c:pt idx="1916">
                  <c:v>45758</c:v>
                </c:pt>
                <c:pt idx="1917">
                  <c:v>45759</c:v>
                </c:pt>
                <c:pt idx="1918">
                  <c:v>45760</c:v>
                </c:pt>
                <c:pt idx="1919">
                  <c:v>45761</c:v>
                </c:pt>
                <c:pt idx="1920">
                  <c:v>45762</c:v>
                </c:pt>
                <c:pt idx="1921">
                  <c:v>45763</c:v>
                </c:pt>
                <c:pt idx="1922">
                  <c:v>45764</c:v>
                </c:pt>
                <c:pt idx="1923">
                  <c:v>45765</c:v>
                </c:pt>
                <c:pt idx="1924">
                  <c:v>45766</c:v>
                </c:pt>
                <c:pt idx="1925">
                  <c:v>45767</c:v>
                </c:pt>
                <c:pt idx="1926">
                  <c:v>45768</c:v>
                </c:pt>
                <c:pt idx="1927">
                  <c:v>45769</c:v>
                </c:pt>
                <c:pt idx="1928">
                  <c:v>45770</c:v>
                </c:pt>
                <c:pt idx="1929">
                  <c:v>45771</c:v>
                </c:pt>
                <c:pt idx="1930">
                  <c:v>45772</c:v>
                </c:pt>
                <c:pt idx="1931">
                  <c:v>45773</c:v>
                </c:pt>
                <c:pt idx="1932">
                  <c:v>45774</c:v>
                </c:pt>
                <c:pt idx="1933">
                  <c:v>45775</c:v>
                </c:pt>
                <c:pt idx="1934">
                  <c:v>45776</c:v>
                </c:pt>
                <c:pt idx="1935">
                  <c:v>45777</c:v>
                </c:pt>
                <c:pt idx="1936">
                  <c:v>45778</c:v>
                </c:pt>
                <c:pt idx="1937">
                  <c:v>45779</c:v>
                </c:pt>
                <c:pt idx="1938">
                  <c:v>45780</c:v>
                </c:pt>
                <c:pt idx="1939">
                  <c:v>45781</c:v>
                </c:pt>
                <c:pt idx="1940">
                  <c:v>45782</c:v>
                </c:pt>
                <c:pt idx="1941">
                  <c:v>45783</c:v>
                </c:pt>
                <c:pt idx="1942">
                  <c:v>45784</c:v>
                </c:pt>
                <c:pt idx="1943">
                  <c:v>45785</c:v>
                </c:pt>
                <c:pt idx="1944">
                  <c:v>45786</c:v>
                </c:pt>
                <c:pt idx="1945">
                  <c:v>45787</c:v>
                </c:pt>
                <c:pt idx="1946">
                  <c:v>45788</c:v>
                </c:pt>
                <c:pt idx="1947">
                  <c:v>45789</c:v>
                </c:pt>
                <c:pt idx="1948">
                  <c:v>45790</c:v>
                </c:pt>
                <c:pt idx="1949">
                  <c:v>45791</c:v>
                </c:pt>
                <c:pt idx="1950">
                  <c:v>45792</c:v>
                </c:pt>
                <c:pt idx="1951">
                  <c:v>45793</c:v>
                </c:pt>
                <c:pt idx="1952">
                  <c:v>45794</c:v>
                </c:pt>
                <c:pt idx="1953">
                  <c:v>45795</c:v>
                </c:pt>
                <c:pt idx="1954">
                  <c:v>45796</c:v>
                </c:pt>
                <c:pt idx="1955">
                  <c:v>45797</c:v>
                </c:pt>
                <c:pt idx="1956">
                  <c:v>45798</c:v>
                </c:pt>
                <c:pt idx="1957">
                  <c:v>45799</c:v>
                </c:pt>
                <c:pt idx="1958">
                  <c:v>45800</c:v>
                </c:pt>
                <c:pt idx="1959">
                  <c:v>45801</c:v>
                </c:pt>
                <c:pt idx="1960">
                  <c:v>45802</c:v>
                </c:pt>
                <c:pt idx="1961">
                  <c:v>45803</c:v>
                </c:pt>
                <c:pt idx="1962">
                  <c:v>45804</c:v>
                </c:pt>
                <c:pt idx="1963">
                  <c:v>45805</c:v>
                </c:pt>
                <c:pt idx="1964">
                  <c:v>45806</c:v>
                </c:pt>
                <c:pt idx="1965">
                  <c:v>45807</c:v>
                </c:pt>
                <c:pt idx="1966">
                  <c:v>45808</c:v>
                </c:pt>
                <c:pt idx="1967">
                  <c:v>45809</c:v>
                </c:pt>
                <c:pt idx="1968">
                  <c:v>45810</c:v>
                </c:pt>
                <c:pt idx="1969">
                  <c:v>45811</c:v>
                </c:pt>
                <c:pt idx="1970">
                  <c:v>45812</c:v>
                </c:pt>
                <c:pt idx="1971">
                  <c:v>45813</c:v>
                </c:pt>
                <c:pt idx="1972">
                  <c:v>45814</c:v>
                </c:pt>
                <c:pt idx="1973">
                  <c:v>45815</c:v>
                </c:pt>
                <c:pt idx="1974">
                  <c:v>45816</c:v>
                </c:pt>
                <c:pt idx="1975">
                  <c:v>45817</c:v>
                </c:pt>
                <c:pt idx="1976">
                  <c:v>45818</c:v>
                </c:pt>
                <c:pt idx="1977">
                  <c:v>45819</c:v>
                </c:pt>
                <c:pt idx="1978">
                  <c:v>45820</c:v>
                </c:pt>
                <c:pt idx="1979">
                  <c:v>45821</c:v>
                </c:pt>
                <c:pt idx="1980">
                  <c:v>45822</c:v>
                </c:pt>
                <c:pt idx="1981">
                  <c:v>45823</c:v>
                </c:pt>
                <c:pt idx="1982">
                  <c:v>45824</c:v>
                </c:pt>
                <c:pt idx="1983">
                  <c:v>45825</c:v>
                </c:pt>
                <c:pt idx="1984">
                  <c:v>45826</c:v>
                </c:pt>
                <c:pt idx="1985">
                  <c:v>45827</c:v>
                </c:pt>
                <c:pt idx="1986">
                  <c:v>45828</c:v>
                </c:pt>
                <c:pt idx="1987">
                  <c:v>45829</c:v>
                </c:pt>
                <c:pt idx="1988">
                  <c:v>45830</c:v>
                </c:pt>
                <c:pt idx="1989">
                  <c:v>45831</c:v>
                </c:pt>
                <c:pt idx="1990">
                  <c:v>45832</c:v>
                </c:pt>
                <c:pt idx="1991">
                  <c:v>45833</c:v>
                </c:pt>
                <c:pt idx="1992">
                  <c:v>45834</c:v>
                </c:pt>
                <c:pt idx="1993">
                  <c:v>45835</c:v>
                </c:pt>
                <c:pt idx="1994">
                  <c:v>45836</c:v>
                </c:pt>
                <c:pt idx="1995">
                  <c:v>45837</c:v>
                </c:pt>
                <c:pt idx="1996">
                  <c:v>45838</c:v>
                </c:pt>
                <c:pt idx="1997">
                  <c:v>45839</c:v>
                </c:pt>
                <c:pt idx="1998">
                  <c:v>45840</c:v>
                </c:pt>
                <c:pt idx="1999">
                  <c:v>45841</c:v>
                </c:pt>
                <c:pt idx="2000">
                  <c:v>45842</c:v>
                </c:pt>
                <c:pt idx="2001">
                  <c:v>45843</c:v>
                </c:pt>
                <c:pt idx="2002">
                  <c:v>45844</c:v>
                </c:pt>
                <c:pt idx="2003">
                  <c:v>45845</c:v>
                </c:pt>
                <c:pt idx="2004">
                  <c:v>45846</c:v>
                </c:pt>
                <c:pt idx="2005">
                  <c:v>45847</c:v>
                </c:pt>
                <c:pt idx="2006">
                  <c:v>45848</c:v>
                </c:pt>
                <c:pt idx="2007">
                  <c:v>45849</c:v>
                </c:pt>
                <c:pt idx="2008">
                  <c:v>45850</c:v>
                </c:pt>
                <c:pt idx="2009">
                  <c:v>45851</c:v>
                </c:pt>
                <c:pt idx="2010">
                  <c:v>45852</c:v>
                </c:pt>
                <c:pt idx="2011">
                  <c:v>45853</c:v>
                </c:pt>
                <c:pt idx="2012">
                  <c:v>45854</c:v>
                </c:pt>
                <c:pt idx="2013">
                  <c:v>45855</c:v>
                </c:pt>
                <c:pt idx="2014">
                  <c:v>45856</c:v>
                </c:pt>
                <c:pt idx="2015">
                  <c:v>45857</c:v>
                </c:pt>
                <c:pt idx="2016">
                  <c:v>45858</c:v>
                </c:pt>
                <c:pt idx="2017">
                  <c:v>45859</c:v>
                </c:pt>
                <c:pt idx="2018">
                  <c:v>45860</c:v>
                </c:pt>
                <c:pt idx="2019">
                  <c:v>45861</c:v>
                </c:pt>
                <c:pt idx="2020">
                  <c:v>45862</c:v>
                </c:pt>
                <c:pt idx="2021">
                  <c:v>45863</c:v>
                </c:pt>
                <c:pt idx="2022">
                  <c:v>45864</c:v>
                </c:pt>
                <c:pt idx="2023">
                  <c:v>45865</c:v>
                </c:pt>
                <c:pt idx="2024">
                  <c:v>45866</c:v>
                </c:pt>
                <c:pt idx="2025">
                  <c:v>45867</c:v>
                </c:pt>
                <c:pt idx="2026">
                  <c:v>45868</c:v>
                </c:pt>
                <c:pt idx="2027">
                  <c:v>45869</c:v>
                </c:pt>
                <c:pt idx="2028">
                  <c:v>45870</c:v>
                </c:pt>
                <c:pt idx="2029">
                  <c:v>45871</c:v>
                </c:pt>
                <c:pt idx="2030">
                  <c:v>45872</c:v>
                </c:pt>
                <c:pt idx="2031">
                  <c:v>45873</c:v>
                </c:pt>
                <c:pt idx="2032">
                  <c:v>45874</c:v>
                </c:pt>
                <c:pt idx="2033">
                  <c:v>45875</c:v>
                </c:pt>
                <c:pt idx="2034">
                  <c:v>45876</c:v>
                </c:pt>
                <c:pt idx="2035">
                  <c:v>45877</c:v>
                </c:pt>
                <c:pt idx="2036">
                  <c:v>45878</c:v>
                </c:pt>
                <c:pt idx="2037">
                  <c:v>45879</c:v>
                </c:pt>
                <c:pt idx="2038">
                  <c:v>45880</c:v>
                </c:pt>
                <c:pt idx="2039">
                  <c:v>45881</c:v>
                </c:pt>
                <c:pt idx="2040">
                  <c:v>45882</c:v>
                </c:pt>
                <c:pt idx="2041">
                  <c:v>45883</c:v>
                </c:pt>
                <c:pt idx="2042">
                  <c:v>45884</c:v>
                </c:pt>
                <c:pt idx="2043">
                  <c:v>45885</c:v>
                </c:pt>
                <c:pt idx="2044">
                  <c:v>45886</c:v>
                </c:pt>
                <c:pt idx="2045">
                  <c:v>45887</c:v>
                </c:pt>
                <c:pt idx="2046">
                  <c:v>45888</c:v>
                </c:pt>
                <c:pt idx="2047">
                  <c:v>45889</c:v>
                </c:pt>
                <c:pt idx="2048">
                  <c:v>45890</c:v>
                </c:pt>
                <c:pt idx="2049">
                  <c:v>45891</c:v>
                </c:pt>
                <c:pt idx="2050">
                  <c:v>45892</c:v>
                </c:pt>
                <c:pt idx="2051">
                  <c:v>45893</c:v>
                </c:pt>
                <c:pt idx="2052">
                  <c:v>45894</c:v>
                </c:pt>
                <c:pt idx="2053">
                  <c:v>45895</c:v>
                </c:pt>
                <c:pt idx="2054">
                  <c:v>45896</c:v>
                </c:pt>
                <c:pt idx="2055">
                  <c:v>45897</c:v>
                </c:pt>
                <c:pt idx="2056">
                  <c:v>45898</c:v>
                </c:pt>
                <c:pt idx="2057">
                  <c:v>45899</c:v>
                </c:pt>
                <c:pt idx="2058">
                  <c:v>45900</c:v>
                </c:pt>
                <c:pt idx="2059">
                  <c:v>45901</c:v>
                </c:pt>
                <c:pt idx="2060">
                  <c:v>45902</c:v>
                </c:pt>
                <c:pt idx="2061">
                  <c:v>45903</c:v>
                </c:pt>
                <c:pt idx="2062">
                  <c:v>45904</c:v>
                </c:pt>
                <c:pt idx="2063">
                  <c:v>45905</c:v>
                </c:pt>
                <c:pt idx="2064">
                  <c:v>45906</c:v>
                </c:pt>
                <c:pt idx="2065">
                  <c:v>45907</c:v>
                </c:pt>
                <c:pt idx="2066">
                  <c:v>45908</c:v>
                </c:pt>
                <c:pt idx="2067">
                  <c:v>45909</c:v>
                </c:pt>
                <c:pt idx="2068">
                  <c:v>45910</c:v>
                </c:pt>
                <c:pt idx="2069">
                  <c:v>45911</c:v>
                </c:pt>
                <c:pt idx="2070">
                  <c:v>45912</c:v>
                </c:pt>
                <c:pt idx="2071">
                  <c:v>45913</c:v>
                </c:pt>
                <c:pt idx="2072">
                  <c:v>45914</c:v>
                </c:pt>
                <c:pt idx="2073">
                  <c:v>45915</c:v>
                </c:pt>
                <c:pt idx="2074">
                  <c:v>45916</c:v>
                </c:pt>
                <c:pt idx="2075">
                  <c:v>45917</c:v>
                </c:pt>
                <c:pt idx="2076">
                  <c:v>45918</c:v>
                </c:pt>
                <c:pt idx="2077">
                  <c:v>45919</c:v>
                </c:pt>
                <c:pt idx="2078">
                  <c:v>45920</c:v>
                </c:pt>
                <c:pt idx="2079">
                  <c:v>45921</c:v>
                </c:pt>
                <c:pt idx="2080">
                  <c:v>45922</c:v>
                </c:pt>
                <c:pt idx="2081">
                  <c:v>45923</c:v>
                </c:pt>
                <c:pt idx="2082">
                  <c:v>45924</c:v>
                </c:pt>
                <c:pt idx="2083">
                  <c:v>45925</c:v>
                </c:pt>
                <c:pt idx="2084">
                  <c:v>45926</c:v>
                </c:pt>
                <c:pt idx="2085">
                  <c:v>45927</c:v>
                </c:pt>
                <c:pt idx="2086">
                  <c:v>45928</c:v>
                </c:pt>
                <c:pt idx="2087">
                  <c:v>45929</c:v>
                </c:pt>
                <c:pt idx="2088">
                  <c:v>45930</c:v>
                </c:pt>
                <c:pt idx="2089">
                  <c:v>45931</c:v>
                </c:pt>
                <c:pt idx="2090">
                  <c:v>45932</c:v>
                </c:pt>
                <c:pt idx="2091">
                  <c:v>45933</c:v>
                </c:pt>
                <c:pt idx="2092">
                  <c:v>45934</c:v>
                </c:pt>
                <c:pt idx="2093">
                  <c:v>45935</c:v>
                </c:pt>
                <c:pt idx="2094">
                  <c:v>45936</c:v>
                </c:pt>
                <c:pt idx="2095">
                  <c:v>45937</c:v>
                </c:pt>
                <c:pt idx="2096">
                  <c:v>45938</c:v>
                </c:pt>
                <c:pt idx="2097">
                  <c:v>45939</c:v>
                </c:pt>
                <c:pt idx="2098">
                  <c:v>45940</c:v>
                </c:pt>
                <c:pt idx="2099">
                  <c:v>45941</c:v>
                </c:pt>
                <c:pt idx="2100">
                  <c:v>45942</c:v>
                </c:pt>
                <c:pt idx="2101">
                  <c:v>45943</c:v>
                </c:pt>
                <c:pt idx="2102">
                  <c:v>45944</c:v>
                </c:pt>
                <c:pt idx="2103">
                  <c:v>45945</c:v>
                </c:pt>
                <c:pt idx="2104">
                  <c:v>45946</c:v>
                </c:pt>
                <c:pt idx="2105">
                  <c:v>45947</c:v>
                </c:pt>
                <c:pt idx="2106">
                  <c:v>45948</c:v>
                </c:pt>
                <c:pt idx="2107">
                  <c:v>45949</c:v>
                </c:pt>
                <c:pt idx="2108">
                  <c:v>45950</c:v>
                </c:pt>
                <c:pt idx="2109">
                  <c:v>45951</c:v>
                </c:pt>
                <c:pt idx="2110">
                  <c:v>45952</c:v>
                </c:pt>
                <c:pt idx="2111">
                  <c:v>45953</c:v>
                </c:pt>
                <c:pt idx="2112">
                  <c:v>45954</c:v>
                </c:pt>
                <c:pt idx="2113">
                  <c:v>45955</c:v>
                </c:pt>
                <c:pt idx="2114">
                  <c:v>45956</c:v>
                </c:pt>
                <c:pt idx="2115">
                  <c:v>45957</c:v>
                </c:pt>
                <c:pt idx="2116">
                  <c:v>45958</c:v>
                </c:pt>
                <c:pt idx="2117">
                  <c:v>45959</c:v>
                </c:pt>
                <c:pt idx="2118">
                  <c:v>45960</c:v>
                </c:pt>
                <c:pt idx="2119">
                  <c:v>45961</c:v>
                </c:pt>
                <c:pt idx="2120">
                  <c:v>45962</c:v>
                </c:pt>
                <c:pt idx="2121">
                  <c:v>45963</c:v>
                </c:pt>
                <c:pt idx="2122">
                  <c:v>45964</c:v>
                </c:pt>
                <c:pt idx="2123">
                  <c:v>45965</c:v>
                </c:pt>
                <c:pt idx="2124">
                  <c:v>45966</c:v>
                </c:pt>
                <c:pt idx="2125">
                  <c:v>45967</c:v>
                </c:pt>
                <c:pt idx="2126">
                  <c:v>45968</c:v>
                </c:pt>
                <c:pt idx="2127">
                  <c:v>45969</c:v>
                </c:pt>
                <c:pt idx="2128">
                  <c:v>45970</c:v>
                </c:pt>
                <c:pt idx="2129">
                  <c:v>45971</c:v>
                </c:pt>
                <c:pt idx="2130">
                  <c:v>45972</c:v>
                </c:pt>
                <c:pt idx="2131">
                  <c:v>45973</c:v>
                </c:pt>
                <c:pt idx="2132">
                  <c:v>45974</c:v>
                </c:pt>
                <c:pt idx="2133">
                  <c:v>45975</c:v>
                </c:pt>
                <c:pt idx="2134">
                  <c:v>45976</c:v>
                </c:pt>
                <c:pt idx="2135">
                  <c:v>45977</c:v>
                </c:pt>
                <c:pt idx="2136">
                  <c:v>45978</c:v>
                </c:pt>
                <c:pt idx="2137">
                  <c:v>45979</c:v>
                </c:pt>
                <c:pt idx="2138">
                  <c:v>45980</c:v>
                </c:pt>
                <c:pt idx="2139">
                  <c:v>45981</c:v>
                </c:pt>
                <c:pt idx="2140">
                  <c:v>45982</c:v>
                </c:pt>
                <c:pt idx="2141">
                  <c:v>45983</c:v>
                </c:pt>
                <c:pt idx="2142">
                  <c:v>45984</c:v>
                </c:pt>
                <c:pt idx="2143">
                  <c:v>45985</c:v>
                </c:pt>
                <c:pt idx="2144">
                  <c:v>45986</c:v>
                </c:pt>
                <c:pt idx="2145">
                  <c:v>45987</c:v>
                </c:pt>
                <c:pt idx="2146">
                  <c:v>45988</c:v>
                </c:pt>
                <c:pt idx="2147">
                  <c:v>45989</c:v>
                </c:pt>
                <c:pt idx="2148">
                  <c:v>45990</c:v>
                </c:pt>
                <c:pt idx="2149">
                  <c:v>45991</c:v>
                </c:pt>
                <c:pt idx="2150">
                  <c:v>45992</c:v>
                </c:pt>
                <c:pt idx="2151">
                  <c:v>45993</c:v>
                </c:pt>
                <c:pt idx="2152">
                  <c:v>45994</c:v>
                </c:pt>
                <c:pt idx="2153">
                  <c:v>45995</c:v>
                </c:pt>
                <c:pt idx="2154">
                  <c:v>45996</c:v>
                </c:pt>
                <c:pt idx="2155">
                  <c:v>45997</c:v>
                </c:pt>
                <c:pt idx="2156">
                  <c:v>45998</c:v>
                </c:pt>
                <c:pt idx="2157">
                  <c:v>45999</c:v>
                </c:pt>
                <c:pt idx="2158">
                  <c:v>46000</c:v>
                </c:pt>
                <c:pt idx="2159">
                  <c:v>46001</c:v>
                </c:pt>
                <c:pt idx="2160">
                  <c:v>46002</c:v>
                </c:pt>
                <c:pt idx="2161">
                  <c:v>46003</c:v>
                </c:pt>
                <c:pt idx="2162">
                  <c:v>46004</c:v>
                </c:pt>
                <c:pt idx="2163">
                  <c:v>46005</c:v>
                </c:pt>
                <c:pt idx="2164">
                  <c:v>46006</c:v>
                </c:pt>
                <c:pt idx="2165">
                  <c:v>46007</c:v>
                </c:pt>
                <c:pt idx="2166">
                  <c:v>46008</c:v>
                </c:pt>
                <c:pt idx="2167">
                  <c:v>46009</c:v>
                </c:pt>
                <c:pt idx="2168">
                  <c:v>46010</c:v>
                </c:pt>
                <c:pt idx="2169">
                  <c:v>46011</c:v>
                </c:pt>
                <c:pt idx="2170">
                  <c:v>46012</c:v>
                </c:pt>
                <c:pt idx="2171">
                  <c:v>46013</c:v>
                </c:pt>
                <c:pt idx="2172">
                  <c:v>46014</c:v>
                </c:pt>
                <c:pt idx="2173">
                  <c:v>46015</c:v>
                </c:pt>
                <c:pt idx="2174">
                  <c:v>46016</c:v>
                </c:pt>
                <c:pt idx="2175">
                  <c:v>46017</c:v>
                </c:pt>
                <c:pt idx="2176">
                  <c:v>46018</c:v>
                </c:pt>
                <c:pt idx="2177">
                  <c:v>46019</c:v>
                </c:pt>
                <c:pt idx="2178">
                  <c:v>46020</c:v>
                </c:pt>
                <c:pt idx="2179">
                  <c:v>46021</c:v>
                </c:pt>
                <c:pt idx="2180">
                  <c:v>46022</c:v>
                </c:pt>
                <c:pt idx="2181">
                  <c:v>46023</c:v>
                </c:pt>
                <c:pt idx="2182">
                  <c:v>46024</c:v>
                </c:pt>
                <c:pt idx="2183">
                  <c:v>46025</c:v>
                </c:pt>
                <c:pt idx="2184">
                  <c:v>46026</c:v>
                </c:pt>
                <c:pt idx="2185">
                  <c:v>46027</c:v>
                </c:pt>
                <c:pt idx="2186">
                  <c:v>46028</c:v>
                </c:pt>
                <c:pt idx="2187">
                  <c:v>46029</c:v>
                </c:pt>
                <c:pt idx="2188">
                  <c:v>46030</c:v>
                </c:pt>
                <c:pt idx="2189">
                  <c:v>46031</c:v>
                </c:pt>
                <c:pt idx="2190">
                  <c:v>46032</c:v>
                </c:pt>
                <c:pt idx="2191">
                  <c:v>46033</c:v>
                </c:pt>
                <c:pt idx="2192">
                  <c:v>46034</c:v>
                </c:pt>
                <c:pt idx="2193">
                  <c:v>46035</c:v>
                </c:pt>
                <c:pt idx="2194">
                  <c:v>46036</c:v>
                </c:pt>
                <c:pt idx="2195">
                  <c:v>46037</c:v>
                </c:pt>
                <c:pt idx="2196">
                  <c:v>46038</c:v>
                </c:pt>
                <c:pt idx="2197">
                  <c:v>46039</c:v>
                </c:pt>
                <c:pt idx="2198">
                  <c:v>46040</c:v>
                </c:pt>
                <c:pt idx="2199">
                  <c:v>46041</c:v>
                </c:pt>
                <c:pt idx="2200">
                  <c:v>46042</c:v>
                </c:pt>
                <c:pt idx="2201">
                  <c:v>46043</c:v>
                </c:pt>
                <c:pt idx="2202">
                  <c:v>46044</c:v>
                </c:pt>
                <c:pt idx="2203">
                  <c:v>46045</c:v>
                </c:pt>
                <c:pt idx="2204">
                  <c:v>46046</c:v>
                </c:pt>
                <c:pt idx="2205">
                  <c:v>46047</c:v>
                </c:pt>
                <c:pt idx="2206">
                  <c:v>46048</c:v>
                </c:pt>
                <c:pt idx="2207">
                  <c:v>46049</c:v>
                </c:pt>
                <c:pt idx="2208">
                  <c:v>46050</c:v>
                </c:pt>
                <c:pt idx="2209">
                  <c:v>46051</c:v>
                </c:pt>
                <c:pt idx="2210">
                  <c:v>46052</c:v>
                </c:pt>
                <c:pt idx="2211">
                  <c:v>46053</c:v>
                </c:pt>
                <c:pt idx="2212">
                  <c:v>46054</c:v>
                </c:pt>
                <c:pt idx="2213">
                  <c:v>46055</c:v>
                </c:pt>
                <c:pt idx="2214">
                  <c:v>46056</c:v>
                </c:pt>
                <c:pt idx="2215">
                  <c:v>46057</c:v>
                </c:pt>
                <c:pt idx="2216">
                  <c:v>46058</c:v>
                </c:pt>
                <c:pt idx="2217">
                  <c:v>46059</c:v>
                </c:pt>
                <c:pt idx="2218">
                  <c:v>46060</c:v>
                </c:pt>
                <c:pt idx="2219">
                  <c:v>46061</c:v>
                </c:pt>
                <c:pt idx="2220">
                  <c:v>46062</c:v>
                </c:pt>
                <c:pt idx="2221">
                  <c:v>46063</c:v>
                </c:pt>
                <c:pt idx="2222">
                  <c:v>46064</c:v>
                </c:pt>
                <c:pt idx="2223">
                  <c:v>46065</c:v>
                </c:pt>
                <c:pt idx="2224">
                  <c:v>46066</c:v>
                </c:pt>
                <c:pt idx="2225">
                  <c:v>46067</c:v>
                </c:pt>
                <c:pt idx="2226">
                  <c:v>46068</c:v>
                </c:pt>
                <c:pt idx="2227">
                  <c:v>46069</c:v>
                </c:pt>
                <c:pt idx="2228">
                  <c:v>46070</c:v>
                </c:pt>
                <c:pt idx="2229">
                  <c:v>46071</c:v>
                </c:pt>
                <c:pt idx="2230">
                  <c:v>46072</c:v>
                </c:pt>
                <c:pt idx="2231">
                  <c:v>46073</c:v>
                </c:pt>
                <c:pt idx="2232">
                  <c:v>46074</c:v>
                </c:pt>
                <c:pt idx="2233">
                  <c:v>46075</c:v>
                </c:pt>
                <c:pt idx="2234">
                  <c:v>46076</c:v>
                </c:pt>
                <c:pt idx="2235">
                  <c:v>46077</c:v>
                </c:pt>
                <c:pt idx="2236">
                  <c:v>46078</c:v>
                </c:pt>
                <c:pt idx="2237">
                  <c:v>46079</c:v>
                </c:pt>
                <c:pt idx="2238">
                  <c:v>46080</c:v>
                </c:pt>
                <c:pt idx="2239">
                  <c:v>46081</c:v>
                </c:pt>
                <c:pt idx="2240">
                  <c:v>46082</c:v>
                </c:pt>
                <c:pt idx="2241">
                  <c:v>46083</c:v>
                </c:pt>
                <c:pt idx="2242">
                  <c:v>46084</c:v>
                </c:pt>
                <c:pt idx="2243">
                  <c:v>46085</c:v>
                </c:pt>
                <c:pt idx="2244">
                  <c:v>46086</c:v>
                </c:pt>
                <c:pt idx="2245">
                  <c:v>46087</c:v>
                </c:pt>
                <c:pt idx="2246">
                  <c:v>46088</c:v>
                </c:pt>
                <c:pt idx="2247">
                  <c:v>46089</c:v>
                </c:pt>
                <c:pt idx="2248">
                  <c:v>46090</c:v>
                </c:pt>
                <c:pt idx="2249">
                  <c:v>46091</c:v>
                </c:pt>
                <c:pt idx="2250">
                  <c:v>46092</c:v>
                </c:pt>
                <c:pt idx="2251">
                  <c:v>46093</c:v>
                </c:pt>
                <c:pt idx="2252">
                  <c:v>46094</c:v>
                </c:pt>
                <c:pt idx="2253">
                  <c:v>46095</c:v>
                </c:pt>
                <c:pt idx="2254">
                  <c:v>46096</c:v>
                </c:pt>
                <c:pt idx="2255">
                  <c:v>46097</c:v>
                </c:pt>
                <c:pt idx="2256">
                  <c:v>46098</c:v>
                </c:pt>
                <c:pt idx="2257">
                  <c:v>46099</c:v>
                </c:pt>
                <c:pt idx="2258">
                  <c:v>46100</c:v>
                </c:pt>
                <c:pt idx="2259">
                  <c:v>46101</c:v>
                </c:pt>
                <c:pt idx="2260">
                  <c:v>46102</c:v>
                </c:pt>
                <c:pt idx="2261">
                  <c:v>46103</c:v>
                </c:pt>
                <c:pt idx="2262">
                  <c:v>46104</c:v>
                </c:pt>
                <c:pt idx="2263">
                  <c:v>46105</c:v>
                </c:pt>
                <c:pt idx="2264">
                  <c:v>46106</c:v>
                </c:pt>
                <c:pt idx="2265">
                  <c:v>46107</c:v>
                </c:pt>
                <c:pt idx="2266">
                  <c:v>46108</c:v>
                </c:pt>
                <c:pt idx="2267">
                  <c:v>46109</c:v>
                </c:pt>
                <c:pt idx="2268">
                  <c:v>46110</c:v>
                </c:pt>
                <c:pt idx="2269">
                  <c:v>46111</c:v>
                </c:pt>
                <c:pt idx="2270">
                  <c:v>46112</c:v>
                </c:pt>
                <c:pt idx="2271">
                  <c:v>46113</c:v>
                </c:pt>
                <c:pt idx="2272">
                  <c:v>46114</c:v>
                </c:pt>
                <c:pt idx="2273">
                  <c:v>46115</c:v>
                </c:pt>
                <c:pt idx="2274">
                  <c:v>46116</c:v>
                </c:pt>
                <c:pt idx="2275">
                  <c:v>46117</c:v>
                </c:pt>
                <c:pt idx="2276">
                  <c:v>46118</c:v>
                </c:pt>
                <c:pt idx="2277">
                  <c:v>46119</c:v>
                </c:pt>
                <c:pt idx="2278">
                  <c:v>46120</c:v>
                </c:pt>
                <c:pt idx="2279">
                  <c:v>46121</c:v>
                </c:pt>
                <c:pt idx="2280">
                  <c:v>46122</c:v>
                </c:pt>
                <c:pt idx="2281">
                  <c:v>46123</c:v>
                </c:pt>
                <c:pt idx="2282">
                  <c:v>46124</c:v>
                </c:pt>
                <c:pt idx="2283">
                  <c:v>46125</c:v>
                </c:pt>
                <c:pt idx="2284">
                  <c:v>46126</c:v>
                </c:pt>
                <c:pt idx="2285">
                  <c:v>46127</c:v>
                </c:pt>
                <c:pt idx="2286">
                  <c:v>46128</c:v>
                </c:pt>
                <c:pt idx="2287">
                  <c:v>46129</c:v>
                </c:pt>
                <c:pt idx="2288">
                  <c:v>46130</c:v>
                </c:pt>
                <c:pt idx="2289">
                  <c:v>46131</c:v>
                </c:pt>
                <c:pt idx="2290">
                  <c:v>46132</c:v>
                </c:pt>
                <c:pt idx="2291">
                  <c:v>46133</c:v>
                </c:pt>
                <c:pt idx="2292">
                  <c:v>46134</c:v>
                </c:pt>
                <c:pt idx="2293">
                  <c:v>46135</c:v>
                </c:pt>
                <c:pt idx="2294">
                  <c:v>46136</c:v>
                </c:pt>
                <c:pt idx="2295">
                  <c:v>46137</c:v>
                </c:pt>
                <c:pt idx="2296">
                  <c:v>46138</c:v>
                </c:pt>
                <c:pt idx="2297">
                  <c:v>46139</c:v>
                </c:pt>
                <c:pt idx="2298">
                  <c:v>46140</c:v>
                </c:pt>
                <c:pt idx="2299">
                  <c:v>46141</c:v>
                </c:pt>
                <c:pt idx="2300">
                  <c:v>46142</c:v>
                </c:pt>
                <c:pt idx="2301">
                  <c:v>46143</c:v>
                </c:pt>
                <c:pt idx="2302">
                  <c:v>46144</c:v>
                </c:pt>
                <c:pt idx="2303">
                  <c:v>46145</c:v>
                </c:pt>
                <c:pt idx="2304">
                  <c:v>46146</c:v>
                </c:pt>
                <c:pt idx="2305">
                  <c:v>46147</c:v>
                </c:pt>
                <c:pt idx="2306">
                  <c:v>46148</c:v>
                </c:pt>
                <c:pt idx="2307">
                  <c:v>46149</c:v>
                </c:pt>
                <c:pt idx="2308">
                  <c:v>46150</c:v>
                </c:pt>
                <c:pt idx="2309">
                  <c:v>46151</c:v>
                </c:pt>
                <c:pt idx="2310">
                  <c:v>46152</c:v>
                </c:pt>
                <c:pt idx="2311">
                  <c:v>46153</c:v>
                </c:pt>
                <c:pt idx="2312">
                  <c:v>46154</c:v>
                </c:pt>
                <c:pt idx="2313">
                  <c:v>46155</c:v>
                </c:pt>
                <c:pt idx="2314">
                  <c:v>46156</c:v>
                </c:pt>
                <c:pt idx="2315">
                  <c:v>46157</c:v>
                </c:pt>
                <c:pt idx="2316">
                  <c:v>46158</c:v>
                </c:pt>
                <c:pt idx="2317">
                  <c:v>46159</c:v>
                </c:pt>
                <c:pt idx="2318">
                  <c:v>46160</c:v>
                </c:pt>
                <c:pt idx="2319">
                  <c:v>46161</c:v>
                </c:pt>
                <c:pt idx="2320">
                  <c:v>46162</c:v>
                </c:pt>
                <c:pt idx="2321">
                  <c:v>46163</c:v>
                </c:pt>
                <c:pt idx="2322">
                  <c:v>46164</c:v>
                </c:pt>
                <c:pt idx="2323">
                  <c:v>46165</c:v>
                </c:pt>
                <c:pt idx="2324">
                  <c:v>46166</c:v>
                </c:pt>
                <c:pt idx="2325">
                  <c:v>46167</c:v>
                </c:pt>
                <c:pt idx="2326">
                  <c:v>46168</c:v>
                </c:pt>
                <c:pt idx="2327">
                  <c:v>46169</c:v>
                </c:pt>
                <c:pt idx="2328">
                  <c:v>46170</c:v>
                </c:pt>
                <c:pt idx="2329">
                  <c:v>46171</c:v>
                </c:pt>
                <c:pt idx="2330">
                  <c:v>46172</c:v>
                </c:pt>
                <c:pt idx="2331">
                  <c:v>46173</c:v>
                </c:pt>
                <c:pt idx="2332">
                  <c:v>46174</c:v>
                </c:pt>
                <c:pt idx="2333">
                  <c:v>46175</c:v>
                </c:pt>
                <c:pt idx="2334">
                  <c:v>46176</c:v>
                </c:pt>
                <c:pt idx="2335">
                  <c:v>46177</c:v>
                </c:pt>
                <c:pt idx="2336">
                  <c:v>46178</c:v>
                </c:pt>
                <c:pt idx="2337">
                  <c:v>46179</c:v>
                </c:pt>
                <c:pt idx="2338">
                  <c:v>46180</c:v>
                </c:pt>
                <c:pt idx="2339">
                  <c:v>46181</c:v>
                </c:pt>
                <c:pt idx="2340">
                  <c:v>46182</c:v>
                </c:pt>
                <c:pt idx="2341">
                  <c:v>46183</c:v>
                </c:pt>
                <c:pt idx="2342">
                  <c:v>46184</c:v>
                </c:pt>
                <c:pt idx="2343">
                  <c:v>46185</c:v>
                </c:pt>
                <c:pt idx="2344">
                  <c:v>46186</c:v>
                </c:pt>
                <c:pt idx="2345">
                  <c:v>46187</c:v>
                </c:pt>
                <c:pt idx="2346">
                  <c:v>46188</c:v>
                </c:pt>
                <c:pt idx="2347">
                  <c:v>46189</c:v>
                </c:pt>
                <c:pt idx="2348">
                  <c:v>46190</c:v>
                </c:pt>
                <c:pt idx="2349">
                  <c:v>46191</c:v>
                </c:pt>
                <c:pt idx="2350">
                  <c:v>46192</c:v>
                </c:pt>
                <c:pt idx="2351">
                  <c:v>46193</c:v>
                </c:pt>
                <c:pt idx="2352">
                  <c:v>46194</c:v>
                </c:pt>
                <c:pt idx="2353">
                  <c:v>46195</c:v>
                </c:pt>
                <c:pt idx="2354">
                  <c:v>46196</c:v>
                </c:pt>
                <c:pt idx="2355">
                  <c:v>46197</c:v>
                </c:pt>
                <c:pt idx="2356">
                  <c:v>46198</c:v>
                </c:pt>
                <c:pt idx="2357">
                  <c:v>46199</c:v>
                </c:pt>
                <c:pt idx="2358">
                  <c:v>46200</c:v>
                </c:pt>
                <c:pt idx="2359">
                  <c:v>46201</c:v>
                </c:pt>
                <c:pt idx="2360">
                  <c:v>46202</c:v>
                </c:pt>
                <c:pt idx="2361">
                  <c:v>46203</c:v>
                </c:pt>
                <c:pt idx="2362">
                  <c:v>46204</c:v>
                </c:pt>
                <c:pt idx="2363">
                  <c:v>46205</c:v>
                </c:pt>
                <c:pt idx="2364">
                  <c:v>46206</c:v>
                </c:pt>
                <c:pt idx="2365">
                  <c:v>46207</c:v>
                </c:pt>
              </c:numCache>
            </c:numRef>
          </c:cat>
          <c:val>
            <c:numRef>
              <c:f>AI_Forecast!$C$2:$C$2367</c:f>
              <c:numCache>
                <c:formatCode>General</c:formatCode>
                <c:ptCount val="2366"/>
                <c:pt idx="1999" formatCode="0">
                  <c:v>10400</c:v>
                </c:pt>
                <c:pt idx="2000" formatCode="0">
                  <c:v>7895.2901343681078</c:v>
                </c:pt>
                <c:pt idx="2001" formatCode="0">
                  <c:v>7948.2504016698067</c:v>
                </c:pt>
                <c:pt idx="2002" formatCode="0">
                  <c:v>8095.3811500078027</c:v>
                </c:pt>
                <c:pt idx="2003" formatCode="0">
                  <c:v>7869.8757958111819</c:v>
                </c:pt>
                <c:pt idx="2004" formatCode="0">
                  <c:v>6190.0071219857036</c:v>
                </c:pt>
                <c:pt idx="2005" formatCode="0">
                  <c:v>6023.5747391067907</c:v>
                </c:pt>
                <c:pt idx="2006" formatCode="0">
                  <c:v>9810.0175755317905</c:v>
                </c:pt>
                <c:pt idx="2007" formatCode="0">
                  <c:v>8783.9897414786465</c:v>
                </c:pt>
                <c:pt idx="2008" formatCode="0">
                  <c:v>7900.7720171695437</c:v>
                </c:pt>
                <c:pt idx="2009" formatCode="0">
                  <c:v>7372.1945991349248</c:v>
                </c:pt>
                <c:pt idx="2010" formatCode="0">
                  <c:v>8733.9496946917279</c:v>
                </c:pt>
                <c:pt idx="2011" formatCode="0">
                  <c:v>10399.32055536764</c:v>
                </c:pt>
                <c:pt idx="2012" formatCode="0">
                  <c:v>7894.6106897357477</c:v>
                </c:pt>
                <c:pt idx="2013" formatCode="0">
                  <c:v>7947.5709570374456</c:v>
                </c:pt>
                <c:pt idx="2014" formatCode="0">
                  <c:v>8094.7017053754425</c:v>
                </c:pt>
                <c:pt idx="2015" formatCode="0">
                  <c:v>7869.1963511788217</c:v>
                </c:pt>
                <c:pt idx="2016" formatCode="0">
                  <c:v>6189.3276773533435</c:v>
                </c:pt>
                <c:pt idx="2017" formatCode="0">
                  <c:v>6022.8952944744306</c:v>
                </c:pt>
                <c:pt idx="2018" formatCode="0">
                  <c:v>9809.3381308994285</c:v>
                </c:pt>
                <c:pt idx="2019" formatCode="0">
                  <c:v>8783.3102968462881</c:v>
                </c:pt>
                <c:pt idx="2020" formatCode="0">
                  <c:v>7900.0925725371835</c:v>
                </c:pt>
                <c:pt idx="2021" formatCode="0">
                  <c:v>7371.5151545025647</c:v>
                </c:pt>
                <c:pt idx="2022" formatCode="0">
                  <c:v>8733.2702500593678</c:v>
                </c:pt>
                <c:pt idx="2023" formatCode="0">
                  <c:v>10398.64111073528</c:v>
                </c:pt>
                <c:pt idx="2024" formatCode="0">
                  <c:v>7893.9312451033866</c:v>
                </c:pt>
                <c:pt idx="2025" formatCode="0">
                  <c:v>7946.8915124050855</c:v>
                </c:pt>
                <c:pt idx="2026" formatCode="0">
                  <c:v>8094.0222607430824</c:v>
                </c:pt>
                <c:pt idx="2027" formatCode="0">
                  <c:v>7868.5169065464615</c:v>
                </c:pt>
                <c:pt idx="2028" formatCode="0">
                  <c:v>6188.6482327209824</c:v>
                </c:pt>
                <c:pt idx="2029" formatCode="0">
                  <c:v>6022.2158498420695</c:v>
                </c:pt>
                <c:pt idx="2030" formatCode="0">
                  <c:v>9808.6586862670702</c:v>
                </c:pt>
                <c:pt idx="2031" formatCode="0">
                  <c:v>8782.6308522139261</c:v>
                </c:pt>
                <c:pt idx="2032" formatCode="0">
                  <c:v>7899.4131279048233</c:v>
                </c:pt>
                <c:pt idx="2033" formatCode="0">
                  <c:v>7370.8357098702045</c:v>
                </c:pt>
                <c:pt idx="2034" formatCode="0">
                  <c:v>8732.5908054270076</c:v>
                </c:pt>
                <c:pt idx="2035" formatCode="0">
                  <c:v>10397.961666102918</c:v>
                </c:pt>
                <c:pt idx="2036" formatCode="0">
                  <c:v>7893.2518004710264</c:v>
                </c:pt>
                <c:pt idx="2037" formatCode="0">
                  <c:v>7946.2120677727253</c:v>
                </c:pt>
                <c:pt idx="2038" formatCode="0">
                  <c:v>8093.3428161107222</c:v>
                </c:pt>
                <c:pt idx="2039" formatCode="0">
                  <c:v>7867.8374619141005</c:v>
                </c:pt>
                <c:pt idx="2040" formatCode="0">
                  <c:v>6187.9687880886222</c:v>
                </c:pt>
                <c:pt idx="2041" formatCode="0">
                  <c:v>6021.5364052097093</c:v>
                </c:pt>
                <c:pt idx="2042" formatCode="0">
                  <c:v>9807.9792416347082</c:v>
                </c:pt>
                <c:pt idx="2043" formatCode="0">
                  <c:v>8781.9514075815678</c:v>
                </c:pt>
                <c:pt idx="2044" formatCode="0">
                  <c:v>7898.7336832724623</c:v>
                </c:pt>
                <c:pt idx="2045" formatCode="0">
                  <c:v>7370.1562652378434</c:v>
                </c:pt>
                <c:pt idx="2046" formatCode="0">
                  <c:v>8731.9113607946474</c:v>
                </c:pt>
                <c:pt idx="2047" formatCode="0">
                  <c:v>10397.282221470559</c:v>
                </c:pt>
                <c:pt idx="2048" formatCode="0">
                  <c:v>7892.5723558386662</c:v>
                </c:pt>
                <c:pt idx="2049" formatCode="0">
                  <c:v>7945.5326231403642</c:v>
                </c:pt>
                <c:pt idx="2050" formatCode="0">
                  <c:v>8092.6633714783611</c:v>
                </c:pt>
                <c:pt idx="2051" formatCode="0">
                  <c:v>7867.1580172817403</c:v>
                </c:pt>
                <c:pt idx="2052" formatCode="0">
                  <c:v>6187.289343456262</c:v>
                </c:pt>
                <c:pt idx="2053" formatCode="0">
                  <c:v>6020.8569605773491</c:v>
                </c:pt>
                <c:pt idx="2054" formatCode="0">
                  <c:v>9807.2997970023498</c:v>
                </c:pt>
                <c:pt idx="2055" formatCode="0">
                  <c:v>8781.2719629492058</c:v>
                </c:pt>
                <c:pt idx="2056" formatCode="0">
                  <c:v>7898.0542386401021</c:v>
                </c:pt>
                <c:pt idx="2057" formatCode="0">
                  <c:v>7369.4768206054832</c:v>
                </c:pt>
                <c:pt idx="2058" formatCode="0">
                  <c:v>8731.2319161622872</c:v>
                </c:pt>
                <c:pt idx="2059" formatCode="0">
                  <c:v>10396.602776838197</c:v>
                </c:pt>
                <c:pt idx="2060" formatCode="0">
                  <c:v>7891.8929112063051</c:v>
                </c:pt>
                <c:pt idx="2061" formatCode="0">
                  <c:v>7944.853178508004</c:v>
                </c:pt>
                <c:pt idx="2062" formatCode="0">
                  <c:v>8091.9839268460009</c:v>
                </c:pt>
                <c:pt idx="2063" formatCode="0">
                  <c:v>7866.4785726493801</c:v>
                </c:pt>
                <c:pt idx="2064" formatCode="0">
                  <c:v>6186.6098988239019</c:v>
                </c:pt>
                <c:pt idx="2065" formatCode="0">
                  <c:v>6020.177515944988</c:v>
                </c:pt>
                <c:pt idx="2066" formatCode="0">
                  <c:v>9806.6203523699878</c:v>
                </c:pt>
                <c:pt idx="2067" formatCode="0">
                  <c:v>8780.5925183168456</c:v>
                </c:pt>
                <c:pt idx="2068" formatCode="0">
                  <c:v>7897.3747940077419</c:v>
                </c:pt>
                <c:pt idx="2069" formatCode="0">
                  <c:v>7368.7973759731231</c:v>
                </c:pt>
                <c:pt idx="2070" formatCode="0">
                  <c:v>8730.5524715299252</c:v>
                </c:pt>
                <c:pt idx="2071" formatCode="0">
                  <c:v>10395.923332205837</c:v>
                </c:pt>
                <c:pt idx="2072" formatCode="0">
                  <c:v>7891.213466573945</c:v>
                </c:pt>
                <c:pt idx="2073" formatCode="0">
                  <c:v>7944.1737338756438</c:v>
                </c:pt>
                <c:pt idx="2074" formatCode="0">
                  <c:v>8091.3044822136408</c:v>
                </c:pt>
                <c:pt idx="2075" formatCode="0">
                  <c:v>7865.7991280170199</c:v>
                </c:pt>
                <c:pt idx="2076" formatCode="0">
                  <c:v>6185.9304541915408</c:v>
                </c:pt>
                <c:pt idx="2077" formatCode="0">
                  <c:v>6019.4980713126279</c:v>
                </c:pt>
                <c:pt idx="2078" formatCode="0">
                  <c:v>9805.9409077376276</c:v>
                </c:pt>
                <c:pt idx="2079" formatCode="0">
                  <c:v>8779.9130736844854</c:v>
                </c:pt>
                <c:pt idx="2080" formatCode="0">
                  <c:v>7896.6953493753817</c:v>
                </c:pt>
                <c:pt idx="2081" formatCode="0">
                  <c:v>7368.117931340762</c:v>
                </c:pt>
                <c:pt idx="2082" formatCode="0">
                  <c:v>8729.8730268975651</c:v>
                </c:pt>
                <c:pt idx="2083" formatCode="0">
                  <c:v>10395.243887573477</c:v>
                </c:pt>
                <c:pt idx="2084" formatCode="0">
                  <c:v>7890.5340219415848</c:v>
                </c:pt>
                <c:pt idx="2085" formatCode="0">
                  <c:v>7943.4942892432837</c:v>
                </c:pt>
                <c:pt idx="2086" formatCode="0">
                  <c:v>8090.6250375812797</c:v>
                </c:pt>
                <c:pt idx="2087" formatCode="0">
                  <c:v>7865.1196833846589</c:v>
                </c:pt>
                <c:pt idx="2088" formatCode="0">
                  <c:v>6185.2510095591806</c:v>
                </c:pt>
                <c:pt idx="2089" formatCode="0">
                  <c:v>6018.8186266802677</c:v>
                </c:pt>
                <c:pt idx="2090" formatCode="0">
                  <c:v>9805.2614631052675</c:v>
                </c:pt>
                <c:pt idx="2091" formatCode="0">
                  <c:v>8779.2336290521234</c:v>
                </c:pt>
                <c:pt idx="2092" formatCode="0">
                  <c:v>7896.0159047430207</c:v>
                </c:pt>
                <c:pt idx="2093" formatCode="0">
                  <c:v>7367.4384867084018</c:v>
                </c:pt>
                <c:pt idx="2094" formatCode="0">
                  <c:v>8729.1935822652049</c:v>
                </c:pt>
                <c:pt idx="2095" formatCode="0">
                  <c:v>10394.564442941117</c:v>
                </c:pt>
                <c:pt idx="2096" formatCode="0">
                  <c:v>7889.8545773092246</c:v>
                </c:pt>
                <c:pt idx="2097" formatCode="0">
                  <c:v>7942.8148446109226</c:v>
                </c:pt>
                <c:pt idx="2098" formatCode="0">
                  <c:v>8089.9455929489195</c:v>
                </c:pt>
                <c:pt idx="2099" formatCode="0">
                  <c:v>7864.4402387522987</c:v>
                </c:pt>
                <c:pt idx="2100" formatCode="0">
                  <c:v>6184.5715649268204</c:v>
                </c:pt>
                <c:pt idx="2101" formatCode="0">
                  <c:v>6018.1391820479075</c:v>
                </c:pt>
                <c:pt idx="2102" formatCode="0">
                  <c:v>9804.5820184729055</c:v>
                </c:pt>
                <c:pt idx="2103" formatCode="0">
                  <c:v>8778.5541844197651</c:v>
                </c:pt>
                <c:pt idx="2104" formatCode="0">
                  <c:v>7895.3364601106605</c:v>
                </c:pt>
                <c:pt idx="2105" formatCode="0">
                  <c:v>7366.7590420760416</c:v>
                </c:pt>
                <c:pt idx="2106" formatCode="0">
                  <c:v>8728.5141376328447</c:v>
                </c:pt>
                <c:pt idx="2107" formatCode="0">
                  <c:v>10393.884998308757</c:v>
                </c:pt>
                <c:pt idx="2108" formatCode="0">
                  <c:v>7889.1751326768635</c:v>
                </c:pt>
                <c:pt idx="2109" formatCode="0">
                  <c:v>7942.1353999785624</c:v>
                </c:pt>
                <c:pt idx="2110" formatCode="0">
                  <c:v>8089.2661483165593</c:v>
                </c:pt>
                <c:pt idx="2111" formatCode="0">
                  <c:v>7863.7607941199385</c:v>
                </c:pt>
                <c:pt idx="2112" formatCode="0">
                  <c:v>6183.8921202944593</c:v>
                </c:pt>
                <c:pt idx="2113" formatCode="0">
                  <c:v>6017.4597374155464</c:v>
                </c:pt>
                <c:pt idx="2114" formatCode="0">
                  <c:v>9803.9025738405471</c:v>
                </c:pt>
                <c:pt idx="2115" formatCode="0">
                  <c:v>8777.8747397874031</c:v>
                </c:pt>
                <c:pt idx="2116" formatCode="0">
                  <c:v>7894.6570154783003</c:v>
                </c:pt>
                <c:pt idx="2117" formatCode="0">
                  <c:v>7366.0795974436815</c:v>
                </c:pt>
                <c:pt idx="2118" formatCode="0">
                  <c:v>8727.8346930004845</c:v>
                </c:pt>
                <c:pt idx="2119" formatCode="0">
                  <c:v>10393.205553676395</c:v>
                </c:pt>
                <c:pt idx="2120" formatCode="0">
                  <c:v>7888.4956880445034</c:v>
                </c:pt>
                <c:pt idx="2121" formatCode="0">
                  <c:v>7941.4559553462022</c:v>
                </c:pt>
                <c:pt idx="2122" formatCode="0">
                  <c:v>8088.5867036841992</c:v>
                </c:pt>
                <c:pt idx="2123" formatCode="0">
                  <c:v>7863.0813494875774</c:v>
                </c:pt>
                <c:pt idx="2124" formatCode="0">
                  <c:v>6183.2126756620992</c:v>
                </c:pt>
                <c:pt idx="2125" formatCode="0">
                  <c:v>6016.7802927831863</c:v>
                </c:pt>
                <c:pt idx="2126" formatCode="0">
                  <c:v>9803.2231292081851</c:v>
                </c:pt>
                <c:pt idx="2127" formatCode="0">
                  <c:v>8777.1952951550447</c:v>
                </c:pt>
                <c:pt idx="2128" formatCode="0">
                  <c:v>7893.9775708459392</c:v>
                </c:pt>
                <c:pt idx="2129" formatCode="0">
                  <c:v>7365.4001528113204</c:v>
                </c:pt>
                <c:pt idx="2130" formatCode="0">
                  <c:v>8727.1552483681244</c:v>
                </c:pt>
                <c:pt idx="2131" formatCode="0">
                  <c:v>10392.526109044036</c:v>
                </c:pt>
                <c:pt idx="2132" formatCode="0">
                  <c:v>7887.8162434121432</c:v>
                </c:pt>
                <c:pt idx="2133" formatCode="0">
                  <c:v>7940.7765107138412</c:v>
                </c:pt>
                <c:pt idx="2134" formatCode="0">
                  <c:v>8087.9072590518381</c:v>
                </c:pt>
                <c:pt idx="2135" formatCode="0">
                  <c:v>7862.4019048552173</c:v>
                </c:pt>
                <c:pt idx="2136" formatCode="0">
                  <c:v>6182.533231029739</c:v>
                </c:pt>
                <c:pt idx="2137" formatCode="0">
                  <c:v>6016.1008481508261</c:v>
                </c:pt>
                <c:pt idx="2138" formatCode="0">
                  <c:v>9802.5436845758268</c:v>
                </c:pt>
                <c:pt idx="2139" formatCode="0">
                  <c:v>8776.5158505226827</c:v>
                </c:pt>
                <c:pt idx="2140" formatCode="0">
                  <c:v>7893.2981262135791</c:v>
                </c:pt>
                <c:pt idx="2141" formatCode="0">
                  <c:v>7364.7207081789602</c:v>
                </c:pt>
                <c:pt idx="2142" formatCode="0">
                  <c:v>8726.4758037357642</c:v>
                </c:pt>
                <c:pt idx="2143" formatCode="0">
                  <c:v>10391.846664411674</c:v>
                </c:pt>
                <c:pt idx="2144" formatCode="0">
                  <c:v>7887.1367987797821</c:v>
                </c:pt>
                <c:pt idx="2145" formatCode="0">
                  <c:v>7940.097066081481</c:v>
                </c:pt>
                <c:pt idx="2146" formatCode="0">
                  <c:v>8087.2278144194779</c:v>
                </c:pt>
                <c:pt idx="2147" formatCode="0">
                  <c:v>7861.7224602228571</c:v>
                </c:pt>
                <c:pt idx="2148" formatCode="0">
                  <c:v>6181.8537863973788</c:v>
                </c:pt>
                <c:pt idx="2149" formatCode="0">
                  <c:v>6015.421403518465</c:v>
                </c:pt>
                <c:pt idx="2150" formatCode="0">
                  <c:v>9801.8642399434648</c:v>
                </c:pt>
                <c:pt idx="2151" formatCode="0">
                  <c:v>8775.8364058903226</c:v>
                </c:pt>
                <c:pt idx="2152" formatCode="0">
                  <c:v>7892.6186815812189</c:v>
                </c:pt>
                <c:pt idx="2153" formatCode="0">
                  <c:v>7364.0412635466</c:v>
                </c:pt>
                <c:pt idx="2154" formatCode="0">
                  <c:v>8725.7963591034022</c:v>
                </c:pt>
                <c:pt idx="2155" formatCode="0">
                  <c:v>10391.167219779314</c:v>
                </c:pt>
                <c:pt idx="2156" formatCode="0">
                  <c:v>7886.4573541474219</c:v>
                </c:pt>
                <c:pt idx="2157" formatCode="0">
                  <c:v>7939.4176214491208</c:v>
                </c:pt>
                <c:pt idx="2158" formatCode="0">
                  <c:v>8086.5483697871177</c:v>
                </c:pt>
                <c:pt idx="2159" formatCode="0">
                  <c:v>7861.0430155904969</c:v>
                </c:pt>
                <c:pt idx="2160" formatCode="0">
                  <c:v>6181.1743417650177</c:v>
                </c:pt>
                <c:pt idx="2161" formatCode="0">
                  <c:v>6014.7419588861048</c:v>
                </c:pt>
                <c:pt idx="2162" formatCode="0">
                  <c:v>9801.1847953111046</c:v>
                </c:pt>
                <c:pt idx="2163" formatCode="0">
                  <c:v>8775.1569612579624</c:v>
                </c:pt>
                <c:pt idx="2164" formatCode="0">
                  <c:v>7891.9392369488587</c:v>
                </c:pt>
                <c:pt idx="2165" formatCode="0">
                  <c:v>7363.3618189142389</c:v>
                </c:pt>
                <c:pt idx="2166" formatCode="0">
                  <c:v>8725.116914471042</c:v>
                </c:pt>
                <c:pt idx="2167" formatCode="0">
                  <c:v>10390.487775146954</c:v>
                </c:pt>
                <c:pt idx="2168" formatCode="0">
                  <c:v>7885.7779095150618</c:v>
                </c:pt>
                <c:pt idx="2169" formatCode="0">
                  <c:v>7938.7381768167606</c:v>
                </c:pt>
                <c:pt idx="2170" formatCode="0">
                  <c:v>8085.8689251547567</c:v>
                </c:pt>
                <c:pt idx="2171" formatCode="0">
                  <c:v>7860.3635709581358</c:v>
                </c:pt>
                <c:pt idx="2172" formatCode="0">
                  <c:v>6180.4948971326576</c:v>
                </c:pt>
                <c:pt idx="2173" formatCode="0">
                  <c:v>6014.0625142537447</c:v>
                </c:pt>
                <c:pt idx="2174" formatCode="0">
                  <c:v>9800.5053506787444</c:v>
                </c:pt>
                <c:pt idx="2175" formatCode="0">
                  <c:v>8774.4775166256022</c:v>
                </c:pt>
                <c:pt idx="2176" formatCode="0">
                  <c:v>7891.2597923164976</c:v>
                </c:pt>
                <c:pt idx="2177" formatCode="0">
                  <c:v>7362.6823742818788</c:v>
                </c:pt>
                <c:pt idx="2178" formatCode="0">
                  <c:v>8724.4374698386819</c:v>
                </c:pt>
                <c:pt idx="2179" formatCode="0">
                  <c:v>10389.808330514594</c:v>
                </c:pt>
                <c:pt idx="2180" formatCode="0">
                  <c:v>7885.0984648827016</c:v>
                </c:pt>
                <c:pt idx="2181" formatCode="0">
                  <c:v>7938.0587321843996</c:v>
                </c:pt>
                <c:pt idx="2182" formatCode="0">
                  <c:v>8085.1894805223965</c:v>
                </c:pt>
                <c:pt idx="2183" formatCode="0">
                  <c:v>7859.6841263257757</c:v>
                </c:pt>
                <c:pt idx="2184" formatCode="0">
                  <c:v>6179.8154525002974</c:v>
                </c:pt>
                <c:pt idx="2185" formatCode="0">
                  <c:v>6013.3830696213845</c:v>
                </c:pt>
                <c:pt idx="2186" formatCode="0">
                  <c:v>9799.8259060463824</c:v>
                </c:pt>
                <c:pt idx="2187" formatCode="0">
                  <c:v>8773.798071993242</c:v>
                </c:pt>
                <c:pt idx="2188" formatCode="0">
                  <c:v>7890.5803476841375</c:v>
                </c:pt>
                <c:pt idx="2189" formatCode="0">
                  <c:v>7362.0029296495186</c:v>
                </c:pt>
                <c:pt idx="2190" formatCode="0">
                  <c:v>8723.7580252063217</c:v>
                </c:pt>
                <c:pt idx="2191" formatCode="0">
                  <c:v>10389.128885882234</c:v>
                </c:pt>
                <c:pt idx="2192" formatCode="0">
                  <c:v>7884.4190202503405</c:v>
                </c:pt>
                <c:pt idx="2193" formatCode="0">
                  <c:v>7937.3792875520394</c:v>
                </c:pt>
                <c:pt idx="2194" formatCode="0">
                  <c:v>8084.5100358900363</c:v>
                </c:pt>
                <c:pt idx="2195" formatCode="0">
                  <c:v>7859.0046816934155</c:v>
                </c:pt>
                <c:pt idx="2196" formatCode="0">
                  <c:v>6179.1360078679372</c:v>
                </c:pt>
                <c:pt idx="2197" formatCode="0">
                  <c:v>6012.7036249890234</c:v>
                </c:pt>
                <c:pt idx="2198" formatCode="0">
                  <c:v>9799.1464614140241</c:v>
                </c:pt>
                <c:pt idx="2199" formatCode="0">
                  <c:v>8773.1186273608801</c:v>
                </c:pt>
                <c:pt idx="2200" formatCode="0">
                  <c:v>7889.9009030517773</c:v>
                </c:pt>
                <c:pt idx="2201" formatCode="0">
                  <c:v>7361.3234850171584</c:v>
                </c:pt>
                <c:pt idx="2202" formatCode="0">
                  <c:v>8723.0785805739615</c:v>
                </c:pt>
                <c:pt idx="2203" formatCode="0">
                  <c:v>10388.449441249872</c:v>
                </c:pt>
                <c:pt idx="2204" formatCode="0">
                  <c:v>7883.7395756179803</c:v>
                </c:pt>
                <c:pt idx="2205" formatCode="0">
                  <c:v>7936.6998429196792</c:v>
                </c:pt>
                <c:pt idx="2206" formatCode="0">
                  <c:v>8083.8305912576761</c:v>
                </c:pt>
                <c:pt idx="2207" formatCode="0">
                  <c:v>7858.3252370610544</c:v>
                </c:pt>
                <c:pt idx="2208" formatCode="0">
                  <c:v>6178.4565632355761</c:v>
                </c:pt>
                <c:pt idx="2209" formatCode="0">
                  <c:v>6012.0241803566632</c:v>
                </c:pt>
                <c:pt idx="2210" formatCode="0">
                  <c:v>9798.4670167816621</c:v>
                </c:pt>
                <c:pt idx="2211" formatCode="0">
                  <c:v>8772.4391827285217</c:v>
                </c:pt>
                <c:pt idx="2212" formatCode="0">
                  <c:v>7889.2214584194162</c:v>
                </c:pt>
                <c:pt idx="2213" formatCode="0">
                  <c:v>7360.6440403847973</c:v>
                </c:pt>
                <c:pt idx="2214" formatCode="0">
                  <c:v>8722.3991359416013</c:v>
                </c:pt>
                <c:pt idx="2215" formatCode="0">
                  <c:v>10387.769996617513</c:v>
                </c:pt>
                <c:pt idx="2216" formatCode="0">
                  <c:v>7883.0601309856202</c:v>
                </c:pt>
                <c:pt idx="2217" formatCode="0">
                  <c:v>7936.020398287319</c:v>
                </c:pt>
                <c:pt idx="2218" formatCode="0">
                  <c:v>8083.1511466253151</c:v>
                </c:pt>
                <c:pt idx="2219" formatCode="0">
                  <c:v>7857.6457924286942</c:v>
                </c:pt>
                <c:pt idx="2220" formatCode="0">
                  <c:v>6177.777118603216</c:v>
                </c:pt>
                <c:pt idx="2221" formatCode="0">
                  <c:v>6011.3447357243031</c:v>
                </c:pt>
                <c:pt idx="2222" formatCode="0">
                  <c:v>9797.7875721493037</c:v>
                </c:pt>
                <c:pt idx="2223" formatCode="0">
                  <c:v>8771.7597380961597</c:v>
                </c:pt>
                <c:pt idx="2224" formatCode="0">
                  <c:v>7888.542013787056</c:v>
                </c:pt>
                <c:pt idx="2225" formatCode="0">
                  <c:v>7359.9645957524372</c:v>
                </c:pt>
                <c:pt idx="2226" formatCode="0">
                  <c:v>8721.7196913092412</c:v>
                </c:pt>
                <c:pt idx="2227" formatCode="0">
                  <c:v>10387.090551985151</c:v>
                </c:pt>
                <c:pt idx="2228" formatCode="0">
                  <c:v>7882.3806863532591</c:v>
                </c:pt>
                <c:pt idx="2229" formatCode="0">
                  <c:v>7935.340953654958</c:v>
                </c:pt>
                <c:pt idx="2230" formatCode="0">
                  <c:v>8082.4717019929549</c:v>
                </c:pt>
                <c:pt idx="2231" formatCode="0">
                  <c:v>7856.966347796334</c:v>
                </c:pt>
                <c:pt idx="2232" formatCode="0">
                  <c:v>6177.0976739708558</c:v>
                </c:pt>
                <c:pt idx="2233" formatCode="0">
                  <c:v>6010.665291091942</c:v>
                </c:pt>
                <c:pt idx="2234" formatCode="0">
                  <c:v>9797.1081275169417</c:v>
                </c:pt>
                <c:pt idx="2235" formatCode="0">
                  <c:v>8771.0802934637995</c:v>
                </c:pt>
                <c:pt idx="2236" formatCode="0">
                  <c:v>7887.8625691546958</c:v>
                </c:pt>
                <c:pt idx="2237" formatCode="0">
                  <c:v>7359.285151120077</c:v>
                </c:pt>
                <c:pt idx="2238" formatCode="0">
                  <c:v>8721.040246676881</c:v>
                </c:pt>
                <c:pt idx="2239" formatCode="0">
                  <c:v>10386.411107352791</c:v>
                </c:pt>
                <c:pt idx="2240" formatCode="0">
                  <c:v>7881.7012417208989</c:v>
                </c:pt>
                <c:pt idx="2241" formatCode="0">
                  <c:v>7934.6615090225978</c:v>
                </c:pt>
                <c:pt idx="2242" formatCode="0">
                  <c:v>8081.7922573605947</c:v>
                </c:pt>
                <c:pt idx="2243" formatCode="0">
                  <c:v>7856.2869031639739</c:v>
                </c:pt>
                <c:pt idx="2244" formatCode="0">
                  <c:v>6176.4182293384947</c:v>
                </c:pt>
                <c:pt idx="2245" formatCode="0">
                  <c:v>6009.9858464595818</c:v>
                </c:pt>
                <c:pt idx="2246" formatCode="0">
                  <c:v>9796.4286828845816</c:v>
                </c:pt>
                <c:pt idx="2247" formatCode="0">
                  <c:v>8770.4008488314394</c:v>
                </c:pt>
                <c:pt idx="2248" formatCode="0">
                  <c:v>7887.1831245223357</c:v>
                </c:pt>
                <c:pt idx="2249" formatCode="0">
                  <c:v>7358.6057064877159</c:v>
                </c:pt>
                <c:pt idx="2250" formatCode="0">
                  <c:v>8720.360802044519</c:v>
                </c:pt>
                <c:pt idx="2251" formatCode="0">
                  <c:v>10385.731662720431</c:v>
                </c:pt>
                <c:pt idx="2252" formatCode="0">
                  <c:v>7881.0217970885387</c:v>
                </c:pt>
                <c:pt idx="2253" formatCode="0">
                  <c:v>7933.9820643902376</c:v>
                </c:pt>
                <c:pt idx="2254" formatCode="0">
                  <c:v>8081.1128127282336</c:v>
                </c:pt>
                <c:pt idx="2255" formatCode="0">
                  <c:v>7855.6074585316128</c:v>
                </c:pt>
                <c:pt idx="2256" formatCode="0">
                  <c:v>6175.7387847061345</c:v>
                </c:pt>
                <c:pt idx="2257" formatCode="0">
                  <c:v>6009.3064018272216</c:v>
                </c:pt>
                <c:pt idx="2258" formatCode="0">
                  <c:v>9795.7492382522214</c:v>
                </c:pt>
                <c:pt idx="2259" formatCode="0">
                  <c:v>8769.7214041990792</c:v>
                </c:pt>
                <c:pt idx="2260" formatCode="0">
                  <c:v>7886.5036798899746</c:v>
                </c:pt>
                <c:pt idx="2261" formatCode="0">
                  <c:v>7357.9262618553557</c:v>
                </c:pt>
                <c:pt idx="2262" formatCode="0">
                  <c:v>8719.6813574121588</c:v>
                </c:pt>
                <c:pt idx="2263" formatCode="0">
                  <c:v>10385.052218088071</c:v>
                </c:pt>
                <c:pt idx="2264" formatCode="0">
                  <c:v>7880.3423524561786</c:v>
                </c:pt>
                <c:pt idx="2265" formatCode="0">
                  <c:v>7933.3026197578765</c:v>
                </c:pt>
                <c:pt idx="2266" formatCode="0">
                  <c:v>8080.4333680958734</c:v>
                </c:pt>
                <c:pt idx="2267" formatCode="0">
                  <c:v>7854.9280138992526</c:v>
                </c:pt>
                <c:pt idx="2268" formatCode="0">
                  <c:v>6175.0593400737744</c:v>
                </c:pt>
                <c:pt idx="2269" formatCode="0">
                  <c:v>6008.6269571948615</c:v>
                </c:pt>
                <c:pt idx="2270" formatCode="0">
                  <c:v>9795.0697936198594</c:v>
                </c:pt>
                <c:pt idx="2271" formatCode="0">
                  <c:v>8769.041959566719</c:v>
                </c:pt>
                <c:pt idx="2272" formatCode="0">
                  <c:v>7885.8242352576144</c:v>
                </c:pt>
                <c:pt idx="2273" formatCode="0">
                  <c:v>7357.2468172229956</c:v>
                </c:pt>
                <c:pt idx="2274" formatCode="0">
                  <c:v>8719.0019127797987</c:v>
                </c:pt>
                <c:pt idx="2275" formatCode="0">
                  <c:v>10384.372773455711</c:v>
                </c:pt>
                <c:pt idx="2276" formatCode="0">
                  <c:v>7879.6629078238175</c:v>
                </c:pt>
                <c:pt idx="2277" formatCode="0">
                  <c:v>7932.6231751255164</c:v>
                </c:pt>
                <c:pt idx="2278" formatCode="0">
                  <c:v>8079.7539234635133</c:v>
                </c:pt>
                <c:pt idx="2279" formatCode="0">
                  <c:v>7854.2485692668924</c:v>
                </c:pt>
                <c:pt idx="2280" formatCode="0">
                  <c:v>6174.3798954414142</c:v>
                </c:pt>
                <c:pt idx="2281" formatCode="0">
                  <c:v>6007.9475125625004</c:v>
                </c:pt>
                <c:pt idx="2282" formatCode="0">
                  <c:v>9794.3903489875011</c:v>
                </c:pt>
                <c:pt idx="2283" formatCode="0">
                  <c:v>8768.362514934357</c:v>
                </c:pt>
                <c:pt idx="2284" formatCode="0">
                  <c:v>7885.1447906252542</c:v>
                </c:pt>
                <c:pt idx="2285" formatCode="0">
                  <c:v>7356.5673725906354</c:v>
                </c:pt>
                <c:pt idx="2286" formatCode="0">
                  <c:v>8718.3224681474385</c:v>
                </c:pt>
                <c:pt idx="2287" formatCode="0">
                  <c:v>10383.693328823349</c:v>
                </c:pt>
                <c:pt idx="2288" formatCode="0">
                  <c:v>7878.9834631914573</c:v>
                </c:pt>
                <c:pt idx="2289" formatCode="0">
                  <c:v>7931.9437304931562</c:v>
                </c:pt>
                <c:pt idx="2290" formatCode="0">
                  <c:v>8079.0744788311531</c:v>
                </c:pt>
                <c:pt idx="2291" formatCode="0">
                  <c:v>7853.5691246345314</c:v>
                </c:pt>
                <c:pt idx="2292" formatCode="0">
                  <c:v>6173.7004508090531</c:v>
                </c:pt>
                <c:pt idx="2293" formatCode="0">
                  <c:v>6007.2680679301402</c:v>
                </c:pt>
                <c:pt idx="2294" formatCode="0">
                  <c:v>9793.7109043551391</c:v>
                </c:pt>
                <c:pt idx="2295" formatCode="0">
                  <c:v>8767.6830703019987</c:v>
                </c:pt>
                <c:pt idx="2296" formatCode="0">
                  <c:v>7884.4653459928932</c:v>
                </c:pt>
                <c:pt idx="2297" formatCode="0">
                  <c:v>7355.8879279582743</c:v>
                </c:pt>
                <c:pt idx="2298" formatCode="0">
                  <c:v>8717.6430235150783</c:v>
                </c:pt>
                <c:pt idx="2299" formatCode="0">
                  <c:v>10383.01388419099</c:v>
                </c:pt>
                <c:pt idx="2300" formatCode="0">
                  <c:v>7878.3040185590971</c:v>
                </c:pt>
                <c:pt idx="2301" formatCode="0">
                  <c:v>7931.264285860796</c:v>
                </c:pt>
                <c:pt idx="2302" formatCode="0">
                  <c:v>8078.395034198792</c:v>
                </c:pt>
                <c:pt idx="2303" formatCode="0">
                  <c:v>7852.8896800021712</c:v>
                </c:pt>
                <c:pt idx="2304" formatCode="0">
                  <c:v>6173.0210061766929</c:v>
                </c:pt>
                <c:pt idx="2305" formatCode="0">
                  <c:v>6006.58862329778</c:v>
                </c:pt>
                <c:pt idx="2306" formatCode="0">
                  <c:v>9793.0314597227807</c:v>
                </c:pt>
                <c:pt idx="2307" formatCode="0">
                  <c:v>8767.0036256696367</c:v>
                </c:pt>
                <c:pt idx="2308" formatCode="0">
                  <c:v>7883.785901360533</c:v>
                </c:pt>
                <c:pt idx="2309" formatCode="0">
                  <c:v>7355.2084833259141</c:v>
                </c:pt>
                <c:pt idx="2310" formatCode="0">
                  <c:v>8716.9635788827181</c:v>
                </c:pt>
                <c:pt idx="2311" formatCode="0">
                  <c:v>10382.334439558628</c:v>
                </c:pt>
                <c:pt idx="2312" formatCode="0">
                  <c:v>7877.624573926736</c:v>
                </c:pt>
                <c:pt idx="2313" formatCode="0">
                  <c:v>7930.5848412284349</c:v>
                </c:pt>
                <c:pt idx="2314" formatCode="0">
                  <c:v>8077.7155895664318</c:v>
                </c:pt>
                <c:pt idx="2315" formatCode="0">
                  <c:v>7852.210235369811</c:v>
                </c:pt>
                <c:pt idx="2316" formatCode="0">
                  <c:v>6172.3415615443328</c:v>
                </c:pt>
                <c:pt idx="2317" formatCode="0">
                  <c:v>6005.9091786654189</c:v>
                </c:pt>
                <c:pt idx="2318" formatCode="0">
                  <c:v>9792.3520150904187</c:v>
                </c:pt>
                <c:pt idx="2319" formatCode="0">
                  <c:v>8766.3241810372765</c:v>
                </c:pt>
                <c:pt idx="2320" formatCode="0">
                  <c:v>7883.1064567281728</c:v>
                </c:pt>
                <c:pt idx="2321" formatCode="0">
                  <c:v>7354.529038693554</c:v>
                </c:pt>
                <c:pt idx="2322" formatCode="0">
                  <c:v>8716.284134250358</c:v>
                </c:pt>
                <c:pt idx="2323" formatCode="0">
                  <c:v>10381.654994926268</c:v>
                </c:pt>
                <c:pt idx="2324" formatCode="0">
                  <c:v>7876.9451292943759</c:v>
                </c:pt>
                <c:pt idx="2325" formatCode="0">
                  <c:v>7929.9053965960748</c:v>
                </c:pt>
                <c:pt idx="2326" formatCode="0">
                  <c:v>8077.0361449340717</c:v>
                </c:pt>
                <c:pt idx="2327" formatCode="0">
                  <c:v>7851.5307907374508</c:v>
                </c:pt>
                <c:pt idx="2328" formatCode="0">
                  <c:v>6171.6621169119717</c:v>
                </c:pt>
                <c:pt idx="2329" formatCode="0">
                  <c:v>6005.2297340330588</c:v>
                </c:pt>
                <c:pt idx="2330" formatCode="0">
                  <c:v>9791.6725704580585</c:v>
                </c:pt>
                <c:pt idx="2331" formatCode="0">
                  <c:v>8765.6447364049163</c:v>
                </c:pt>
                <c:pt idx="2332" formatCode="0">
                  <c:v>7882.4270120958126</c:v>
                </c:pt>
                <c:pt idx="2333" formatCode="0">
                  <c:v>7353.8495940611929</c:v>
                </c:pt>
                <c:pt idx="2334" formatCode="0">
                  <c:v>8715.604689617996</c:v>
                </c:pt>
                <c:pt idx="2335" formatCode="0">
                  <c:v>10380.975550293908</c:v>
                </c:pt>
                <c:pt idx="2336" formatCode="0">
                  <c:v>7876.2656846620157</c:v>
                </c:pt>
                <c:pt idx="2337" formatCode="0">
                  <c:v>7929.2259519637146</c:v>
                </c:pt>
                <c:pt idx="2338" formatCode="0">
                  <c:v>8076.3567003017106</c:v>
                </c:pt>
                <c:pt idx="2339" formatCode="0">
                  <c:v>7850.8513461050898</c:v>
                </c:pt>
                <c:pt idx="2340" formatCode="0">
                  <c:v>6170.9826722796115</c:v>
                </c:pt>
                <c:pt idx="2341" formatCode="0">
                  <c:v>6004.5502894006986</c:v>
                </c:pt>
                <c:pt idx="2342" formatCode="0">
                  <c:v>9790.9931258256984</c:v>
                </c:pt>
                <c:pt idx="2343" formatCode="0">
                  <c:v>8764.9652917725562</c:v>
                </c:pt>
                <c:pt idx="2344" formatCode="0">
                  <c:v>7881.7475674634516</c:v>
                </c:pt>
                <c:pt idx="2345" formatCode="0">
                  <c:v>7353.1701494288327</c:v>
                </c:pt>
                <c:pt idx="2346" formatCode="0">
                  <c:v>8714.9252449856358</c:v>
                </c:pt>
                <c:pt idx="2347" formatCode="0">
                  <c:v>10380.296105661548</c:v>
                </c:pt>
                <c:pt idx="2348" formatCode="0">
                  <c:v>7875.5862400296555</c:v>
                </c:pt>
                <c:pt idx="2349" formatCode="0">
                  <c:v>7928.5465073313535</c:v>
                </c:pt>
                <c:pt idx="2350" formatCode="0">
                  <c:v>8075.6772556693504</c:v>
                </c:pt>
                <c:pt idx="2351" formatCode="0">
                  <c:v>7850.1719014727296</c:v>
                </c:pt>
                <c:pt idx="2352" formatCode="0">
                  <c:v>6170.3032276472513</c:v>
                </c:pt>
                <c:pt idx="2353" formatCode="0">
                  <c:v>6003.8708447683384</c:v>
                </c:pt>
                <c:pt idx="2354" formatCode="0">
                  <c:v>9790.3136811933364</c:v>
                </c:pt>
                <c:pt idx="2355" formatCode="0">
                  <c:v>8764.285847140196</c:v>
                </c:pt>
                <c:pt idx="2356" formatCode="0">
                  <c:v>7881.0681228310914</c:v>
                </c:pt>
                <c:pt idx="2357" formatCode="0">
                  <c:v>7352.4907047964725</c:v>
                </c:pt>
                <c:pt idx="2358" formatCode="0">
                  <c:v>8714.2458003532756</c:v>
                </c:pt>
                <c:pt idx="2359" formatCode="0">
                  <c:v>10379.616661029188</c:v>
                </c:pt>
                <c:pt idx="2360" formatCode="0">
                  <c:v>7874.9067953972944</c:v>
                </c:pt>
                <c:pt idx="2361" formatCode="0">
                  <c:v>7927.8670626989933</c:v>
                </c:pt>
                <c:pt idx="2362" formatCode="0">
                  <c:v>8074.9978110369902</c:v>
                </c:pt>
                <c:pt idx="2363" formatCode="0">
                  <c:v>7849.4924568403694</c:v>
                </c:pt>
                <c:pt idx="2364" formatCode="0">
                  <c:v>6169.6237830148912</c:v>
                </c:pt>
                <c:pt idx="2365" formatCode="0">
                  <c:v>6003.1914001359773</c:v>
                </c:pt>
              </c:numCache>
            </c:numRef>
          </c:val>
          <c:smooth val="0"/>
          <c:extLst>
            <c:ext xmlns:c16="http://schemas.microsoft.com/office/drawing/2014/chart" uri="{C3380CC4-5D6E-409C-BE32-E72D297353CC}">
              <c16:uniqueId val="{00000001-EF04-4EF9-AB9C-83D2C24F01C8}"/>
            </c:ext>
          </c:extLst>
        </c:ser>
        <c:ser>
          <c:idx val="2"/>
          <c:order val="2"/>
          <c:tx>
            <c:strRef>
              <c:f>AI_Forecast!$D$1</c:f>
              <c:strCache>
                <c:ptCount val="1"/>
                <c:pt idx="0">
                  <c:v>Lower Confidence Bound(Forecast_Sales)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AI_Forecast!$A$2:$A$2367</c:f>
              <c:numCache>
                <c:formatCode>m/d/yyyy</c:formatCode>
                <c:ptCount val="2366"/>
                <c:pt idx="0">
                  <c:v>43842</c:v>
                </c:pt>
                <c:pt idx="1">
                  <c:v>43843</c:v>
                </c:pt>
                <c:pt idx="2">
                  <c:v>43844</c:v>
                </c:pt>
                <c:pt idx="3">
                  <c:v>43845</c:v>
                </c:pt>
                <c:pt idx="4">
                  <c:v>43846</c:v>
                </c:pt>
                <c:pt idx="5">
                  <c:v>43847</c:v>
                </c:pt>
                <c:pt idx="6">
                  <c:v>43848</c:v>
                </c:pt>
                <c:pt idx="7">
                  <c:v>43849</c:v>
                </c:pt>
                <c:pt idx="8">
                  <c:v>43850</c:v>
                </c:pt>
                <c:pt idx="9">
                  <c:v>43851</c:v>
                </c:pt>
                <c:pt idx="10">
                  <c:v>43852</c:v>
                </c:pt>
                <c:pt idx="11">
                  <c:v>43853</c:v>
                </c:pt>
                <c:pt idx="12">
                  <c:v>43854</c:v>
                </c:pt>
                <c:pt idx="13">
                  <c:v>43855</c:v>
                </c:pt>
                <c:pt idx="14">
                  <c:v>43856</c:v>
                </c:pt>
                <c:pt idx="15">
                  <c:v>43857</c:v>
                </c:pt>
                <c:pt idx="16">
                  <c:v>43858</c:v>
                </c:pt>
                <c:pt idx="17">
                  <c:v>43859</c:v>
                </c:pt>
                <c:pt idx="18">
                  <c:v>43860</c:v>
                </c:pt>
                <c:pt idx="19">
                  <c:v>43861</c:v>
                </c:pt>
                <c:pt idx="20">
                  <c:v>43862</c:v>
                </c:pt>
                <c:pt idx="21">
                  <c:v>43863</c:v>
                </c:pt>
                <c:pt idx="22">
                  <c:v>43864</c:v>
                </c:pt>
                <c:pt idx="23">
                  <c:v>43865</c:v>
                </c:pt>
                <c:pt idx="24">
                  <c:v>43866</c:v>
                </c:pt>
                <c:pt idx="25">
                  <c:v>43867</c:v>
                </c:pt>
                <c:pt idx="26">
                  <c:v>43868</c:v>
                </c:pt>
                <c:pt idx="27">
                  <c:v>43869</c:v>
                </c:pt>
                <c:pt idx="28">
                  <c:v>43870</c:v>
                </c:pt>
                <c:pt idx="29">
                  <c:v>43871</c:v>
                </c:pt>
                <c:pt idx="30">
                  <c:v>43872</c:v>
                </c:pt>
                <c:pt idx="31">
                  <c:v>43873</c:v>
                </c:pt>
                <c:pt idx="32">
                  <c:v>43874</c:v>
                </c:pt>
                <c:pt idx="33">
                  <c:v>43875</c:v>
                </c:pt>
                <c:pt idx="34">
                  <c:v>43876</c:v>
                </c:pt>
                <c:pt idx="35">
                  <c:v>43877</c:v>
                </c:pt>
                <c:pt idx="36">
                  <c:v>43878</c:v>
                </c:pt>
                <c:pt idx="37">
                  <c:v>43879</c:v>
                </c:pt>
                <c:pt idx="38">
                  <c:v>43880</c:v>
                </c:pt>
                <c:pt idx="39">
                  <c:v>43881</c:v>
                </c:pt>
                <c:pt idx="40">
                  <c:v>43882</c:v>
                </c:pt>
                <c:pt idx="41">
                  <c:v>43883</c:v>
                </c:pt>
                <c:pt idx="42">
                  <c:v>43884</c:v>
                </c:pt>
                <c:pt idx="43">
                  <c:v>43885</c:v>
                </c:pt>
                <c:pt idx="44">
                  <c:v>43886</c:v>
                </c:pt>
                <c:pt idx="45">
                  <c:v>43887</c:v>
                </c:pt>
                <c:pt idx="46">
                  <c:v>43888</c:v>
                </c:pt>
                <c:pt idx="47">
                  <c:v>43889</c:v>
                </c:pt>
                <c:pt idx="48">
                  <c:v>43890</c:v>
                </c:pt>
                <c:pt idx="49">
                  <c:v>43891</c:v>
                </c:pt>
                <c:pt idx="50">
                  <c:v>43892</c:v>
                </c:pt>
                <c:pt idx="51">
                  <c:v>43893</c:v>
                </c:pt>
                <c:pt idx="52">
                  <c:v>43894</c:v>
                </c:pt>
                <c:pt idx="53">
                  <c:v>43895</c:v>
                </c:pt>
                <c:pt idx="54">
                  <c:v>43896</c:v>
                </c:pt>
                <c:pt idx="55">
                  <c:v>43897</c:v>
                </c:pt>
                <c:pt idx="56">
                  <c:v>43898</c:v>
                </c:pt>
                <c:pt idx="57">
                  <c:v>43899</c:v>
                </c:pt>
                <c:pt idx="58">
                  <c:v>43900</c:v>
                </c:pt>
                <c:pt idx="59">
                  <c:v>43901</c:v>
                </c:pt>
                <c:pt idx="60">
                  <c:v>43902</c:v>
                </c:pt>
                <c:pt idx="61">
                  <c:v>43903</c:v>
                </c:pt>
                <c:pt idx="62">
                  <c:v>43904</c:v>
                </c:pt>
                <c:pt idx="63">
                  <c:v>43905</c:v>
                </c:pt>
                <c:pt idx="64">
                  <c:v>43906</c:v>
                </c:pt>
                <c:pt idx="65">
                  <c:v>43907</c:v>
                </c:pt>
                <c:pt idx="66">
                  <c:v>43908</c:v>
                </c:pt>
                <c:pt idx="67">
                  <c:v>43909</c:v>
                </c:pt>
                <c:pt idx="68">
                  <c:v>43910</c:v>
                </c:pt>
                <c:pt idx="69">
                  <c:v>43911</c:v>
                </c:pt>
                <c:pt idx="70">
                  <c:v>43912</c:v>
                </c:pt>
                <c:pt idx="71">
                  <c:v>43913</c:v>
                </c:pt>
                <c:pt idx="72">
                  <c:v>43914</c:v>
                </c:pt>
                <c:pt idx="73">
                  <c:v>43915</c:v>
                </c:pt>
                <c:pt idx="74">
                  <c:v>43916</c:v>
                </c:pt>
                <c:pt idx="75">
                  <c:v>43917</c:v>
                </c:pt>
                <c:pt idx="76">
                  <c:v>43918</c:v>
                </c:pt>
                <c:pt idx="77">
                  <c:v>43919</c:v>
                </c:pt>
                <c:pt idx="78">
                  <c:v>43920</c:v>
                </c:pt>
                <c:pt idx="79">
                  <c:v>43921</c:v>
                </c:pt>
                <c:pt idx="80">
                  <c:v>43922</c:v>
                </c:pt>
                <c:pt idx="81">
                  <c:v>43923</c:v>
                </c:pt>
                <c:pt idx="82">
                  <c:v>43924</c:v>
                </c:pt>
                <c:pt idx="83">
                  <c:v>43925</c:v>
                </c:pt>
                <c:pt idx="84">
                  <c:v>43926</c:v>
                </c:pt>
                <c:pt idx="85">
                  <c:v>43927</c:v>
                </c:pt>
                <c:pt idx="86">
                  <c:v>43928</c:v>
                </c:pt>
                <c:pt idx="87">
                  <c:v>43929</c:v>
                </c:pt>
                <c:pt idx="88">
                  <c:v>43930</c:v>
                </c:pt>
                <c:pt idx="89">
                  <c:v>43931</c:v>
                </c:pt>
                <c:pt idx="90">
                  <c:v>43932</c:v>
                </c:pt>
                <c:pt idx="91">
                  <c:v>43933</c:v>
                </c:pt>
                <c:pt idx="92">
                  <c:v>43934</c:v>
                </c:pt>
                <c:pt idx="93">
                  <c:v>43935</c:v>
                </c:pt>
                <c:pt idx="94">
                  <c:v>43936</c:v>
                </c:pt>
                <c:pt idx="95">
                  <c:v>43937</c:v>
                </c:pt>
                <c:pt idx="96">
                  <c:v>43938</c:v>
                </c:pt>
                <c:pt idx="97">
                  <c:v>43939</c:v>
                </c:pt>
                <c:pt idx="98">
                  <c:v>43940</c:v>
                </c:pt>
                <c:pt idx="99">
                  <c:v>43941</c:v>
                </c:pt>
                <c:pt idx="100">
                  <c:v>43942</c:v>
                </c:pt>
                <c:pt idx="101">
                  <c:v>43943</c:v>
                </c:pt>
                <c:pt idx="102">
                  <c:v>43944</c:v>
                </c:pt>
                <c:pt idx="103">
                  <c:v>43945</c:v>
                </c:pt>
                <c:pt idx="104">
                  <c:v>43946</c:v>
                </c:pt>
                <c:pt idx="105">
                  <c:v>43947</c:v>
                </c:pt>
                <c:pt idx="106">
                  <c:v>43948</c:v>
                </c:pt>
                <c:pt idx="107">
                  <c:v>43949</c:v>
                </c:pt>
                <c:pt idx="108">
                  <c:v>43950</c:v>
                </c:pt>
                <c:pt idx="109">
                  <c:v>43951</c:v>
                </c:pt>
                <c:pt idx="110">
                  <c:v>43952</c:v>
                </c:pt>
                <c:pt idx="111">
                  <c:v>43953</c:v>
                </c:pt>
                <c:pt idx="112">
                  <c:v>43954</c:v>
                </c:pt>
                <c:pt idx="113">
                  <c:v>43955</c:v>
                </c:pt>
                <c:pt idx="114">
                  <c:v>43956</c:v>
                </c:pt>
                <c:pt idx="115">
                  <c:v>43957</c:v>
                </c:pt>
                <c:pt idx="116">
                  <c:v>43958</c:v>
                </c:pt>
                <c:pt idx="117">
                  <c:v>43959</c:v>
                </c:pt>
                <c:pt idx="118">
                  <c:v>43960</c:v>
                </c:pt>
                <c:pt idx="119">
                  <c:v>43961</c:v>
                </c:pt>
                <c:pt idx="120">
                  <c:v>43962</c:v>
                </c:pt>
                <c:pt idx="121">
                  <c:v>43963</c:v>
                </c:pt>
                <c:pt idx="122">
                  <c:v>43964</c:v>
                </c:pt>
                <c:pt idx="123">
                  <c:v>43965</c:v>
                </c:pt>
                <c:pt idx="124">
                  <c:v>43966</c:v>
                </c:pt>
                <c:pt idx="125">
                  <c:v>43967</c:v>
                </c:pt>
                <c:pt idx="126">
                  <c:v>43968</c:v>
                </c:pt>
                <c:pt idx="127">
                  <c:v>43969</c:v>
                </c:pt>
                <c:pt idx="128">
                  <c:v>43970</c:v>
                </c:pt>
                <c:pt idx="129">
                  <c:v>43971</c:v>
                </c:pt>
                <c:pt idx="130">
                  <c:v>43972</c:v>
                </c:pt>
                <c:pt idx="131">
                  <c:v>43973</c:v>
                </c:pt>
                <c:pt idx="132">
                  <c:v>43974</c:v>
                </c:pt>
                <c:pt idx="133">
                  <c:v>43975</c:v>
                </c:pt>
                <c:pt idx="134">
                  <c:v>43976</c:v>
                </c:pt>
                <c:pt idx="135">
                  <c:v>43977</c:v>
                </c:pt>
                <c:pt idx="136">
                  <c:v>43978</c:v>
                </c:pt>
                <c:pt idx="137">
                  <c:v>43979</c:v>
                </c:pt>
                <c:pt idx="138">
                  <c:v>43980</c:v>
                </c:pt>
                <c:pt idx="139">
                  <c:v>43981</c:v>
                </c:pt>
                <c:pt idx="140">
                  <c:v>43982</c:v>
                </c:pt>
                <c:pt idx="141">
                  <c:v>43983</c:v>
                </c:pt>
                <c:pt idx="142">
                  <c:v>43984</c:v>
                </c:pt>
                <c:pt idx="143">
                  <c:v>43985</c:v>
                </c:pt>
                <c:pt idx="144">
                  <c:v>43986</c:v>
                </c:pt>
                <c:pt idx="145">
                  <c:v>43987</c:v>
                </c:pt>
                <c:pt idx="146">
                  <c:v>43988</c:v>
                </c:pt>
                <c:pt idx="147">
                  <c:v>43989</c:v>
                </c:pt>
                <c:pt idx="148">
                  <c:v>43990</c:v>
                </c:pt>
                <c:pt idx="149">
                  <c:v>43991</c:v>
                </c:pt>
                <c:pt idx="150">
                  <c:v>43992</c:v>
                </c:pt>
                <c:pt idx="151">
                  <c:v>43993</c:v>
                </c:pt>
                <c:pt idx="152">
                  <c:v>43994</c:v>
                </c:pt>
                <c:pt idx="153">
                  <c:v>43995</c:v>
                </c:pt>
                <c:pt idx="154">
                  <c:v>43996</c:v>
                </c:pt>
                <c:pt idx="155">
                  <c:v>43997</c:v>
                </c:pt>
                <c:pt idx="156">
                  <c:v>43998</c:v>
                </c:pt>
                <c:pt idx="157">
                  <c:v>43999</c:v>
                </c:pt>
                <c:pt idx="158">
                  <c:v>44000</c:v>
                </c:pt>
                <c:pt idx="159">
                  <c:v>44001</c:v>
                </c:pt>
                <c:pt idx="160">
                  <c:v>44002</c:v>
                </c:pt>
                <c:pt idx="161">
                  <c:v>44003</c:v>
                </c:pt>
                <c:pt idx="162">
                  <c:v>44004</c:v>
                </c:pt>
                <c:pt idx="163">
                  <c:v>44005</c:v>
                </c:pt>
                <c:pt idx="164">
                  <c:v>44006</c:v>
                </c:pt>
                <c:pt idx="165">
                  <c:v>44007</c:v>
                </c:pt>
                <c:pt idx="166">
                  <c:v>44008</c:v>
                </c:pt>
                <c:pt idx="167">
                  <c:v>44009</c:v>
                </c:pt>
                <c:pt idx="168">
                  <c:v>44010</c:v>
                </c:pt>
                <c:pt idx="169">
                  <c:v>44011</c:v>
                </c:pt>
                <c:pt idx="170">
                  <c:v>44012</c:v>
                </c:pt>
                <c:pt idx="171">
                  <c:v>44013</c:v>
                </c:pt>
                <c:pt idx="172">
                  <c:v>44014</c:v>
                </c:pt>
                <c:pt idx="173">
                  <c:v>44015</c:v>
                </c:pt>
                <c:pt idx="174">
                  <c:v>44016</c:v>
                </c:pt>
                <c:pt idx="175">
                  <c:v>44017</c:v>
                </c:pt>
                <c:pt idx="176">
                  <c:v>44018</c:v>
                </c:pt>
                <c:pt idx="177">
                  <c:v>44019</c:v>
                </c:pt>
                <c:pt idx="178">
                  <c:v>44020</c:v>
                </c:pt>
                <c:pt idx="179">
                  <c:v>44021</c:v>
                </c:pt>
                <c:pt idx="180">
                  <c:v>44022</c:v>
                </c:pt>
                <c:pt idx="181">
                  <c:v>44023</c:v>
                </c:pt>
                <c:pt idx="182">
                  <c:v>44024</c:v>
                </c:pt>
                <c:pt idx="183">
                  <c:v>44025</c:v>
                </c:pt>
                <c:pt idx="184">
                  <c:v>44026</c:v>
                </c:pt>
                <c:pt idx="185">
                  <c:v>44027</c:v>
                </c:pt>
                <c:pt idx="186">
                  <c:v>44028</c:v>
                </c:pt>
                <c:pt idx="187">
                  <c:v>44029</c:v>
                </c:pt>
                <c:pt idx="188">
                  <c:v>44030</c:v>
                </c:pt>
                <c:pt idx="189">
                  <c:v>44031</c:v>
                </c:pt>
                <c:pt idx="190">
                  <c:v>44032</c:v>
                </c:pt>
                <c:pt idx="191">
                  <c:v>44033</c:v>
                </c:pt>
                <c:pt idx="192">
                  <c:v>44034</c:v>
                </c:pt>
                <c:pt idx="193">
                  <c:v>44035</c:v>
                </c:pt>
                <c:pt idx="194">
                  <c:v>44036</c:v>
                </c:pt>
                <c:pt idx="195">
                  <c:v>44037</c:v>
                </c:pt>
                <c:pt idx="196">
                  <c:v>44038</c:v>
                </c:pt>
                <c:pt idx="197">
                  <c:v>44039</c:v>
                </c:pt>
                <c:pt idx="198">
                  <c:v>44040</c:v>
                </c:pt>
                <c:pt idx="199">
                  <c:v>44041</c:v>
                </c:pt>
                <c:pt idx="200">
                  <c:v>44042</c:v>
                </c:pt>
                <c:pt idx="201">
                  <c:v>44043</c:v>
                </c:pt>
                <c:pt idx="202">
                  <c:v>44044</c:v>
                </c:pt>
                <c:pt idx="203">
                  <c:v>44045</c:v>
                </c:pt>
                <c:pt idx="204">
                  <c:v>44046</c:v>
                </c:pt>
                <c:pt idx="205">
                  <c:v>44047</c:v>
                </c:pt>
                <c:pt idx="206">
                  <c:v>44048</c:v>
                </c:pt>
                <c:pt idx="207">
                  <c:v>44049</c:v>
                </c:pt>
                <c:pt idx="208">
                  <c:v>44050</c:v>
                </c:pt>
                <c:pt idx="209">
                  <c:v>44051</c:v>
                </c:pt>
                <c:pt idx="210">
                  <c:v>44052</c:v>
                </c:pt>
                <c:pt idx="211">
                  <c:v>44053</c:v>
                </c:pt>
                <c:pt idx="212">
                  <c:v>44054</c:v>
                </c:pt>
                <c:pt idx="213">
                  <c:v>44055</c:v>
                </c:pt>
                <c:pt idx="214">
                  <c:v>44056</c:v>
                </c:pt>
                <c:pt idx="215">
                  <c:v>44057</c:v>
                </c:pt>
                <c:pt idx="216">
                  <c:v>44058</c:v>
                </c:pt>
                <c:pt idx="217">
                  <c:v>44059</c:v>
                </c:pt>
                <c:pt idx="218">
                  <c:v>44060</c:v>
                </c:pt>
                <c:pt idx="219">
                  <c:v>44061</c:v>
                </c:pt>
                <c:pt idx="220">
                  <c:v>44062</c:v>
                </c:pt>
                <c:pt idx="221">
                  <c:v>44063</c:v>
                </c:pt>
                <c:pt idx="222">
                  <c:v>44064</c:v>
                </c:pt>
                <c:pt idx="223">
                  <c:v>44065</c:v>
                </c:pt>
                <c:pt idx="224">
                  <c:v>44066</c:v>
                </c:pt>
                <c:pt idx="225">
                  <c:v>44067</c:v>
                </c:pt>
                <c:pt idx="226">
                  <c:v>44068</c:v>
                </c:pt>
                <c:pt idx="227">
                  <c:v>44069</c:v>
                </c:pt>
                <c:pt idx="228">
                  <c:v>44070</c:v>
                </c:pt>
                <c:pt idx="229">
                  <c:v>44071</c:v>
                </c:pt>
                <c:pt idx="230">
                  <c:v>44072</c:v>
                </c:pt>
                <c:pt idx="231">
                  <c:v>44073</c:v>
                </c:pt>
                <c:pt idx="232">
                  <c:v>44074</c:v>
                </c:pt>
                <c:pt idx="233">
                  <c:v>44075</c:v>
                </c:pt>
                <c:pt idx="234">
                  <c:v>44076</c:v>
                </c:pt>
                <c:pt idx="235">
                  <c:v>44077</c:v>
                </c:pt>
                <c:pt idx="236">
                  <c:v>44078</c:v>
                </c:pt>
                <c:pt idx="237">
                  <c:v>44079</c:v>
                </c:pt>
                <c:pt idx="238">
                  <c:v>44080</c:v>
                </c:pt>
                <c:pt idx="239">
                  <c:v>44081</c:v>
                </c:pt>
                <c:pt idx="240">
                  <c:v>44082</c:v>
                </c:pt>
                <c:pt idx="241">
                  <c:v>44083</c:v>
                </c:pt>
                <c:pt idx="242">
                  <c:v>44084</c:v>
                </c:pt>
                <c:pt idx="243">
                  <c:v>44085</c:v>
                </c:pt>
                <c:pt idx="244">
                  <c:v>44086</c:v>
                </c:pt>
                <c:pt idx="245">
                  <c:v>44087</c:v>
                </c:pt>
                <c:pt idx="246">
                  <c:v>44088</c:v>
                </c:pt>
                <c:pt idx="247">
                  <c:v>44089</c:v>
                </c:pt>
                <c:pt idx="248">
                  <c:v>44090</c:v>
                </c:pt>
                <c:pt idx="249">
                  <c:v>44091</c:v>
                </c:pt>
                <c:pt idx="250">
                  <c:v>44092</c:v>
                </c:pt>
                <c:pt idx="251">
                  <c:v>44093</c:v>
                </c:pt>
                <c:pt idx="252">
                  <c:v>44094</c:v>
                </c:pt>
                <c:pt idx="253">
                  <c:v>44095</c:v>
                </c:pt>
                <c:pt idx="254">
                  <c:v>44096</c:v>
                </c:pt>
                <c:pt idx="255">
                  <c:v>44097</c:v>
                </c:pt>
                <c:pt idx="256">
                  <c:v>44098</c:v>
                </c:pt>
                <c:pt idx="257">
                  <c:v>44099</c:v>
                </c:pt>
                <c:pt idx="258">
                  <c:v>44100</c:v>
                </c:pt>
                <c:pt idx="259">
                  <c:v>44101</c:v>
                </c:pt>
                <c:pt idx="260">
                  <c:v>44102</c:v>
                </c:pt>
                <c:pt idx="261">
                  <c:v>44103</c:v>
                </c:pt>
                <c:pt idx="262">
                  <c:v>44104</c:v>
                </c:pt>
                <c:pt idx="263">
                  <c:v>44105</c:v>
                </c:pt>
                <c:pt idx="264">
                  <c:v>44106</c:v>
                </c:pt>
                <c:pt idx="265">
                  <c:v>44107</c:v>
                </c:pt>
                <c:pt idx="266">
                  <c:v>44108</c:v>
                </c:pt>
                <c:pt idx="267">
                  <c:v>44109</c:v>
                </c:pt>
                <c:pt idx="268">
                  <c:v>44110</c:v>
                </c:pt>
                <c:pt idx="269">
                  <c:v>44111</c:v>
                </c:pt>
                <c:pt idx="270">
                  <c:v>44112</c:v>
                </c:pt>
                <c:pt idx="271">
                  <c:v>44113</c:v>
                </c:pt>
                <c:pt idx="272">
                  <c:v>44114</c:v>
                </c:pt>
                <c:pt idx="273">
                  <c:v>44115</c:v>
                </c:pt>
                <c:pt idx="274">
                  <c:v>44116</c:v>
                </c:pt>
                <c:pt idx="275">
                  <c:v>44117</c:v>
                </c:pt>
                <c:pt idx="276">
                  <c:v>44118</c:v>
                </c:pt>
                <c:pt idx="277">
                  <c:v>44119</c:v>
                </c:pt>
                <c:pt idx="278">
                  <c:v>44120</c:v>
                </c:pt>
                <c:pt idx="279">
                  <c:v>44121</c:v>
                </c:pt>
                <c:pt idx="280">
                  <c:v>44122</c:v>
                </c:pt>
                <c:pt idx="281">
                  <c:v>44123</c:v>
                </c:pt>
                <c:pt idx="282">
                  <c:v>44124</c:v>
                </c:pt>
                <c:pt idx="283">
                  <c:v>44125</c:v>
                </c:pt>
                <c:pt idx="284">
                  <c:v>44126</c:v>
                </c:pt>
                <c:pt idx="285">
                  <c:v>44127</c:v>
                </c:pt>
                <c:pt idx="286">
                  <c:v>44128</c:v>
                </c:pt>
                <c:pt idx="287">
                  <c:v>44129</c:v>
                </c:pt>
                <c:pt idx="288">
                  <c:v>44130</c:v>
                </c:pt>
                <c:pt idx="289">
                  <c:v>44131</c:v>
                </c:pt>
                <c:pt idx="290">
                  <c:v>44132</c:v>
                </c:pt>
                <c:pt idx="291">
                  <c:v>44133</c:v>
                </c:pt>
                <c:pt idx="292">
                  <c:v>44134</c:v>
                </c:pt>
                <c:pt idx="293">
                  <c:v>44135</c:v>
                </c:pt>
                <c:pt idx="294">
                  <c:v>44136</c:v>
                </c:pt>
                <c:pt idx="295">
                  <c:v>44137</c:v>
                </c:pt>
                <c:pt idx="296">
                  <c:v>44138</c:v>
                </c:pt>
                <c:pt idx="297">
                  <c:v>44139</c:v>
                </c:pt>
                <c:pt idx="298">
                  <c:v>44140</c:v>
                </c:pt>
                <c:pt idx="299">
                  <c:v>44141</c:v>
                </c:pt>
                <c:pt idx="300">
                  <c:v>44142</c:v>
                </c:pt>
                <c:pt idx="301">
                  <c:v>44143</c:v>
                </c:pt>
                <c:pt idx="302">
                  <c:v>44144</c:v>
                </c:pt>
                <c:pt idx="303">
                  <c:v>44145</c:v>
                </c:pt>
                <c:pt idx="304">
                  <c:v>44146</c:v>
                </c:pt>
                <c:pt idx="305">
                  <c:v>44147</c:v>
                </c:pt>
                <c:pt idx="306">
                  <c:v>44148</c:v>
                </c:pt>
                <c:pt idx="307">
                  <c:v>44149</c:v>
                </c:pt>
                <c:pt idx="308">
                  <c:v>44150</c:v>
                </c:pt>
                <c:pt idx="309">
                  <c:v>44151</c:v>
                </c:pt>
                <c:pt idx="310">
                  <c:v>44152</c:v>
                </c:pt>
                <c:pt idx="311">
                  <c:v>44153</c:v>
                </c:pt>
                <c:pt idx="312">
                  <c:v>44154</c:v>
                </c:pt>
                <c:pt idx="313">
                  <c:v>44155</c:v>
                </c:pt>
                <c:pt idx="314">
                  <c:v>44156</c:v>
                </c:pt>
                <c:pt idx="315">
                  <c:v>44157</c:v>
                </c:pt>
                <c:pt idx="316">
                  <c:v>44158</c:v>
                </c:pt>
                <c:pt idx="317">
                  <c:v>44159</c:v>
                </c:pt>
                <c:pt idx="318">
                  <c:v>44160</c:v>
                </c:pt>
                <c:pt idx="319">
                  <c:v>44161</c:v>
                </c:pt>
                <c:pt idx="320">
                  <c:v>44162</c:v>
                </c:pt>
                <c:pt idx="321">
                  <c:v>44163</c:v>
                </c:pt>
                <c:pt idx="322">
                  <c:v>44164</c:v>
                </c:pt>
                <c:pt idx="323">
                  <c:v>44165</c:v>
                </c:pt>
                <c:pt idx="324">
                  <c:v>44166</c:v>
                </c:pt>
                <c:pt idx="325">
                  <c:v>44167</c:v>
                </c:pt>
                <c:pt idx="326">
                  <c:v>44168</c:v>
                </c:pt>
                <c:pt idx="327">
                  <c:v>44169</c:v>
                </c:pt>
                <c:pt idx="328">
                  <c:v>44170</c:v>
                </c:pt>
                <c:pt idx="329">
                  <c:v>44171</c:v>
                </c:pt>
                <c:pt idx="330">
                  <c:v>44172</c:v>
                </c:pt>
                <c:pt idx="331">
                  <c:v>44173</c:v>
                </c:pt>
                <c:pt idx="332">
                  <c:v>44174</c:v>
                </c:pt>
                <c:pt idx="333">
                  <c:v>44175</c:v>
                </c:pt>
                <c:pt idx="334">
                  <c:v>44176</c:v>
                </c:pt>
                <c:pt idx="335">
                  <c:v>44177</c:v>
                </c:pt>
                <c:pt idx="336">
                  <c:v>44178</c:v>
                </c:pt>
                <c:pt idx="337">
                  <c:v>44179</c:v>
                </c:pt>
                <c:pt idx="338">
                  <c:v>44180</c:v>
                </c:pt>
                <c:pt idx="339">
                  <c:v>44181</c:v>
                </c:pt>
                <c:pt idx="340">
                  <c:v>44182</c:v>
                </c:pt>
                <c:pt idx="341">
                  <c:v>44183</c:v>
                </c:pt>
                <c:pt idx="342">
                  <c:v>44184</c:v>
                </c:pt>
                <c:pt idx="343">
                  <c:v>44185</c:v>
                </c:pt>
                <c:pt idx="344">
                  <c:v>44186</c:v>
                </c:pt>
                <c:pt idx="345">
                  <c:v>44187</c:v>
                </c:pt>
                <c:pt idx="346">
                  <c:v>44188</c:v>
                </c:pt>
                <c:pt idx="347">
                  <c:v>44189</c:v>
                </c:pt>
                <c:pt idx="348">
                  <c:v>44190</c:v>
                </c:pt>
                <c:pt idx="349">
                  <c:v>44191</c:v>
                </c:pt>
                <c:pt idx="350">
                  <c:v>44192</c:v>
                </c:pt>
                <c:pt idx="351">
                  <c:v>44193</c:v>
                </c:pt>
                <c:pt idx="352">
                  <c:v>44194</c:v>
                </c:pt>
                <c:pt idx="353">
                  <c:v>44195</c:v>
                </c:pt>
                <c:pt idx="354">
                  <c:v>44196</c:v>
                </c:pt>
                <c:pt idx="355">
                  <c:v>44197</c:v>
                </c:pt>
                <c:pt idx="356">
                  <c:v>44198</c:v>
                </c:pt>
                <c:pt idx="357">
                  <c:v>44199</c:v>
                </c:pt>
                <c:pt idx="358">
                  <c:v>44200</c:v>
                </c:pt>
                <c:pt idx="359">
                  <c:v>44201</c:v>
                </c:pt>
                <c:pt idx="360">
                  <c:v>44202</c:v>
                </c:pt>
                <c:pt idx="361">
                  <c:v>44203</c:v>
                </c:pt>
                <c:pt idx="362">
                  <c:v>44204</c:v>
                </c:pt>
                <c:pt idx="363">
                  <c:v>44205</c:v>
                </c:pt>
                <c:pt idx="364">
                  <c:v>44206</c:v>
                </c:pt>
                <c:pt idx="365">
                  <c:v>44207</c:v>
                </c:pt>
                <c:pt idx="366">
                  <c:v>44208</c:v>
                </c:pt>
                <c:pt idx="367">
                  <c:v>44209</c:v>
                </c:pt>
                <c:pt idx="368">
                  <c:v>44210</c:v>
                </c:pt>
                <c:pt idx="369">
                  <c:v>44211</c:v>
                </c:pt>
                <c:pt idx="370">
                  <c:v>44212</c:v>
                </c:pt>
                <c:pt idx="371">
                  <c:v>44213</c:v>
                </c:pt>
                <c:pt idx="372">
                  <c:v>44214</c:v>
                </c:pt>
                <c:pt idx="373">
                  <c:v>44215</c:v>
                </c:pt>
                <c:pt idx="374">
                  <c:v>44216</c:v>
                </c:pt>
                <c:pt idx="375">
                  <c:v>44217</c:v>
                </c:pt>
                <c:pt idx="376">
                  <c:v>44218</c:v>
                </c:pt>
                <c:pt idx="377">
                  <c:v>44219</c:v>
                </c:pt>
                <c:pt idx="378">
                  <c:v>44220</c:v>
                </c:pt>
                <c:pt idx="379">
                  <c:v>44221</c:v>
                </c:pt>
                <c:pt idx="380">
                  <c:v>44222</c:v>
                </c:pt>
                <c:pt idx="381">
                  <c:v>44223</c:v>
                </c:pt>
                <c:pt idx="382">
                  <c:v>44224</c:v>
                </c:pt>
                <c:pt idx="383">
                  <c:v>44225</c:v>
                </c:pt>
                <c:pt idx="384">
                  <c:v>44226</c:v>
                </c:pt>
                <c:pt idx="385">
                  <c:v>44227</c:v>
                </c:pt>
                <c:pt idx="386">
                  <c:v>44228</c:v>
                </c:pt>
                <c:pt idx="387">
                  <c:v>44229</c:v>
                </c:pt>
                <c:pt idx="388">
                  <c:v>44230</c:v>
                </c:pt>
                <c:pt idx="389">
                  <c:v>44231</c:v>
                </c:pt>
                <c:pt idx="390">
                  <c:v>44232</c:v>
                </c:pt>
                <c:pt idx="391">
                  <c:v>44233</c:v>
                </c:pt>
                <c:pt idx="392">
                  <c:v>44234</c:v>
                </c:pt>
                <c:pt idx="393">
                  <c:v>44235</c:v>
                </c:pt>
                <c:pt idx="394">
                  <c:v>44236</c:v>
                </c:pt>
                <c:pt idx="395">
                  <c:v>44237</c:v>
                </c:pt>
                <c:pt idx="396">
                  <c:v>44238</c:v>
                </c:pt>
                <c:pt idx="397">
                  <c:v>44239</c:v>
                </c:pt>
                <c:pt idx="398">
                  <c:v>44240</c:v>
                </c:pt>
                <c:pt idx="399">
                  <c:v>44241</c:v>
                </c:pt>
                <c:pt idx="400">
                  <c:v>44242</c:v>
                </c:pt>
                <c:pt idx="401">
                  <c:v>44243</c:v>
                </c:pt>
                <c:pt idx="402">
                  <c:v>44244</c:v>
                </c:pt>
                <c:pt idx="403">
                  <c:v>44245</c:v>
                </c:pt>
                <c:pt idx="404">
                  <c:v>44246</c:v>
                </c:pt>
                <c:pt idx="405">
                  <c:v>44247</c:v>
                </c:pt>
                <c:pt idx="406">
                  <c:v>44248</c:v>
                </c:pt>
                <c:pt idx="407">
                  <c:v>44249</c:v>
                </c:pt>
                <c:pt idx="408">
                  <c:v>44250</c:v>
                </c:pt>
                <c:pt idx="409">
                  <c:v>44251</c:v>
                </c:pt>
                <c:pt idx="410">
                  <c:v>44252</c:v>
                </c:pt>
                <c:pt idx="411">
                  <c:v>44253</c:v>
                </c:pt>
                <c:pt idx="412">
                  <c:v>44254</c:v>
                </c:pt>
                <c:pt idx="413">
                  <c:v>44255</c:v>
                </c:pt>
                <c:pt idx="414">
                  <c:v>44256</c:v>
                </c:pt>
                <c:pt idx="415">
                  <c:v>44257</c:v>
                </c:pt>
                <c:pt idx="416">
                  <c:v>44258</c:v>
                </c:pt>
                <c:pt idx="417">
                  <c:v>44259</c:v>
                </c:pt>
                <c:pt idx="418">
                  <c:v>44260</c:v>
                </c:pt>
                <c:pt idx="419">
                  <c:v>44261</c:v>
                </c:pt>
                <c:pt idx="420">
                  <c:v>44262</c:v>
                </c:pt>
                <c:pt idx="421">
                  <c:v>44263</c:v>
                </c:pt>
                <c:pt idx="422">
                  <c:v>44264</c:v>
                </c:pt>
                <c:pt idx="423">
                  <c:v>44265</c:v>
                </c:pt>
                <c:pt idx="424">
                  <c:v>44266</c:v>
                </c:pt>
                <c:pt idx="425">
                  <c:v>44267</c:v>
                </c:pt>
                <c:pt idx="426">
                  <c:v>44268</c:v>
                </c:pt>
                <c:pt idx="427">
                  <c:v>44269</c:v>
                </c:pt>
                <c:pt idx="428">
                  <c:v>44270</c:v>
                </c:pt>
                <c:pt idx="429">
                  <c:v>44271</c:v>
                </c:pt>
                <c:pt idx="430">
                  <c:v>44272</c:v>
                </c:pt>
                <c:pt idx="431">
                  <c:v>44273</c:v>
                </c:pt>
                <c:pt idx="432">
                  <c:v>44274</c:v>
                </c:pt>
                <c:pt idx="433">
                  <c:v>44275</c:v>
                </c:pt>
                <c:pt idx="434">
                  <c:v>44276</c:v>
                </c:pt>
                <c:pt idx="435">
                  <c:v>44277</c:v>
                </c:pt>
                <c:pt idx="436">
                  <c:v>44278</c:v>
                </c:pt>
                <c:pt idx="437">
                  <c:v>44279</c:v>
                </c:pt>
                <c:pt idx="438">
                  <c:v>44280</c:v>
                </c:pt>
                <c:pt idx="439">
                  <c:v>44281</c:v>
                </c:pt>
                <c:pt idx="440">
                  <c:v>44282</c:v>
                </c:pt>
                <c:pt idx="441">
                  <c:v>44283</c:v>
                </c:pt>
                <c:pt idx="442">
                  <c:v>44284</c:v>
                </c:pt>
                <c:pt idx="443">
                  <c:v>44285</c:v>
                </c:pt>
                <c:pt idx="444">
                  <c:v>44286</c:v>
                </c:pt>
                <c:pt idx="445">
                  <c:v>44287</c:v>
                </c:pt>
                <c:pt idx="446">
                  <c:v>44288</c:v>
                </c:pt>
                <c:pt idx="447">
                  <c:v>44289</c:v>
                </c:pt>
                <c:pt idx="448">
                  <c:v>44290</c:v>
                </c:pt>
                <c:pt idx="449">
                  <c:v>44291</c:v>
                </c:pt>
                <c:pt idx="450">
                  <c:v>44292</c:v>
                </c:pt>
                <c:pt idx="451">
                  <c:v>44293</c:v>
                </c:pt>
                <c:pt idx="452">
                  <c:v>44294</c:v>
                </c:pt>
                <c:pt idx="453">
                  <c:v>44295</c:v>
                </c:pt>
                <c:pt idx="454">
                  <c:v>44296</c:v>
                </c:pt>
                <c:pt idx="455">
                  <c:v>44297</c:v>
                </c:pt>
                <c:pt idx="456">
                  <c:v>44298</c:v>
                </c:pt>
                <c:pt idx="457">
                  <c:v>44299</c:v>
                </c:pt>
                <c:pt idx="458">
                  <c:v>44300</c:v>
                </c:pt>
                <c:pt idx="459">
                  <c:v>44301</c:v>
                </c:pt>
                <c:pt idx="460">
                  <c:v>44302</c:v>
                </c:pt>
                <c:pt idx="461">
                  <c:v>44303</c:v>
                </c:pt>
                <c:pt idx="462">
                  <c:v>44304</c:v>
                </c:pt>
                <c:pt idx="463">
                  <c:v>44305</c:v>
                </c:pt>
                <c:pt idx="464">
                  <c:v>44306</c:v>
                </c:pt>
                <c:pt idx="465">
                  <c:v>44307</c:v>
                </c:pt>
                <c:pt idx="466">
                  <c:v>44308</c:v>
                </c:pt>
                <c:pt idx="467">
                  <c:v>44309</c:v>
                </c:pt>
                <c:pt idx="468">
                  <c:v>44310</c:v>
                </c:pt>
                <c:pt idx="469">
                  <c:v>44311</c:v>
                </c:pt>
                <c:pt idx="470">
                  <c:v>44312</c:v>
                </c:pt>
                <c:pt idx="471">
                  <c:v>44313</c:v>
                </c:pt>
                <c:pt idx="472">
                  <c:v>44314</c:v>
                </c:pt>
                <c:pt idx="473">
                  <c:v>44315</c:v>
                </c:pt>
                <c:pt idx="474">
                  <c:v>44316</c:v>
                </c:pt>
                <c:pt idx="475">
                  <c:v>44317</c:v>
                </c:pt>
                <c:pt idx="476">
                  <c:v>44318</c:v>
                </c:pt>
                <c:pt idx="477">
                  <c:v>44319</c:v>
                </c:pt>
                <c:pt idx="478">
                  <c:v>44320</c:v>
                </c:pt>
                <c:pt idx="479">
                  <c:v>44321</c:v>
                </c:pt>
                <c:pt idx="480">
                  <c:v>44322</c:v>
                </c:pt>
                <c:pt idx="481">
                  <c:v>44323</c:v>
                </c:pt>
                <c:pt idx="482">
                  <c:v>44324</c:v>
                </c:pt>
                <c:pt idx="483">
                  <c:v>44325</c:v>
                </c:pt>
                <c:pt idx="484">
                  <c:v>44326</c:v>
                </c:pt>
                <c:pt idx="485">
                  <c:v>44327</c:v>
                </c:pt>
                <c:pt idx="486">
                  <c:v>44328</c:v>
                </c:pt>
                <c:pt idx="487">
                  <c:v>44329</c:v>
                </c:pt>
                <c:pt idx="488">
                  <c:v>44330</c:v>
                </c:pt>
                <c:pt idx="489">
                  <c:v>44331</c:v>
                </c:pt>
                <c:pt idx="490">
                  <c:v>44332</c:v>
                </c:pt>
                <c:pt idx="491">
                  <c:v>44333</c:v>
                </c:pt>
                <c:pt idx="492">
                  <c:v>44334</c:v>
                </c:pt>
                <c:pt idx="493">
                  <c:v>44335</c:v>
                </c:pt>
                <c:pt idx="494">
                  <c:v>44336</c:v>
                </c:pt>
                <c:pt idx="495">
                  <c:v>44337</c:v>
                </c:pt>
                <c:pt idx="496">
                  <c:v>44338</c:v>
                </c:pt>
                <c:pt idx="497">
                  <c:v>44339</c:v>
                </c:pt>
                <c:pt idx="498">
                  <c:v>44340</c:v>
                </c:pt>
                <c:pt idx="499">
                  <c:v>44341</c:v>
                </c:pt>
                <c:pt idx="500">
                  <c:v>44342</c:v>
                </c:pt>
                <c:pt idx="501">
                  <c:v>44343</c:v>
                </c:pt>
                <c:pt idx="502">
                  <c:v>44344</c:v>
                </c:pt>
                <c:pt idx="503">
                  <c:v>44345</c:v>
                </c:pt>
                <c:pt idx="504">
                  <c:v>44346</c:v>
                </c:pt>
                <c:pt idx="505">
                  <c:v>44347</c:v>
                </c:pt>
                <c:pt idx="506">
                  <c:v>44348</c:v>
                </c:pt>
                <c:pt idx="507">
                  <c:v>44349</c:v>
                </c:pt>
                <c:pt idx="508">
                  <c:v>44350</c:v>
                </c:pt>
                <c:pt idx="509">
                  <c:v>44351</c:v>
                </c:pt>
                <c:pt idx="510">
                  <c:v>44352</c:v>
                </c:pt>
                <c:pt idx="511">
                  <c:v>44353</c:v>
                </c:pt>
                <c:pt idx="512">
                  <c:v>44354</c:v>
                </c:pt>
                <c:pt idx="513">
                  <c:v>44355</c:v>
                </c:pt>
                <c:pt idx="514">
                  <c:v>44356</c:v>
                </c:pt>
                <c:pt idx="515">
                  <c:v>44357</c:v>
                </c:pt>
                <c:pt idx="516">
                  <c:v>44358</c:v>
                </c:pt>
                <c:pt idx="517">
                  <c:v>44359</c:v>
                </c:pt>
                <c:pt idx="518">
                  <c:v>44360</c:v>
                </c:pt>
                <c:pt idx="519">
                  <c:v>44361</c:v>
                </c:pt>
                <c:pt idx="520">
                  <c:v>44362</c:v>
                </c:pt>
                <c:pt idx="521">
                  <c:v>44363</c:v>
                </c:pt>
                <c:pt idx="522">
                  <c:v>44364</c:v>
                </c:pt>
                <c:pt idx="523">
                  <c:v>44365</c:v>
                </c:pt>
                <c:pt idx="524">
                  <c:v>44366</c:v>
                </c:pt>
                <c:pt idx="525">
                  <c:v>44367</c:v>
                </c:pt>
                <c:pt idx="526">
                  <c:v>44368</c:v>
                </c:pt>
                <c:pt idx="527">
                  <c:v>44369</c:v>
                </c:pt>
                <c:pt idx="528">
                  <c:v>44370</c:v>
                </c:pt>
                <c:pt idx="529">
                  <c:v>44371</c:v>
                </c:pt>
                <c:pt idx="530">
                  <c:v>44372</c:v>
                </c:pt>
                <c:pt idx="531">
                  <c:v>44373</c:v>
                </c:pt>
                <c:pt idx="532">
                  <c:v>44374</c:v>
                </c:pt>
                <c:pt idx="533">
                  <c:v>44375</c:v>
                </c:pt>
                <c:pt idx="534">
                  <c:v>44376</c:v>
                </c:pt>
                <c:pt idx="535">
                  <c:v>44377</c:v>
                </c:pt>
                <c:pt idx="536">
                  <c:v>44378</c:v>
                </c:pt>
                <c:pt idx="537">
                  <c:v>44379</c:v>
                </c:pt>
                <c:pt idx="538">
                  <c:v>44380</c:v>
                </c:pt>
                <c:pt idx="539">
                  <c:v>44381</c:v>
                </c:pt>
                <c:pt idx="540">
                  <c:v>44382</c:v>
                </c:pt>
                <c:pt idx="541">
                  <c:v>44383</c:v>
                </c:pt>
                <c:pt idx="542">
                  <c:v>44384</c:v>
                </c:pt>
                <c:pt idx="543">
                  <c:v>44385</c:v>
                </c:pt>
                <c:pt idx="544">
                  <c:v>44386</c:v>
                </c:pt>
                <c:pt idx="545">
                  <c:v>44387</c:v>
                </c:pt>
                <c:pt idx="546">
                  <c:v>44388</c:v>
                </c:pt>
                <c:pt idx="547">
                  <c:v>44389</c:v>
                </c:pt>
                <c:pt idx="548">
                  <c:v>44390</c:v>
                </c:pt>
                <c:pt idx="549">
                  <c:v>44391</c:v>
                </c:pt>
                <c:pt idx="550">
                  <c:v>44392</c:v>
                </c:pt>
                <c:pt idx="551">
                  <c:v>44393</c:v>
                </c:pt>
                <c:pt idx="552">
                  <c:v>44394</c:v>
                </c:pt>
                <c:pt idx="553">
                  <c:v>44395</c:v>
                </c:pt>
                <c:pt idx="554">
                  <c:v>44396</c:v>
                </c:pt>
                <c:pt idx="555">
                  <c:v>44397</c:v>
                </c:pt>
                <c:pt idx="556">
                  <c:v>44398</c:v>
                </c:pt>
                <c:pt idx="557">
                  <c:v>44399</c:v>
                </c:pt>
                <c:pt idx="558">
                  <c:v>44400</c:v>
                </c:pt>
                <c:pt idx="559">
                  <c:v>44401</c:v>
                </c:pt>
                <c:pt idx="560">
                  <c:v>44402</c:v>
                </c:pt>
                <c:pt idx="561">
                  <c:v>44403</c:v>
                </c:pt>
                <c:pt idx="562">
                  <c:v>44404</c:v>
                </c:pt>
                <c:pt idx="563">
                  <c:v>44405</c:v>
                </c:pt>
                <c:pt idx="564">
                  <c:v>44406</c:v>
                </c:pt>
                <c:pt idx="565">
                  <c:v>44407</c:v>
                </c:pt>
                <c:pt idx="566">
                  <c:v>44408</c:v>
                </c:pt>
                <c:pt idx="567">
                  <c:v>44409</c:v>
                </c:pt>
                <c:pt idx="568">
                  <c:v>44410</c:v>
                </c:pt>
                <c:pt idx="569">
                  <c:v>44411</c:v>
                </c:pt>
                <c:pt idx="570">
                  <c:v>44412</c:v>
                </c:pt>
                <c:pt idx="571">
                  <c:v>44413</c:v>
                </c:pt>
                <c:pt idx="572">
                  <c:v>44414</c:v>
                </c:pt>
                <c:pt idx="573">
                  <c:v>44415</c:v>
                </c:pt>
                <c:pt idx="574">
                  <c:v>44416</c:v>
                </c:pt>
                <c:pt idx="575">
                  <c:v>44417</c:v>
                </c:pt>
                <c:pt idx="576">
                  <c:v>44418</c:v>
                </c:pt>
                <c:pt idx="577">
                  <c:v>44419</c:v>
                </c:pt>
                <c:pt idx="578">
                  <c:v>44420</c:v>
                </c:pt>
                <c:pt idx="579">
                  <c:v>44421</c:v>
                </c:pt>
                <c:pt idx="580">
                  <c:v>44422</c:v>
                </c:pt>
                <c:pt idx="581">
                  <c:v>44423</c:v>
                </c:pt>
                <c:pt idx="582">
                  <c:v>44424</c:v>
                </c:pt>
                <c:pt idx="583">
                  <c:v>44425</c:v>
                </c:pt>
                <c:pt idx="584">
                  <c:v>44426</c:v>
                </c:pt>
                <c:pt idx="585">
                  <c:v>44427</c:v>
                </c:pt>
                <c:pt idx="586">
                  <c:v>44428</c:v>
                </c:pt>
                <c:pt idx="587">
                  <c:v>44429</c:v>
                </c:pt>
                <c:pt idx="588">
                  <c:v>44430</c:v>
                </c:pt>
                <c:pt idx="589">
                  <c:v>44431</c:v>
                </c:pt>
                <c:pt idx="590">
                  <c:v>44432</c:v>
                </c:pt>
                <c:pt idx="591">
                  <c:v>44433</c:v>
                </c:pt>
                <c:pt idx="592">
                  <c:v>44434</c:v>
                </c:pt>
                <c:pt idx="593">
                  <c:v>44435</c:v>
                </c:pt>
                <c:pt idx="594">
                  <c:v>44436</c:v>
                </c:pt>
                <c:pt idx="595">
                  <c:v>44437</c:v>
                </c:pt>
                <c:pt idx="596">
                  <c:v>44438</c:v>
                </c:pt>
                <c:pt idx="597">
                  <c:v>44439</c:v>
                </c:pt>
                <c:pt idx="598">
                  <c:v>44440</c:v>
                </c:pt>
                <c:pt idx="599">
                  <c:v>44441</c:v>
                </c:pt>
                <c:pt idx="600">
                  <c:v>44442</c:v>
                </c:pt>
                <c:pt idx="601">
                  <c:v>44443</c:v>
                </c:pt>
                <c:pt idx="602">
                  <c:v>44444</c:v>
                </c:pt>
                <c:pt idx="603">
                  <c:v>44445</c:v>
                </c:pt>
                <c:pt idx="604">
                  <c:v>44446</c:v>
                </c:pt>
                <c:pt idx="605">
                  <c:v>44447</c:v>
                </c:pt>
                <c:pt idx="606">
                  <c:v>44448</c:v>
                </c:pt>
                <c:pt idx="607">
                  <c:v>44449</c:v>
                </c:pt>
                <c:pt idx="608">
                  <c:v>44450</c:v>
                </c:pt>
                <c:pt idx="609">
                  <c:v>44451</c:v>
                </c:pt>
                <c:pt idx="610">
                  <c:v>44452</c:v>
                </c:pt>
                <c:pt idx="611">
                  <c:v>44453</c:v>
                </c:pt>
                <c:pt idx="612">
                  <c:v>44454</c:v>
                </c:pt>
                <c:pt idx="613">
                  <c:v>44455</c:v>
                </c:pt>
                <c:pt idx="614">
                  <c:v>44456</c:v>
                </c:pt>
                <c:pt idx="615">
                  <c:v>44457</c:v>
                </c:pt>
                <c:pt idx="616">
                  <c:v>44458</c:v>
                </c:pt>
                <c:pt idx="617">
                  <c:v>44459</c:v>
                </c:pt>
                <c:pt idx="618">
                  <c:v>44460</c:v>
                </c:pt>
                <c:pt idx="619">
                  <c:v>44461</c:v>
                </c:pt>
                <c:pt idx="620">
                  <c:v>44462</c:v>
                </c:pt>
                <c:pt idx="621">
                  <c:v>44463</c:v>
                </c:pt>
                <c:pt idx="622">
                  <c:v>44464</c:v>
                </c:pt>
                <c:pt idx="623">
                  <c:v>44465</c:v>
                </c:pt>
                <c:pt idx="624">
                  <c:v>44466</c:v>
                </c:pt>
                <c:pt idx="625">
                  <c:v>44467</c:v>
                </c:pt>
                <c:pt idx="626">
                  <c:v>44468</c:v>
                </c:pt>
                <c:pt idx="627">
                  <c:v>44469</c:v>
                </c:pt>
                <c:pt idx="628">
                  <c:v>44470</c:v>
                </c:pt>
                <c:pt idx="629">
                  <c:v>44471</c:v>
                </c:pt>
                <c:pt idx="630">
                  <c:v>44472</c:v>
                </c:pt>
                <c:pt idx="631">
                  <c:v>44473</c:v>
                </c:pt>
                <c:pt idx="632">
                  <c:v>44474</c:v>
                </c:pt>
                <c:pt idx="633">
                  <c:v>44475</c:v>
                </c:pt>
                <c:pt idx="634">
                  <c:v>44476</c:v>
                </c:pt>
                <c:pt idx="635">
                  <c:v>44477</c:v>
                </c:pt>
                <c:pt idx="636">
                  <c:v>44478</c:v>
                </c:pt>
                <c:pt idx="637">
                  <c:v>44479</c:v>
                </c:pt>
                <c:pt idx="638">
                  <c:v>44480</c:v>
                </c:pt>
                <c:pt idx="639">
                  <c:v>44481</c:v>
                </c:pt>
                <c:pt idx="640">
                  <c:v>44482</c:v>
                </c:pt>
                <c:pt idx="641">
                  <c:v>44483</c:v>
                </c:pt>
                <c:pt idx="642">
                  <c:v>44484</c:v>
                </c:pt>
                <c:pt idx="643">
                  <c:v>44485</c:v>
                </c:pt>
                <c:pt idx="644">
                  <c:v>44486</c:v>
                </c:pt>
                <c:pt idx="645">
                  <c:v>44487</c:v>
                </c:pt>
                <c:pt idx="646">
                  <c:v>44488</c:v>
                </c:pt>
                <c:pt idx="647">
                  <c:v>44489</c:v>
                </c:pt>
                <c:pt idx="648">
                  <c:v>44490</c:v>
                </c:pt>
                <c:pt idx="649">
                  <c:v>44491</c:v>
                </c:pt>
                <c:pt idx="650">
                  <c:v>44492</c:v>
                </c:pt>
                <c:pt idx="651">
                  <c:v>44493</c:v>
                </c:pt>
                <c:pt idx="652">
                  <c:v>44494</c:v>
                </c:pt>
                <c:pt idx="653">
                  <c:v>44495</c:v>
                </c:pt>
                <c:pt idx="654">
                  <c:v>44496</c:v>
                </c:pt>
                <c:pt idx="655">
                  <c:v>44497</c:v>
                </c:pt>
                <c:pt idx="656">
                  <c:v>44498</c:v>
                </c:pt>
                <c:pt idx="657">
                  <c:v>44499</c:v>
                </c:pt>
                <c:pt idx="658">
                  <c:v>44500</c:v>
                </c:pt>
                <c:pt idx="659">
                  <c:v>44501</c:v>
                </c:pt>
                <c:pt idx="660">
                  <c:v>44502</c:v>
                </c:pt>
                <c:pt idx="661">
                  <c:v>44503</c:v>
                </c:pt>
                <c:pt idx="662">
                  <c:v>44504</c:v>
                </c:pt>
                <c:pt idx="663">
                  <c:v>44505</c:v>
                </c:pt>
                <c:pt idx="664">
                  <c:v>44506</c:v>
                </c:pt>
                <c:pt idx="665">
                  <c:v>44507</c:v>
                </c:pt>
                <c:pt idx="666">
                  <c:v>44508</c:v>
                </c:pt>
                <c:pt idx="667">
                  <c:v>44509</c:v>
                </c:pt>
                <c:pt idx="668">
                  <c:v>44510</c:v>
                </c:pt>
                <c:pt idx="669">
                  <c:v>44511</c:v>
                </c:pt>
                <c:pt idx="670">
                  <c:v>44512</c:v>
                </c:pt>
                <c:pt idx="671">
                  <c:v>44513</c:v>
                </c:pt>
                <c:pt idx="672">
                  <c:v>44514</c:v>
                </c:pt>
                <c:pt idx="673">
                  <c:v>44515</c:v>
                </c:pt>
                <c:pt idx="674">
                  <c:v>44516</c:v>
                </c:pt>
                <c:pt idx="675">
                  <c:v>44517</c:v>
                </c:pt>
                <c:pt idx="676">
                  <c:v>44518</c:v>
                </c:pt>
                <c:pt idx="677">
                  <c:v>44519</c:v>
                </c:pt>
                <c:pt idx="678">
                  <c:v>44520</c:v>
                </c:pt>
                <c:pt idx="679">
                  <c:v>44521</c:v>
                </c:pt>
                <c:pt idx="680">
                  <c:v>44522</c:v>
                </c:pt>
                <c:pt idx="681">
                  <c:v>44523</c:v>
                </c:pt>
                <c:pt idx="682">
                  <c:v>44524</c:v>
                </c:pt>
                <c:pt idx="683">
                  <c:v>44525</c:v>
                </c:pt>
                <c:pt idx="684">
                  <c:v>44526</c:v>
                </c:pt>
                <c:pt idx="685">
                  <c:v>44527</c:v>
                </c:pt>
                <c:pt idx="686">
                  <c:v>44528</c:v>
                </c:pt>
                <c:pt idx="687">
                  <c:v>44529</c:v>
                </c:pt>
                <c:pt idx="688">
                  <c:v>44530</c:v>
                </c:pt>
                <c:pt idx="689">
                  <c:v>44531</c:v>
                </c:pt>
                <c:pt idx="690">
                  <c:v>44532</c:v>
                </c:pt>
                <c:pt idx="691">
                  <c:v>44533</c:v>
                </c:pt>
                <c:pt idx="692">
                  <c:v>44534</c:v>
                </c:pt>
                <c:pt idx="693">
                  <c:v>44535</c:v>
                </c:pt>
                <c:pt idx="694">
                  <c:v>44536</c:v>
                </c:pt>
                <c:pt idx="695">
                  <c:v>44537</c:v>
                </c:pt>
                <c:pt idx="696">
                  <c:v>44538</c:v>
                </c:pt>
                <c:pt idx="697">
                  <c:v>44539</c:v>
                </c:pt>
                <c:pt idx="698">
                  <c:v>44540</c:v>
                </c:pt>
                <c:pt idx="699">
                  <c:v>44541</c:v>
                </c:pt>
                <c:pt idx="700">
                  <c:v>44542</c:v>
                </c:pt>
                <c:pt idx="701">
                  <c:v>44543</c:v>
                </c:pt>
                <c:pt idx="702">
                  <c:v>44544</c:v>
                </c:pt>
                <c:pt idx="703">
                  <c:v>44545</c:v>
                </c:pt>
                <c:pt idx="704">
                  <c:v>44546</c:v>
                </c:pt>
                <c:pt idx="705">
                  <c:v>44547</c:v>
                </c:pt>
                <c:pt idx="706">
                  <c:v>44548</c:v>
                </c:pt>
                <c:pt idx="707">
                  <c:v>44549</c:v>
                </c:pt>
                <c:pt idx="708">
                  <c:v>44550</c:v>
                </c:pt>
                <c:pt idx="709">
                  <c:v>44551</c:v>
                </c:pt>
                <c:pt idx="710">
                  <c:v>44552</c:v>
                </c:pt>
                <c:pt idx="711">
                  <c:v>44553</c:v>
                </c:pt>
                <c:pt idx="712">
                  <c:v>44554</c:v>
                </c:pt>
                <c:pt idx="713">
                  <c:v>44555</c:v>
                </c:pt>
                <c:pt idx="714">
                  <c:v>44556</c:v>
                </c:pt>
                <c:pt idx="715">
                  <c:v>44557</c:v>
                </c:pt>
                <c:pt idx="716">
                  <c:v>44558</c:v>
                </c:pt>
                <c:pt idx="717">
                  <c:v>44559</c:v>
                </c:pt>
                <c:pt idx="718">
                  <c:v>44560</c:v>
                </c:pt>
                <c:pt idx="719">
                  <c:v>44561</c:v>
                </c:pt>
                <c:pt idx="720">
                  <c:v>44562</c:v>
                </c:pt>
                <c:pt idx="721">
                  <c:v>44563</c:v>
                </c:pt>
                <c:pt idx="722">
                  <c:v>44564</c:v>
                </c:pt>
                <c:pt idx="723">
                  <c:v>44565</c:v>
                </c:pt>
                <c:pt idx="724">
                  <c:v>44566</c:v>
                </c:pt>
                <c:pt idx="725">
                  <c:v>44567</c:v>
                </c:pt>
                <c:pt idx="726">
                  <c:v>44568</c:v>
                </c:pt>
                <c:pt idx="727">
                  <c:v>44569</c:v>
                </c:pt>
                <c:pt idx="728">
                  <c:v>44570</c:v>
                </c:pt>
                <c:pt idx="729">
                  <c:v>44571</c:v>
                </c:pt>
                <c:pt idx="730">
                  <c:v>44572</c:v>
                </c:pt>
                <c:pt idx="731">
                  <c:v>44573</c:v>
                </c:pt>
                <c:pt idx="732">
                  <c:v>44574</c:v>
                </c:pt>
                <c:pt idx="733">
                  <c:v>44575</c:v>
                </c:pt>
                <c:pt idx="734">
                  <c:v>44576</c:v>
                </c:pt>
                <c:pt idx="735">
                  <c:v>44577</c:v>
                </c:pt>
                <c:pt idx="736">
                  <c:v>44578</c:v>
                </c:pt>
                <c:pt idx="737">
                  <c:v>44579</c:v>
                </c:pt>
                <c:pt idx="738">
                  <c:v>44580</c:v>
                </c:pt>
                <c:pt idx="739">
                  <c:v>44581</c:v>
                </c:pt>
                <c:pt idx="740">
                  <c:v>44582</c:v>
                </c:pt>
                <c:pt idx="741">
                  <c:v>44583</c:v>
                </c:pt>
                <c:pt idx="742">
                  <c:v>44584</c:v>
                </c:pt>
                <c:pt idx="743">
                  <c:v>44585</c:v>
                </c:pt>
                <c:pt idx="744">
                  <c:v>44586</c:v>
                </c:pt>
                <c:pt idx="745">
                  <c:v>44587</c:v>
                </c:pt>
                <c:pt idx="746">
                  <c:v>44588</c:v>
                </c:pt>
                <c:pt idx="747">
                  <c:v>44589</c:v>
                </c:pt>
                <c:pt idx="748">
                  <c:v>44590</c:v>
                </c:pt>
                <c:pt idx="749">
                  <c:v>44591</c:v>
                </c:pt>
                <c:pt idx="750">
                  <c:v>44592</c:v>
                </c:pt>
                <c:pt idx="751">
                  <c:v>44593</c:v>
                </c:pt>
                <c:pt idx="752">
                  <c:v>44594</c:v>
                </c:pt>
                <c:pt idx="753">
                  <c:v>44595</c:v>
                </c:pt>
                <c:pt idx="754">
                  <c:v>44596</c:v>
                </c:pt>
                <c:pt idx="755">
                  <c:v>44597</c:v>
                </c:pt>
                <c:pt idx="756">
                  <c:v>44598</c:v>
                </c:pt>
                <c:pt idx="757">
                  <c:v>44599</c:v>
                </c:pt>
                <c:pt idx="758">
                  <c:v>44600</c:v>
                </c:pt>
                <c:pt idx="759">
                  <c:v>44601</c:v>
                </c:pt>
                <c:pt idx="760">
                  <c:v>44602</c:v>
                </c:pt>
                <c:pt idx="761">
                  <c:v>44603</c:v>
                </c:pt>
                <c:pt idx="762">
                  <c:v>44604</c:v>
                </c:pt>
                <c:pt idx="763">
                  <c:v>44605</c:v>
                </c:pt>
                <c:pt idx="764">
                  <c:v>44606</c:v>
                </c:pt>
                <c:pt idx="765">
                  <c:v>44607</c:v>
                </c:pt>
                <c:pt idx="766">
                  <c:v>44608</c:v>
                </c:pt>
                <c:pt idx="767">
                  <c:v>44609</c:v>
                </c:pt>
                <c:pt idx="768">
                  <c:v>44610</c:v>
                </c:pt>
                <c:pt idx="769">
                  <c:v>44611</c:v>
                </c:pt>
                <c:pt idx="770">
                  <c:v>44612</c:v>
                </c:pt>
                <c:pt idx="771">
                  <c:v>44613</c:v>
                </c:pt>
                <c:pt idx="772">
                  <c:v>44614</c:v>
                </c:pt>
                <c:pt idx="773">
                  <c:v>44615</c:v>
                </c:pt>
                <c:pt idx="774">
                  <c:v>44616</c:v>
                </c:pt>
                <c:pt idx="775">
                  <c:v>44617</c:v>
                </c:pt>
                <c:pt idx="776">
                  <c:v>44618</c:v>
                </c:pt>
                <c:pt idx="777">
                  <c:v>44619</c:v>
                </c:pt>
                <c:pt idx="778">
                  <c:v>44620</c:v>
                </c:pt>
                <c:pt idx="779">
                  <c:v>44621</c:v>
                </c:pt>
                <c:pt idx="780">
                  <c:v>44622</c:v>
                </c:pt>
                <c:pt idx="781">
                  <c:v>44623</c:v>
                </c:pt>
                <c:pt idx="782">
                  <c:v>44624</c:v>
                </c:pt>
                <c:pt idx="783">
                  <c:v>44625</c:v>
                </c:pt>
                <c:pt idx="784">
                  <c:v>44626</c:v>
                </c:pt>
                <c:pt idx="785">
                  <c:v>44627</c:v>
                </c:pt>
                <c:pt idx="786">
                  <c:v>44628</c:v>
                </c:pt>
                <c:pt idx="787">
                  <c:v>44629</c:v>
                </c:pt>
                <c:pt idx="788">
                  <c:v>44630</c:v>
                </c:pt>
                <c:pt idx="789">
                  <c:v>44631</c:v>
                </c:pt>
                <c:pt idx="790">
                  <c:v>44632</c:v>
                </c:pt>
                <c:pt idx="791">
                  <c:v>44633</c:v>
                </c:pt>
                <c:pt idx="792">
                  <c:v>44634</c:v>
                </c:pt>
                <c:pt idx="793">
                  <c:v>44635</c:v>
                </c:pt>
                <c:pt idx="794">
                  <c:v>44636</c:v>
                </c:pt>
                <c:pt idx="795">
                  <c:v>44637</c:v>
                </c:pt>
                <c:pt idx="796">
                  <c:v>44638</c:v>
                </c:pt>
                <c:pt idx="797">
                  <c:v>44639</c:v>
                </c:pt>
                <c:pt idx="798">
                  <c:v>44640</c:v>
                </c:pt>
                <c:pt idx="799">
                  <c:v>44641</c:v>
                </c:pt>
                <c:pt idx="800">
                  <c:v>44642</c:v>
                </c:pt>
                <c:pt idx="801">
                  <c:v>44643</c:v>
                </c:pt>
                <c:pt idx="802">
                  <c:v>44644</c:v>
                </c:pt>
                <c:pt idx="803">
                  <c:v>44645</c:v>
                </c:pt>
                <c:pt idx="804">
                  <c:v>44646</c:v>
                </c:pt>
                <c:pt idx="805">
                  <c:v>44647</c:v>
                </c:pt>
                <c:pt idx="806">
                  <c:v>44648</c:v>
                </c:pt>
                <c:pt idx="807">
                  <c:v>44649</c:v>
                </c:pt>
                <c:pt idx="808">
                  <c:v>44650</c:v>
                </c:pt>
                <c:pt idx="809">
                  <c:v>44651</c:v>
                </c:pt>
                <c:pt idx="810">
                  <c:v>44652</c:v>
                </c:pt>
                <c:pt idx="811">
                  <c:v>44653</c:v>
                </c:pt>
                <c:pt idx="812">
                  <c:v>44654</c:v>
                </c:pt>
                <c:pt idx="813">
                  <c:v>44655</c:v>
                </c:pt>
                <c:pt idx="814">
                  <c:v>44656</c:v>
                </c:pt>
                <c:pt idx="815">
                  <c:v>44657</c:v>
                </c:pt>
                <c:pt idx="816">
                  <c:v>44658</c:v>
                </c:pt>
                <c:pt idx="817">
                  <c:v>44659</c:v>
                </c:pt>
                <c:pt idx="818">
                  <c:v>44660</c:v>
                </c:pt>
                <c:pt idx="819">
                  <c:v>44661</c:v>
                </c:pt>
                <c:pt idx="820">
                  <c:v>44662</c:v>
                </c:pt>
                <c:pt idx="821">
                  <c:v>44663</c:v>
                </c:pt>
                <c:pt idx="822">
                  <c:v>44664</c:v>
                </c:pt>
                <c:pt idx="823">
                  <c:v>44665</c:v>
                </c:pt>
                <c:pt idx="824">
                  <c:v>44666</c:v>
                </c:pt>
                <c:pt idx="825">
                  <c:v>44667</c:v>
                </c:pt>
                <c:pt idx="826">
                  <c:v>44668</c:v>
                </c:pt>
                <c:pt idx="827">
                  <c:v>44669</c:v>
                </c:pt>
                <c:pt idx="828">
                  <c:v>44670</c:v>
                </c:pt>
                <c:pt idx="829">
                  <c:v>44671</c:v>
                </c:pt>
                <c:pt idx="830">
                  <c:v>44672</c:v>
                </c:pt>
                <c:pt idx="831">
                  <c:v>44673</c:v>
                </c:pt>
                <c:pt idx="832">
                  <c:v>44674</c:v>
                </c:pt>
                <c:pt idx="833">
                  <c:v>44675</c:v>
                </c:pt>
                <c:pt idx="834">
                  <c:v>44676</c:v>
                </c:pt>
                <c:pt idx="835">
                  <c:v>44677</c:v>
                </c:pt>
                <c:pt idx="836">
                  <c:v>44678</c:v>
                </c:pt>
                <c:pt idx="837">
                  <c:v>44679</c:v>
                </c:pt>
                <c:pt idx="838">
                  <c:v>44680</c:v>
                </c:pt>
                <c:pt idx="839">
                  <c:v>44681</c:v>
                </c:pt>
                <c:pt idx="840">
                  <c:v>44682</c:v>
                </c:pt>
                <c:pt idx="841">
                  <c:v>44683</c:v>
                </c:pt>
                <c:pt idx="842">
                  <c:v>44684</c:v>
                </c:pt>
                <c:pt idx="843">
                  <c:v>44685</c:v>
                </c:pt>
                <c:pt idx="844">
                  <c:v>44686</c:v>
                </c:pt>
                <c:pt idx="845">
                  <c:v>44687</c:v>
                </c:pt>
                <c:pt idx="846">
                  <c:v>44688</c:v>
                </c:pt>
                <c:pt idx="847">
                  <c:v>44689</c:v>
                </c:pt>
                <c:pt idx="848">
                  <c:v>44690</c:v>
                </c:pt>
                <c:pt idx="849">
                  <c:v>44691</c:v>
                </c:pt>
                <c:pt idx="850">
                  <c:v>44692</c:v>
                </c:pt>
                <c:pt idx="851">
                  <c:v>44693</c:v>
                </c:pt>
                <c:pt idx="852">
                  <c:v>44694</c:v>
                </c:pt>
                <c:pt idx="853">
                  <c:v>44695</c:v>
                </c:pt>
                <c:pt idx="854">
                  <c:v>44696</c:v>
                </c:pt>
                <c:pt idx="855">
                  <c:v>44697</c:v>
                </c:pt>
                <c:pt idx="856">
                  <c:v>44698</c:v>
                </c:pt>
                <c:pt idx="857">
                  <c:v>44699</c:v>
                </c:pt>
                <c:pt idx="858">
                  <c:v>44700</c:v>
                </c:pt>
                <c:pt idx="859">
                  <c:v>44701</c:v>
                </c:pt>
                <c:pt idx="860">
                  <c:v>44702</c:v>
                </c:pt>
                <c:pt idx="861">
                  <c:v>44703</c:v>
                </c:pt>
                <c:pt idx="862">
                  <c:v>44704</c:v>
                </c:pt>
                <c:pt idx="863">
                  <c:v>44705</c:v>
                </c:pt>
                <c:pt idx="864">
                  <c:v>44706</c:v>
                </c:pt>
                <c:pt idx="865">
                  <c:v>44707</c:v>
                </c:pt>
                <c:pt idx="866">
                  <c:v>44708</c:v>
                </c:pt>
                <c:pt idx="867">
                  <c:v>44709</c:v>
                </c:pt>
                <c:pt idx="868">
                  <c:v>44710</c:v>
                </c:pt>
                <c:pt idx="869">
                  <c:v>44711</c:v>
                </c:pt>
                <c:pt idx="870">
                  <c:v>44712</c:v>
                </c:pt>
                <c:pt idx="871">
                  <c:v>44713</c:v>
                </c:pt>
                <c:pt idx="872">
                  <c:v>44714</c:v>
                </c:pt>
                <c:pt idx="873">
                  <c:v>44715</c:v>
                </c:pt>
                <c:pt idx="874">
                  <c:v>44716</c:v>
                </c:pt>
                <c:pt idx="875">
                  <c:v>44717</c:v>
                </c:pt>
                <c:pt idx="876">
                  <c:v>44718</c:v>
                </c:pt>
                <c:pt idx="877">
                  <c:v>44719</c:v>
                </c:pt>
                <c:pt idx="878">
                  <c:v>44720</c:v>
                </c:pt>
                <c:pt idx="879">
                  <c:v>44721</c:v>
                </c:pt>
                <c:pt idx="880">
                  <c:v>44722</c:v>
                </c:pt>
                <c:pt idx="881">
                  <c:v>44723</c:v>
                </c:pt>
                <c:pt idx="882">
                  <c:v>44724</c:v>
                </c:pt>
                <c:pt idx="883">
                  <c:v>44725</c:v>
                </c:pt>
                <c:pt idx="884">
                  <c:v>44726</c:v>
                </c:pt>
                <c:pt idx="885">
                  <c:v>44727</c:v>
                </c:pt>
                <c:pt idx="886">
                  <c:v>44728</c:v>
                </c:pt>
                <c:pt idx="887">
                  <c:v>44729</c:v>
                </c:pt>
                <c:pt idx="888">
                  <c:v>44730</c:v>
                </c:pt>
                <c:pt idx="889">
                  <c:v>44731</c:v>
                </c:pt>
                <c:pt idx="890">
                  <c:v>44732</c:v>
                </c:pt>
                <c:pt idx="891">
                  <c:v>44733</c:v>
                </c:pt>
                <c:pt idx="892">
                  <c:v>44734</c:v>
                </c:pt>
                <c:pt idx="893">
                  <c:v>44735</c:v>
                </c:pt>
                <c:pt idx="894">
                  <c:v>44736</c:v>
                </c:pt>
                <c:pt idx="895">
                  <c:v>44737</c:v>
                </c:pt>
                <c:pt idx="896">
                  <c:v>44738</c:v>
                </c:pt>
                <c:pt idx="897">
                  <c:v>44739</c:v>
                </c:pt>
                <c:pt idx="898">
                  <c:v>44740</c:v>
                </c:pt>
                <c:pt idx="899">
                  <c:v>44741</c:v>
                </c:pt>
                <c:pt idx="900">
                  <c:v>44742</c:v>
                </c:pt>
                <c:pt idx="901">
                  <c:v>44743</c:v>
                </c:pt>
                <c:pt idx="902">
                  <c:v>44744</c:v>
                </c:pt>
                <c:pt idx="903">
                  <c:v>44745</c:v>
                </c:pt>
                <c:pt idx="904">
                  <c:v>44746</c:v>
                </c:pt>
                <c:pt idx="905">
                  <c:v>44747</c:v>
                </c:pt>
                <c:pt idx="906">
                  <c:v>44748</c:v>
                </c:pt>
                <c:pt idx="907">
                  <c:v>44749</c:v>
                </c:pt>
                <c:pt idx="908">
                  <c:v>44750</c:v>
                </c:pt>
                <c:pt idx="909">
                  <c:v>44751</c:v>
                </c:pt>
                <c:pt idx="910">
                  <c:v>44752</c:v>
                </c:pt>
                <c:pt idx="911">
                  <c:v>44753</c:v>
                </c:pt>
                <c:pt idx="912">
                  <c:v>44754</c:v>
                </c:pt>
                <c:pt idx="913">
                  <c:v>44755</c:v>
                </c:pt>
                <c:pt idx="914">
                  <c:v>44756</c:v>
                </c:pt>
                <c:pt idx="915">
                  <c:v>44757</c:v>
                </c:pt>
                <c:pt idx="916">
                  <c:v>44758</c:v>
                </c:pt>
                <c:pt idx="917">
                  <c:v>44759</c:v>
                </c:pt>
                <c:pt idx="918">
                  <c:v>44760</c:v>
                </c:pt>
                <c:pt idx="919">
                  <c:v>44761</c:v>
                </c:pt>
                <c:pt idx="920">
                  <c:v>44762</c:v>
                </c:pt>
                <c:pt idx="921">
                  <c:v>44763</c:v>
                </c:pt>
                <c:pt idx="922">
                  <c:v>44764</c:v>
                </c:pt>
                <c:pt idx="923">
                  <c:v>44765</c:v>
                </c:pt>
                <c:pt idx="924">
                  <c:v>44766</c:v>
                </c:pt>
                <c:pt idx="925">
                  <c:v>44767</c:v>
                </c:pt>
                <c:pt idx="926">
                  <c:v>44768</c:v>
                </c:pt>
                <c:pt idx="927">
                  <c:v>44769</c:v>
                </c:pt>
                <c:pt idx="928">
                  <c:v>44770</c:v>
                </c:pt>
                <c:pt idx="929">
                  <c:v>44771</c:v>
                </c:pt>
                <c:pt idx="930">
                  <c:v>44772</c:v>
                </c:pt>
                <c:pt idx="931">
                  <c:v>44773</c:v>
                </c:pt>
                <c:pt idx="932">
                  <c:v>44774</c:v>
                </c:pt>
                <c:pt idx="933">
                  <c:v>44775</c:v>
                </c:pt>
                <c:pt idx="934">
                  <c:v>44776</c:v>
                </c:pt>
                <c:pt idx="935">
                  <c:v>44777</c:v>
                </c:pt>
                <c:pt idx="936">
                  <c:v>44778</c:v>
                </c:pt>
                <c:pt idx="937">
                  <c:v>44779</c:v>
                </c:pt>
                <c:pt idx="938">
                  <c:v>44780</c:v>
                </c:pt>
                <c:pt idx="939">
                  <c:v>44781</c:v>
                </c:pt>
                <c:pt idx="940">
                  <c:v>44782</c:v>
                </c:pt>
                <c:pt idx="941">
                  <c:v>44783</c:v>
                </c:pt>
                <c:pt idx="942">
                  <c:v>44784</c:v>
                </c:pt>
                <c:pt idx="943">
                  <c:v>44785</c:v>
                </c:pt>
                <c:pt idx="944">
                  <c:v>44786</c:v>
                </c:pt>
                <c:pt idx="945">
                  <c:v>44787</c:v>
                </c:pt>
                <c:pt idx="946">
                  <c:v>44788</c:v>
                </c:pt>
                <c:pt idx="947">
                  <c:v>44789</c:v>
                </c:pt>
                <c:pt idx="948">
                  <c:v>44790</c:v>
                </c:pt>
                <c:pt idx="949">
                  <c:v>44791</c:v>
                </c:pt>
                <c:pt idx="950">
                  <c:v>44792</c:v>
                </c:pt>
                <c:pt idx="951">
                  <c:v>44793</c:v>
                </c:pt>
                <c:pt idx="952">
                  <c:v>44794</c:v>
                </c:pt>
                <c:pt idx="953">
                  <c:v>44795</c:v>
                </c:pt>
                <c:pt idx="954">
                  <c:v>44796</c:v>
                </c:pt>
                <c:pt idx="955">
                  <c:v>44797</c:v>
                </c:pt>
                <c:pt idx="956">
                  <c:v>44798</c:v>
                </c:pt>
                <c:pt idx="957">
                  <c:v>44799</c:v>
                </c:pt>
                <c:pt idx="958">
                  <c:v>44800</c:v>
                </c:pt>
                <c:pt idx="959">
                  <c:v>44801</c:v>
                </c:pt>
                <c:pt idx="960">
                  <c:v>44802</c:v>
                </c:pt>
                <c:pt idx="961">
                  <c:v>44803</c:v>
                </c:pt>
                <c:pt idx="962">
                  <c:v>44804</c:v>
                </c:pt>
                <c:pt idx="963">
                  <c:v>44805</c:v>
                </c:pt>
                <c:pt idx="964">
                  <c:v>44806</c:v>
                </c:pt>
                <c:pt idx="965">
                  <c:v>44807</c:v>
                </c:pt>
                <c:pt idx="966">
                  <c:v>44808</c:v>
                </c:pt>
                <c:pt idx="967">
                  <c:v>44809</c:v>
                </c:pt>
                <c:pt idx="968">
                  <c:v>44810</c:v>
                </c:pt>
                <c:pt idx="969">
                  <c:v>44811</c:v>
                </c:pt>
                <c:pt idx="970">
                  <c:v>44812</c:v>
                </c:pt>
                <c:pt idx="971">
                  <c:v>44813</c:v>
                </c:pt>
                <c:pt idx="972">
                  <c:v>44814</c:v>
                </c:pt>
                <c:pt idx="973">
                  <c:v>44815</c:v>
                </c:pt>
                <c:pt idx="974">
                  <c:v>44816</c:v>
                </c:pt>
                <c:pt idx="975">
                  <c:v>44817</c:v>
                </c:pt>
                <c:pt idx="976">
                  <c:v>44818</c:v>
                </c:pt>
                <c:pt idx="977">
                  <c:v>44819</c:v>
                </c:pt>
                <c:pt idx="978">
                  <c:v>44820</c:v>
                </c:pt>
                <c:pt idx="979">
                  <c:v>44821</c:v>
                </c:pt>
                <c:pt idx="980">
                  <c:v>44822</c:v>
                </c:pt>
                <c:pt idx="981">
                  <c:v>44823</c:v>
                </c:pt>
                <c:pt idx="982">
                  <c:v>44824</c:v>
                </c:pt>
                <c:pt idx="983">
                  <c:v>44825</c:v>
                </c:pt>
                <c:pt idx="984">
                  <c:v>44826</c:v>
                </c:pt>
                <c:pt idx="985">
                  <c:v>44827</c:v>
                </c:pt>
                <c:pt idx="986">
                  <c:v>44828</c:v>
                </c:pt>
                <c:pt idx="987">
                  <c:v>44829</c:v>
                </c:pt>
                <c:pt idx="988">
                  <c:v>44830</c:v>
                </c:pt>
                <c:pt idx="989">
                  <c:v>44831</c:v>
                </c:pt>
                <c:pt idx="990">
                  <c:v>44832</c:v>
                </c:pt>
                <c:pt idx="991">
                  <c:v>44833</c:v>
                </c:pt>
                <c:pt idx="992">
                  <c:v>44834</c:v>
                </c:pt>
                <c:pt idx="993">
                  <c:v>44835</c:v>
                </c:pt>
                <c:pt idx="994">
                  <c:v>44836</c:v>
                </c:pt>
                <c:pt idx="995">
                  <c:v>44837</c:v>
                </c:pt>
                <c:pt idx="996">
                  <c:v>44838</c:v>
                </c:pt>
                <c:pt idx="997">
                  <c:v>44839</c:v>
                </c:pt>
                <c:pt idx="998">
                  <c:v>44840</c:v>
                </c:pt>
                <c:pt idx="999">
                  <c:v>44841</c:v>
                </c:pt>
                <c:pt idx="1000">
                  <c:v>44842</c:v>
                </c:pt>
                <c:pt idx="1001">
                  <c:v>44843</c:v>
                </c:pt>
                <c:pt idx="1002">
                  <c:v>44844</c:v>
                </c:pt>
                <c:pt idx="1003">
                  <c:v>44845</c:v>
                </c:pt>
                <c:pt idx="1004">
                  <c:v>44846</c:v>
                </c:pt>
                <c:pt idx="1005">
                  <c:v>44847</c:v>
                </c:pt>
                <c:pt idx="1006">
                  <c:v>44848</c:v>
                </c:pt>
                <c:pt idx="1007">
                  <c:v>44849</c:v>
                </c:pt>
                <c:pt idx="1008">
                  <c:v>44850</c:v>
                </c:pt>
                <c:pt idx="1009">
                  <c:v>44851</c:v>
                </c:pt>
                <c:pt idx="1010">
                  <c:v>44852</c:v>
                </c:pt>
                <c:pt idx="1011">
                  <c:v>44853</c:v>
                </c:pt>
                <c:pt idx="1012">
                  <c:v>44854</c:v>
                </c:pt>
                <c:pt idx="1013">
                  <c:v>44855</c:v>
                </c:pt>
                <c:pt idx="1014">
                  <c:v>44856</c:v>
                </c:pt>
                <c:pt idx="1015">
                  <c:v>44857</c:v>
                </c:pt>
                <c:pt idx="1016">
                  <c:v>44858</c:v>
                </c:pt>
                <c:pt idx="1017">
                  <c:v>44859</c:v>
                </c:pt>
                <c:pt idx="1018">
                  <c:v>44860</c:v>
                </c:pt>
                <c:pt idx="1019">
                  <c:v>44861</c:v>
                </c:pt>
                <c:pt idx="1020">
                  <c:v>44862</c:v>
                </c:pt>
                <c:pt idx="1021">
                  <c:v>44863</c:v>
                </c:pt>
                <c:pt idx="1022">
                  <c:v>44864</c:v>
                </c:pt>
                <c:pt idx="1023">
                  <c:v>44865</c:v>
                </c:pt>
                <c:pt idx="1024">
                  <c:v>44866</c:v>
                </c:pt>
                <c:pt idx="1025">
                  <c:v>44867</c:v>
                </c:pt>
                <c:pt idx="1026">
                  <c:v>44868</c:v>
                </c:pt>
                <c:pt idx="1027">
                  <c:v>44869</c:v>
                </c:pt>
                <c:pt idx="1028">
                  <c:v>44870</c:v>
                </c:pt>
                <c:pt idx="1029">
                  <c:v>44871</c:v>
                </c:pt>
                <c:pt idx="1030">
                  <c:v>44872</c:v>
                </c:pt>
                <c:pt idx="1031">
                  <c:v>44873</c:v>
                </c:pt>
                <c:pt idx="1032">
                  <c:v>44874</c:v>
                </c:pt>
                <c:pt idx="1033">
                  <c:v>44875</c:v>
                </c:pt>
                <c:pt idx="1034">
                  <c:v>44876</c:v>
                </c:pt>
                <c:pt idx="1035">
                  <c:v>44877</c:v>
                </c:pt>
                <c:pt idx="1036">
                  <c:v>44878</c:v>
                </c:pt>
                <c:pt idx="1037">
                  <c:v>44879</c:v>
                </c:pt>
                <c:pt idx="1038">
                  <c:v>44880</c:v>
                </c:pt>
                <c:pt idx="1039">
                  <c:v>44881</c:v>
                </c:pt>
                <c:pt idx="1040">
                  <c:v>44882</c:v>
                </c:pt>
                <c:pt idx="1041">
                  <c:v>44883</c:v>
                </c:pt>
                <c:pt idx="1042">
                  <c:v>44884</c:v>
                </c:pt>
                <c:pt idx="1043">
                  <c:v>44885</c:v>
                </c:pt>
                <c:pt idx="1044">
                  <c:v>44886</c:v>
                </c:pt>
                <c:pt idx="1045">
                  <c:v>44887</c:v>
                </c:pt>
                <c:pt idx="1046">
                  <c:v>44888</c:v>
                </c:pt>
                <c:pt idx="1047">
                  <c:v>44889</c:v>
                </c:pt>
                <c:pt idx="1048">
                  <c:v>44890</c:v>
                </c:pt>
                <c:pt idx="1049">
                  <c:v>44891</c:v>
                </c:pt>
                <c:pt idx="1050">
                  <c:v>44892</c:v>
                </c:pt>
                <c:pt idx="1051">
                  <c:v>44893</c:v>
                </c:pt>
                <c:pt idx="1052">
                  <c:v>44894</c:v>
                </c:pt>
                <c:pt idx="1053">
                  <c:v>44895</c:v>
                </c:pt>
                <c:pt idx="1054">
                  <c:v>44896</c:v>
                </c:pt>
                <c:pt idx="1055">
                  <c:v>44897</c:v>
                </c:pt>
                <c:pt idx="1056">
                  <c:v>44898</c:v>
                </c:pt>
                <c:pt idx="1057">
                  <c:v>44899</c:v>
                </c:pt>
                <c:pt idx="1058">
                  <c:v>44900</c:v>
                </c:pt>
                <c:pt idx="1059">
                  <c:v>44901</c:v>
                </c:pt>
                <c:pt idx="1060">
                  <c:v>44902</c:v>
                </c:pt>
                <c:pt idx="1061">
                  <c:v>44903</c:v>
                </c:pt>
                <c:pt idx="1062">
                  <c:v>44904</c:v>
                </c:pt>
                <c:pt idx="1063">
                  <c:v>44905</c:v>
                </c:pt>
                <c:pt idx="1064">
                  <c:v>44906</c:v>
                </c:pt>
                <c:pt idx="1065">
                  <c:v>44907</c:v>
                </c:pt>
                <c:pt idx="1066">
                  <c:v>44908</c:v>
                </c:pt>
                <c:pt idx="1067">
                  <c:v>44909</c:v>
                </c:pt>
                <c:pt idx="1068">
                  <c:v>44910</c:v>
                </c:pt>
                <c:pt idx="1069">
                  <c:v>44911</c:v>
                </c:pt>
                <c:pt idx="1070">
                  <c:v>44912</c:v>
                </c:pt>
                <c:pt idx="1071">
                  <c:v>44913</c:v>
                </c:pt>
                <c:pt idx="1072">
                  <c:v>44914</c:v>
                </c:pt>
                <c:pt idx="1073">
                  <c:v>44915</c:v>
                </c:pt>
                <c:pt idx="1074">
                  <c:v>44916</c:v>
                </c:pt>
                <c:pt idx="1075">
                  <c:v>44917</c:v>
                </c:pt>
                <c:pt idx="1076">
                  <c:v>44918</c:v>
                </c:pt>
                <c:pt idx="1077">
                  <c:v>44919</c:v>
                </c:pt>
                <c:pt idx="1078">
                  <c:v>44920</c:v>
                </c:pt>
                <c:pt idx="1079">
                  <c:v>44921</c:v>
                </c:pt>
                <c:pt idx="1080">
                  <c:v>44922</c:v>
                </c:pt>
                <c:pt idx="1081">
                  <c:v>44923</c:v>
                </c:pt>
                <c:pt idx="1082">
                  <c:v>44924</c:v>
                </c:pt>
                <c:pt idx="1083">
                  <c:v>44925</c:v>
                </c:pt>
                <c:pt idx="1084">
                  <c:v>44926</c:v>
                </c:pt>
                <c:pt idx="1085">
                  <c:v>44927</c:v>
                </c:pt>
                <c:pt idx="1086">
                  <c:v>44928</c:v>
                </c:pt>
                <c:pt idx="1087">
                  <c:v>44929</c:v>
                </c:pt>
                <c:pt idx="1088">
                  <c:v>44930</c:v>
                </c:pt>
                <c:pt idx="1089">
                  <c:v>44931</c:v>
                </c:pt>
                <c:pt idx="1090">
                  <c:v>44932</c:v>
                </c:pt>
                <c:pt idx="1091">
                  <c:v>44933</c:v>
                </c:pt>
                <c:pt idx="1092">
                  <c:v>44934</c:v>
                </c:pt>
                <c:pt idx="1093">
                  <c:v>44935</c:v>
                </c:pt>
                <c:pt idx="1094">
                  <c:v>44936</c:v>
                </c:pt>
                <c:pt idx="1095">
                  <c:v>44937</c:v>
                </c:pt>
                <c:pt idx="1096">
                  <c:v>44938</c:v>
                </c:pt>
                <c:pt idx="1097">
                  <c:v>44939</c:v>
                </c:pt>
                <c:pt idx="1098">
                  <c:v>44940</c:v>
                </c:pt>
                <c:pt idx="1099">
                  <c:v>44941</c:v>
                </c:pt>
                <c:pt idx="1100">
                  <c:v>44942</c:v>
                </c:pt>
                <c:pt idx="1101">
                  <c:v>44943</c:v>
                </c:pt>
                <c:pt idx="1102">
                  <c:v>44944</c:v>
                </c:pt>
                <c:pt idx="1103">
                  <c:v>44945</c:v>
                </c:pt>
                <c:pt idx="1104">
                  <c:v>44946</c:v>
                </c:pt>
                <c:pt idx="1105">
                  <c:v>44947</c:v>
                </c:pt>
                <c:pt idx="1106">
                  <c:v>44948</c:v>
                </c:pt>
                <c:pt idx="1107">
                  <c:v>44949</c:v>
                </c:pt>
                <c:pt idx="1108">
                  <c:v>44950</c:v>
                </c:pt>
                <c:pt idx="1109">
                  <c:v>44951</c:v>
                </c:pt>
                <c:pt idx="1110">
                  <c:v>44952</c:v>
                </c:pt>
                <c:pt idx="1111">
                  <c:v>44953</c:v>
                </c:pt>
                <c:pt idx="1112">
                  <c:v>44954</c:v>
                </c:pt>
                <c:pt idx="1113">
                  <c:v>44955</c:v>
                </c:pt>
                <c:pt idx="1114">
                  <c:v>44956</c:v>
                </c:pt>
                <c:pt idx="1115">
                  <c:v>44957</c:v>
                </c:pt>
                <c:pt idx="1116">
                  <c:v>44958</c:v>
                </c:pt>
                <c:pt idx="1117">
                  <c:v>44959</c:v>
                </c:pt>
                <c:pt idx="1118">
                  <c:v>44960</c:v>
                </c:pt>
                <c:pt idx="1119">
                  <c:v>44961</c:v>
                </c:pt>
                <c:pt idx="1120">
                  <c:v>44962</c:v>
                </c:pt>
                <c:pt idx="1121">
                  <c:v>44963</c:v>
                </c:pt>
                <c:pt idx="1122">
                  <c:v>44964</c:v>
                </c:pt>
                <c:pt idx="1123">
                  <c:v>44965</c:v>
                </c:pt>
                <c:pt idx="1124">
                  <c:v>44966</c:v>
                </c:pt>
                <c:pt idx="1125">
                  <c:v>44967</c:v>
                </c:pt>
                <c:pt idx="1126">
                  <c:v>44968</c:v>
                </c:pt>
                <c:pt idx="1127">
                  <c:v>44969</c:v>
                </c:pt>
                <c:pt idx="1128">
                  <c:v>44970</c:v>
                </c:pt>
                <c:pt idx="1129">
                  <c:v>44971</c:v>
                </c:pt>
                <c:pt idx="1130">
                  <c:v>44972</c:v>
                </c:pt>
                <c:pt idx="1131">
                  <c:v>44973</c:v>
                </c:pt>
                <c:pt idx="1132">
                  <c:v>44974</c:v>
                </c:pt>
                <c:pt idx="1133">
                  <c:v>44975</c:v>
                </c:pt>
                <c:pt idx="1134">
                  <c:v>44976</c:v>
                </c:pt>
                <c:pt idx="1135">
                  <c:v>44977</c:v>
                </c:pt>
                <c:pt idx="1136">
                  <c:v>44978</c:v>
                </c:pt>
                <c:pt idx="1137">
                  <c:v>44979</c:v>
                </c:pt>
                <c:pt idx="1138">
                  <c:v>44980</c:v>
                </c:pt>
                <c:pt idx="1139">
                  <c:v>44981</c:v>
                </c:pt>
                <c:pt idx="1140">
                  <c:v>44982</c:v>
                </c:pt>
                <c:pt idx="1141">
                  <c:v>44983</c:v>
                </c:pt>
                <c:pt idx="1142">
                  <c:v>44984</c:v>
                </c:pt>
                <c:pt idx="1143">
                  <c:v>44985</c:v>
                </c:pt>
                <c:pt idx="1144">
                  <c:v>44986</c:v>
                </c:pt>
                <c:pt idx="1145">
                  <c:v>44987</c:v>
                </c:pt>
                <c:pt idx="1146">
                  <c:v>44988</c:v>
                </c:pt>
                <c:pt idx="1147">
                  <c:v>44989</c:v>
                </c:pt>
                <c:pt idx="1148">
                  <c:v>44990</c:v>
                </c:pt>
                <c:pt idx="1149">
                  <c:v>44991</c:v>
                </c:pt>
                <c:pt idx="1150">
                  <c:v>44992</c:v>
                </c:pt>
                <c:pt idx="1151">
                  <c:v>44993</c:v>
                </c:pt>
                <c:pt idx="1152">
                  <c:v>44994</c:v>
                </c:pt>
                <c:pt idx="1153">
                  <c:v>44995</c:v>
                </c:pt>
                <c:pt idx="1154">
                  <c:v>44996</c:v>
                </c:pt>
                <c:pt idx="1155">
                  <c:v>44997</c:v>
                </c:pt>
                <c:pt idx="1156">
                  <c:v>44998</c:v>
                </c:pt>
                <c:pt idx="1157">
                  <c:v>44999</c:v>
                </c:pt>
                <c:pt idx="1158">
                  <c:v>45000</c:v>
                </c:pt>
                <c:pt idx="1159">
                  <c:v>45001</c:v>
                </c:pt>
                <c:pt idx="1160">
                  <c:v>45002</c:v>
                </c:pt>
                <c:pt idx="1161">
                  <c:v>45003</c:v>
                </c:pt>
                <c:pt idx="1162">
                  <c:v>45004</c:v>
                </c:pt>
                <c:pt idx="1163">
                  <c:v>45005</c:v>
                </c:pt>
                <c:pt idx="1164">
                  <c:v>45006</c:v>
                </c:pt>
                <c:pt idx="1165">
                  <c:v>45007</c:v>
                </c:pt>
                <c:pt idx="1166">
                  <c:v>45008</c:v>
                </c:pt>
                <c:pt idx="1167">
                  <c:v>45009</c:v>
                </c:pt>
                <c:pt idx="1168">
                  <c:v>45010</c:v>
                </c:pt>
                <c:pt idx="1169">
                  <c:v>45011</c:v>
                </c:pt>
                <c:pt idx="1170">
                  <c:v>45012</c:v>
                </c:pt>
                <c:pt idx="1171">
                  <c:v>45013</c:v>
                </c:pt>
                <c:pt idx="1172">
                  <c:v>45014</c:v>
                </c:pt>
                <c:pt idx="1173">
                  <c:v>45015</c:v>
                </c:pt>
                <c:pt idx="1174">
                  <c:v>45016</c:v>
                </c:pt>
                <c:pt idx="1175">
                  <c:v>45017</c:v>
                </c:pt>
                <c:pt idx="1176">
                  <c:v>45018</c:v>
                </c:pt>
                <c:pt idx="1177">
                  <c:v>45019</c:v>
                </c:pt>
                <c:pt idx="1178">
                  <c:v>45020</c:v>
                </c:pt>
                <c:pt idx="1179">
                  <c:v>45021</c:v>
                </c:pt>
                <c:pt idx="1180">
                  <c:v>45022</c:v>
                </c:pt>
                <c:pt idx="1181">
                  <c:v>45023</c:v>
                </c:pt>
                <c:pt idx="1182">
                  <c:v>45024</c:v>
                </c:pt>
                <c:pt idx="1183">
                  <c:v>45025</c:v>
                </c:pt>
                <c:pt idx="1184">
                  <c:v>45026</c:v>
                </c:pt>
                <c:pt idx="1185">
                  <c:v>45027</c:v>
                </c:pt>
                <c:pt idx="1186">
                  <c:v>45028</c:v>
                </c:pt>
                <c:pt idx="1187">
                  <c:v>45029</c:v>
                </c:pt>
                <c:pt idx="1188">
                  <c:v>45030</c:v>
                </c:pt>
                <c:pt idx="1189">
                  <c:v>45031</c:v>
                </c:pt>
                <c:pt idx="1190">
                  <c:v>45032</c:v>
                </c:pt>
                <c:pt idx="1191">
                  <c:v>45033</c:v>
                </c:pt>
                <c:pt idx="1192">
                  <c:v>45034</c:v>
                </c:pt>
                <c:pt idx="1193">
                  <c:v>45035</c:v>
                </c:pt>
                <c:pt idx="1194">
                  <c:v>45036</c:v>
                </c:pt>
                <c:pt idx="1195">
                  <c:v>45037</c:v>
                </c:pt>
                <c:pt idx="1196">
                  <c:v>45038</c:v>
                </c:pt>
                <c:pt idx="1197">
                  <c:v>45039</c:v>
                </c:pt>
                <c:pt idx="1198">
                  <c:v>45040</c:v>
                </c:pt>
                <c:pt idx="1199">
                  <c:v>45041</c:v>
                </c:pt>
                <c:pt idx="1200">
                  <c:v>45042</c:v>
                </c:pt>
                <c:pt idx="1201">
                  <c:v>45043</c:v>
                </c:pt>
                <c:pt idx="1202">
                  <c:v>45044</c:v>
                </c:pt>
                <c:pt idx="1203">
                  <c:v>45045</c:v>
                </c:pt>
                <c:pt idx="1204">
                  <c:v>45046</c:v>
                </c:pt>
                <c:pt idx="1205">
                  <c:v>45047</c:v>
                </c:pt>
                <c:pt idx="1206">
                  <c:v>45048</c:v>
                </c:pt>
                <c:pt idx="1207">
                  <c:v>45049</c:v>
                </c:pt>
                <c:pt idx="1208">
                  <c:v>45050</c:v>
                </c:pt>
                <c:pt idx="1209">
                  <c:v>45051</c:v>
                </c:pt>
                <c:pt idx="1210">
                  <c:v>45052</c:v>
                </c:pt>
                <c:pt idx="1211">
                  <c:v>45053</c:v>
                </c:pt>
                <c:pt idx="1212">
                  <c:v>45054</c:v>
                </c:pt>
                <c:pt idx="1213">
                  <c:v>45055</c:v>
                </c:pt>
                <c:pt idx="1214">
                  <c:v>45056</c:v>
                </c:pt>
                <c:pt idx="1215">
                  <c:v>45057</c:v>
                </c:pt>
                <c:pt idx="1216">
                  <c:v>45058</c:v>
                </c:pt>
                <c:pt idx="1217">
                  <c:v>45059</c:v>
                </c:pt>
                <c:pt idx="1218">
                  <c:v>45060</c:v>
                </c:pt>
                <c:pt idx="1219">
                  <c:v>45061</c:v>
                </c:pt>
                <c:pt idx="1220">
                  <c:v>45062</c:v>
                </c:pt>
                <c:pt idx="1221">
                  <c:v>45063</c:v>
                </c:pt>
                <c:pt idx="1222">
                  <c:v>45064</c:v>
                </c:pt>
                <c:pt idx="1223">
                  <c:v>45065</c:v>
                </c:pt>
                <c:pt idx="1224">
                  <c:v>45066</c:v>
                </c:pt>
                <c:pt idx="1225">
                  <c:v>45067</c:v>
                </c:pt>
                <c:pt idx="1226">
                  <c:v>45068</c:v>
                </c:pt>
                <c:pt idx="1227">
                  <c:v>45069</c:v>
                </c:pt>
                <c:pt idx="1228">
                  <c:v>45070</c:v>
                </c:pt>
                <c:pt idx="1229">
                  <c:v>45071</c:v>
                </c:pt>
                <c:pt idx="1230">
                  <c:v>45072</c:v>
                </c:pt>
                <c:pt idx="1231">
                  <c:v>45073</c:v>
                </c:pt>
                <c:pt idx="1232">
                  <c:v>45074</c:v>
                </c:pt>
                <c:pt idx="1233">
                  <c:v>45075</c:v>
                </c:pt>
                <c:pt idx="1234">
                  <c:v>45076</c:v>
                </c:pt>
                <c:pt idx="1235">
                  <c:v>45077</c:v>
                </c:pt>
                <c:pt idx="1236">
                  <c:v>45078</c:v>
                </c:pt>
                <c:pt idx="1237">
                  <c:v>45079</c:v>
                </c:pt>
                <c:pt idx="1238">
                  <c:v>45080</c:v>
                </c:pt>
                <c:pt idx="1239">
                  <c:v>45081</c:v>
                </c:pt>
                <c:pt idx="1240">
                  <c:v>45082</c:v>
                </c:pt>
                <c:pt idx="1241">
                  <c:v>45083</c:v>
                </c:pt>
                <c:pt idx="1242">
                  <c:v>45084</c:v>
                </c:pt>
                <c:pt idx="1243">
                  <c:v>45085</c:v>
                </c:pt>
                <c:pt idx="1244">
                  <c:v>45086</c:v>
                </c:pt>
                <c:pt idx="1245">
                  <c:v>45087</c:v>
                </c:pt>
                <c:pt idx="1246">
                  <c:v>45088</c:v>
                </c:pt>
                <c:pt idx="1247">
                  <c:v>45089</c:v>
                </c:pt>
                <c:pt idx="1248">
                  <c:v>45090</c:v>
                </c:pt>
                <c:pt idx="1249">
                  <c:v>45091</c:v>
                </c:pt>
                <c:pt idx="1250">
                  <c:v>45092</c:v>
                </c:pt>
                <c:pt idx="1251">
                  <c:v>45093</c:v>
                </c:pt>
                <c:pt idx="1252">
                  <c:v>45094</c:v>
                </c:pt>
                <c:pt idx="1253">
                  <c:v>45095</c:v>
                </c:pt>
                <c:pt idx="1254">
                  <c:v>45096</c:v>
                </c:pt>
                <c:pt idx="1255">
                  <c:v>45097</c:v>
                </c:pt>
                <c:pt idx="1256">
                  <c:v>45098</c:v>
                </c:pt>
                <c:pt idx="1257">
                  <c:v>45099</c:v>
                </c:pt>
                <c:pt idx="1258">
                  <c:v>45100</c:v>
                </c:pt>
                <c:pt idx="1259">
                  <c:v>45101</c:v>
                </c:pt>
                <c:pt idx="1260">
                  <c:v>45102</c:v>
                </c:pt>
                <c:pt idx="1261">
                  <c:v>45103</c:v>
                </c:pt>
                <c:pt idx="1262">
                  <c:v>45104</c:v>
                </c:pt>
                <c:pt idx="1263">
                  <c:v>45105</c:v>
                </c:pt>
                <c:pt idx="1264">
                  <c:v>45106</c:v>
                </c:pt>
                <c:pt idx="1265">
                  <c:v>45107</c:v>
                </c:pt>
                <c:pt idx="1266">
                  <c:v>45108</c:v>
                </c:pt>
                <c:pt idx="1267">
                  <c:v>45109</c:v>
                </c:pt>
                <c:pt idx="1268">
                  <c:v>45110</c:v>
                </c:pt>
                <c:pt idx="1269">
                  <c:v>45111</c:v>
                </c:pt>
                <c:pt idx="1270">
                  <c:v>45112</c:v>
                </c:pt>
                <c:pt idx="1271">
                  <c:v>45113</c:v>
                </c:pt>
                <c:pt idx="1272">
                  <c:v>45114</c:v>
                </c:pt>
                <c:pt idx="1273">
                  <c:v>45115</c:v>
                </c:pt>
                <c:pt idx="1274">
                  <c:v>45116</c:v>
                </c:pt>
                <c:pt idx="1275">
                  <c:v>45117</c:v>
                </c:pt>
                <c:pt idx="1276">
                  <c:v>45118</c:v>
                </c:pt>
                <c:pt idx="1277">
                  <c:v>45119</c:v>
                </c:pt>
                <c:pt idx="1278">
                  <c:v>45120</c:v>
                </c:pt>
                <c:pt idx="1279">
                  <c:v>45121</c:v>
                </c:pt>
                <c:pt idx="1280">
                  <c:v>45122</c:v>
                </c:pt>
                <c:pt idx="1281">
                  <c:v>45123</c:v>
                </c:pt>
                <c:pt idx="1282">
                  <c:v>45124</c:v>
                </c:pt>
                <c:pt idx="1283">
                  <c:v>45125</c:v>
                </c:pt>
                <c:pt idx="1284">
                  <c:v>45126</c:v>
                </c:pt>
                <c:pt idx="1285">
                  <c:v>45127</c:v>
                </c:pt>
                <c:pt idx="1286">
                  <c:v>45128</c:v>
                </c:pt>
                <c:pt idx="1287">
                  <c:v>45129</c:v>
                </c:pt>
                <c:pt idx="1288">
                  <c:v>45130</c:v>
                </c:pt>
                <c:pt idx="1289">
                  <c:v>45131</c:v>
                </c:pt>
                <c:pt idx="1290">
                  <c:v>45132</c:v>
                </c:pt>
                <c:pt idx="1291">
                  <c:v>45133</c:v>
                </c:pt>
                <c:pt idx="1292">
                  <c:v>45134</c:v>
                </c:pt>
                <c:pt idx="1293">
                  <c:v>45135</c:v>
                </c:pt>
                <c:pt idx="1294">
                  <c:v>45136</c:v>
                </c:pt>
                <c:pt idx="1295">
                  <c:v>45137</c:v>
                </c:pt>
                <c:pt idx="1296">
                  <c:v>45138</c:v>
                </c:pt>
                <c:pt idx="1297">
                  <c:v>45139</c:v>
                </c:pt>
                <c:pt idx="1298">
                  <c:v>45140</c:v>
                </c:pt>
                <c:pt idx="1299">
                  <c:v>45141</c:v>
                </c:pt>
                <c:pt idx="1300">
                  <c:v>45142</c:v>
                </c:pt>
                <c:pt idx="1301">
                  <c:v>45143</c:v>
                </c:pt>
                <c:pt idx="1302">
                  <c:v>45144</c:v>
                </c:pt>
                <c:pt idx="1303">
                  <c:v>45145</c:v>
                </c:pt>
                <c:pt idx="1304">
                  <c:v>45146</c:v>
                </c:pt>
                <c:pt idx="1305">
                  <c:v>45147</c:v>
                </c:pt>
                <c:pt idx="1306">
                  <c:v>45148</c:v>
                </c:pt>
                <c:pt idx="1307">
                  <c:v>45149</c:v>
                </c:pt>
                <c:pt idx="1308">
                  <c:v>45150</c:v>
                </c:pt>
                <c:pt idx="1309">
                  <c:v>45151</c:v>
                </c:pt>
                <c:pt idx="1310">
                  <c:v>45152</c:v>
                </c:pt>
                <c:pt idx="1311">
                  <c:v>45153</c:v>
                </c:pt>
                <c:pt idx="1312">
                  <c:v>45154</c:v>
                </c:pt>
                <c:pt idx="1313">
                  <c:v>45155</c:v>
                </c:pt>
                <c:pt idx="1314">
                  <c:v>45156</c:v>
                </c:pt>
                <c:pt idx="1315">
                  <c:v>45157</c:v>
                </c:pt>
                <c:pt idx="1316">
                  <c:v>45158</c:v>
                </c:pt>
                <c:pt idx="1317">
                  <c:v>45159</c:v>
                </c:pt>
                <c:pt idx="1318">
                  <c:v>45160</c:v>
                </c:pt>
                <c:pt idx="1319">
                  <c:v>45161</c:v>
                </c:pt>
                <c:pt idx="1320">
                  <c:v>45162</c:v>
                </c:pt>
                <c:pt idx="1321">
                  <c:v>45163</c:v>
                </c:pt>
                <c:pt idx="1322">
                  <c:v>45164</c:v>
                </c:pt>
                <c:pt idx="1323">
                  <c:v>45165</c:v>
                </c:pt>
                <c:pt idx="1324">
                  <c:v>45166</c:v>
                </c:pt>
                <c:pt idx="1325">
                  <c:v>45167</c:v>
                </c:pt>
                <c:pt idx="1326">
                  <c:v>45168</c:v>
                </c:pt>
                <c:pt idx="1327">
                  <c:v>45169</c:v>
                </c:pt>
                <c:pt idx="1328">
                  <c:v>45170</c:v>
                </c:pt>
                <c:pt idx="1329">
                  <c:v>45171</c:v>
                </c:pt>
                <c:pt idx="1330">
                  <c:v>45172</c:v>
                </c:pt>
                <c:pt idx="1331">
                  <c:v>45173</c:v>
                </c:pt>
                <c:pt idx="1332">
                  <c:v>45174</c:v>
                </c:pt>
                <c:pt idx="1333">
                  <c:v>45175</c:v>
                </c:pt>
                <c:pt idx="1334">
                  <c:v>45176</c:v>
                </c:pt>
                <c:pt idx="1335">
                  <c:v>45177</c:v>
                </c:pt>
                <c:pt idx="1336">
                  <c:v>45178</c:v>
                </c:pt>
                <c:pt idx="1337">
                  <c:v>45179</c:v>
                </c:pt>
                <c:pt idx="1338">
                  <c:v>45180</c:v>
                </c:pt>
                <c:pt idx="1339">
                  <c:v>45181</c:v>
                </c:pt>
                <c:pt idx="1340">
                  <c:v>45182</c:v>
                </c:pt>
                <c:pt idx="1341">
                  <c:v>45183</c:v>
                </c:pt>
                <c:pt idx="1342">
                  <c:v>45184</c:v>
                </c:pt>
                <c:pt idx="1343">
                  <c:v>45185</c:v>
                </c:pt>
                <c:pt idx="1344">
                  <c:v>45186</c:v>
                </c:pt>
                <c:pt idx="1345">
                  <c:v>45187</c:v>
                </c:pt>
                <c:pt idx="1346">
                  <c:v>45188</c:v>
                </c:pt>
                <c:pt idx="1347">
                  <c:v>45189</c:v>
                </c:pt>
                <c:pt idx="1348">
                  <c:v>45190</c:v>
                </c:pt>
                <c:pt idx="1349">
                  <c:v>45191</c:v>
                </c:pt>
                <c:pt idx="1350">
                  <c:v>45192</c:v>
                </c:pt>
                <c:pt idx="1351">
                  <c:v>45193</c:v>
                </c:pt>
                <c:pt idx="1352">
                  <c:v>45194</c:v>
                </c:pt>
                <c:pt idx="1353">
                  <c:v>45195</c:v>
                </c:pt>
                <c:pt idx="1354">
                  <c:v>45196</c:v>
                </c:pt>
                <c:pt idx="1355">
                  <c:v>45197</c:v>
                </c:pt>
                <c:pt idx="1356">
                  <c:v>45198</c:v>
                </c:pt>
                <c:pt idx="1357">
                  <c:v>45199</c:v>
                </c:pt>
                <c:pt idx="1358">
                  <c:v>45200</c:v>
                </c:pt>
                <c:pt idx="1359">
                  <c:v>45201</c:v>
                </c:pt>
                <c:pt idx="1360">
                  <c:v>45202</c:v>
                </c:pt>
                <c:pt idx="1361">
                  <c:v>45203</c:v>
                </c:pt>
                <c:pt idx="1362">
                  <c:v>45204</c:v>
                </c:pt>
                <c:pt idx="1363">
                  <c:v>45205</c:v>
                </c:pt>
                <c:pt idx="1364">
                  <c:v>45206</c:v>
                </c:pt>
                <c:pt idx="1365">
                  <c:v>45207</c:v>
                </c:pt>
                <c:pt idx="1366">
                  <c:v>45208</c:v>
                </c:pt>
                <c:pt idx="1367">
                  <c:v>45209</c:v>
                </c:pt>
                <c:pt idx="1368">
                  <c:v>45210</c:v>
                </c:pt>
                <c:pt idx="1369">
                  <c:v>45211</c:v>
                </c:pt>
                <c:pt idx="1370">
                  <c:v>45212</c:v>
                </c:pt>
                <c:pt idx="1371">
                  <c:v>45213</c:v>
                </c:pt>
                <c:pt idx="1372">
                  <c:v>45214</c:v>
                </c:pt>
                <c:pt idx="1373">
                  <c:v>45215</c:v>
                </c:pt>
                <c:pt idx="1374">
                  <c:v>45216</c:v>
                </c:pt>
                <c:pt idx="1375">
                  <c:v>45217</c:v>
                </c:pt>
                <c:pt idx="1376">
                  <c:v>45218</c:v>
                </c:pt>
                <c:pt idx="1377">
                  <c:v>45219</c:v>
                </c:pt>
                <c:pt idx="1378">
                  <c:v>45220</c:v>
                </c:pt>
                <c:pt idx="1379">
                  <c:v>45221</c:v>
                </c:pt>
                <c:pt idx="1380">
                  <c:v>45222</c:v>
                </c:pt>
                <c:pt idx="1381">
                  <c:v>45223</c:v>
                </c:pt>
                <c:pt idx="1382">
                  <c:v>45224</c:v>
                </c:pt>
                <c:pt idx="1383">
                  <c:v>45225</c:v>
                </c:pt>
                <c:pt idx="1384">
                  <c:v>45226</c:v>
                </c:pt>
                <c:pt idx="1385">
                  <c:v>45227</c:v>
                </c:pt>
                <c:pt idx="1386">
                  <c:v>45228</c:v>
                </c:pt>
                <c:pt idx="1387">
                  <c:v>45229</c:v>
                </c:pt>
                <c:pt idx="1388">
                  <c:v>45230</c:v>
                </c:pt>
                <c:pt idx="1389">
                  <c:v>45231</c:v>
                </c:pt>
                <c:pt idx="1390">
                  <c:v>45232</c:v>
                </c:pt>
                <c:pt idx="1391">
                  <c:v>45233</c:v>
                </c:pt>
                <c:pt idx="1392">
                  <c:v>45234</c:v>
                </c:pt>
                <c:pt idx="1393">
                  <c:v>45235</c:v>
                </c:pt>
                <c:pt idx="1394">
                  <c:v>45236</c:v>
                </c:pt>
                <c:pt idx="1395">
                  <c:v>45237</c:v>
                </c:pt>
                <c:pt idx="1396">
                  <c:v>45238</c:v>
                </c:pt>
                <c:pt idx="1397">
                  <c:v>45239</c:v>
                </c:pt>
                <c:pt idx="1398">
                  <c:v>45240</c:v>
                </c:pt>
                <c:pt idx="1399">
                  <c:v>45241</c:v>
                </c:pt>
                <c:pt idx="1400">
                  <c:v>45242</c:v>
                </c:pt>
                <c:pt idx="1401">
                  <c:v>45243</c:v>
                </c:pt>
                <c:pt idx="1402">
                  <c:v>45244</c:v>
                </c:pt>
                <c:pt idx="1403">
                  <c:v>45245</c:v>
                </c:pt>
                <c:pt idx="1404">
                  <c:v>45246</c:v>
                </c:pt>
                <c:pt idx="1405">
                  <c:v>45247</c:v>
                </c:pt>
                <c:pt idx="1406">
                  <c:v>45248</c:v>
                </c:pt>
                <c:pt idx="1407">
                  <c:v>45249</c:v>
                </c:pt>
                <c:pt idx="1408">
                  <c:v>45250</c:v>
                </c:pt>
                <c:pt idx="1409">
                  <c:v>45251</c:v>
                </c:pt>
                <c:pt idx="1410">
                  <c:v>45252</c:v>
                </c:pt>
                <c:pt idx="1411">
                  <c:v>45253</c:v>
                </c:pt>
                <c:pt idx="1412">
                  <c:v>45254</c:v>
                </c:pt>
                <c:pt idx="1413">
                  <c:v>45255</c:v>
                </c:pt>
                <c:pt idx="1414">
                  <c:v>45256</c:v>
                </c:pt>
                <c:pt idx="1415">
                  <c:v>45257</c:v>
                </c:pt>
                <c:pt idx="1416">
                  <c:v>45258</c:v>
                </c:pt>
                <c:pt idx="1417">
                  <c:v>45259</c:v>
                </c:pt>
                <c:pt idx="1418">
                  <c:v>45260</c:v>
                </c:pt>
                <c:pt idx="1419">
                  <c:v>45261</c:v>
                </c:pt>
                <c:pt idx="1420">
                  <c:v>45262</c:v>
                </c:pt>
                <c:pt idx="1421">
                  <c:v>45263</c:v>
                </c:pt>
                <c:pt idx="1422">
                  <c:v>45264</c:v>
                </c:pt>
                <c:pt idx="1423">
                  <c:v>45265</c:v>
                </c:pt>
                <c:pt idx="1424">
                  <c:v>45266</c:v>
                </c:pt>
                <c:pt idx="1425">
                  <c:v>45267</c:v>
                </c:pt>
                <c:pt idx="1426">
                  <c:v>45268</c:v>
                </c:pt>
                <c:pt idx="1427">
                  <c:v>45269</c:v>
                </c:pt>
                <c:pt idx="1428">
                  <c:v>45270</c:v>
                </c:pt>
                <c:pt idx="1429">
                  <c:v>45271</c:v>
                </c:pt>
                <c:pt idx="1430">
                  <c:v>45272</c:v>
                </c:pt>
                <c:pt idx="1431">
                  <c:v>45273</c:v>
                </c:pt>
                <c:pt idx="1432">
                  <c:v>45274</c:v>
                </c:pt>
                <c:pt idx="1433">
                  <c:v>45275</c:v>
                </c:pt>
                <c:pt idx="1434">
                  <c:v>45276</c:v>
                </c:pt>
                <c:pt idx="1435">
                  <c:v>45277</c:v>
                </c:pt>
                <c:pt idx="1436">
                  <c:v>45278</c:v>
                </c:pt>
                <c:pt idx="1437">
                  <c:v>45279</c:v>
                </c:pt>
                <c:pt idx="1438">
                  <c:v>45280</c:v>
                </c:pt>
                <c:pt idx="1439">
                  <c:v>45281</c:v>
                </c:pt>
                <c:pt idx="1440">
                  <c:v>45282</c:v>
                </c:pt>
                <c:pt idx="1441">
                  <c:v>45283</c:v>
                </c:pt>
                <c:pt idx="1442">
                  <c:v>45284</c:v>
                </c:pt>
                <c:pt idx="1443">
                  <c:v>45285</c:v>
                </c:pt>
                <c:pt idx="1444">
                  <c:v>45286</c:v>
                </c:pt>
                <c:pt idx="1445">
                  <c:v>45287</c:v>
                </c:pt>
                <c:pt idx="1446">
                  <c:v>45288</c:v>
                </c:pt>
                <c:pt idx="1447">
                  <c:v>45289</c:v>
                </c:pt>
                <c:pt idx="1448">
                  <c:v>45290</c:v>
                </c:pt>
                <c:pt idx="1449">
                  <c:v>45291</c:v>
                </c:pt>
                <c:pt idx="1450">
                  <c:v>45292</c:v>
                </c:pt>
                <c:pt idx="1451">
                  <c:v>45293</c:v>
                </c:pt>
                <c:pt idx="1452">
                  <c:v>45294</c:v>
                </c:pt>
                <c:pt idx="1453">
                  <c:v>45295</c:v>
                </c:pt>
                <c:pt idx="1454">
                  <c:v>45296</c:v>
                </c:pt>
                <c:pt idx="1455">
                  <c:v>45297</c:v>
                </c:pt>
                <c:pt idx="1456">
                  <c:v>45298</c:v>
                </c:pt>
                <c:pt idx="1457">
                  <c:v>45299</c:v>
                </c:pt>
                <c:pt idx="1458">
                  <c:v>45300</c:v>
                </c:pt>
                <c:pt idx="1459">
                  <c:v>45301</c:v>
                </c:pt>
                <c:pt idx="1460">
                  <c:v>45302</c:v>
                </c:pt>
                <c:pt idx="1461">
                  <c:v>45303</c:v>
                </c:pt>
                <c:pt idx="1462">
                  <c:v>45304</c:v>
                </c:pt>
                <c:pt idx="1463">
                  <c:v>45305</c:v>
                </c:pt>
                <c:pt idx="1464">
                  <c:v>45306</c:v>
                </c:pt>
                <c:pt idx="1465">
                  <c:v>45307</c:v>
                </c:pt>
                <c:pt idx="1466">
                  <c:v>45308</c:v>
                </c:pt>
                <c:pt idx="1467">
                  <c:v>45309</c:v>
                </c:pt>
                <c:pt idx="1468">
                  <c:v>45310</c:v>
                </c:pt>
                <c:pt idx="1469">
                  <c:v>45311</c:v>
                </c:pt>
                <c:pt idx="1470">
                  <c:v>45312</c:v>
                </c:pt>
                <c:pt idx="1471">
                  <c:v>45313</c:v>
                </c:pt>
                <c:pt idx="1472">
                  <c:v>45314</c:v>
                </c:pt>
                <c:pt idx="1473">
                  <c:v>45315</c:v>
                </c:pt>
                <c:pt idx="1474">
                  <c:v>45316</c:v>
                </c:pt>
                <c:pt idx="1475">
                  <c:v>45317</c:v>
                </c:pt>
                <c:pt idx="1476">
                  <c:v>45318</c:v>
                </c:pt>
                <c:pt idx="1477">
                  <c:v>45319</c:v>
                </c:pt>
                <c:pt idx="1478">
                  <c:v>45320</c:v>
                </c:pt>
                <c:pt idx="1479">
                  <c:v>45321</c:v>
                </c:pt>
                <c:pt idx="1480">
                  <c:v>45322</c:v>
                </c:pt>
                <c:pt idx="1481">
                  <c:v>45323</c:v>
                </c:pt>
                <c:pt idx="1482">
                  <c:v>45324</c:v>
                </c:pt>
                <c:pt idx="1483">
                  <c:v>45325</c:v>
                </c:pt>
                <c:pt idx="1484">
                  <c:v>45326</c:v>
                </c:pt>
                <c:pt idx="1485">
                  <c:v>45327</c:v>
                </c:pt>
                <c:pt idx="1486">
                  <c:v>45328</c:v>
                </c:pt>
                <c:pt idx="1487">
                  <c:v>45329</c:v>
                </c:pt>
                <c:pt idx="1488">
                  <c:v>45330</c:v>
                </c:pt>
                <c:pt idx="1489">
                  <c:v>45331</c:v>
                </c:pt>
                <c:pt idx="1490">
                  <c:v>45332</c:v>
                </c:pt>
                <c:pt idx="1491">
                  <c:v>45333</c:v>
                </c:pt>
                <c:pt idx="1492">
                  <c:v>45334</c:v>
                </c:pt>
                <c:pt idx="1493">
                  <c:v>45335</c:v>
                </c:pt>
                <c:pt idx="1494">
                  <c:v>45336</c:v>
                </c:pt>
                <c:pt idx="1495">
                  <c:v>45337</c:v>
                </c:pt>
                <c:pt idx="1496">
                  <c:v>45338</c:v>
                </c:pt>
                <c:pt idx="1497">
                  <c:v>45339</c:v>
                </c:pt>
                <c:pt idx="1498">
                  <c:v>45340</c:v>
                </c:pt>
                <c:pt idx="1499">
                  <c:v>45341</c:v>
                </c:pt>
                <c:pt idx="1500">
                  <c:v>45342</c:v>
                </c:pt>
                <c:pt idx="1501">
                  <c:v>45343</c:v>
                </c:pt>
                <c:pt idx="1502">
                  <c:v>45344</c:v>
                </c:pt>
                <c:pt idx="1503">
                  <c:v>45345</c:v>
                </c:pt>
                <c:pt idx="1504">
                  <c:v>45346</c:v>
                </c:pt>
                <c:pt idx="1505">
                  <c:v>45347</c:v>
                </c:pt>
                <c:pt idx="1506">
                  <c:v>45348</c:v>
                </c:pt>
                <c:pt idx="1507">
                  <c:v>45349</c:v>
                </c:pt>
                <c:pt idx="1508">
                  <c:v>45350</c:v>
                </c:pt>
                <c:pt idx="1509">
                  <c:v>45351</c:v>
                </c:pt>
                <c:pt idx="1510">
                  <c:v>45352</c:v>
                </c:pt>
                <c:pt idx="1511">
                  <c:v>45353</c:v>
                </c:pt>
                <c:pt idx="1512">
                  <c:v>45354</c:v>
                </c:pt>
                <c:pt idx="1513">
                  <c:v>45355</c:v>
                </c:pt>
                <c:pt idx="1514">
                  <c:v>45356</c:v>
                </c:pt>
                <c:pt idx="1515">
                  <c:v>45357</c:v>
                </c:pt>
                <c:pt idx="1516">
                  <c:v>45358</c:v>
                </c:pt>
                <c:pt idx="1517">
                  <c:v>45359</c:v>
                </c:pt>
                <c:pt idx="1518">
                  <c:v>45360</c:v>
                </c:pt>
                <c:pt idx="1519">
                  <c:v>45361</c:v>
                </c:pt>
                <c:pt idx="1520">
                  <c:v>45362</c:v>
                </c:pt>
                <c:pt idx="1521">
                  <c:v>45363</c:v>
                </c:pt>
                <c:pt idx="1522">
                  <c:v>45364</c:v>
                </c:pt>
                <c:pt idx="1523">
                  <c:v>45365</c:v>
                </c:pt>
                <c:pt idx="1524">
                  <c:v>45366</c:v>
                </c:pt>
                <c:pt idx="1525">
                  <c:v>45367</c:v>
                </c:pt>
                <c:pt idx="1526">
                  <c:v>45368</c:v>
                </c:pt>
                <c:pt idx="1527">
                  <c:v>45369</c:v>
                </c:pt>
                <c:pt idx="1528">
                  <c:v>45370</c:v>
                </c:pt>
                <c:pt idx="1529">
                  <c:v>45371</c:v>
                </c:pt>
                <c:pt idx="1530">
                  <c:v>45372</c:v>
                </c:pt>
                <c:pt idx="1531">
                  <c:v>45373</c:v>
                </c:pt>
                <c:pt idx="1532">
                  <c:v>45374</c:v>
                </c:pt>
                <c:pt idx="1533">
                  <c:v>45375</c:v>
                </c:pt>
                <c:pt idx="1534">
                  <c:v>45376</c:v>
                </c:pt>
                <c:pt idx="1535">
                  <c:v>45377</c:v>
                </c:pt>
                <c:pt idx="1536">
                  <c:v>45378</c:v>
                </c:pt>
                <c:pt idx="1537">
                  <c:v>45379</c:v>
                </c:pt>
                <c:pt idx="1538">
                  <c:v>45380</c:v>
                </c:pt>
                <c:pt idx="1539">
                  <c:v>45381</c:v>
                </c:pt>
                <c:pt idx="1540">
                  <c:v>45382</c:v>
                </c:pt>
                <c:pt idx="1541">
                  <c:v>45383</c:v>
                </c:pt>
                <c:pt idx="1542">
                  <c:v>45384</c:v>
                </c:pt>
                <c:pt idx="1543">
                  <c:v>45385</c:v>
                </c:pt>
                <c:pt idx="1544">
                  <c:v>45386</c:v>
                </c:pt>
                <c:pt idx="1545">
                  <c:v>45387</c:v>
                </c:pt>
                <c:pt idx="1546">
                  <c:v>45388</c:v>
                </c:pt>
                <c:pt idx="1547">
                  <c:v>45389</c:v>
                </c:pt>
                <c:pt idx="1548">
                  <c:v>45390</c:v>
                </c:pt>
                <c:pt idx="1549">
                  <c:v>45391</c:v>
                </c:pt>
                <c:pt idx="1550">
                  <c:v>45392</c:v>
                </c:pt>
                <c:pt idx="1551">
                  <c:v>45393</c:v>
                </c:pt>
                <c:pt idx="1552">
                  <c:v>45394</c:v>
                </c:pt>
                <c:pt idx="1553">
                  <c:v>45395</c:v>
                </c:pt>
                <c:pt idx="1554">
                  <c:v>45396</c:v>
                </c:pt>
                <c:pt idx="1555">
                  <c:v>45397</c:v>
                </c:pt>
                <c:pt idx="1556">
                  <c:v>45398</c:v>
                </c:pt>
                <c:pt idx="1557">
                  <c:v>45399</c:v>
                </c:pt>
                <c:pt idx="1558">
                  <c:v>45400</c:v>
                </c:pt>
                <c:pt idx="1559">
                  <c:v>45401</c:v>
                </c:pt>
                <c:pt idx="1560">
                  <c:v>45402</c:v>
                </c:pt>
                <c:pt idx="1561">
                  <c:v>45403</c:v>
                </c:pt>
                <c:pt idx="1562">
                  <c:v>45404</c:v>
                </c:pt>
                <c:pt idx="1563">
                  <c:v>45405</c:v>
                </c:pt>
                <c:pt idx="1564">
                  <c:v>45406</c:v>
                </c:pt>
                <c:pt idx="1565">
                  <c:v>45407</c:v>
                </c:pt>
                <c:pt idx="1566">
                  <c:v>45408</c:v>
                </c:pt>
                <c:pt idx="1567">
                  <c:v>45409</c:v>
                </c:pt>
                <c:pt idx="1568">
                  <c:v>45410</c:v>
                </c:pt>
                <c:pt idx="1569">
                  <c:v>45411</c:v>
                </c:pt>
                <c:pt idx="1570">
                  <c:v>45412</c:v>
                </c:pt>
                <c:pt idx="1571">
                  <c:v>45413</c:v>
                </c:pt>
                <c:pt idx="1572">
                  <c:v>45414</c:v>
                </c:pt>
                <c:pt idx="1573">
                  <c:v>45415</c:v>
                </c:pt>
                <c:pt idx="1574">
                  <c:v>45416</c:v>
                </c:pt>
                <c:pt idx="1575">
                  <c:v>45417</c:v>
                </c:pt>
                <c:pt idx="1576">
                  <c:v>45418</c:v>
                </c:pt>
                <c:pt idx="1577">
                  <c:v>45419</c:v>
                </c:pt>
                <c:pt idx="1578">
                  <c:v>45420</c:v>
                </c:pt>
                <c:pt idx="1579">
                  <c:v>45421</c:v>
                </c:pt>
                <c:pt idx="1580">
                  <c:v>45422</c:v>
                </c:pt>
                <c:pt idx="1581">
                  <c:v>45423</c:v>
                </c:pt>
                <c:pt idx="1582">
                  <c:v>45424</c:v>
                </c:pt>
                <c:pt idx="1583">
                  <c:v>45425</c:v>
                </c:pt>
                <c:pt idx="1584">
                  <c:v>45426</c:v>
                </c:pt>
                <c:pt idx="1585">
                  <c:v>45427</c:v>
                </c:pt>
                <c:pt idx="1586">
                  <c:v>45428</c:v>
                </c:pt>
                <c:pt idx="1587">
                  <c:v>45429</c:v>
                </c:pt>
                <c:pt idx="1588">
                  <c:v>45430</c:v>
                </c:pt>
                <c:pt idx="1589">
                  <c:v>45431</c:v>
                </c:pt>
                <c:pt idx="1590">
                  <c:v>45432</c:v>
                </c:pt>
                <c:pt idx="1591">
                  <c:v>45433</c:v>
                </c:pt>
                <c:pt idx="1592">
                  <c:v>45434</c:v>
                </c:pt>
                <c:pt idx="1593">
                  <c:v>45435</c:v>
                </c:pt>
                <c:pt idx="1594">
                  <c:v>45436</c:v>
                </c:pt>
                <c:pt idx="1595">
                  <c:v>45437</c:v>
                </c:pt>
                <c:pt idx="1596">
                  <c:v>45438</c:v>
                </c:pt>
                <c:pt idx="1597">
                  <c:v>45439</c:v>
                </c:pt>
                <c:pt idx="1598">
                  <c:v>45440</c:v>
                </c:pt>
                <c:pt idx="1599">
                  <c:v>45441</c:v>
                </c:pt>
                <c:pt idx="1600">
                  <c:v>45442</c:v>
                </c:pt>
                <c:pt idx="1601">
                  <c:v>45443</c:v>
                </c:pt>
                <c:pt idx="1602">
                  <c:v>45444</c:v>
                </c:pt>
                <c:pt idx="1603">
                  <c:v>45445</c:v>
                </c:pt>
                <c:pt idx="1604">
                  <c:v>45446</c:v>
                </c:pt>
                <c:pt idx="1605">
                  <c:v>45447</c:v>
                </c:pt>
                <c:pt idx="1606">
                  <c:v>45448</c:v>
                </c:pt>
                <c:pt idx="1607">
                  <c:v>45449</c:v>
                </c:pt>
                <c:pt idx="1608">
                  <c:v>45450</c:v>
                </c:pt>
                <c:pt idx="1609">
                  <c:v>45451</c:v>
                </c:pt>
                <c:pt idx="1610">
                  <c:v>45452</c:v>
                </c:pt>
                <c:pt idx="1611">
                  <c:v>45453</c:v>
                </c:pt>
                <c:pt idx="1612">
                  <c:v>45454</c:v>
                </c:pt>
                <c:pt idx="1613">
                  <c:v>45455</c:v>
                </c:pt>
                <c:pt idx="1614">
                  <c:v>45456</c:v>
                </c:pt>
                <c:pt idx="1615">
                  <c:v>45457</c:v>
                </c:pt>
                <c:pt idx="1616">
                  <c:v>45458</c:v>
                </c:pt>
                <c:pt idx="1617">
                  <c:v>45459</c:v>
                </c:pt>
                <c:pt idx="1618">
                  <c:v>45460</c:v>
                </c:pt>
                <c:pt idx="1619">
                  <c:v>45461</c:v>
                </c:pt>
                <c:pt idx="1620">
                  <c:v>45462</c:v>
                </c:pt>
                <c:pt idx="1621">
                  <c:v>45463</c:v>
                </c:pt>
                <c:pt idx="1622">
                  <c:v>45464</c:v>
                </c:pt>
                <c:pt idx="1623">
                  <c:v>45465</c:v>
                </c:pt>
                <c:pt idx="1624">
                  <c:v>45466</c:v>
                </c:pt>
                <c:pt idx="1625">
                  <c:v>45467</c:v>
                </c:pt>
                <c:pt idx="1626">
                  <c:v>45468</c:v>
                </c:pt>
                <c:pt idx="1627">
                  <c:v>45469</c:v>
                </c:pt>
                <c:pt idx="1628">
                  <c:v>45470</c:v>
                </c:pt>
                <c:pt idx="1629">
                  <c:v>45471</c:v>
                </c:pt>
                <c:pt idx="1630">
                  <c:v>45472</c:v>
                </c:pt>
                <c:pt idx="1631">
                  <c:v>45473</c:v>
                </c:pt>
                <c:pt idx="1632">
                  <c:v>45474</c:v>
                </c:pt>
                <c:pt idx="1633">
                  <c:v>45475</c:v>
                </c:pt>
                <c:pt idx="1634">
                  <c:v>45476</c:v>
                </c:pt>
                <c:pt idx="1635">
                  <c:v>45477</c:v>
                </c:pt>
                <c:pt idx="1636">
                  <c:v>45478</c:v>
                </c:pt>
                <c:pt idx="1637">
                  <c:v>45479</c:v>
                </c:pt>
                <c:pt idx="1638">
                  <c:v>45480</c:v>
                </c:pt>
                <c:pt idx="1639">
                  <c:v>45481</c:v>
                </c:pt>
                <c:pt idx="1640">
                  <c:v>45482</c:v>
                </c:pt>
                <c:pt idx="1641">
                  <c:v>45483</c:v>
                </c:pt>
                <c:pt idx="1642">
                  <c:v>45484</c:v>
                </c:pt>
                <c:pt idx="1643">
                  <c:v>45485</c:v>
                </c:pt>
                <c:pt idx="1644">
                  <c:v>45486</c:v>
                </c:pt>
                <c:pt idx="1645">
                  <c:v>45487</c:v>
                </c:pt>
                <c:pt idx="1646">
                  <c:v>45488</c:v>
                </c:pt>
                <c:pt idx="1647">
                  <c:v>45489</c:v>
                </c:pt>
                <c:pt idx="1648">
                  <c:v>45490</c:v>
                </c:pt>
                <c:pt idx="1649">
                  <c:v>45491</c:v>
                </c:pt>
                <c:pt idx="1650">
                  <c:v>45492</c:v>
                </c:pt>
                <c:pt idx="1651">
                  <c:v>45493</c:v>
                </c:pt>
                <c:pt idx="1652">
                  <c:v>45494</c:v>
                </c:pt>
                <c:pt idx="1653">
                  <c:v>45495</c:v>
                </c:pt>
                <c:pt idx="1654">
                  <c:v>45496</c:v>
                </c:pt>
                <c:pt idx="1655">
                  <c:v>45497</c:v>
                </c:pt>
                <c:pt idx="1656">
                  <c:v>45498</c:v>
                </c:pt>
                <c:pt idx="1657">
                  <c:v>45499</c:v>
                </c:pt>
                <c:pt idx="1658">
                  <c:v>45500</c:v>
                </c:pt>
                <c:pt idx="1659">
                  <c:v>45501</c:v>
                </c:pt>
                <c:pt idx="1660">
                  <c:v>45502</c:v>
                </c:pt>
                <c:pt idx="1661">
                  <c:v>45503</c:v>
                </c:pt>
                <c:pt idx="1662">
                  <c:v>45504</c:v>
                </c:pt>
                <c:pt idx="1663">
                  <c:v>45505</c:v>
                </c:pt>
                <c:pt idx="1664">
                  <c:v>45506</c:v>
                </c:pt>
                <c:pt idx="1665">
                  <c:v>45507</c:v>
                </c:pt>
                <c:pt idx="1666">
                  <c:v>45508</c:v>
                </c:pt>
                <c:pt idx="1667">
                  <c:v>45509</c:v>
                </c:pt>
                <c:pt idx="1668">
                  <c:v>45510</c:v>
                </c:pt>
                <c:pt idx="1669">
                  <c:v>45511</c:v>
                </c:pt>
                <c:pt idx="1670">
                  <c:v>45512</c:v>
                </c:pt>
                <c:pt idx="1671">
                  <c:v>45513</c:v>
                </c:pt>
                <c:pt idx="1672">
                  <c:v>45514</c:v>
                </c:pt>
                <c:pt idx="1673">
                  <c:v>45515</c:v>
                </c:pt>
                <c:pt idx="1674">
                  <c:v>45516</c:v>
                </c:pt>
                <c:pt idx="1675">
                  <c:v>45517</c:v>
                </c:pt>
                <c:pt idx="1676">
                  <c:v>45518</c:v>
                </c:pt>
                <c:pt idx="1677">
                  <c:v>45519</c:v>
                </c:pt>
                <c:pt idx="1678">
                  <c:v>45520</c:v>
                </c:pt>
                <c:pt idx="1679">
                  <c:v>45521</c:v>
                </c:pt>
                <c:pt idx="1680">
                  <c:v>45522</c:v>
                </c:pt>
                <c:pt idx="1681">
                  <c:v>45523</c:v>
                </c:pt>
                <c:pt idx="1682">
                  <c:v>45524</c:v>
                </c:pt>
                <c:pt idx="1683">
                  <c:v>45525</c:v>
                </c:pt>
                <c:pt idx="1684">
                  <c:v>45526</c:v>
                </c:pt>
                <c:pt idx="1685">
                  <c:v>45527</c:v>
                </c:pt>
                <c:pt idx="1686">
                  <c:v>45528</c:v>
                </c:pt>
                <c:pt idx="1687">
                  <c:v>45529</c:v>
                </c:pt>
                <c:pt idx="1688">
                  <c:v>45530</c:v>
                </c:pt>
                <c:pt idx="1689">
                  <c:v>45531</c:v>
                </c:pt>
                <c:pt idx="1690">
                  <c:v>45532</c:v>
                </c:pt>
                <c:pt idx="1691">
                  <c:v>45533</c:v>
                </c:pt>
                <c:pt idx="1692">
                  <c:v>45534</c:v>
                </c:pt>
                <c:pt idx="1693">
                  <c:v>45535</c:v>
                </c:pt>
                <c:pt idx="1694">
                  <c:v>45536</c:v>
                </c:pt>
                <c:pt idx="1695">
                  <c:v>45537</c:v>
                </c:pt>
                <c:pt idx="1696">
                  <c:v>45538</c:v>
                </c:pt>
                <c:pt idx="1697">
                  <c:v>45539</c:v>
                </c:pt>
                <c:pt idx="1698">
                  <c:v>45540</c:v>
                </c:pt>
                <c:pt idx="1699">
                  <c:v>45541</c:v>
                </c:pt>
                <c:pt idx="1700">
                  <c:v>45542</c:v>
                </c:pt>
                <c:pt idx="1701">
                  <c:v>45543</c:v>
                </c:pt>
                <c:pt idx="1702">
                  <c:v>45544</c:v>
                </c:pt>
                <c:pt idx="1703">
                  <c:v>45545</c:v>
                </c:pt>
                <c:pt idx="1704">
                  <c:v>45546</c:v>
                </c:pt>
                <c:pt idx="1705">
                  <c:v>45547</c:v>
                </c:pt>
                <c:pt idx="1706">
                  <c:v>45548</c:v>
                </c:pt>
                <c:pt idx="1707">
                  <c:v>45549</c:v>
                </c:pt>
                <c:pt idx="1708">
                  <c:v>45550</c:v>
                </c:pt>
                <c:pt idx="1709">
                  <c:v>45551</c:v>
                </c:pt>
                <c:pt idx="1710">
                  <c:v>45552</c:v>
                </c:pt>
                <c:pt idx="1711">
                  <c:v>45553</c:v>
                </c:pt>
                <c:pt idx="1712">
                  <c:v>45554</c:v>
                </c:pt>
                <c:pt idx="1713">
                  <c:v>45555</c:v>
                </c:pt>
                <c:pt idx="1714">
                  <c:v>45556</c:v>
                </c:pt>
                <c:pt idx="1715">
                  <c:v>45557</c:v>
                </c:pt>
                <c:pt idx="1716">
                  <c:v>45558</c:v>
                </c:pt>
                <c:pt idx="1717">
                  <c:v>45559</c:v>
                </c:pt>
                <c:pt idx="1718">
                  <c:v>45560</c:v>
                </c:pt>
                <c:pt idx="1719">
                  <c:v>45561</c:v>
                </c:pt>
                <c:pt idx="1720">
                  <c:v>45562</c:v>
                </c:pt>
                <c:pt idx="1721">
                  <c:v>45563</c:v>
                </c:pt>
                <c:pt idx="1722">
                  <c:v>45564</c:v>
                </c:pt>
                <c:pt idx="1723">
                  <c:v>45565</c:v>
                </c:pt>
                <c:pt idx="1724">
                  <c:v>45566</c:v>
                </c:pt>
                <c:pt idx="1725">
                  <c:v>45567</c:v>
                </c:pt>
                <c:pt idx="1726">
                  <c:v>45568</c:v>
                </c:pt>
                <c:pt idx="1727">
                  <c:v>45569</c:v>
                </c:pt>
                <c:pt idx="1728">
                  <c:v>45570</c:v>
                </c:pt>
                <c:pt idx="1729">
                  <c:v>45571</c:v>
                </c:pt>
                <c:pt idx="1730">
                  <c:v>45572</c:v>
                </c:pt>
                <c:pt idx="1731">
                  <c:v>45573</c:v>
                </c:pt>
                <c:pt idx="1732">
                  <c:v>45574</c:v>
                </c:pt>
                <c:pt idx="1733">
                  <c:v>45575</c:v>
                </c:pt>
                <c:pt idx="1734">
                  <c:v>45576</c:v>
                </c:pt>
                <c:pt idx="1735">
                  <c:v>45577</c:v>
                </c:pt>
                <c:pt idx="1736">
                  <c:v>45578</c:v>
                </c:pt>
                <c:pt idx="1737">
                  <c:v>45579</c:v>
                </c:pt>
                <c:pt idx="1738">
                  <c:v>45580</c:v>
                </c:pt>
                <c:pt idx="1739">
                  <c:v>45581</c:v>
                </c:pt>
                <c:pt idx="1740">
                  <c:v>45582</c:v>
                </c:pt>
                <c:pt idx="1741">
                  <c:v>45583</c:v>
                </c:pt>
                <c:pt idx="1742">
                  <c:v>45584</c:v>
                </c:pt>
                <c:pt idx="1743">
                  <c:v>45585</c:v>
                </c:pt>
                <c:pt idx="1744">
                  <c:v>45586</c:v>
                </c:pt>
                <c:pt idx="1745">
                  <c:v>45587</c:v>
                </c:pt>
                <c:pt idx="1746">
                  <c:v>45588</c:v>
                </c:pt>
                <c:pt idx="1747">
                  <c:v>45589</c:v>
                </c:pt>
                <c:pt idx="1748">
                  <c:v>45590</c:v>
                </c:pt>
                <c:pt idx="1749">
                  <c:v>45591</c:v>
                </c:pt>
                <c:pt idx="1750">
                  <c:v>45592</c:v>
                </c:pt>
                <c:pt idx="1751">
                  <c:v>45593</c:v>
                </c:pt>
                <c:pt idx="1752">
                  <c:v>45594</c:v>
                </c:pt>
                <c:pt idx="1753">
                  <c:v>45595</c:v>
                </c:pt>
                <c:pt idx="1754">
                  <c:v>45596</c:v>
                </c:pt>
                <c:pt idx="1755">
                  <c:v>45597</c:v>
                </c:pt>
                <c:pt idx="1756">
                  <c:v>45598</c:v>
                </c:pt>
                <c:pt idx="1757">
                  <c:v>45599</c:v>
                </c:pt>
                <c:pt idx="1758">
                  <c:v>45600</c:v>
                </c:pt>
                <c:pt idx="1759">
                  <c:v>45601</c:v>
                </c:pt>
                <c:pt idx="1760">
                  <c:v>45602</c:v>
                </c:pt>
                <c:pt idx="1761">
                  <c:v>45603</c:v>
                </c:pt>
                <c:pt idx="1762">
                  <c:v>45604</c:v>
                </c:pt>
                <c:pt idx="1763">
                  <c:v>45605</c:v>
                </c:pt>
                <c:pt idx="1764">
                  <c:v>45606</c:v>
                </c:pt>
                <c:pt idx="1765">
                  <c:v>45607</c:v>
                </c:pt>
                <c:pt idx="1766">
                  <c:v>45608</c:v>
                </c:pt>
                <c:pt idx="1767">
                  <c:v>45609</c:v>
                </c:pt>
                <c:pt idx="1768">
                  <c:v>45610</c:v>
                </c:pt>
                <c:pt idx="1769">
                  <c:v>45611</c:v>
                </c:pt>
                <c:pt idx="1770">
                  <c:v>45612</c:v>
                </c:pt>
                <c:pt idx="1771">
                  <c:v>45613</c:v>
                </c:pt>
                <c:pt idx="1772">
                  <c:v>45614</c:v>
                </c:pt>
                <c:pt idx="1773">
                  <c:v>45615</c:v>
                </c:pt>
                <c:pt idx="1774">
                  <c:v>45616</c:v>
                </c:pt>
                <c:pt idx="1775">
                  <c:v>45617</c:v>
                </c:pt>
                <c:pt idx="1776">
                  <c:v>45618</c:v>
                </c:pt>
                <c:pt idx="1777">
                  <c:v>45619</c:v>
                </c:pt>
                <c:pt idx="1778">
                  <c:v>45620</c:v>
                </c:pt>
                <c:pt idx="1779">
                  <c:v>45621</c:v>
                </c:pt>
                <c:pt idx="1780">
                  <c:v>45622</c:v>
                </c:pt>
                <c:pt idx="1781">
                  <c:v>45623</c:v>
                </c:pt>
                <c:pt idx="1782">
                  <c:v>45624</c:v>
                </c:pt>
                <c:pt idx="1783">
                  <c:v>45625</c:v>
                </c:pt>
                <c:pt idx="1784">
                  <c:v>45626</c:v>
                </c:pt>
                <c:pt idx="1785">
                  <c:v>45627</c:v>
                </c:pt>
                <c:pt idx="1786">
                  <c:v>45628</c:v>
                </c:pt>
                <c:pt idx="1787">
                  <c:v>45629</c:v>
                </c:pt>
                <c:pt idx="1788">
                  <c:v>45630</c:v>
                </c:pt>
                <c:pt idx="1789">
                  <c:v>45631</c:v>
                </c:pt>
                <c:pt idx="1790">
                  <c:v>45632</c:v>
                </c:pt>
                <c:pt idx="1791">
                  <c:v>45633</c:v>
                </c:pt>
                <c:pt idx="1792">
                  <c:v>45634</c:v>
                </c:pt>
                <c:pt idx="1793">
                  <c:v>45635</c:v>
                </c:pt>
                <c:pt idx="1794">
                  <c:v>45636</c:v>
                </c:pt>
                <c:pt idx="1795">
                  <c:v>45637</c:v>
                </c:pt>
                <c:pt idx="1796">
                  <c:v>45638</c:v>
                </c:pt>
                <c:pt idx="1797">
                  <c:v>45639</c:v>
                </c:pt>
                <c:pt idx="1798">
                  <c:v>45640</c:v>
                </c:pt>
                <c:pt idx="1799">
                  <c:v>45641</c:v>
                </c:pt>
                <c:pt idx="1800">
                  <c:v>45642</c:v>
                </c:pt>
                <c:pt idx="1801">
                  <c:v>45643</c:v>
                </c:pt>
                <c:pt idx="1802">
                  <c:v>45644</c:v>
                </c:pt>
                <c:pt idx="1803">
                  <c:v>45645</c:v>
                </c:pt>
                <c:pt idx="1804">
                  <c:v>45646</c:v>
                </c:pt>
                <c:pt idx="1805">
                  <c:v>45647</c:v>
                </c:pt>
                <c:pt idx="1806">
                  <c:v>45648</c:v>
                </c:pt>
                <c:pt idx="1807">
                  <c:v>45649</c:v>
                </c:pt>
                <c:pt idx="1808">
                  <c:v>45650</c:v>
                </c:pt>
                <c:pt idx="1809">
                  <c:v>45651</c:v>
                </c:pt>
                <c:pt idx="1810">
                  <c:v>45652</c:v>
                </c:pt>
                <c:pt idx="1811">
                  <c:v>45653</c:v>
                </c:pt>
                <c:pt idx="1812">
                  <c:v>45654</c:v>
                </c:pt>
                <c:pt idx="1813">
                  <c:v>45655</c:v>
                </c:pt>
                <c:pt idx="1814">
                  <c:v>45656</c:v>
                </c:pt>
                <c:pt idx="1815">
                  <c:v>45657</c:v>
                </c:pt>
                <c:pt idx="1816">
                  <c:v>45658</c:v>
                </c:pt>
                <c:pt idx="1817">
                  <c:v>45659</c:v>
                </c:pt>
                <c:pt idx="1818">
                  <c:v>45660</c:v>
                </c:pt>
                <c:pt idx="1819">
                  <c:v>45661</c:v>
                </c:pt>
                <c:pt idx="1820">
                  <c:v>45662</c:v>
                </c:pt>
                <c:pt idx="1821">
                  <c:v>45663</c:v>
                </c:pt>
                <c:pt idx="1822">
                  <c:v>45664</c:v>
                </c:pt>
                <c:pt idx="1823">
                  <c:v>45665</c:v>
                </c:pt>
                <c:pt idx="1824">
                  <c:v>45666</c:v>
                </c:pt>
                <c:pt idx="1825">
                  <c:v>45667</c:v>
                </c:pt>
                <c:pt idx="1826">
                  <c:v>45668</c:v>
                </c:pt>
                <c:pt idx="1827">
                  <c:v>45669</c:v>
                </c:pt>
                <c:pt idx="1828">
                  <c:v>45670</c:v>
                </c:pt>
                <c:pt idx="1829">
                  <c:v>45671</c:v>
                </c:pt>
                <c:pt idx="1830">
                  <c:v>45672</c:v>
                </c:pt>
                <c:pt idx="1831">
                  <c:v>45673</c:v>
                </c:pt>
                <c:pt idx="1832">
                  <c:v>45674</c:v>
                </c:pt>
                <c:pt idx="1833">
                  <c:v>45675</c:v>
                </c:pt>
                <c:pt idx="1834">
                  <c:v>45676</c:v>
                </c:pt>
                <c:pt idx="1835">
                  <c:v>45677</c:v>
                </c:pt>
                <c:pt idx="1836">
                  <c:v>45678</c:v>
                </c:pt>
                <c:pt idx="1837">
                  <c:v>45679</c:v>
                </c:pt>
                <c:pt idx="1838">
                  <c:v>45680</c:v>
                </c:pt>
                <c:pt idx="1839">
                  <c:v>45681</c:v>
                </c:pt>
                <c:pt idx="1840">
                  <c:v>45682</c:v>
                </c:pt>
                <c:pt idx="1841">
                  <c:v>45683</c:v>
                </c:pt>
                <c:pt idx="1842">
                  <c:v>45684</c:v>
                </c:pt>
                <c:pt idx="1843">
                  <c:v>45685</c:v>
                </c:pt>
                <c:pt idx="1844">
                  <c:v>45686</c:v>
                </c:pt>
                <c:pt idx="1845">
                  <c:v>45687</c:v>
                </c:pt>
                <c:pt idx="1846">
                  <c:v>45688</c:v>
                </c:pt>
                <c:pt idx="1847">
                  <c:v>45689</c:v>
                </c:pt>
                <c:pt idx="1848">
                  <c:v>45690</c:v>
                </c:pt>
                <c:pt idx="1849">
                  <c:v>45691</c:v>
                </c:pt>
                <c:pt idx="1850">
                  <c:v>45692</c:v>
                </c:pt>
                <c:pt idx="1851">
                  <c:v>45693</c:v>
                </c:pt>
                <c:pt idx="1852">
                  <c:v>45694</c:v>
                </c:pt>
                <c:pt idx="1853">
                  <c:v>45695</c:v>
                </c:pt>
                <c:pt idx="1854">
                  <c:v>45696</c:v>
                </c:pt>
                <c:pt idx="1855">
                  <c:v>45697</c:v>
                </c:pt>
                <c:pt idx="1856">
                  <c:v>45698</c:v>
                </c:pt>
                <c:pt idx="1857">
                  <c:v>45699</c:v>
                </c:pt>
                <c:pt idx="1858">
                  <c:v>45700</c:v>
                </c:pt>
                <c:pt idx="1859">
                  <c:v>45701</c:v>
                </c:pt>
                <c:pt idx="1860">
                  <c:v>45702</c:v>
                </c:pt>
                <c:pt idx="1861">
                  <c:v>45703</c:v>
                </c:pt>
                <c:pt idx="1862">
                  <c:v>45704</c:v>
                </c:pt>
                <c:pt idx="1863">
                  <c:v>45705</c:v>
                </c:pt>
                <c:pt idx="1864">
                  <c:v>45706</c:v>
                </c:pt>
                <c:pt idx="1865">
                  <c:v>45707</c:v>
                </c:pt>
                <c:pt idx="1866">
                  <c:v>45708</c:v>
                </c:pt>
                <c:pt idx="1867">
                  <c:v>45709</c:v>
                </c:pt>
                <c:pt idx="1868">
                  <c:v>45710</c:v>
                </c:pt>
                <c:pt idx="1869">
                  <c:v>45711</c:v>
                </c:pt>
                <c:pt idx="1870">
                  <c:v>45712</c:v>
                </c:pt>
                <c:pt idx="1871">
                  <c:v>45713</c:v>
                </c:pt>
                <c:pt idx="1872">
                  <c:v>45714</c:v>
                </c:pt>
                <c:pt idx="1873">
                  <c:v>45715</c:v>
                </c:pt>
                <c:pt idx="1874">
                  <c:v>45716</c:v>
                </c:pt>
                <c:pt idx="1875">
                  <c:v>45717</c:v>
                </c:pt>
                <c:pt idx="1876">
                  <c:v>45718</c:v>
                </c:pt>
                <c:pt idx="1877">
                  <c:v>45719</c:v>
                </c:pt>
                <c:pt idx="1878">
                  <c:v>45720</c:v>
                </c:pt>
                <c:pt idx="1879">
                  <c:v>45721</c:v>
                </c:pt>
                <c:pt idx="1880">
                  <c:v>45722</c:v>
                </c:pt>
                <c:pt idx="1881">
                  <c:v>45723</c:v>
                </c:pt>
                <c:pt idx="1882">
                  <c:v>45724</c:v>
                </c:pt>
                <c:pt idx="1883">
                  <c:v>45725</c:v>
                </c:pt>
                <c:pt idx="1884">
                  <c:v>45726</c:v>
                </c:pt>
                <c:pt idx="1885">
                  <c:v>45727</c:v>
                </c:pt>
                <c:pt idx="1886">
                  <c:v>45728</c:v>
                </c:pt>
                <c:pt idx="1887">
                  <c:v>45729</c:v>
                </c:pt>
                <c:pt idx="1888">
                  <c:v>45730</c:v>
                </c:pt>
                <c:pt idx="1889">
                  <c:v>45731</c:v>
                </c:pt>
                <c:pt idx="1890">
                  <c:v>45732</c:v>
                </c:pt>
                <c:pt idx="1891">
                  <c:v>45733</c:v>
                </c:pt>
                <c:pt idx="1892">
                  <c:v>45734</c:v>
                </c:pt>
                <c:pt idx="1893">
                  <c:v>45735</c:v>
                </c:pt>
                <c:pt idx="1894">
                  <c:v>45736</c:v>
                </c:pt>
                <c:pt idx="1895">
                  <c:v>45737</c:v>
                </c:pt>
                <c:pt idx="1896">
                  <c:v>45738</c:v>
                </c:pt>
                <c:pt idx="1897">
                  <c:v>45739</c:v>
                </c:pt>
                <c:pt idx="1898">
                  <c:v>45740</c:v>
                </c:pt>
                <c:pt idx="1899">
                  <c:v>45741</c:v>
                </c:pt>
                <c:pt idx="1900">
                  <c:v>45742</c:v>
                </c:pt>
                <c:pt idx="1901">
                  <c:v>45743</c:v>
                </c:pt>
                <c:pt idx="1902">
                  <c:v>45744</c:v>
                </c:pt>
                <c:pt idx="1903">
                  <c:v>45745</c:v>
                </c:pt>
                <c:pt idx="1904">
                  <c:v>45746</c:v>
                </c:pt>
                <c:pt idx="1905">
                  <c:v>45747</c:v>
                </c:pt>
                <c:pt idx="1906">
                  <c:v>45748</c:v>
                </c:pt>
                <c:pt idx="1907">
                  <c:v>45749</c:v>
                </c:pt>
                <c:pt idx="1908">
                  <c:v>45750</c:v>
                </c:pt>
                <c:pt idx="1909">
                  <c:v>45751</c:v>
                </c:pt>
                <c:pt idx="1910">
                  <c:v>45752</c:v>
                </c:pt>
                <c:pt idx="1911">
                  <c:v>45753</c:v>
                </c:pt>
                <c:pt idx="1912">
                  <c:v>45754</c:v>
                </c:pt>
                <c:pt idx="1913">
                  <c:v>45755</c:v>
                </c:pt>
                <c:pt idx="1914">
                  <c:v>45756</c:v>
                </c:pt>
                <c:pt idx="1915">
                  <c:v>45757</c:v>
                </c:pt>
                <c:pt idx="1916">
                  <c:v>45758</c:v>
                </c:pt>
                <c:pt idx="1917">
                  <c:v>45759</c:v>
                </c:pt>
                <c:pt idx="1918">
                  <c:v>45760</c:v>
                </c:pt>
                <c:pt idx="1919">
                  <c:v>45761</c:v>
                </c:pt>
                <c:pt idx="1920">
                  <c:v>45762</c:v>
                </c:pt>
                <c:pt idx="1921">
                  <c:v>45763</c:v>
                </c:pt>
                <c:pt idx="1922">
                  <c:v>45764</c:v>
                </c:pt>
                <c:pt idx="1923">
                  <c:v>45765</c:v>
                </c:pt>
                <c:pt idx="1924">
                  <c:v>45766</c:v>
                </c:pt>
                <c:pt idx="1925">
                  <c:v>45767</c:v>
                </c:pt>
                <c:pt idx="1926">
                  <c:v>45768</c:v>
                </c:pt>
                <c:pt idx="1927">
                  <c:v>45769</c:v>
                </c:pt>
                <c:pt idx="1928">
                  <c:v>45770</c:v>
                </c:pt>
                <c:pt idx="1929">
                  <c:v>45771</c:v>
                </c:pt>
                <c:pt idx="1930">
                  <c:v>45772</c:v>
                </c:pt>
                <c:pt idx="1931">
                  <c:v>45773</c:v>
                </c:pt>
                <c:pt idx="1932">
                  <c:v>45774</c:v>
                </c:pt>
                <c:pt idx="1933">
                  <c:v>45775</c:v>
                </c:pt>
                <c:pt idx="1934">
                  <c:v>45776</c:v>
                </c:pt>
                <c:pt idx="1935">
                  <c:v>45777</c:v>
                </c:pt>
                <c:pt idx="1936">
                  <c:v>45778</c:v>
                </c:pt>
                <c:pt idx="1937">
                  <c:v>45779</c:v>
                </c:pt>
                <c:pt idx="1938">
                  <c:v>45780</c:v>
                </c:pt>
                <c:pt idx="1939">
                  <c:v>45781</c:v>
                </c:pt>
                <c:pt idx="1940">
                  <c:v>45782</c:v>
                </c:pt>
                <c:pt idx="1941">
                  <c:v>45783</c:v>
                </c:pt>
                <c:pt idx="1942">
                  <c:v>45784</c:v>
                </c:pt>
                <c:pt idx="1943">
                  <c:v>45785</c:v>
                </c:pt>
                <c:pt idx="1944">
                  <c:v>45786</c:v>
                </c:pt>
                <c:pt idx="1945">
                  <c:v>45787</c:v>
                </c:pt>
                <c:pt idx="1946">
                  <c:v>45788</c:v>
                </c:pt>
                <c:pt idx="1947">
                  <c:v>45789</c:v>
                </c:pt>
                <c:pt idx="1948">
                  <c:v>45790</c:v>
                </c:pt>
                <c:pt idx="1949">
                  <c:v>45791</c:v>
                </c:pt>
                <c:pt idx="1950">
                  <c:v>45792</c:v>
                </c:pt>
                <c:pt idx="1951">
                  <c:v>45793</c:v>
                </c:pt>
                <c:pt idx="1952">
                  <c:v>45794</c:v>
                </c:pt>
                <c:pt idx="1953">
                  <c:v>45795</c:v>
                </c:pt>
                <c:pt idx="1954">
                  <c:v>45796</c:v>
                </c:pt>
                <c:pt idx="1955">
                  <c:v>45797</c:v>
                </c:pt>
                <c:pt idx="1956">
                  <c:v>45798</c:v>
                </c:pt>
                <c:pt idx="1957">
                  <c:v>45799</c:v>
                </c:pt>
                <c:pt idx="1958">
                  <c:v>45800</c:v>
                </c:pt>
                <c:pt idx="1959">
                  <c:v>45801</c:v>
                </c:pt>
                <c:pt idx="1960">
                  <c:v>45802</c:v>
                </c:pt>
                <c:pt idx="1961">
                  <c:v>45803</c:v>
                </c:pt>
                <c:pt idx="1962">
                  <c:v>45804</c:v>
                </c:pt>
                <c:pt idx="1963">
                  <c:v>45805</c:v>
                </c:pt>
                <c:pt idx="1964">
                  <c:v>45806</c:v>
                </c:pt>
                <c:pt idx="1965">
                  <c:v>45807</c:v>
                </c:pt>
                <c:pt idx="1966">
                  <c:v>45808</c:v>
                </c:pt>
                <c:pt idx="1967">
                  <c:v>45809</c:v>
                </c:pt>
                <c:pt idx="1968">
                  <c:v>45810</c:v>
                </c:pt>
                <c:pt idx="1969">
                  <c:v>45811</c:v>
                </c:pt>
                <c:pt idx="1970">
                  <c:v>45812</c:v>
                </c:pt>
                <c:pt idx="1971">
                  <c:v>45813</c:v>
                </c:pt>
                <c:pt idx="1972">
                  <c:v>45814</c:v>
                </c:pt>
                <c:pt idx="1973">
                  <c:v>45815</c:v>
                </c:pt>
                <c:pt idx="1974">
                  <c:v>45816</c:v>
                </c:pt>
                <c:pt idx="1975">
                  <c:v>45817</c:v>
                </c:pt>
                <c:pt idx="1976">
                  <c:v>45818</c:v>
                </c:pt>
                <c:pt idx="1977">
                  <c:v>45819</c:v>
                </c:pt>
                <c:pt idx="1978">
                  <c:v>45820</c:v>
                </c:pt>
                <c:pt idx="1979">
                  <c:v>45821</c:v>
                </c:pt>
                <c:pt idx="1980">
                  <c:v>45822</c:v>
                </c:pt>
                <c:pt idx="1981">
                  <c:v>45823</c:v>
                </c:pt>
                <c:pt idx="1982">
                  <c:v>45824</c:v>
                </c:pt>
                <c:pt idx="1983">
                  <c:v>45825</c:v>
                </c:pt>
                <c:pt idx="1984">
                  <c:v>45826</c:v>
                </c:pt>
                <c:pt idx="1985">
                  <c:v>45827</c:v>
                </c:pt>
                <c:pt idx="1986">
                  <c:v>45828</c:v>
                </c:pt>
                <c:pt idx="1987">
                  <c:v>45829</c:v>
                </c:pt>
                <c:pt idx="1988">
                  <c:v>45830</c:v>
                </c:pt>
                <c:pt idx="1989">
                  <c:v>45831</c:v>
                </c:pt>
                <c:pt idx="1990">
                  <c:v>45832</c:v>
                </c:pt>
                <c:pt idx="1991">
                  <c:v>45833</c:v>
                </c:pt>
                <c:pt idx="1992">
                  <c:v>45834</c:v>
                </c:pt>
                <c:pt idx="1993">
                  <c:v>45835</c:v>
                </c:pt>
                <c:pt idx="1994">
                  <c:v>45836</c:v>
                </c:pt>
                <c:pt idx="1995">
                  <c:v>45837</c:v>
                </c:pt>
                <c:pt idx="1996">
                  <c:v>45838</c:v>
                </c:pt>
                <c:pt idx="1997">
                  <c:v>45839</c:v>
                </c:pt>
                <c:pt idx="1998">
                  <c:v>45840</c:v>
                </c:pt>
                <c:pt idx="1999">
                  <c:v>45841</c:v>
                </c:pt>
                <c:pt idx="2000">
                  <c:v>45842</c:v>
                </c:pt>
                <c:pt idx="2001">
                  <c:v>45843</c:v>
                </c:pt>
                <c:pt idx="2002">
                  <c:v>45844</c:v>
                </c:pt>
                <c:pt idx="2003">
                  <c:v>45845</c:v>
                </c:pt>
                <c:pt idx="2004">
                  <c:v>45846</c:v>
                </c:pt>
                <c:pt idx="2005">
                  <c:v>45847</c:v>
                </c:pt>
                <c:pt idx="2006">
                  <c:v>45848</c:v>
                </c:pt>
                <c:pt idx="2007">
                  <c:v>45849</c:v>
                </c:pt>
                <c:pt idx="2008">
                  <c:v>45850</c:v>
                </c:pt>
                <c:pt idx="2009">
                  <c:v>45851</c:v>
                </c:pt>
                <c:pt idx="2010">
                  <c:v>45852</c:v>
                </c:pt>
                <c:pt idx="2011">
                  <c:v>45853</c:v>
                </c:pt>
                <c:pt idx="2012">
                  <c:v>45854</c:v>
                </c:pt>
                <c:pt idx="2013">
                  <c:v>45855</c:v>
                </c:pt>
                <c:pt idx="2014">
                  <c:v>45856</c:v>
                </c:pt>
                <c:pt idx="2015">
                  <c:v>45857</c:v>
                </c:pt>
                <c:pt idx="2016">
                  <c:v>45858</c:v>
                </c:pt>
                <c:pt idx="2017">
                  <c:v>45859</c:v>
                </c:pt>
                <c:pt idx="2018">
                  <c:v>45860</c:v>
                </c:pt>
                <c:pt idx="2019">
                  <c:v>45861</c:v>
                </c:pt>
                <c:pt idx="2020">
                  <c:v>45862</c:v>
                </c:pt>
                <c:pt idx="2021">
                  <c:v>45863</c:v>
                </c:pt>
                <c:pt idx="2022">
                  <c:v>45864</c:v>
                </c:pt>
                <c:pt idx="2023">
                  <c:v>45865</c:v>
                </c:pt>
                <c:pt idx="2024">
                  <c:v>45866</c:v>
                </c:pt>
                <c:pt idx="2025">
                  <c:v>45867</c:v>
                </c:pt>
                <c:pt idx="2026">
                  <c:v>45868</c:v>
                </c:pt>
                <c:pt idx="2027">
                  <c:v>45869</c:v>
                </c:pt>
                <c:pt idx="2028">
                  <c:v>45870</c:v>
                </c:pt>
                <c:pt idx="2029">
                  <c:v>45871</c:v>
                </c:pt>
                <c:pt idx="2030">
                  <c:v>45872</c:v>
                </c:pt>
                <c:pt idx="2031">
                  <c:v>45873</c:v>
                </c:pt>
                <c:pt idx="2032">
                  <c:v>45874</c:v>
                </c:pt>
                <c:pt idx="2033">
                  <c:v>45875</c:v>
                </c:pt>
                <c:pt idx="2034">
                  <c:v>45876</c:v>
                </c:pt>
                <c:pt idx="2035">
                  <c:v>45877</c:v>
                </c:pt>
                <c:pt idx="2036">
                  <c:v>45878</c:v>
                </c:pt>
                <c:pt idx="2037">
                  <c:v>45879</c:v>
                </c:pt>
                <c:pt idx="2038">
                  <c:v>45880</c:v>
                </c:pt>
                <c:pt idx="2039">
                  <c:v>45881</c:v>
                </c:pt>
                <c:pt idx="2040">
                  <c:v>45882</c:v>
                </c:pt>
                <c:pt idx="2041">
                  <c:v>45883</c:v>
                </c:pt>
                <c:pt idx="2042">
                  <c:v>45884</c:v>
                </c:pt>
                <c:pt idx="2043">
                  <c:v>45885</c:v>
                </c:pt>
                <c:pt idx="2044">
                  <c:v>45886</c:v>
                </c:pt>
                <c:pt idx="2045">
                  <c:v>45887</c:v>
                </c:pt>
                <c:pt idx="2046">
                  <c:v>45888</c:v>
                </c:pt>
                <c:pt idx="2047">
                  <c:v>45889</c:v>
                </c:pt>
                <c:pt idx="2048">
                  <c:v>45890</c:v>
                </c:pt>
                <c:pt idx="2049">
                  <c:v>45891</c:v>
                </c:pt>
                <c:pt idx="2050">
                  <c:v>45892</c:v>
                </c:pt>
                <c:pt idx="2051">
                  <c:v>45893</c:v>
                </c:pt>
                <c:pt idx="2052">
                  <c:v>45894</c:v>
                </c:pt>
                <c:pt idx="2053">
                  <c:v>45895</c:v>
                </c:pt>
                <c:pt idx="2054">
                  <c:v>45896</c:v>
                </c:pt>
                <c:pt idx="2055">
                  <c:v>45897</c:v>
                </c:pt>
                <c:pt idx="2056">
                  <c:v>45898</c:v>
                </c:pt>
                <c:pt idx="2057">
                  <c:v>45899</c:v>
                </c:pt>
                <c:pt idx="2058">
                  <c:v>45900</c:v>
                </c:pt>
                <c:pt idx="2059">
                  <c:v>45901</c:v>
                </c:pt>
                <c:pt idx="2060">
                  <c:v>45902</c:v>
                </c:pt>
                <c:pt idx="2061">
                  <c:v>45903</c:v>
                </c:pt>
                <c:pt idx="2062">
                  <c:v>45904</c:v>
                </c:pt>
                <c:pt idx="2063">
                  <c:v>45905</c:v>
                </c:pt>
                <c:pt idx="2064">
                  <c:v>45906</c:v>
                </c:pt>
                <c:pt idx="2065">
                  <c:v>45907</c:v>
                </c:pt>
                <c:pt idx="2066">
                  <c:v>45908</c:v>
                </c:pt>
                <c:pt idx="2067">
                  <c:v>45909</c:v>
                </c:pt>
                <c:pt idx="2068">
                  <c:v>45910</c:v>
                </c:pt>
                <c:pt idx="2069">
                  <c:v>45911</c:v>
                </c:pt>
                <c:pt idx="2070">
                  <c:v>45912</c:v>
                </c:pt>
                <c:pt idx="2071">
                  <c:v>45913</c:v>
                </c:pt>
                <c:pt idx="2072">
                  <c:v>45914</c:v>
                </c:pt>
                <c:pt idx="2073">
                  <c:v>45915</c:v>
                </c:pt>
                <c:pt idx="2074">
                  <c:v>45916</c:v>
                </c:pt>
                <c:pt idx="2075">
                  <c:v>45917</c:v>
                </c:pt>
                <c:pt idx="2076">
                  <c:v>45918</c:v>
                </c:pt>
                <c:pt idx="2077">
                  <c:v>45919</c:v>
                </c:pt>
                <c:pt idx="2078">
                  <c:v>45920</c:v>
                </c:pt>
                <c:pt idx="2079">
                  <c:v>45921</c:v>
                </c:pt>
                <c:pt idx="2080">
                  <c:v>45922</c:v>
                </c:pt>
                <c:pt idx="2081">
                  <c:v>45923</c:v>
                </c:pt>
                <c:pt idx="2082">
                  <c:v>45924</c:v>
                </c:pt>
                <c:pt idx="2083">
                  <c:v>45925</c:v>
                </c:pt>
                <c:pt idx="2084">
                  <c:v>45926</c:v>
                </c:pt>
                <c:pt idx="2085">
                  <c:v>45927</c:v>
                </c:pt>
                <c:pt idx="2086">
                  <c:v>45928</c:v>
                </c:pt>
                <c:pt idx="2087">
                  <c:v>45929</c:v>
                </c:pt>
                <c:pt idx="2088">
                  <c:v>45930</c:v>
                </c:pt>
                <c:pt idx="2089">
                  <c:v>45931</c:v>
                </c:pt>
                <c:pt idx="2090">
                  <c:v>45932</c:v>
                </c:pt>
                <c:pt idx="2091">
                  <c:v>45933</c:v>
                </c:pt>
                <c:pt idx="2092">
                  <c:v>45934</c:v>
                </c:pt>
                <c:pt idx="2093">
                  <c:v>45935</c:v>
                </c:pt>
                <c:pt idx="2094">
                  <c:v>45936</c:v>
                </c:pt>
                <c:pt idx="2095">
                  <c:v>45937</c:v>
                </c:pt>
                <c:pt idx="2096">
                  <c:v>45938</c:v>
                </c:pt>
                <c:pt idx="2097">
                  <c:v>45939</c:v>
                </c:pt>
                <c:pt idx="2098">
                  <c:v>45940</c:v>
                </c:pt>
                <c:pt idx="2099">
                  <c:v>45941</c:v>
                </c:pt>
                <c:pt idx="2100">
                  <c:v>45942</c:v>
                </c:pt>
                <c:pt idx="2101">
                  <c:v>45943</c:v>
                </c:pt>
                <c:pt idx="2102">
                  <c:v>45944</c:v>
                </c:pt>
                <c:pt idx="2103">
                  <c:v>45945</c:v>
                </c:pt>
                <c:pt idx="2104">
                  <c:v>45946</c:v>
                </c:pt>
                <c:pt idx="2105">
                  <c:v>45947</c:v>
                </c:pt>
                <c:pt idx="2106">
                  <c:v>45948</c:v>
                </c:pt>
                <c:pt idx="2107">
                  <c:v>45949</c:v>
                </c:pt>
                <c:pt idx="2108">
                  <c:v>45950</c:v>
                </c:pt>
                <c:pt idx="2109">
                  <c:v>45951</c:v>
                </c:pt>
                <c:pt idx="2110">
                  <c:v>45952</c:v>
                </c:pt>
                <c:pt idx="2111">
                  <c:v>45953</c:v>
                </c:pt>
                <c:pt idx="2112">
                  <c:v>45954</c:v>
                </c:pt>
                <c:pt idx="2113">
                  <c:v>45955</c:v>
                </c:pt>
                <c:pt idx="2114">
                  <c:v>45956</c:v>
                </c:pt>
                <c:pt idx="2115">
                  <c:v>45957</c:v>
                </c:pt>
                <c:pt idx="2116">
                  <c:v>45958</c:v>
                </c:pt>
                <c:pt idx="2117">
                  <c:v>45959</c:v>
                </c:pt>
                <c:pt idx="2118">
                  <c:v>45960</c:v>
                </c:pt>
                <c:pt idx="2119">
                  <c:v>45961</c:v>
                </c:pt>
                <c:pt idx="2120">
                  <c:v>45962</c:v>
                </c:pt>
                <c:pt idx="2121">
                  <c:v>45963</c:v>
                </c:pt>
                <c:pt idx="2122">
                  <c:v>45964</c:v>
                </c:pt>
                <c:pt idx="2123">
                  <c:v>45965</c:v>
                </c:pt>
                <c:pt idx="2124">
                  <c:v>45966</c:v>
                </c:pt>
                <c:pt idx="2125">
                  <c:v>45967</c:v>
                </c:pt>
                <c:pt idx="2126">
                  <c:v>45968</c:v>
                </c:pt>
                <c:pt idx="2127">
                  <c:v>45969</c:v>
                </c:pt>
                <c:pt idx="2128">
                  <c:v>45970</c:v>
                </c:pt>
                <c:pt idx="2129">
                  <c:v>45971</c:v>
                </c:pt>
                <c:pt idx="2130">
                  <c:v>45972</c:v>
                </c:pt>
                <c:pt idx="2131">
                  <c:v>45973</c:v>
                </c:pt>
                <c:pt idx="2132">
                  <c:v>45974</c:v>
                </c:pt>
                <c:pt idx="2133">
                  <c:v>45975</c:v>
                </c:pt>
                <c:pt idx="2134">
                  <c:v>45976</c:v>
                </c:pt>
                <c:pt idx="2135">
                  <c:v>45977</c:v>
                </c:pt>
                <c:pt idx="2136">
                  <c:v>45978</c:v>
                </c:pt>
                <c:pt idx="2137">
                  <c:v>45979</c:v>
                </c:pt>
                <c:pt idx="2138">
                  <c:v>45980</c:v>
                </c:pt>
                <c:pt idx="2139">
                  <c:v>45981</c:v>
                </c:pt>
                <c:pt idx="2140">
                  <c:v>45982</c:v>
                </c:pt>
                <c:pt idx="2141">
                  <c:v>45983</c:v>
                </c:pt>
                <c:pt idx="2142">
                  <c:v>45984</c:v>
                </c:pt>
                <c:pt idx="2143">
                  <c:v>45985</c:v>
                </c:pt>
                <c:pt idx="2144">
                  <c:v>45986</c:v>
                </c:pt>
                <c:pt idx="2145">
                  <c:v>45987</c:v>
                </c:pt>
                <c:pt idx="2146">
                  <c:v>45988</c:v>
                </c:pt>
                <c:pt idx="2147">
                  <c:v>45989</c:v>
                </c:pt>
                <c:pt idx="2148">
                  <c:v>45990</c:v>
                </c:pt>
                <c:pt idx="2149">
                  <c:v>45991</c:v>
                </c:pt>
                <c:pt idx="2150">
                  <c:v>45992</c:v>
                </c:pt>
                <c:pt idx="2151">
                  <c:v>45993</c:v>
                </c:pt>
                <c:pt idx="2152">
                  <c:v>45994</c:v>
                </c:pt>
                <c:pt idx="2153">
                  <c:v>45995</c:v>
                </c:pt>
                <c:pt idx="2154">
                  <c:v>45996</c:v>
                </c:pt>
                <c:pt idx="2155">
                  <c:v>45997</c:v>
                </c:pt>
                <c:pt idx="2156">
                  <c:v>45998</c:v>
                </c:pt>
                <c:pt idx="2157">
                  <c:v>45999</c:v>
                </c:pt>
                <c:pt idx="2158">
                  <c:v>46000</c:v>
                </c:pt>
                <c:pt idx="2159">
                  <c:v>46001</c:v>
                </c:pt>
                <c:pt idx="2160">
                  <c:v>46002</c:v>
                </c:pt>
                <c:pt idx="2161">
                  <c:v>46003</c:v>
                </c:pt>
                <c:pt idx="2162">
                  <c:v>46004</c:v>
                </c:pt>
                <c:pt idx="2163">
                  <c:v>46005</c:v>
                </c:pt>
                <c:pt idx="2164">
                  <c:v>46006</c:v>
                </c:pt>
                <c:pt idx="2165">
                  <c:v>46007</c:v>
                </c:pt>
                <c:pt idx="2166">
                  <c:v>46008</c:v>
                </c:pt>
                <c:pt idx="2167">
                  <c:v>46009</c:v>
                </c:pt>
                <c:pt idx="2168">
                  <c:v>46010</c:v>
                </c:pt>
                <c:pt idx="2169">
                  <c:v>46011</c:v>
                </c:pt>
                <c:pt idx="2170">
                  <c:v>46012</c:v>
                </c:pt>
                <c:pt idx="2171">
                  <c:v>46013</c:v>
                </c:pt>
                <c:pt idx="2172">
                  <c:v>46014</c:v>
                </c:pt>
                <c:pt idx="2173">
                  <c:v>46015</c:v>
                </c:pt>
                <c:pt idx="2174">
                  <c:v>46016</c:v>
                </c:pt>
                <c:pt idx="2175">
                  <c:v>46017</c:v>
                </c:pt>
                <c:pt idx="2176">
                  <c:v>46018</c:v>
                </c:pt>
                <c:pt idx="2177">
                  <c:v>46019</c:v>
                </c:pt>
                <c:pt idx="2178">
                  <c:v>46020</c:v>
                </c:pt>
                <c:pt idx="2179">
                  <c:v>46021</c:v>
                </c:pt>
                <c:pt idx="2180">
                  <c:v>46022</c:v>
                </c:pt>
                <c:pt idx="2181">
                  <c:v>46023</c:v>
                </c:pt>
                <c:pt idx="2182">
                  <c:v>46024</c:v>
                </c:pt>
                <c:pt idx="2183">
                  <c:v>46025</c:v>
                </c:pt>
                <c:pt idx="2184">
                  <c:v>46026</c:v>
                </c:pt>
                <c:pt idx="2185">
                  <c:v>46027</c:v>
                </c:pt>
                <c:pt idx="2186">
                  <c:v>46028</c:v>
                </c:pt>
                <c:pt idx="2187">
                  <c:v>46029</c:v>
                </c:pt>
                <c:pt idx="2188">
                  <c:v>46030</c:v>
                </c:pt>
                <c:pt idx="2189">
                  <c:v>46031</c:v>
                </c:pt>
                <c:pt idx="2190">
                  <c:v>46032</c:v>
                </c:pt>
                <c:pt idx="2191">
                  <c:v>46033</c:v>
                </c:pt>
                <c:pt idx="2192">
                  <c:v>46034</c:v>
                </c:pt>
                <c:pt idx="2193">
                  <c:v>46035</c:v>
                </c:pt>
                <c:pt idx="2194">
                  <c:v>46036</c:v>
                </c:pt>
                <c:pt idx="2195">
                  <c:v>46037</c:v>
                </c:pt>
                <c:pt idx="2196">
                  <c:v>46038</c:v>
                </c:pt>
                <c:pt idx="2197">
                  <c:v>46039</c:v>
                </c:pt>
                <c:pt idx="2198">
                  <c:v>46040</c:v>
                </c:pt>
                <c:pt idx="2199">
                  <c:v>46041</c:v>
                </c:pt>
                <c:pt idx="2200">
                  <c:v>46042</c:v>
                </c:pt>
                <c:pt idx="2201">
                  <c:v>46043</c:v>
                </c:pt>
                <c:pt idx="2202">
                  <c:v>46044</c:v>
                </c:pt>
                <c:pt idx="2203">
                  <c:v>46045</c:v>
                </c:pt>
                <c:pt idx="2204">
                  <c:v>46046</c:v>
                </c:pt>
                <c:pt idx="2205">
                  <c:v>46047</c:v>
                </c:pt>
                <c:pt idx="2206">
                  <c:v>46048</c:v>
                </c:pt>
                <c:pt idx="2207">
                  <c:v>46049</c:v>
                </c:pt>
                <c:pt idx="2208">
                  <c:v>46050</c:v>
                </c:pt>
                <c:pt idx="2209">
                  <c:v>46051</c:v>
                </c:pt>
                <c:pt idx="2210">
                  <c:v>46052</c:v>
                </c:pt>
                <c:pt idx="2211">
                  <c:v>46053</c:v>
                </c:pt>
                <c:pt idx="2212">
                  <c:v>46054</c:v>
                </c:pt>
                <c:pt idx="2213">
                  <c:v>46055</c:v>
                </c:pt>
                <c:pt idx="2214">
                  <c:v>46056</c:v>
                </c:pt>
                <c:pt idx="2215">
                  <c:v>46057</c:v>
                </c:pt>
                <c:pt idx="2216">
                  <c:v>46058</c:v>
                </c:pt>
                <c:pt idx="2217">
                  <c:v>46059</c:v>
                </c:pt>
                <c:pt idx="2218">
                  <c:v>46060</c:v>
                </c:pt>
                <c:pt idx="2219">
                  <c:v>46061</c:v>
                </c:pt>
                <c:pt idx="2220">
                  <c:v>46062</c:v>
                </c:pt>
                <c:pt idx="2221">
                  <c:v>46063</c:v>
                </c:pt>
                <c:pt idx="2222">
                  <c:v>46064</c:v>
                </c:pt>
                <c:pt idx="2223">
                  <c:v>46065</c:v>
                </c:pt>
                <c:pt idx="2224">
                  <c:v>46066</c:v>
                </c:pt>
                <c:pt idx="2225">
                  <c:v>46067</c:v>
                </c:pt>
                <c:pt idx="2226">
                  <c:v>46068</c:v>
                </c:pt>
                <c:pt idx="2227">
                  <c:v>46069</c:v>
                </c:pt>
                <c:pt idx="2228">
                  <c:v>46070</c:v>
                </c:pt>
                <c:pt idx="2229">
                  <c:v>46071</c:v>
                </c:pt>
                <c:pt idx="2230">
                  <c:v>46072</c:v>
                </c:pt>
                <c:pt idx="2231">
                  <c:v>46073</c:v>
                </c:pt>
                <c:pt idx="2232">
                  <c:v>46074</c:v>
                </c:pt>
                <c:pt idx="2233">
                  <c:v>46075</c:v>
                </c:pt>
                <c:pt idx="2234">
                  <c:v>46076</c:v>
                </c:pt>
                <c:pt idx="2235">
                  <c:v>46077</c:v>
                </c:pt>
                <c:pt idx="2236">
                  <c:v>46078</c:v>
                </c:pt>
                <c:pt idx="2237">
                  <c:v>46079</c:v>
                </c:pt>
                <c:pt idx="2238">
                  <c:v>46080</c:v>
                </c:pt>
                <c:pt idx="2239">
                  <c:v>46081</c:v>
                </c:pt>
                <c:pt idx="2240">
                  <c:v>46082</c:v>
                </c:pt>
                <c:pt idx="2241">
                  <c:v>46083</c:v>
                </c:pt>
                <c:pt idx="2242">
                  <c:v>46084</c:v>
                </c:pt>
                <c:pt idx="2243">
                  <c:v>46085</c:v>
                </c:pt>
                <c:pt idx="2244">
                  <c:v>46086</c:v>
                </c:pt>
                <c:pt idx="2245">
                  <c:v>46087</c:v>
                </c:pt>
                <c:pt idx="2246">
                  <c:v>46088</c:v>
                </c:pt>
                <c:pt idx="2247">
                  <c:v>46089</c:v>
                </c:pt>
                <c:pt idx="2248">
                  <c:v>46090</c:v>
                </c:pt>
                <c:pt idx="2249">
                  <c:v>46091</c:v>
                </c:pt>
                <c:pt idx="2250">
                  <c:v>46092</c:v>
                </c:pt>
                <c:pt idx="2251">
                  <c:v>46093</c:v>
                </c:pt>
                <c:pt idx="2252">
                  <c:v>46094</c:v>
                </c:pt>
                <c:pt idx="2253">
                  <c:v>46095</c:v>
                </c:pt>
                <c:pt idx="2254">
                  <c:v>46096</c:v>
                </c:pt>
                <c:pt idx="2255">
                  <c:v>46097</c:v>
                </c:pt>
                <c:pt idx="2256">
                  <c:v>46098</c:v>
                </c:pt>
                <c:pt idx="2257">
                  <c:v>46099</c:v>
                </c:pt>
                <c:pt idx="2258">
                  <c:v>46100</c:v>
                </c:pt>
                <c:pt idx="2259">
                  <c:v>46101</c:v>
                </c:pt>
                <c:pt idx="2260">
                  <c:v>46102</c:v>
                </c:pt>
                <c:pt idx="2261">
                  <c:v>46103</c:v>
                </c:pt>
                <c:pt idx="2262">
                  <c:v>46104</c:v>
                </c:pt>
                <c:pt idx="2263">
                  <c:v>46105</c:v>
                </c:pt>
                <c:pt idx="2264">
                  <c:v>46106</c:v>
                </c:pt>
                <c:pt idx="2265">
                  <c:v>46107</c:v>
                </c:pt>
                <c:pt idx="2266">
                  <c:v>46108</c:v>
                </c:pt>
                <c:pt idx="2267">
                  <c:v>46109</c:v>
                </c:pt>
                <c:pt idx="2268">
                  <c:v>46110</c:v>
                </c:pt>
                <c:pt idx="2269">
                  <c:v>46111</c:v>
                </c:pt>
                <c:pt idx="2270">
                  <c:v>46112</c:v>
                </c:pt>
                <c:pt idx="2271">
                  <c:v>46113</c:v>
                </c:pt>
                <c:pt idx="2272">
                  <c:v>46114</c:v>
                </c:pt>
                <c:pt idx="2273">
                  <c:v>46115</c:v>
                </c:pt>
                <c:pt idx="2274">
                  <c:v>46116</c:v>
                </c:pt>
                <c:pt idx="2275">
                  <c:v>46117</c:v>
                </c:pt>
                <c:pt idx="2276">
                  <c:v>46118</c:v>
                </c:pt>
                <c:pt idx="2277">
                  <c:v>46119</c:v>
                </c:pt>
                <c:pt idx="2278">
                  <c:v>46120</c:v>
                </c:pt>
                <c:pt idx="2279">
                  <c:v>46121</c:v>
                </c:pt>
                <c:pt idx="2280">
                  <c:v>46122</c:v>
                </c:pt>
                <c:pt idx="2281">
                  <c:v>46123</c:v>
                </c:pt>
                <c:pt idx="2282">
                  <c:v>46124</c:v>
                </c:pt>
                <c:pt idx="2283">
                  <c:v>46125</c:v>
                </c:pt>
                <c:pt idx="2284">
                  <c:v>46126</c:v>
                </c:pt>
                <c:pt idx="2285">
                  <c:v>46127</c:v>
                </c:pt>
                <c:pt idx="2286">
                  <c:v>46128</c:v>
                </c:pt>
                <c:pt idx="2287">
                  <c:v>46129</c:v>
                </c:pt>
                <c:pt idx="2288">
                  <c:v>46130</c:v>
                </c:pt>
                <c:pt idx="2289">
                  <c:v>46131</c:v>
                </c:pt>
                <c:pt idx="2290">
                  <c:v>46132</c:v>
                </c:pt>
                <c:pt idx="2291">
                  <c:v>46133</c:v>
                </c:pt>
                <c:pt idx="2292">
                  <c:v>46134</c:v>
                </c:pt>
                <c:pt idx="2293">
                  <c:v>46135</c:v>
                </c:pt>
                <c:pt idx="2294">
                  <c:v>46136</c:v>
                </c:pt>
                <c:pt idx="2295">
                  <c:v>46137</c:v>
                </c:pt>
                <c:pt idx="2296">
                  <c:v>46138</c:v>
                </c:pt>
                <c:pt idx="2297">
                  <c:v>46139</c:v>
                </c:pt>
                <c:pt idx="2298">
                  <c:v>46140</c:v>
                </c:pt>
                <c:pt idx="2299">
                  <c:v>46141</c:v>
                </c:pt>
                <c:pt idx="2300">
                  <c:v>46142</c:v>
                </c:pt>
                <c:pt idx="2301">
                  <c:v>46143</c:v>
                </c:pt>
                <c:pt idx="2302">
                  <c:v>46144</c:v>
                </c:pt>
                <c:pt idx="2303">
                  <c:v>46145</c:v>
                </c:pt>
                <c:pt idx="2304">
                  <c:v>46146</c:v>
                </c:pt>
                <c:pt idx="2305">
                  <c:v>46147</c:v>
                </c:pt>
                <c:pt idx="2306">
                  <c:v>46148</c:v>
                </c:pt>
                <c:pt idx="2307">
                  <c:v>46149</c:v>
                </c:pt>
                <c:pt idx="2308">
                  <c:v>46150</c:v>
                </c:pt>
                <c:pt idx="2309">
                  <c:v>46151</c:v>
                </c:pt>
                <c:pt idx="2310">
                  <c:v>46152</c:v>
                </c:pt>
                <c:pt idx="2311">
                  <c:v>46153</c:v>
                </c:pt>
                <c:pt idx="2312">
                  <c:v>46154</c:v>
                </c:pt>
                <c:pt idx="2313">
                  <c:v>46155</c:v>
                </c:pt>
                <c:pt idx="2314">
                  <c:v>46156</c:v>
                </c:pt>
                <c:pt idx="2315">
                  <c:v>46157</c:v>
                </c:pt>
                <c:pt idx="2316">
                  <c:v>46158</c:v>
                </c:pt>
                <c:pt idx="2317">
                  <c:v>46159</c:v>
                </c:pt>
                <c:pt idx="2318">
                  <c:v>46160</c:v>
                </c:pt>
                <c:pt idx="2319">
                  <c:v>46161</c:v>
                </c:pt>
                <c:pt idx="2320">
                  <c:v>46162</c:v>
                </c:pt>
                <c:pt idx="2321">
                  <c:v>46163</c:v>
                </c:pt>
                <c:pt idx="2322">
                  <c:v>46164</c:v>
                </c:pt>
                <c:pt idx="2323">
                  <c:v>46165</c:v>
                </c:pt>
                <c:pt idx="2324">
                  <c:v>46166</c:v>
                </c:pt>
                <c:pt idx="2325">
                  <c:v>46167</c:v>
                </c:pt>
                <c:pt idx="2326">
                  <c:v>46168</c:v>
                </c:pt>
                <c:pt idx="2327">
                  <c:v>46169</c:v>
                </c:pt>
                <c:pt idx="2328">
                  <c:v>46170</c:v>
                </c:pt>
                <c:pt idx="2329">
                  <c:v>46171</c:v>
                </c:pt>
                <c:pt idx="2330">
                  <c:v>46172</c:v>
                </c:pt>
                <c:pt idx="2331">
                  <c:v>46173</c:v>
                </c:pt>
                <c:pt idx="2332">
                  <c:v>46174</c:v>
                </c:pt>
                <c:pt idx="2333">
                  <c:v>46175</c:v>
                </c:pt>
                <c:pt idx="2334">
                  <c:v>46176</c:v>
                </c:pt>
                <c:pt idx="2335">
                  <c:v>46177</c:v>
                </c:pt>
                <c:pt idx="2336">
                  <c:v>46178</c:v>
                </c:pt>
                <c:pt idx="2337">
                  <c:v>46179</c:v>
                </c:pt>
                <c:pt idx="2338">
                  <c:v>46180</c:v>
                </c:pt>
                <c:pt idx="2339">
                  <c:v>46181</c:v>
                </c:pt>
                <c:pt idx="2340">
                  <c:v>46182</c:v>
                </c:pt>
                <c:pt idx="2341">
                  <c:v>46183</c:v>
                </c:pt>
                <c:pt idx="2342">
                  <c:v>46184</c:v>
                </c:pt>
                <c:pt idx="2343">
                  <c:v>46185</c:v>
                </c:pt>
                <c:pt idx="2344">
                  <c:v>46186</c:v>
                </c:pt>
                <c:pt idx="2345">
                  <c:v>46187</c:v>
                </c:pt>
                <c:pt idx="2346">
                  <c:v>46188</c:v>
                </c:pt>
                <c:pt idx="2347">
                  <c:v>46189</c:v>
                </c:pt>
                <c:pt idx="2348">
                  <c:v>46190</c:v>
                </c:pt>
                <c:pt idx="2349">
                  <c:v>46191</c:v>
                </c:pt>
                <c:pt idx="2350">
                  <c:v>46192</c:v>
                </c:pt>
                <c:pt idx="2351">
                  <c:v>46193</c:v>
                </c:pt>
                <c:pt idx="2352">
                  <c:v>46194</c:v>
                </c:pt>
                <c:pt idx="2353">
                  <c:v>46195</c:v>
                </c:pt>
                <c:pt idx="2354">
                  <c:v>46196</c:v>
                </c:pt>
                <c:pt idx="2355">
                  <c:v>46197</c:v>
                </c:pt>
                <c:pt idx="2356">
                  <c:v>46198</c:v>
                </c:pt>
                <c:pt idx="2357">
                  <c:v>46199</c:v>
                </c:pt>
                <c:pt idx="2358">
                  <c:v>46200</c:v>
                </c:pt>
                <c:pt idx="2359">
                  <c:v>46201</c:v>
                </c:pt>
                <c:pt idx="2360">
                  <c:v>46202</c:v>
                </c:pt>
                <c:pt idx="2361">
                  <c:v>46203</c:v>
                </c:pt>
                <c:pt idx="2362">
                  <c:v>46204</c:v>
                </c:pt>
                <c:pt idx="2363">
                  <c:v>46205</c:v>
                </c:pt>
                <c:pt idx="2364">
                  <c:v>46206</c:v>
                </c:pt>
                <c:pt idx="2365">
                  <c:v>46207</c:v>
                </c:pt>
              </c:numCache>
            </c:numRef>
          </c:cat>
          <c:val>
            <c:numRef>
              <c:f>AI_Forecast!$D$2:$D$2367</c:f>
              <c:numCache>
                <c:formatCode>General</c:formatCode>
                <c:ptCount val="2366"/>
                <c:pt idx="1999" formatCode="0">
                  <c:v>10400</c:v>
                </c:pt>
                <c:pt idx="2000" formatCode="0">
                  <c:v>889.75656760236143</c:v>
                </c:pt>
                <c:pt idx="2001" formatCode="0">
                  <c:v>942.68531007394085</c:v>
                </c:pt>
                <c:pt idx="2002" formatCode="0">
                  <c:v>1089.7600146197719</c:v>
                </c:pt>
                <c:pt idx="2003" formatCode="0">
                  <c:v>864.16709289543996</c:v>
                </c:pt>
                <c:pt idx="2004" formatCode="0">
                  <c:v>-815.82767624707685</c:v>
                </c:pt>
                <c:pt idx="2005" formatCode="0">
                  <c:v>-982.43168521630923</c:v>
                </c:pt>
                <c:pt idx="2006" formatCode="0">
                  <c:v>2803.7869928509663</c:v>
                </c:pt>
                <c:pt idx="2007" formatCode="0">
                  <c:v>1777.4754686581709</c:v>
                </c:pt>
                <c:pt idx="2008" formatCode="0">
                  <c:v>893.90752545197302</c:v>
                </c:pt>
                <c:pt idx="2009" formatCode="0">
                  <c:v>364.90636595515116</c:v>
                </c:pt>
                <c:pt idx="2010" formatCode="0">
                  <c:v>1726.1572075428949</c:v>
                </c:pt>
                <c:pt idx="2011" formatCode="0">
                  <c:v>3390.9363164340002</c:v>
                </c:pt>
                <c:pt idx="2012" formatCode="0">
                  <c:v>646.30363779455547</c:v>
                </c:pt>
                <c:pt idx="2013" formatCode="0">
                  <c:v>698.50221982400308</c:v>
                </c:pt>
                <c:pt idx="2014" formatCode="0">
                  <c:v>844.76643690666788</c:v>
                </c:pt>
                <c:pt idx="2015" formatCode="0">
                  <c:v>618.28297460012982</c:v>
                </c:pt>
                <c:pt idx="2016" formatCode="0">
                  <c:v>-1062.6821064809064</c:v>
                </c:pt>
                <c:pt idx="2017" formatCode="0">
                  <c:v>-1230.3359084121876</c:v>
                </c:pt>
                <c:pt idx="2018" formatCode="0">
                  <c:v>2554.7537952706743</c:v>
                </c:pt>
                <c:pt idx="2019" formatCode="0">
                  <c:v>1527.2344248273857</c:v>
                </c:pt>
                <c:pt idx="2020" formatCode="0">
                  <c:v>642.38008369033287</c:v>
                </c:pt>
                <c:pt idx="2021" formatCode="0">
                  <c:v>112.01430605870155</c:v>
                </c:pt>
                <c:pt idx="2022" formatCode="0">
                  <c:v>1471.8226527219804</c:v>
                </c:pt>
                <c:pt idx="2023" formatCode="0">
                  <c:v>3135.0817458836491</c:v>
                </c:pt>
                <c:pt idx="2024" formatCode="0">
                  <c:v>377.42791383240728</c:v>
                </c:pt>
                <c:pt idx="2025" formatCode="0">
                  <c:v>428.00862816540666</c:v>
                </c:pt>
                <c:pt idx="2026" formatCode="0">
                  <c:v>572.58113637419137</c:v>
                </c:pt>
                <c:pt idx="2027" formatCode="0">
                  <c:v>344.33251451336946</c:v>
                </c:pt>
                <c:pt idx="2028" formatCode="0">
                  <c:v>-1338.4707723043775</c:v>
                </c:pt>
                <c:pt idx="2029" formatCode="0">
                  <c:v>-1508.0354071776719</c:v>
                </c:pt>
                <c:pt idx="2030" formatCode="0">
                  <c:v>2275.0712702735582</c:v>
                </c:pt>
                <c:pt idx="2031" formatCode="0">
                  <c:v>1245.4971296029044</c:v>
                </c:pt>
                <c:pt idx="2032" formatCode="0">
                  <c:v>358.51673933390248</c:v>
                </c:pt>
                <c:pt idx="2033" formatCode="0">
                  <c:v>-174.04588504842741</c:v>
                </c:pt>
                <c:pt idx="2034" formatCode="0">
                  <c:v>1183.4953151009431</c:v>
                </c:pt>
                <c:pt idx="2035" formatCode="0">
                  <c:v>2844.4174767623126</c:v>
                </c:pt>
                <c:pt idx="2036" formatCode="0">
                  <c:v>74.894298644832816</c:v>
                </c:pt>
                <c:pt idx="2037" formatCode="0">
                  <c:v>123.08220149118824</c:v>
                </c:pt>
                <c:pt idx="2038" formatCode="0">
                  <c:v>265.19585111355809</c:v>
                </c:pt>
                <c:pt idx="2039" formatCode="0">
                  <c:v>34.422869028861896</c:v>
                </c:pt>
                <c:pt idx="2040" formatCode="0">
                  <c:v>-1650.9697175386909</c:v>
                </c:pt>
                <c:pt idx="2041" formatCode="0">
                  <c:v>-1823.1880127372278</c:v>
                </c:pt>
                <c:pt idx="2042" formatCode="0">
                  <c:v>1957.2012397671506</c:v>
                </c:pt>
                <c:pt idx="2043" formatCode="0">
                  <c:v>924.8465226235212</c:v>
                </c:pt>
                <c:pt idx="2044" formatCode="0">
                  <c:v>35.023034704182464</c:v>
                </c:pt>
                <c:pt idx="2045" formatCode="0">
                  <c:v>-500.44456081935914</c:v>
                </c:pt>
                <c:pt idx="2046" formatCode="0">
                  <c:v>854.1304597787248</c:v>
                </c:pt>
                <c:pt idx="2047" formatCode="0">
                  <c:v>2512.0259159821962</c:v>
                </c:pt>
                <c:pt idx="2048" formatCode="0">
                  <c:v>-267.95716455407182</c:v>
                </c:pt>
                <c:pt idx="2049" formatCode="0">
                  <c:v>-222.81437194652972</c:v>
                </c:pt>
                <c:pt idx="2050" formatCode="0">
                  <c:v>-83.802747429369447</c:v>
                </c:pt>
                <c:pt idx="2051" formatCode="0">
                  <c:v>-317.73397300776287</c:v>
                </c:pt>
                <c:pt idx="2052" formatCode="0">
                  <c:v>-2006.3403091655773</c:v>
                </c:pt>
                <c:pt idx="2053" formatCode="0">
                  <c:v>-2181.8271320537342</c:v>
                </c:pt>
                <c:pt idx="2054" formatCode="0">
                  <c:v>1595.2395582289064</c:v>
                </c:pt>
                <c:pt idx="2055" formatCode="0">
                  <c:v>559.50900330683908</c:v>
                </c:pt>
                <c:pt idx="2056" formatCode="0">
                  <c:v>-333.74282375244093</c:v>
                </c:pt>
                <c:pt idx="2057" formatCode="0">
                  <c:v>-872.69047057750686</c:v>
                </c:pt>
                <c:pt idx="2058" formatCode="0">
                  <c:v>478.35359052067906</c:v>
                </c:pt>
                <c:pt idx="2059" formatCode="0">
                  <c:v>2132.6679974845702</c:v>
                </c:pt>
                <c:pt idx="2060" formatCode="0">
                  <c:v>-656.2073602835153</c:v>
                </c:pt>
                <c:pt idx="2061" formatCode="0">
                  <c:v>-614.63318757421894</c:v>
                </c:pt>
                <c:pt idx="2062" formatCode="0">
                  <c:v>-479.23700680289676</c:v>
                </c:pt>
                <c:pt idx="2063" formatCode="0">
                  <c:v>-716.82969009327371</c:v>
                </c:pt>
                <c:pt idx="2064" formatCode="0">
                  <c:v>-2409.1426758890439</c:v>
                </c:pt>
                <c:pt idx="2065" formatCode="0">
                  <c:v>-2588.3805064926837</c:v>
                </c:pt>
                <c:pt idx="2066" formatCode="0">
                  <c:v>1184.8916632820092</c:v>
                </c:pt>
                <c:pt idx="2067" formatCode="0">
                  <c:v>145.32393138884981</c:v>
                </c:pt>
                <c:pt idx="2068" formatCode="0">
                  <c:v>-751.80686214362777</c:v>
                </c:pt>
                <c:pt idx="2069" formatCode="0">
                  <c:v>-1294.674387783225</c:v>
                </c:pt>
                <c:pt idx="2070" formatCode="0">
                  <c:v>52.409769068697642</c:v>
                </c:pt>
                <c:pt idx="2071" formatCode="0">
                  <c:v>1702.7251425440427</c:v>
                </c:pt>
                <c:pt idx="2072" formatCode="0">
                  <c:v>-1093.4208867544821</c:v>
                </c:pt>
                <c:pt idx="2073" formatCode="0">
                  <c:v>-1055.8104552011164</c:v>
                </c:pt>
                <c:pt idx="2074" formatCode="0">
                  <c:v>-924.41440464379139</c:v>
                </c:pt>
                <c:pt idx="2075" formatCode="0">
                  <c:v>-1166.0427410387538</c:v>
                </c:pt>
                <c:pt idx="2076" formatCode="0">
                  <c:v>-2862.4260297786841</c:v>
                </c:pt>
                <c:pt idx="2077" formatCode="0">
                  <c:v>-3045.7679337183472</c:v>
                </c:pt>
                <c:pt idx="2078" formatCode="0">
                  <c:v>723.36727767424054</c:v>
                </c:pt>
                <c:pt idx="2079" formatCode="0">
                  <c:v>-320.36940691273412</c:v>
                </c:pt>
                <c:pt idx="2080" formatCode="0">
                  <c:v>-1221.7002518472955</c:v>
                </c:pt>
                <c:pt idx="2081" formatCode="0">
                  <c:v>-1768.7980276533335</c:v>
                </c:pt>
                <c:pt idx="2082" formatCode="0">
                  <c:v>-425.97341598458297</c:v>
                </c:pt>
                <c:pt idx="2083" formatCode="0">
                  <c:v>1220.0540242982679</c:v>
                </c:pt>
                <c:pt idx="2084" formatCode="0">
                  <c:v>-1581.7815624239738</c:v>
                </c:pt>
                <c:pt idx="2085" formatCode="0">
                  <c:v>-1548.4091095232698</c:v>
                </c:pt>
                <c:pt idx="2086" formatCode="0">
                  <c:v>-1421.2773113610474</c:v>
                </c:pt>
                <c:pt idx="2087" formatCode="0">
                  <c:v>-1667.1953123396961</c:v>
                </c:pt>
                <c:pt idx="2088" formatCode="0">
                  <c:v>-3367.8928149735348</c:v>
                </c:pt>
                <c:pt idx="2089" formatCode="0">
                  <c:v>-3555.5726184226896</c:v>
                </c:pt>
                <c:pt idx="2090" formatCode="0">
                  <c:v>209.2018718458221</c:v>
                </c:pt>
                <c:pt idx="2091" formatCode="0">
                  <c:v>-838.91749168325805</c:v>
                </c:pt>
                <c:pt idx="2092" formatCode="0">
                  <c:v>-1744.6521102966017</c:v>
                </c:pt>
                <c:pt idx="2093" formatCode="0">
                  <c:v>-2296.1738926618318</c:v>
                </c:pt>
                <c:pt idx="2094" formatCode="0">
                  <c:v>-957.79266030958388</c:v>
                </c:pt>
                <c:pt idx="2095" formatCode="0">
                  <c:v>683.77288578389198</c:v>
                </c:pt>
                <c:pt idx="2096" formatCode="0">
                  <c:v>-2122.2857679805184</c:v>
                </c:pt>
                <c:pt idx="2097" formatCode="0">
                  <c:v>-2093.3180200296683</c:v>
                </c:pt>
                <c:pt idx="2098" formatCode="0">
                  <c:v>-1970.6079644985912</c:v>
                </c:pt>
                <c:pt idx="2099" formatCode="0">
                  <c:v>-2220.9639408248458</c:v>
                </c:pt>
                <c:pt idx="2100" formatCode="0">
                  <c:v>-3926.1148500109521</c:v>
                </c:pt>
                <c:pt idx="2101" formatCode="0">
                  <c:v>-4118.2626935979115</c:v>
                </c:pt>
                <c:pt idx="2102" formatCode="0">
                  <c:v>-357.97008376007034</c:v>
                </c:pt>
                <c:pt idx="2103" formatCode="0">
                  <c:v>-1410.5843794736338</c:v>
                </c:pt>
                <c:pt idx="2104" formatCode="0">
                  <c:v>-2320.8261986598282</c:v>
                </c:pt>
                <c:pt idx="2105" formatCode="0">
                  <c:v>-2876.8666722065564</c:v>
                </c:pt>
                <c:pt idx="2106" formatCode="0">
                  <c:v>-1543.0148498541748</c:v>
                </c:pt>
                <c:pt idx="2107" formatCode="0">
                  <c:v>94.011332827172737</c:v>
                </c:pt>
                <c:pt idx="2108" formatCode="0">
                  <c:v>-2714.9675293594983</c:v>
                </c:pt>
                <c:pt idx="2109" formatCode="0">
                  <c:v>-2690.4807165356979</c:v>
                </c:pt>
                <c:pt idx="2110" formatCode="0">
                  <c:v>-2572.2606489166465</c:v>
                </c:pt>
                <c:pt idx="2111" formatCode="0">
                  <c:v>-2827.1149535777004</c:v>
                </c:pt>
                <c:pt idx="2112" formatCode="0">
                  <c:v>-4536.7718260254433</c:v>
                </c:pt>
                <c:pt idx="2113" formatCode="0">
                  <c:v>-4733.4325694938825</c:v>
                </c:pt>
                <c:pt idx="2114" formatCode="0">
                  <c:v>-977.6591053520151</c:v>
                </c:pt>
                <c:pt idx="2115" formatCode="0">
                  <c:v>-2034.7981095746836</c:v>
                </c:pt>
                <c:pt idx="2116" formatCode="0">
                  <c:v>-2949.5695251773759</c:v>
                </c:pt>
                <c:pt idx="2117" formatCode="0">
                  <c:v>-3510.1438165186091</c:v>
                </c:pt>
                <c:pt idx="2118" formatCode="0">
                  <c:v>-2180.829375455136</c:v>
                </c:pt>
                <c:pt idx="2119" formatCode="0">
                  <c:v>-548.34348857725126</c:v>
                </c:pt>
                <c:pt idx="2120" formatCode="0">
                  <c:v>-3359.127895666682</c:v>
                </c:pt>
                <c:pt idx="2121" formatCode="0">
                  <c:v>-3339.1260237342176</c:v>
                </c:pt>
                <c:pt idx="2122" formatCode="0">
                  <c:v>-3225.3933844761486</c:v>
                </c:pt>
                <c:pt idx="2123" formatCode="0">
                  <c:v>-3484.7370038992094</c:v>
                </c:pt>
                <c:pt idx="2124" formatCode="0">
                  <c:v>-5198.8844852425855</c:v>
                </c:pt>
                <c:pt idx="2125" formatCode="0">
                  <c:v>-5400.0365484702188</c:v>
                </c:pt>
                <c:pt idx="2126" formatCode="0">
                  <c:v>-1648.7545408635597</c:v>
                </c:pt>
                <c:pt idx="2127" formatCode="0">
                  <c:v>-2710.3845736667154</c:v>
                </c:pt>
                <c:pt idx="2128" formatCode="0">
                  <c:v>-3629.6460346845624</c:v>
                </c:pt>
                <c:pt idx="2129" formatCode="0">
                  <c:v>-4194.7088427373619</c:v>
                </c:pt>
                <c:pt idx="2130" formatCode="0">
                  <c:v>-2869.8808539572146</c:v>
                </c:pt>
                <c:pt idx="2131" formatCode="0">
                  <c:v>-1241.8788291535402</c:v>
                </c:pt>
                <c:pt idx="2132" formatCode="0">
                  <c:v>-4053.5467519835775</c:v>
                </c:pt>
                <c:pt idx="2133" formatCode="0">
                  <c:v>-4037.9791690478351</c:v>
                </c:pt>
                <c:pt idx="2134" formatCode="0">
                  <c:v>-3928.6781580160832</c:v>
                </c:pt>
                <c:pt idx="2135" formatCode="0">
                  <c:v>-4192.4502590498951</c:v>
                </c:pt>
                <c:pt idx="2136" formatCode="0">
                  <c:v>-5911.0225990054741</c:v>
                </c:pt>
                <c:pt idx="2137" formatCode="0">
                  <c:v>-6116.5954310116695</c:v>
                </c:pt>
                <c:pt idx="2138" formatCode="0">
                  <c:v>-2369.7296451388429</c:v>
                </c:pt>
                <c:pt idx="2139" formatCode="0">
                  <c:v>-3435.7709051107049</c:v>
                </c:pt>
                <c:pt idx="2140" formatCode="0">
                  <c:v>-4359.4381609596376</c:v>
                </c:pt>
                <c:pt idx="2141" formatCode="0">
                  <c:v>-4928.9009035293711</c:v>
                </c:pt>
                <c:pt idx="2142" formatCode="0">
                  <c:v>-3608.4665708103112</c:v>
                </c:pt>
                <c:pt idx="2143" formatCode="0">
                  <c:v>-1984.8515153349308</c:v>
                </c:pt>
                <c:pt idx="2144" formatCode="0">
                  <c:v>-4796.6637026310073</c:v>
                </c:pt>
                <c:pt idx="2145" formatCode="0">
                  <c:v>-4785.4406777265731</c:v>
                </c:pt>
                <c:pt idx="2146" formatCode="0">
                  <c:v>-4680.4777132484387</c:v>
                </c:pt>
                <c:pt idx="2147" formatCode="0">
                  <c:v>-4948.5809722125059</c:v>
                </c:pt>
                <c:pt idx="2148" formatCode="0">
                  <c:v>-6671.4772135245703</c:v>
                </c:pt>
                <c:pt idx="2149" formatCode="0">
                  <c:v>-6881.3663315615759</c:v>
                </c:pt>
                <c:pt idx="2150" formatCode="0">
                  <c:v>-3138.8088668363962</c:v>
                </c:pt>
                <c:pt idx="2151" formatCode="0">
                  <c:v>-4209.1501426983777</c:v>
                </c:pt>
                <c:pt idx="2152" formatCode="0">
                  <c:v>-5137.108777970413</c:v>
                </c:pt>
                <c:pt idx="2153" formatCode="0">
                  <c:v>-5710.8539414265415</c:v>
                </c:pt>
                <c:pt idx="2154" formatCode="0">
                  <c:v>-4394.6927580956253</c:v>
                </c:pt>
                <c:pt idx="2155" formatCode="0">
                  <c:v>-2775.3412766186702</c:v>
                </c:pt>
                <c:pt idx="2156" formatCode="0">
                  <c:v>-5586.7227841169461</c:v>
                </c:pt>
                <c:pt idx="2157" formatCode="0">
                  <c:v>-5579.7284806408488</c:v>
                </c:pt>
                <c:pt idx="2158" formatCode="0">
                  <c:v>-5478.9849903084059</c:v>
                </c:pt>
                <c:pt idx="2159" formatCode="0">
                  <c:v>-5751.2981950812673</c:v>
                </c:pt>
                <c:pt idx="2160" formatCode="0">
                  <c:v>-7478.3945811666417</c:v>
                </c:pt>
                <c:pt idx="2161" formatCode="0">
                  <c:v>-7692.4737785482612</c:v>
                </c:pt>
                <c:pt idx="2162" formatCode="0">
                  <c:v>-3954.0960715958954</c:v>
                </c:pt>
                <c:pt idx="2163" formatCode="0">
                  <c:v>-5028.6065357058251</c:v>
                </c:pt>
                <c:pt idx="2164" formatCode="0">
                  <c:v>-5960.723549873238</c:v>
                </c:pt>
                <c:pt idx="2165" formatCode="0">
                  <c:v>-6538.6160511007465</c:v>
                </c:pt>
                <c:pt idx="2166" formatCode="0">
                  <c:v>-5226.5909406287428</c:v>
                </c:pt>
                <c:pt idx="2167" formatCode="0">
                  <c:v>-3611.3640512153979</c:v>
                </c:pt>
                <c:pt idx="2168" formatCode="0">
                  <c:v>-6421.8817756089556</c:v>
                </c:pt>
                <c:pt idx="2169" formatCode="0">
                  <c:v>-6418.9845137443799</c:v>
                </c:pt>
                <c:pt idx="2170" formatCode="0">
                  <c:v>-6322.3269936782381</c:v>
                </c:pt>
                <c:pt idx="2171" formatCode="0">
                  <c:v>-6598.714897242693</c:v>
                </c:pt>
                <c:pt idx="2172" formatCode="0">
                  <c:v>-8329.8745177511155</c:v>
                </c:pt>
                <c:pt idx="2173" formatCode="0">
                  <c:v>-8548.0052994495636</c:v>
                </c:pt>
                <c:pt idx="2174" formatCode="0">
                  <c:v>-4813.6673480438221</c:v>
                </c:pt>
                <c:pt idx="2175" formatCode="0">
                  <c:v>-5892.2055672546176</c:v>
                </c:pt>
                <c:pt idx="2176" formatCode="0">
                  <c:v>-6828.3381713021226</c:v>
                </c:pt>
                <c:pt idx="2177" formatCode="0">
                  <c:v>-7410.233939224091</c:v>
                </c:pt>
                <c:pt idx="2178" formatCode="0">
                  <c:v>-6102.1996210135603</c:v>
                </c:pt>
                <c:pt idx="2179" formatCode="0">
                  <c:v>-4490.9509048040272</c:v>
                </c:pt>
                <c:pt idx="2180" formatCode="0">
                  <c:v>-7300.2903968854425</c:v>
                </c:pt>
                <c:pt idx="2181" formatCode="0">
                  <c:v>-7301.3504197217553</c:v>
                </c:pt>
                <c:pt idx="2182" formatCode="0">
                  <c:v>-7208.6380050351017</c:v>
                </c:pt>
                <c:pt idx="2183" formatCode="0">
                  <c:v>-7488.958700142357</c:v>
                </c:pt>
                <c:pt idx="2184" formatCode="0">
                  <c:v>-9224.0386698839848</c:v>
                </c:pt>
                <c:pt idx="2185" formatCode="0">
                  <c:v>-9446.0772359845614</c:v>
                </c:pt>
                <c:pt idx="2186" formatCode="0">
                  <c:v>-5715.6343874874419</c:v>
                </c:pt>
                <c:pt idx="2187" formatCode="0">
                  <c:v>-6798.0549172162555</c:v>
                </c:pt>
                <c:pt idx="2188" formatCode="0">
                  <c:v>-7738.056934164566</c:v>
                </c:pt>
                <c:pt idx="2189" formatCode="0">
                  <c:v>-8323.8091177180358</c:v>
                </c:pt>
                <c:pt idx="2190" formatCode="0">
                  <c:v>-7019.6181236952743</c:v>
                </c:pt>
                <c:pt idx="2191" formatCode="0">
                  <c:v>-5412.1995514353057</c:v>
                </c:pt>
                <c:pt idx="2192" formatCode="0">
                  <c:v>-8220.1431449687589</c:v>
                </c:pt>
                <c:pt idx="2193" formatCode="0">
                  <c:v>-8225.0182602133755</c:v>
                </c:pt>
                <c:pt idx="2194" formatCode="0">
                  <c:v>-8136.1081937995277</c:v>
                </c:pt>
                <c:pt idx="2195" formatCode="0">
                  <c:v>-8420.2184100999893</c:v>
                </c:pt>
                <c:pt idx="2196" formatCode="0">
                  <c:v>-10159.07499591522</c:v>
                </c:pt>
                <c:pt idx="2197" formatCode="0">
                  <c:v>-10384.877199743107</c:v>
                </c:pt>
                <c:pt idx="2198" formatCode="0">
                  <c:v>-6658.184942122396</c:v>
                </c:pt>
                <c:pt idx="2199" formatCode="0">
                  <c:v>-7744.3429520026984</c:v>
                </c:pt>
                <c:pt idx="2200" formatCode="0">
                  <c:v>-8688.0692790423309</c:v>
                </c:pt>
                <c:pt idx="2201" formatCode="0">
                  <c:v>-9277.5325477386941</c:v>
                </c:pt>
                <c:pt idx="2202" formatCode="0">
                  <c:v>-7977.0393633770946</c:v>
                </c:pt>
                <c:pt idx="2203" formatCode="0">
                  <c:v>-6373.3052790263901</c:v>
                </c:pt>
                <c:pt idx="2204" formatCode="0">
                  <c:v>-9179.7126090404599</c:v>
                </c:pt>
                <c:pt idx="2205" formatCode="0">
                  <c:v>-9188.262121400403</c:v>
                </c:pt>
                <c:pt idx="2206" formatCode="0">
                  <c:v>-9103.013542073626</c:v>
                </c:pt>
                <c:pt idx="2207" formatCode="0">
                  <c:v>-9390.7722919452463</c:v>
                </c:pt>
                <c:pt idx="2208" formatCode="0">
                  <c:v>-11133.26441821656</c:v>
                </c:pt>
                <c:pt idx="2209" formatCode="0">
                  <c:v>-11362.689133590797</c:v>
                </c:pt>
                <c:pt idx="2210" formatCode="0">
                  <c:v>-7639.606326532692</c:v>
                </c:pt>
                <c:pt idx="2211" formatCode="0">
                  <c:v>-8729.3606975550538</c:v>
                </c:pt>
                <c:pt idx="2212" formatCode="0">
                  <c:v>-9676.6702714334897</c:v>
                </c:pt>
                <c:pt idx="2213" formatCode="0">
                  <c:v>-10269.703651253994</c:v>
                </c:pt>
                <c:pt idx="2214" formatCode="0">
                  <c:v>-8972.7674242796147</c:v>
                </c:pt>
                <c:pt idx="2215" formatCode="0">
                  <c:v>-7372.5771288642791</c:v>
                </c:pt>
                <c:pt idx="2216" formatCode="0">
                  <c:v>-10177.368449177855</c:v>
                </c:pt>
                <c:pt idx="2217" formatCode="0">
                  <c:v>-10189.455774859356</c:v>
                </c:pt>
                <c:pt idx="2218" formatCode="0">
                  <c:v>-10107.732216481982</c:v>
                </c:pt>
                <c:pt idx="2219" formatCode="0">
                  <c:v>-10399.003180884687</c:v>
                </c:pt>
                <c:pt idx="2220" formatCode="0">
                  <c:v>-12144.994704244476</c:v>
                </c:pt>
                <c:pt idx="2221" formatCode="0">
                  <c:v>-12377.905991188007</c:v>
                </c:pt>
                <c:pt idx="2222" formatCode="0">
                  <c:v>-8658.2969249778325</c:v>
                </c:pt>
                <c:pt idx="2223" formatCode="0">
                  <c:v>-9751.5122037260408</c:v>
                </c:pt>
                <c:pt idx="2224" formatCode="0">
                  <c:v>-10702.269852536829</c:v>
                </c:pt>
                <c:pt idx="2225" formatCode="0">
                  <c:v>-11298.738477482631</c:v>
                </c:pt>
                <c:pt idx="2226" formatCode="0">
                  <c:v>-10005.224671399992</c:v>
                </c:pt>
                <c:pt idx="2227" formatCode="0">
                  <c:v>-8408.4439807334202</c:v>
                </c:pt>
                <c:pt idx="2228" formatCode="0">
                  <c:v>-11211.586279641706</c:v>
                </c:pt>
                <c:pt idx="2229" formatCode="0">
                  <c:v>-11227.080579273144</c:v>
                </c:pt>
                <c:pt idx="2230" formatCode="0">
                  <c:v>-11148.751514316074</c:v>
                </c:pt>
                <c:pt idx="2231" formatCode="0">
                  <c:v>-11443.404498981152</c:v>
                </c:pt>
                <c:pt idx="2232" formatCode="0">
                  <c:v>-13192.765579122395</c:v>
                </c:pt>
                <c:pt idx="2233" formatCode="0">
                  <c:v>-13429.033971285722</c:v>
                </c:pt>
                <c:pt idx="2234" formatCode="0">
                  <c:v>-9712.7695728327599</c:v>
                </c:pt>
                <c:pt idx="2235" formatCode="0">
                  <c:v>-10809.317098092912</c:v>
                </c:pt>
                <c:pt idx="2236" formatCode="0">
                  <c:v>-11763.394590445118</c:v>
                </c:pt>
                <c:pt idx="2237" formatCode="0">
                  <c:v>-12363.170676233922</c:v>
                </c:pt>
                <c:pt idx="2238" formatCode="0">
                  <c:v>-11072.951970506148</c:v>
                </c:pt>
                <c:pt idx="2239" formatCode="0">
                  <c:v>-9479.4540437963569</c:v>
                </c:pt>
                <c:pt idx="2240" formatCode="0">
                  <c:v>-12280.949732245977</c:v>
                </c:pt>
                <c:pt idx="2241" formatCode="0">
                  <c:v>-12299.726834297406</c:v>
                </c:pt>
                <c:pt idx="2242" formatCode="0">
                  <c:v>-12224.668529820705</c:v>
                </c:pt>
                <c:pt idx="2243" formatCode="0">
                  <c:v>-12522.580255541154</c:v>
                </c:pt>
                <c:pt idx="2244" formatCode="0">
                  <c:v>-14275.188081554101</c:v>
                </c:pt>
                <c:pt idx="2245" formatCode="0">
                  <c:v>-14514.691250320935</c:v>
                </c:pt>
                <c:pt idx="2246" formatCode="0">
                  <c:v>-10801.649686741226</c:v>
                </c:pt>
                <c:pt idx="2247" formatCode="0">
                  <c:v>-11901.408134253765</c:v>
                </c:pt>
                <c:pt idx="2248" formatCode="0">
                  <c:v>-12858.68466686819</c:v>
                </c:pt>
                <c:pt idx="2249" formatCode="0">
                  <c:v>-13461.647943031672</c:v>
                </c:pt>
                <c:pt idx="2250" formatCode="0">
                  <c:v>-12174.604611317029</c:v>
                </c:pt>
                <c:pt idx="2251" formatCode="0">
                  <c:v>-10584.270277160394</c:v>
                </c:pt>
                <c:pt idx="2252" formatCode="0">
                  <c:v>-13384.148123220239</c:v>
                </c:pt>
                <c:pt idx="2253" formatCode="0">
                  <c:v>-13406.090948915022</c:v>
                </c:pt>
                <c:pt idx="2254" formatCode="0">
                  <c:v>-13334.186841714551</c:v>
                </c:pt>
                <c:pt idx="2255" formatCode="0">
                  <c:v>-13635.241271189134</c:v>
                </c:pt>
                <c:pt idx="2256" formatCode="0">
                  <c:v>-15390.980341546898</c:v>
                </c:pt>
                <c:pt idx="2257" formatCode="0">
                  <c:v>-15633.60333058685</c:v>
                </c:pt>
                <c:pt idx="2258" formatCode="0">
                  <c:v>-11923.670199728786</c:v>
                </c:pt>
                <c:pt idx="2259" formatCode="0">
                  <c:v>-13026.525730072912</c:v>
                </c:pt>
                <c:pt idx="2260" formatCode="0">
                  <c:v>-13986.888034390711</c:v>
                </c:pt>
                <c:pt idx="2261" formatCode="0">
                  <c:v>-14592.925810951692</c:v>
                </c:pt>
                <c:pt idx="2262" formatCode="0">
                  <c:v>-13308.945749172228</c:v>
                </c:pt>
                <c:pt idx="2263" formatCode="0">
                  <c:v>-11721.663496314757</c:v>
                </c:pt>
                <c:pt idx="2264" formatCode="0">
                  <c:v>-14519.971454837212</c:v>
                </c:pt>
                <c:pt idx="2265" formatCode="0">
                  <c:v>-14544.970103080283</c:v>
                </c:pt>
                <c:pt idx="2266" formatCode="0">
                  <c:v>-14476.110848653247</c:v>
                </c:pt>
                <c:pt idx="2267" formatCode="0">
                  <c:v>-14780.199200672001</c:v>
                </c:pt>
                <c:pt idx="2268" formatCode="0">
                  <c:v>-16538.961303799249</c:v>
                </c:pt>
                <c:pt idx="2269" formatCode="0">
                  <c:v>-16784.596477162893</c:v>
                </c:pt>
                <c:pt idx="2270" formatCode="0">
                  <c:v>-13077.664724352027</c:v>
                </c:pt>
                <c:pt idx="2271" formatCode="0">
                  <c:v>-14183.510869443224</c:v>
                </c:pt>
                <c:pt idx="2272" formatCode="0">
                  <c:v>-15146.853068958799</c:v>
                </c:pt>
                <c:pt idx="2273" formatCode="0">
                  <c:v>-15755.860065661524</c:v>
                </c:pt>
                <c:pt idx="2274" formatCode="0">
                  <c:v>-14474.838594172206</c:v>
                </c:pt>
                <c:pt idx="2275" formatCode="0">
                  <c:v>-12890.504347638147</c:v>
                </c:pt>
                <c:pt idx="2276" formatCode="0">
                  <c:v>-15687.303950827434</c:v>
                </c:pt>
                <c:pt idx="2277" formatCode="0">
                  <c:v>-15715.25555928689</c:v>
                </c:pt>
                <c:pt idx="2278" formatCode="0">
                  <c:v>-15649.338867475481</c:v>
                </c:pt>
                <c:pt idx="2279" formatCode="0">
                  <c:v>-15956.359428059066</c:v>
                </c:pt>
                <c:pt idx="2280" formatCode="0">
                  <c:v>-17718.043429882142</c:v>
                </c:pt>
                <c:pt idx="2281" formatCode="0">
                  <c:v>-17966.590236858676</c:v>
                </c:pt>
                <c:pt idx="2282" formatCode="0">
                  <c:v>-14262.55989794097</c:v>
                </c:pt>
                <c:pt idx="2283" formatCode="0">
                  <c:v>-15371.297283119511</c:v>
                </c:pt>
                <c:pt idx="2284" formatCode="0">
                  <c:v>-16337.520595355323</c:v>
                </c:pt>
                <c:pt idx="2285" formatCode="0">
                  <c:v>-16949.39862434936</c:v>
                </c:pt>
                <c:pt idx="2286" formatCode="0">
                  <c:v>-15671.238152135244</c:v>
                </c:pt>
                <c:pt idx="2287" formatCode="0">
                  <c:v>-14089.754919723582</c:v>
                </c:pt>
                <c:pt idx="2288" formatCode="0">
                  <c:v>-16885.116931051951</c:v>
                </c:pt>
                <c:pt idx="2289" formatCode="0">
                  <c:v>-16915.925396670875</c:v>
                </c:pt>
                <c:pt idx="2290" formatCode="0">
                  <c:v>-16852.855734612007</c:v>
                </c:pt>
                <c:pt idx="2291" formatCode="0">
                  <c:v>-17162.713543123147</c:v>
                </c:pt>
                <c:pt idx="2292" formatCode="0">
                  <c:v>-18927.225057050855</c:v>
                </c:pt>
                <c:pt idx="2293" formatCode="0">
                  <c:v>-19178.589686709431</c:v>
                </c:pt>
                <c:pt idx="2294" formatCode="0">
                  <c:v>-15477.367527828399</c:v>
                </c:pt>
                <c:pt idx="2295" formatCode="0">
                  <c:v>-16588.903497531519</c:v>
                </c:pt>
                <c:pt idx="2296" formatCode="0">
                  <c:v>-17557.915846248703</c:v>
                </c:pt>
                <c:pt idx="2297" formatCode="0">
                  <c:v>-18172.573411465484</c:v>
                </c:pt>
                <c:pt idx="2298" formatCode="0">
                  <c:v>-16897.183023296384</c:v>
                </c:pt>
                <c:pt idx="2299" formatCode="0">
                  <c:v>-15318.460471110146</c:v>
                </c:pt>
                <c:pt idx="2300" formatCode="0">
                  <c:v>-18112.461548567579</c:v>
                </c:pt>
                <c:pt idx="2301" formatCode="0">
                  <c:v>-18146.037166049427</c:v>
                </c:pt>
                <c:pt idx="2302" formatCode="0">
                  <c:v>-18085.725384899906</c:v>
                </c:pt>
                <c:pt idx="2303" formatCode="0">
                  <c:v>-18398.331849561626</c:v>
                </c:pt>
                <c:pt idx="2304" formatCode="0">
                  <c:v>-20165.582841335985</c:v>
                </c:pt>
                <c:pt idx="2305" formatCode="0">
                  <c:v>-20419.67781723493</c:v>
                </c:pt>
                <c:pt idx="2306" formatCode="0">
                  <c:v>-16721.176919911763</c:v>
                </c:pt>
                <c:pt idx="2307" formatCode="0">
                  <c:v>-17835.425113623744</c:v>
                </c:pt>
                <c:pt idx="2308" formatCode="0">
                  <c:v>-18807.140696128095</c:v>
                </c:pt>
                <c:pt idx="2309" formatCode="0">
                  <c:v>-19424.492552415952</c:v>
                </c:pt>
                <c:pt idx="2310" formatCode="0">
                  <c:v>-18151.787560270506</c:v>
                </c:pt>
                <c:pt idx="2311" formatCode="0">
                  <c:v>-16575.741556877547</c:v>
                </c:pt>
                <c:pt idx="2312" formatCode="0">
                  <c:v>-19368.461714679885</c:v>
                </c:pt>
                <c:pt idx="2313" formatCode="0">
                  <c:v>-19404.720773283647</c:v>
                </c:pt>
                <c:pt idx="2314" formatCode="0">
                  <c:v>-19347.08369746945</c:v>
                </c:pt>
                <c:pt idx="2315" formatCode="0">
                  <c:v>-19662.356177486552</c:v>
                </c:pt>
                <c:pt idx="2316" formatCode="0">
                  <c:v>-21432.264540583179</c:v>
                </c:pt>
                <c:pt idx="2317" formatCode="0">
                  <c:v>-21689.008289844955</c:v>
                </c:pt>
                <c:pt idx="2318" formatCode="0">
                  <c:v>-17993.147614112608</c:v>
                </c:pt>
                <c:pt idx="2319" formatCode="0">
                  <c:v>-19110.027523931902</c:v>
                </c:pt>
                <c:pt idx="2320" formatCode="0">
                  <c:v>-20084.366363437231</c:v>
                </c:pt>
                <c:pt idx="2321" formatCode="0">
                  <c:v>-20704.33306407358</c:v>
                </c:pt>
                <c:pt idx="2322" formatCode="0">
                  <c:v>-19434.234550142872</c:v>
                </c:pt>
                <c:pt idx="2323" formatCode="0">
                  <c:v>-17860.786705403094</c:v>
                </c:pt>
                <c:pt idx="2324" formatCode="0">
                  <c:v>-20652.307402460909</c:v>
                </c:pt>
                <c:pt idx="2325" formatCode="0">
                  <c:v>-20691.171768275268</c:v>
                </c:pt>
                <c:pt idx="2326" formatCode="0">
                  <c:v>-20636.131773239598</c:v>
                </c:pt>
                <c:pt idx="2327" formatCode="0">
                  <c:v>-20953.993152333263</c:v>
                </c:pt>
                <c:pt idx="2328" formatCode="0">
                  <c:v>-22726.482277586245</c:v>
                </c:pt>
                <c:pt idx="2329" formatCode="0">
                  <c:v>-22985.798696907157</c:v>
                </c:pt>
                <c:pt idx="2330" formatCode="0">
                  <c:v>-19292.502643990905</c:v>
                </c:pt>
                <c:pt idx="2331" formatCode="0">
                  <c:v>-20411.939174258758</c:v>
                </c:pt>
                <c:pt idx="2332" formatCode="0">
                  <c:v>-21388.826676732453</c:v>
                </c:pt>
                <c:pt idx="2333" formatCode="0">
                  <c:v>-22011.334127746788</c:v>
                </c:pt>
                <c:pt idx="2334" formatCode="0">
                  <c:v>-20743.76849648702</c:v>
                </c:pt>
                <c:pt idx="2335" formatCode="0">
                  <c:v>-19172.845711579201</c:v>
                </c:pt>
                <c:pt idx="2336" formatCode="0">
                  <c:v>-21963.248428852952</c:v>
                </c:pt>
                <c:pt idx="2337" formatCode="0">
                  <c:v>-22004.645130339519</c:v>
                </c:pt>
                <c:pt idx="2338" formatCode="0">
                  <c:v>-21952.129725692474</c:v>
                </c:pt>
                <c:pt idx="2339" formatCode="0">
                  <c:v>-22272.50799308818</c:v>
                </c:pt>
                <c:pt idx="2340" formatCode="0">
                  <c:v>-24047.506347740687</c:v>
                </c:pt>
                <c:pt idx="2341" formatCode="0">
                  <c:v>-24309.324380721751</c:v>
                </c:pt>
                <c:pt idx="2342" formatCode="0">
                  <c:v>-20618.522368860795</c:v>
                </c:pt>
                <c:pt idx="2343" formatCode="0">
                  <c:v>-21740.44541067737</c:v>
                </c:pt>
                <c:pt idx="2344" formatCode="0">
                  <c:v>-22719.811938248</c:v>
                </c:pt>
                <c:pt idx="2345" formatCode="0">
                  <c:v>-23344.790970911647</c:v>
                </c:pt>
                <c:pt idx="2346" formatCode="0">
                  <c:v>-22079.689520800253</c:v>
                </c:pt>
                <c:pt idx="2347" formatCode="0">
                  <c:v>-20511.223559422389</c:v>
                </c:pt>
                <c:pt idx="2348" formatCode="0">
                  <c:v>-23300.58875656184</c:v>
                </c:pt>
                <c:pt idx="2349" formatCode="0">
                  <c:v>-23344.449584568501</c:v>
                </c:pt>
                <c:pt idx="2350" formatCode="0">
                  <c:v>-23294.391013187837</c:v>
                </c:pt>
                <c:pt idx="2351" formatCode="0">
                  <c:v>-23617.218861973626</c:v>
                </c:pt>
                <c:pt idx="2352" formatCode="0">
                  <c:v>-25394.659587458191</c:v>
                </c:pt>
                <c:pt idx="2353" formatCode="0">
                  <c:v>-25658.912821966391</c:v>
                </c:pt>
                <c:pt idx="2354" formatCode="0">
                  <c:v>-21970.538883509525</c:v>
                </c:pt>
                <c:pt idx="2355" formatCode="0">
                  <c:v>-23094.882911712204</c:v>
                </c:pt>
                <c:pt idx="2356" formatCode="0">
                  <c:v>-24076.663379673555</c:v>
                </c:pt>
                <c:pt idx="2357" formatCode="0">
                  <c:v>-24704.049347667362</c:v>
                </c:pt>
                <c:pt idx="2358" formatCode="0">
                  <c:v>-23441.347868667304</c:v>
                </c:pt>
                <c:pt idx="2359" formatCode="0">
                  <c:v>-21875.274954925677</c:v>
                </c:pt>
                <c:pt idx="2360" formatCode="0">
                  <c:v>-24663.681319714549</c:v>
                </c:pt>
                <c:pt idx="2361" formatCode="0">
                  <c:v>-24709.942448595422</c:v>
                </c:pt>
                <c:pt idx="2362" formatCode="0">
                  <c:v>-24662.277307840668</c:v>
                </c:pt>
                <c:pt idx="2363" formatCode="0">
                  <c:v>-24987.491756399086</c:v>
                </c:pt>
                <c:pt idx="2364" formatCode="0">
                  <c:v>-26767.312290106631</c:v>
                </c:pt>
                <c:pt idx="2365" formatCode="0">
                  <c:v>-27033.938580495771</c:v>
                </c:pt>
              </c:numCache>
            </c:numRef>
          </c:val>
          <c:smooth val="0"/>
          <c:extLst>
            <c:ext xmlns:c16="http://schemas.microsoft.com/office/drawing/2014/chart" uri="{C3380CC4-5D6E-409C-BE32-E72D297353CC}">
              <c16:uniqueId val="{00000002-EF04-4EF9-AB9C-83D2C24F01C8}"/>
            </c:ext>
          </c:extLst>
        </c:ser>
        <c:ser>
          <c:idx val="3"/>
          <c:order val="3"/>
          <c:tx>
            <c:strRef>
              <c:f>AI_Forecast!$E$1</c:f>
              <c:strCache>
                <c:ptCount val="1"/>
                <c:pt idx="0">
                  <c:v>Upper Confidence Bound(Forecast_Sales)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AI_Forecast!$A$2:$A$2367</c:f>
              <c:numCache>
                <c:formatCode>m/d/yyyy</c:formatCode>
                <c:ptCount val="2366"/>
                <c:pt idx="0">
                  <c:v>43842</c:v>
                </c:pt>
                <c:pt idx="1">
                  <c:v>43843</c:v>
                </c:pt>
                <c:pt idx="2">
                  <c:v>43844</c:v>
                </c:pt>
                <c:pt idx="3">
                  <c:v>43845</c:v>
                </c:pt>
                <c:pt idx="4">
                  <c:v>43846</c:v>
                </c:pt>
                <c:pt idx="5">
                  <c:v>43847</c:v>
                </c:pt>
                <c:pt idx="6">
                  <c:v>43848</c:v>
                </c:pt>
                <c:pt idx="7">
                  <c:v>43849</c:v>
                </c:pt>
                <c:pt idx="8">
                  <c:v>43850</c:v>
                </c:pt>
                <c:pt idx="9">
                  <c:v>43851</c:v>
                </c:pt>
                <c:pt idx="10">
                  <c:v>43852</c:v>
                </c:pt>
                <c:pt idx="11">
                  <c:v>43853</c:v>
                </c:pt>
                <c:pt idx="12">
                  <c:v>43854</c:v>
                </c:pt>
                <c:pt idx="13">
                  <c:v>43855</c:v>
                </c:pt>
                <c:pt idx="14">
                  <c:v>43856</c:v>
                </c:pt>
                <c:pt idx="15">
                  <c:v>43857</c:v>
                </c:pt>
                <c:pt idx="16">
                  <c:v>43858</c:v>
                </c:pt>
                <c:pt idx="17">
                  <c:v>43859</c:v>
                </c:pt>
                <c:pt idx="18">
                  <c:v>43860</c:v>
                </c:pt>
                <c:pt idx="19">
                  <c:v>43861</c:v>
                </c:pt>
                <c:pt idx="20">
                  <c:v>43862</c:v>
                </c:pt>
                <c:pt idx="21">
                  <c:v>43863</c:v>
                </c:pt>
                <c:pt idx="22">
                  <c:v>43864</c:v>
                </c:pt>
                <c:pt idx="23">
                  <c:v>43865</c:v>
                </c:pt>
                <c:pt idx="24">
                  <c:v>43866</c:v>
                </c:pt>
                <c:pt idx="25">
                  <c:v>43867</c:v>
                </c:pt>
                <c:pt idx="26">
                  <c:v>43868</c:v>
                </c:pt>
                <c:pt idx="27">
                  <c:v>43869</c:v>
                </c:pt>
                <c:pt idx="28">
                  <c:v>43870</c:v>
                </c:pt>
                <c:pt idx="29">
                  <c:v>43871</c:v>
                </c:pt>
                <c:pt idx="30">
                  <c:v>43872</c:v>
                </c:pt>
                <c:pt idx="31">
                  <c:v>43873</c:v>
                </c:pt>
                <c:pt idx="32">
                  <c:v>43874</c:v>
                </c:pt>
                <c:pt idx="33">
                  <c:v>43875</c:v>
                </c:pt>
                <c:pt idx="34">
                  <c:v>43876</c:v>
                </c:pt>
                <c:pt idx="35">
                  <c:v>43877</c:v>
                </c:pt>
                <c:pt idx="36">
                  <c:v>43878</c:v>
                </c:pt>
                <c:pt idx="37">
                  <c:v>43879</c:v>
                </c:pt>
                <c:pt idx="38">
                  <c:v>43880</c:v>
                </c:pt>
                <c:pt idx="39">
                  <c:v>43881</c:v>
                </c:pt>
                <c:pt idx="40">
                  <c:v>43882</c:v>
                </c:pt>
                <c:pt idx="41">
                  <c:v>43883</c:v>
                </c:pt>
                <c:pt idx="42">
                  <c:v>43884</c:v>
                </c:pt>
                <c:pt idx="43">
                  <c:v>43885</c:v>
                </c:pt>
                <c:pt idx="44">
                  <c:v>43886</c:v>
                </c:pt>
                <c:pt idx="45">
                  <c:v>43887</c:v>
                </c:pt>
                <c:pt idx="46">
                  <c:v>43888</c:v>
                </c:pt>
                <c:pt idx="47">
                  <c:v>43889</c:v>
                </c:pt>
                <c:pt idx="48">
                  <c:v>43890</c:v>
                </c:pt>
                <c:pt idx="49">
                  <c:v>43891</c:v>
                </c:pt>
                <c:pt idx="50">
                  <c:v>43892</c:v>
                </c:pt>
                <c:pt idx="51">
                  <c:v>43893</c:v>
                </c:pt>
                <c:pt idx="52">
                  <c:v>43894</c:v>
                </c:pt>
                <c:pt idx="53">
                  <c:v>43895</c:v>
                </c:pt>
                <c:pt idx="54">
                  <c:v>43896</c:v>
                </c:pt>
                <c:pt idx="55">
                  <c:v>43897</c:v>
                </c:pt>
                <c:pt idx="56">
                  <c:v>43898</c:v>
                </c:pt>
                <c:pt idx="57">
                  <c:v>43899</c:v>
                </c:pt>
                <c:pt idx="58">
                  <c:v>43900</c:v>
                </c:pt>
                <c:pt idx="59">
                  <c:v>43901</c:v>
                </c:pt>
                <c:pt idx="60">
                  <c:v>43902</c:v>
                </c:pt>
                <c:pt idx="61">
                  <c:v>43903</c:v>
                </c:pt>
                <c:pt idx="62">
                  <c:v>43904</c:v>
                </c:pt>
                <c:pt idx="63">
                  <c:v>43905</c:v>
                </c:pt>
                <c:pt idx="64">
                  <c:v>43906</c:v>
                </c:pt>
                <c:pt idx="65">
                  <c:v>43907</c:v>
                </c:pt>
                <c:pt idx="66">
                  <c:v>43908</c:v>
                </c:pt>
                <c:pt idx="67">
                  <c:v>43909</c:v>
                </c:pt>
                <c:pt idx="68">
                  <c:v>43910</c:v>
                </c:pt>
                <c:pt idx="69">
                  <c:v>43911</c:v>
                </c:pt>
                <c:pt idx="70">
                  <c:v>43912</c:v>
                </c:pt>
                <c:pt idx="71">
                  <c:v>43913</c:v>
                </c:pt>
                <c:pt idx="72">
                  <c:v>43914</c:v>
                </c:pt>
                <c:pt idx="73">
                  <c:v>43915</c:v>
                </c:pt>
                <c:pt idx="74">
                  <c:v>43916</c:v>
                </c:pt>
                <c:pt idx="75">
                  <c:v>43917</c:v>
                </c:pt>
                <c:pt idx="76">
                  <c:v>43918</c:v>
                </c:pt>
                <c:pt idx="77">
                  <c:v>43919</c:v>
                </c:pt>
                <c:pt idx="78">
                  <c:v>43920</c:v>
                </c:pt>
                <c:pt idx="79">
                  <c:v>43921</c:v>
                </c:pt>
                <c:pt idx="80">
                  <c:v>43922</c:v>
                </c:pt>
                <c:pt idx="81">
                  <c:v>43923</c:v>
                </c:pt>
                <c:pt idx="82">
                  <c:v>43924</c:v>
                </c:pt>
                <c:pt idx="83">
                  <c:v>43925</c:v>
                </c:pt>
                <c:pt idx="84">
                  <c:v>43926</c:v>
                </c:pt>
                <c:pt idx="85">
                  <c:v>43927</c:v>
                </c:pt>
                <c:pt idx="86">
                  <c:v>43928</c:v>
                </c:pt>
                <c:pt idx="87">
                  <c:v>43929</c:v>
                </c:pt>
                <c:pt idx="88">
                  <c:v>43930</c:v>
                </c:pt>
                <c:pt idx="89">
                  <c:v>43931</c:v>
                </c:pt>
                <c:pt idx="90">
                  <c:v>43932</c:v>
                </c:pt>
                <c:pt idx="91">
                  <c:v>43933</c:v>
                </c:pt>
                <c:pt idx="92">
                  <c:v>43934</c:v>
                </c:pt>
                <c:pt idx="93">
                  <c:v>43935</c:v>
                </c:pt>
                <c:pt idx="94">
                  <c:v>43936</c:v>
                </c:pt>
                <c:pt idx="95">
                  <c:v>43937</c:v>
                </c:pt>
                <c:pt idx="96">
                  <c:v>43938</c:v>
                </c:pt>
                <c:pt idx="97">
                  <c:v>43939</c:v>
                </c:pt>
                <c:pt idx="98">
                  <c:v>43940</c:v>
                </c:pt>
                <c:pt idx="99">
                  <c:v>43941</c:v>
                </c:pt>
                <c:pt idx="100">
                  <c:v>43942</c:v>
                </c:pt>
                <c:pt idx="101">
                  <c:v>43943</c:v>
                </c:pt>
                <c:pt idx="102">
                  <c:v>43944</c:v>
                </c:pt>
                <c:pt idx="103">
                  <c:v>43945</c:v>
                </c:pt>
                <c:pt idx="104">
                  <c:v>43946</c:v>
                </c:pt>
                <c:pt idx="105">
                  <c:v>43947</c:v>
                </c:pt>
                <c:pt idx="106">
                  <c:v>43948</c:v>
                </c:pt>
                <c:pt idx="107">
                  <c:v>43949</c:v>
                </c:pt>
                <c:pt idx="108">
                  <c:v>43950</c:v>
                </c:pt>
                <c:pt idx="109">
                  <c:v>43951</c:v>
                </c:pt>
                <c:pt idx="110">
                  <c:v>43952</c:v>
                </c:pt>
                <c:pt idx="111">
                  <c:v>43953</c:v>
                </c:pt>
                <c:pt idx="112">
                  <c:v>43954</c:v>
                </c:pt>
                <c:pt idx="113">
                  <c:v>43955</c:v>
                </c:pt>
                <c:pt idx="114">
                  <c:v>43956</c:v>
                </c:pt>
                <c:pt idx="115">
                  <c:v>43957</c:v>
                </c:pt>
                <c:pt idx="116">
                  <c:v>43958</c:v>
                </c:pt>
                <c:pt idx="117">
                  <c:v>43959</c:v>
                </c:pt>
                <c:pt idx="118">
                  <c:v>43960</c:v>
                </c:pt>
                <c:pt idx="119">
                  <c:v>43961</c:v>
                </c:pt>
                <c:pt idx="120">
                  <c:v>43962</c:v>
                </c:pt>
                <c:pt idx="121">
                  <c:v>43963</c:v>
                </c:pt>
                <c:pt idx="122">
                  <c:v>43964</c:v>
                </c:pt>
                <c:pt idx="123">
                  <c:v>43965</c:v>
                </c:pt>
                <c:pt idx="124">
                  <c:v>43966</c:v>
                </c:pt>
                <c:pt idx="125">
                  <c:v>43967</c:v>
                </c:pt>
                <c:pt idx="126">
                  <c:v>43968</c:v>
                </c:pt>
                <c:pt idx="127">
                  <c:v>43969</c:v>
                </c:pt>
                <c:pt idx="128">
                  <c:v>43970</c:v>
                </c:pt>
                <c:pt idx="129">
                  <c:v>43971</c:v>
                </c:pt>
                <c:pt idx="130">
                  <c:v>43972</c:v>
                </c:pt>
                <c:pt idx="131">
                  <c:v>43973</c:v>
                </c:pt>
                <c:pt idx="132">
                  <c:v>43974</c:v>
                </c:pt>
                <c:pt idx="133">
                  <c:v>43975</c:v>
                </c:pt>
                <c:pt idx="134">
                  <c:v>43976</c:v>
                </c:pt>
                <c:pt idx="135">
                  <c:v>43977</c:v>
                </c:pt>
                <c:pt idx="136">
                  <c:v>43978</c:v>
                </c:pt>
                <c:pt idx="137">
                  <c:v>43979</c:v>
                </c:pt>
                <c:pt idx="138">
                  <c:v>43980</c:v>
                </c:pt>
                <c:pt idx="139">
                  <c:v>43981</c:v>
                </c:pt>
                <c:pt idx="140">
                  <c:v>43982</c:v>
                </c:pt>
                <c:pt idx="141">
                  <c:v>43983</c:v>
                </c:pt>
                <c:pt idx="142">
                  <c:v>43984</c:v>
                </c:pt>
                <c:pt idx="143">
                  <c:v>43985</c:v>
                </c:pt>
                <c:pt idx="144">
                  <c:v>43986</c:v>
                </c:pt>
                <c:pt idx="145">
                  <c:v>43987</c:v>
                </c:pt>
                <c:pt idx="146">
                  <c:v>43988</c:v>
                </c:pt>
                <c:pt idx="147">
                  <c:v>43989</c:v>
                </c:pt>
                <c:pt idx="148">
                  <c:v>43990</c:v>
                </c:pt>
                <c:pt idx="149">
                  <c:v>43991</c:v>
                </c:pt>
                <c:pt idx="150">
                  <c:v>43992</c:v>
                </c:pt>
                <c:pt idx="151">
                  <c:v>43993</c:v>
                </c:pt>
                <c:pt idx="152">
                  <c:v>43994</c:v>
                </c:pt>
                <c:pt idx="153">
                  <c:v>43995</c:v>
                </c:pt>
                <c:pt idx="154">
                  <c:v>43996</c:v>
                </c:pt>
                <c:pt idx="155">
                  <c:v>43997</c:v>
                </c:pt>
                <c:pt idx="156">
                  <c:v>43998</c:v>
                </c:pt>
                <c:pt idx="157">
                  <c:v>43999</c:v>
                </c:pt>
                <c:pt idx="158">
                  <c:v>44000</c:v>
                </c:pt>
                <c:pt idx="159">
                  <c:v>44001</c:v>
                </c:pt>
                <c:pt idx="160">
                  <c:v>44002</c:v>
                </c:pt>
                <c:pt idx="161">
                  <c:v>44003</c:v>
                </c:pt>
                <c:pt idx="162">
                  <c:v>44004</c:v>
                </c:pt>
                <c:pt idx="163">
                  <c:v>44005</c:v>
                </c:pt>
                <c:pt idx="164">
                  <c:v>44006</c:v>
                </c:pt>
                <c:pt idx="165">
                  <c:v>44007</c:v>
                </c:pt>
                <c:pt idx="166">
                  <c:v>44008</c:v>
                </c:pt>
                <c:pt idx="167">
                  <c:v>44009</c:v>
                </c:pt>
                <c:pt idx="168">
                  <c:v>44010</c:v>
                </c:pt>
                <c:pt idx="169">
                  <c:v>44011</c:v>
                </c:pt>
                <c:pt idx="170">
                  <c:v>44012</c:v>
                </c:pt>
                <c:pt idx="171">
                  <c:v>44013</c:v>
                </c:pt>
                <c:pt idx="172">
                  <c:v>44014</c:v>
                </c:pt>
                <c:pt idx="173">
                  <c:v>44015</c:v>
                </c:pt>
                <c:pt idx="174">
                  <c:v>44016</c:v>
                </c:pt>
                <c:pt idx="175">
                  <c:v>44017</c:v>
                </c:pt>
                <c:pt idx="176">
                  <c:v>44018</c:v>
                </c:pt>
                <c:pt idx="177">
                  <c:v>44019</c:v>
                </c:pt>
                <c:pt idx="178">
                  <c:v>44020</c:v>
                </c:pt>
                <c:pt idx="179">
                  <c:v>44021</c:v>
                </c:pt>
                <c:pt idx="180">
                  <c:v>44022</c:v>
                </c:pt>
                <c:pt idx="181">
                  <c:v>44023</c:v>
                </c:pt>
                <c:pt idx="182">
                  <c:v>44024</c:v>
                </c:pt>
                <c:pt idx="183">
                  <c:v>44025</c:v>
                </c:pt>
                <c:pt idx="184">
                  <c:v>44026</c:v>
                </c:pt>
                <c:pt idx="185">
                  <c:v>44027</c:v>
                </c:pt>
                <c:pt idx="186">
                  <c:v>44028</c:v>
                </c:pt>
                <c:pt idx="187">
                  <c:v>44029</c:v>
                </c:pt>
                <c:pt idx="188">
                  <c:v>44030</c:v>
                </c:pt>
                <c:pt idx="189">
                  <c:v>44031</c:v>
                </c:pt>
                <c:pt idx="190">
                  <c:v>44032</c:v>
                </c:pt>
                <c:pt idx="191">
                  <c:v>44033</c:v>
                </c:pt>
                <c:pt idx="192">
                  <c:v>44034</c:v>
                </c:pt>
                <c:pt idx="193">
                  <c:v>44035</c:v>
                </c:pt>
                <c:pt idx="194">
                  <c:v>44036</c:v>
                </c:pt>
                <c:pt idx="195">
                  <c:v>44037</c:v>
                </c:pt>
                <c:pt idx="196">
                  <c:v>44038</c:v>
                </c:pt>
                <c:pt idx="197">
                  <c:v>44039</c:v>
                </c:pt>
                <c:pt idx="198">
                  <c:v>44040</c:v>
                </c:pt>
                <c:pt idx="199">
                  <c:v>44041</c:v>
                </c:pt>
                <c:pt idx="200">
                  <c:v>44042</c:v>
                </c:pt>
                <c:pt idx="201">
                  <c:v>44043</c:v>
                </c:pt>
                <c:pt idx="202">
                  <c:v>44044</c:v>
                </c:pt>
                <c:pt idx="203">
                  <c:v>44045</c:v>
                </c:pt>
                <c:pt idx="204">
                  <c:v>44046</c:v>
                </c:pt>
                <c:pt idx="205">
                  <c:v>44047</c:v>
                </c:pt>
                <c:pt idx="206">
                  <c:v>44048</c:v>
                </c:pt>
                <c:pt idx="207">
                  <c:v>44049</c:v>
                </c:pt>
                <c:pt idx="208">
                  <c:v>44050</c:v>
                </c:pt>
                <c:pt idx="209">
                  <c:v>44051</c:v>
                </c:pt>
                <c:pt idx="210">
                  <c:v>44052</c:v>
                </c:pt>
                <c:pt idx="211">
                  <c:v>44053</c:v>
                </c:pt>
                <c:pt idx="212">
                  <c:v>44054</c:v>
                </c:pt>
                <c:pt idx="213">
                  <c:v>44055</c:v>
                </c:pt>
                <c:pt idx="214">
                  <c:v>44056</c:v>
                </c:pt>
                <c:pt idx="215">
                  <c:v>44057</c:v>
                </c:pt>
                <c:pt idx="216">
                  <c:v>44058</c:v>
                </c:pt>
                <c:pt idx="217">
                  <c:v>44059</c:v>
                </c:pt>
                <c:pt idx="218">
                  <c:v>44060</c:v>
                </c:pt>
                <c:pt idx="219">
                  <c:v>44061</c:v>
                </c:pt>
                <c:pt idx="220">
                  <c:v>44062</c:v>
                </c:pt>
                <c:pt idx="221">
                  <c:v>44063</c:v>
                </c:pt>
                <c:pt idx="222">
                  <c:v>44064</c:v>
                </c:pt>
                <c:pt idx="223">
                  <c:v>44065</c:v>
                </c:pt>
                <c:pt idx="224">
                  <c:v>44066</c:v>
                </c:pt>
                <c:pt idx="225">
                  <c:v>44067</c:v>
                </c:pt>
                <c:pt idx="226">
                  <c:v>44068</c:v>
                </c:pt>
                <c:pt idx="227">
                  <c:v>44069</c:v>
                </c:pt>
                <c:pt idx="228">
                  <c:v>44070</c:v>
                </c:pt>
                <c:pt idx="229">
                  <c:v>44071</c:v>
                </c:pt>
                <c:pt idx="230">
                  <c:v>44072</c:v>
                </c:pt>
                <c:pt idx="231">
                  <c:v>44073</c:v>
                </c:pt>
                <c:pt idx="232">
                  <c:v>44074</c:v>
                </c:pt>
                <c:pt idx="233">
                  <c:v>44075</c:v>
                </c:pt>
                <c:pt idx="234">
                  <c:v>44076</c:v>
                </c:pt>
                <c:pt idx="235">
                  <c:v>44077</c:v>
                </c:pt>
                <c:pt idx="236">
                  <c:v>44078</c:v>
                </c:pt>
                <c:pt idx="237">
                  <c:v>44079</c:v>
                </c:pt>
                <c:pt idx="238">
                  <c:v>44080</c:v>
                </c:pt>
                <c:pt idx="239">
                  <c:v>44081</c:v>
                </c:pt>
                <c:pt idx="240">
                  <c:v>44082</c:v>
                </c:pt>
                <c:pt idx="241">
                  <c:v>44083</c:v>
                </c:pt>
                <c:pt idx="242">
                  <c:v>44084</c:v>
                </c:pt>
                <c:pt idx="243">
                  <c:v>44085</c:v>
                </c:pt>
                <c:pt idx="244">
                  <c:v>44086</c:v>
                </c:pt>
                <c:pt idx="245">
                  <c:v>44087</c:v>
                </c:pt>
                <c:pt idx="246">
                  <c:v>44088</c:v>
                </c:pt>
                <c:pt idx="247">
                  <c:v>44089</c:v>
                </c:pt>
                <c:pt idx="248">
                  <c:v>44090</c:v>
                </c:pt>
                <c:pt idx="249">
                  <c:v>44091</c:v>
                </c:pt>
                <c:pt idx="250">
                  <c:v>44092</c:v>
                </c:pt>
                <c:pt idx="251">
                  <c:v>44093</c:v>
                </c:pt>
                <c:pt idx="252">
                  <c:v>44094</c:v>
                </c:pt>
                <c:pt idx="253">
                  <c:v>44095</c:v>
                </c:pt>
                <c:pt idx="254">
                  <c:v>44096</c:v>
                </c:pt>
                <c:pt idx="255">
                  <c:v>44097</c:v>
                </c:pt>
                <c:pt idx="256">
                  <c:v>44098</c:v>
                </c:pt>
                <c:pt idx="257">
                  <c:v>44099</c:v>
                </c:pt>
                <c:pt idx="258">
                  <c:v>44100</c:v>
                </c:pt>
                <c:pt idx="259">
                  <c:v>44101</c:v>
                </c:pt>
                <c:pt idx="260">
                  <c:v>44102</c:v>
                </c:pt>
                <c:pt idx="261">
                  <c:v>44103</c:v>
                </c:pt>
                <c:pt idx="262">
                  <c:v>44104</c:v>
                </c:pt>
                <c:pt idx="263">
                  <c:v>44105</c:v>
                </c:pt>
                <c:pt idx="264">
                  <c:v>44106</c:v>
                </c:pt>
                <c:pt idx="265">
                  <c:v>44107</c:v>
                </c:pt>
                <c:pt idx="266">
                  <c:v>44108</c:v>
                </c:pt>
                <c:pt idx="267">
                  <c:v>44109</c:v>
                </c:pt>
                <c:pt idx="268">
                  <c:v>44110</c:v>
                </c:pt>
                <c:pt idx="269">
                  <c:v>44111</c:v>
                </c:pt>
                <c:pt idx="270">
                  <c:v>44112</c:v>
                </c:pt>
                <c:pt idx="271">
                  <c:v>44113</c:v>
                </c:pt>
                <c:pt idx="272">
                  <c:v>44114</c:v>
                </c:pt>
                <c:pt idx="273">
                  <c:v>44115</c:v>
                </c:pt>
                <c:pt idx="274">
                  <c:v>44116</c:v>
                </c:pt>
                <c:pt idx="275">
                  <c:v>44117</c:v>
                </c:pt>
                <c:pt idx="276">
                  <c:v>44118</c:v>
                </c:pt>
                <c:pt idx="277">
                  <c:v>44119</c:v>
                </c:pt>
                <c:pt idx="278">
                  <c:v>44120</c:v>
                </c:pt>
                <c:pt idx="279">
                  <c:v>44121</c:v>
                </c:pt>
                <c:pt idx="280">
                  <c:v>44122</c:v>
                </c:pt>
                <c:pt idx="281">
                  <c:v>44123</c:v>
                </c:pt>
                <c:pt idx="282">
                  <c:v>44124</c:v>
                </c:pt>
                <c:pt idx="283">
                  <c:v>44125</c:v>
                </c:pt>
                <c:pt idx="284">
                  <c:v>44126</c:v>
                </c:pt>
                <c:pt idx="285">
                  <c:v>44127</c:v>
                </c:pt>
                <c:pt idx="286">
                  <c:v>44128</c:v>
                </c:pt>
                <c:pt idx="287">
                  <c:v>44129</c:v>
                </c:pt>
                <c:pt idx="288">
                  <c:v>44130</c:v>
                </c:pt>
                <c:pt idx="289">
                  <c:v>44131</c:v>
                </c:pt>
                <c:pt idx="290">
                  <c:v>44132</c:v>
                </c:pt>
                <c:pt idx="291">
                  <c:v>44133</c:v>
                </c:pt>
                <c:pt idx="292">
                  <c:v>44134</c:v>
                </c:pt>
                <c:pt idx="293">
                  <c:v>44135</c:v>
                </c:pt>
                <c:pt idx="294">
                  <c:v>44136</c:v>
                </c:pt>
                <c:pt idx="295">
                  <c:v>44137</c:v>
                </c:pt>
                <c:pt idx="296">
                  <c:v>44138</c:v>
                </c:pt>
                <c:pt idx="297">
                  <c:v>44139</c:v>
                </c:pt>
                <c:pt idx="298">
                  <c:v>44140</c:v>
                </c:pt>
                <c:pt idx="299">
                  <c:v>44141</c:v>
                </c:pt>
                <c:pt idx="300">
                  <c:v>44142</c:v>
                </c:pt>
                <c:pt idx="301">
                  <c:v>44143</c:v>
                </c:pt>
                <c:pt idx="302">
                  <c:v>44144</c:v>
                </c:pt>
                <c:pt idx="303">
                  <c:v>44145</c:v>
                </c:pt>
                <c:pt idx="304">
                  <c:v>44146</c:v>
                </c:pt>
                <c:pt idx="305">
                  <c:v>44147</c:v>
                </c:pt>
                <c:pt idx="306">
                  <c:v>44148</c:v>
                </c:pt>
                <c:pt idx="307">
                  <c:v>44149</c:v>
                </c:pt>
                <c:pt idx="308">
                  <c:v>44150</c:v>
                </c:pt>
                <c:pt idx="309">
                  <c:v>44151</c:v>
                </c:pt>
                <c:pt idx="310">
                  <c:v>44152</c:v>
                </c:pt>
                <c:pt idx="311">
                  <c:v>44153</c:v>
                </c:pt>
                <c:pt idx="312">
                  <c:v>44154</c:v>
                </c:pt>
                <c:pt idx="313">
                  <c:v>44155</c:v>
                </c:pt>
                <c:pt idx="314">
                  <c:v>44156</c:v>
                </c:pt>
                <c:pt idx="315">
                  <c:v>44157</c:v>
                </c:pt>
                <c:pt idx="316">
                  <c:v>44158</c:v>
                </c:pt>
                <c:pt idx="317">
                  <c:v>44159</c:v>
                </c:pt>
                <c:pt idx="318">
                  <c:v>44160</c:v>
                </c:pt>
                <c:pt idx="319">
                  <c:v>44161</c:v>
                </c:pt>
                <c:pt idx="320">
                  <c:v>44162</c:v>
                </c:pt>
                <c:pt idx="321">
                  <c:v>44163</c:v>
                </c:pt>
                <c:pt idx="322">
                  <c:v>44164</c:v>
                </c:pt>
                <c:pt idx="323">
                  <c:v>44165</c:v>
                </c:pt>
                <c:pt idx="324">
                  <c:v>44166</c:v>
                </c:pt>
                <c:pt idx="325">
                  <c:v>44167</c:v>
                </c:pt>
                <c:pt idx="326">
                  <c:v>44168</c:v>
                </c:pt>
                <c:pt idx="327">
                  <c:v>44169</c:v>
                </c:pt>
                <c:pt idx="328">
                  <c:v>44170</c:v>
                </c:pt>
                <c:pt idx="329">
                  <c:v>44171</c:v>
                </c:pt>
                <c:pt idx="330">
                  <c:v>44172</c:v>
                </c:pt>
                <c:pt idx="331">
                  <c:v>44173</c:v>
                </c:pt>
                <c:pt idx="332">
                  <c:v>44174</c:v>
                </c:pt>
                <c:pt idx="333">
                  <c:v>44175</c:v>
                </c:pt>
                <c:pt idx="334">
                  <c:v>44176</c:v>
                </c:pt>
                <c:pt idx="335">
                  <c:v>44177</c:v>
                </c:pt>
                <c:pt idx="336">
                  <c:v>44178</c:v>
                </c:pt>
                <c:pt idx="337">
                  <c:v>44179</c:v>
                </c:pt>
                <c:pt idx="338">
                  <c:v>44180</c:v>
                </c:pt>
                <c:pt idx="339">
                  <c:v>44181</c:v>
                </c:pt>
                <c:pt idx="340">
                  <c:v>44182</c:v>
                </c:pt>
                <c:pt idx="341">
                  <c:v>44183</c:v>
                </c:pt>
                <c:pt idx="342">
                  <c:v>44184</c:v>
                </c:pt>
                <c:pt idx="343">
                  <c:v>44185</c:v>
                </c:pt>
                <c:pt idx="344">
                  <c:v>44186</c:v>
                </c:pt>
                <c:pt idx="345">
                  <c:v>44187</c:v>
                </c:pt>
                <c:pt idx="346">
                  <c:v>44188</c:v>
                </c:pt>
                <c:pt idx="347">
                  <c:v>44189</c:v>
                </c:pt>
                <c:pt idx="348">
                  <c:v>44190</c:v>
                </c:pt>
                <c:pt idx="349">
                  <c:v>44191</c:v>
                </c:pt>
                <c:pt idx="350">
                  <c:v>44192</c:v>
                </c:pt>
                <c:pt idx="351">
                  <c:v>44193</c:v>
                </c:pt>
                <c:pt idx="352">
                  <c:v>44194</c:v>
                </c:pt>
                <c:pt idx="353">
                  <c:v>44195</c:v>
                </c:pt>
                <c:pt idx="354">
                  <c:v>44196</c:v>
                </c:pt>
                <c:pt idx="355">
                  <c:v>44197</c:v>
                </c:pt>
                <c:pt idx="356">
                  <c:v>44198</c:v>
                </c:pt>
                <c:pt idx="357">
                  <c:v>44199</c:v>
                </c:pt>
                <c:pt idx="358">
                  <c:v>44200</c:v>
                </c:pt>
                <c:pt idx="359">
                  <c:v>44201</c:v>
                </c:pt>
                <c:pt idx="360">
                  <c:v>44202</c:v>
                </c:pt>
                <c:pt idx="361">
                  <c:v>44203</c:v>
                </c:pt>
                <c:pt idx="362">
                  <c:v>44204</c:v>
                </c:pt>
                <c:pt idx="363">
                  <c:v>44205</c:v>
                </c:pt>
                <c:pt idx="364">
                  <c:v>44206</c:v>
                </c:pt>
                <c:pt idx="365">
                  <c:v>44207</c:v>
                </c:pt>
                <c:pt idx="366">
                  <c:v>44208</c:v>
                </c:pt>
                <c:pt idx="367">
                  <c:v>44209</c:v>
                </c:pt>
                <c:pt idx="368">
                  <c:v>44210</c:v>
                </c:pt>
                <c:pt idx="369">
                  <c:v>44211</c:v>
                </c:pt>
                <c:pt idx="370">
                  <c:v>44212</c:v>
                </c:pt>
                <c:pt idx="371">
                  <c:v>44213</c:v>
                </c:pt>
                <c:pt idx="372">
                  <c:v>44214</c:v>
                </c:pt>
                <c:pt idx="373">
                  <c:v>44215</c:v>
                </c:pt>
                <c:pt idx="374">
                  <c:v>44216</c:v>
                </c:pt>
                <c:pt idx="375">
                  <c:v>44217</c:v>
                </c:pt>
                <c:pt idx="376">
                  <c:v>44218</c:v>
                </c:pt>
                <c:pt idx="377">
                  <c:v>44219</c:v>
                </c:pt>
                <c:pt idx="378">
                  <c:v>44220</c:v>
                </c:pt>
                <c:pt idx="379">
                  <c:v>44221</c:v>
                </c:pt>
                <c:pt idx="380">
                  <c:v>44222</c:v>
                </c:pt>
                <c:pt idx="381">
                  <c:v>44223</c:v>
                </c:pt>
                <c:pt idx="382">
                  <c:v>44224</c:v>
                </c:pt>
                <c:pt idx="383">
                  <c:v>44225</c:v>
                </c:pt>
                <c:pt idx="384">
                  <c:v>44226</c:v>
                </c:pt>
                <c:pt idx="385">
                  <c:v>44227</c:v>
                </c:pt>
                <c:pt idx="386">
                  <c:v>44228</c:v>
                </c:pt>
                <c:pt idx="387">
                  <c:v>44229</c:v>
                </c:pt>
                <c:pt idx="388">
                  <c:v>44230</c:v>
                </c:pt>
                <c:pt idx="389">
                  <c:v>44231</c:v>
                </c:pt>
                <c:pt idx="390">
                  <c:v>44232</c:v>
                </c:pt>
                <c:pt idx="391">
                  <c:v>44233</c:v>
                </c:pt>
                <c:pt idx="392">
                  <c:v>44234</c:v>
                </c:pt>
                <c:pt idx="393">
                  <c:v>44235</c:v>
                </c:pt>
                <c:pt idx="394">
                  <c:v>44236</c:v>
                </c:pt>
                <c:pt idx="395">
                  <c:v>44237</c:v>
                </c:pt>
                <c:pt idx="396">
                  <c:v>44238</c:v>
                </c:pt>
                <c:pt idx="397">
                  <c:v>44239</c:v>
                </c:pt>
                <c:pt idx="398">
                  <c:v>44240</c:v>
                </c:pt>
                <c:pt idx="399">
                  <c:v>44241</c:v>
                </c:pt>
                <c:pt idx="400">
                  <c:v>44242</c:v>
                </c:pt>
                <c:pt idx="401">
                  <c:v>44243</c:v>
                </c:pt>
                <c:pt idx="402">
                  <c:v>44244</c:v>
                </c:pt>
                <c:pt idx="403">
                  <c:v>44245</c:v>
                </c:pt>
                <c:pt idx="404">
                  <c:v>44246</c:v>
                </c:pt>
                <c:pt idx="405">
                  <c:v>44247</c:v>
                </c:pt>
                <c:pt idx="406">
                  <c:v>44248</c:v>
                </c:pt>
                <c:pt idx="407">
                  <c:v>44249</c:v>
                </c:pt>
                <c:pt idx="408">
                  <c:v>44250</c:v>
                </c:pt>
                <c:pt idx="409">
                  <c:v>44251</c:v>
                </c:pt>
                <c:pt idx="410">
                  <c:v>44252</c:v>
                </c:pt>
                <c:pt idx="411">
                  <c:v>44253</c:v>
                </c:pt>
                <c:pt idx="412">
                  <c:v>44254</c:v>
                </c:pt>
                <c:pt idx="413">
                  <c:v>44255</c:v>
                </c:pt>
                <c:pt idx="414">
                  <c:v>44256</c:v>
                </c:pt>
                <c:pt idx="415">
                  <c:v>44257</c:v>
                </c:pt>
                <c:pt idx="416">
                  <c:v>44258</c:v>
                </c:pt>
                <c:pt idx="417">
                  <c:v>44259</c:v>
                </c:pt>
                <c:pt idx="418">
                  <c:v>44260</c:v>
                </c:pt>
                <c:pt idx="419">
                  <c:v>44261</c:v>
                </c:pt>
                <c:pt idx="420">
                  <c:v>44262</c:v>
                </c:pt>
                <c:pt idx="421">
                  <c:v>44263</c:v>
                </c:pt>
                <c:pt idx="422">
                  <c:v>44264</c:v>
                </c:pt>
                <c:pt idx="423">
                  <c:v>44265</c:v>
                </c:pt>
                <c:pt idx="424">
                  <c:v>44266</c:v>
                </c:pt>
                <c:pt idx="425">
                  <c:v>44267</c:v>
                </c:pt>
                <c:pt idx="426">
                  <c:v>44268</c:v>
                </c:pt>
                <c:pt idx="427">
                  <c:v>44269</c:v>
                </c:pt>
                <c:pt idx="428">
                  <c:v>44270</c:v>
                </c:pt>
                <c:pt idx="429">
                  <c:v>44271</c:v>
                </c:pt>
                <c:pt idx="430">
                  <c:v>44272</c:v>
                </c:pt>
                <c:pt idx="431">
                  <c:v>44273</c:v>
                </c:pt>
                <c:pt idx="432">
                  <c:v>44274</c:v>
                </c:pt>
                <c:pt idx="433">
                  <c:v>44275</c:v>
                </c:pt>
                <c:pt idx="434">
                  <c:v>44276</c:v>
                </c:pt>
                <c:pt idx="435">
                  <c:v>44277</c:v>
                </c:pt>
                <c:pt idx="436">
                  <c:v>44278</c:v>
                </c:pt>
                <c:pt idx="437">
                  <c:v>44279</c:v>
                </c:pt>
                <c:pt idx="438">
                  <c:v>44280</c:v>
                </c:pt>
                <c:pt idx="439">
                  <c:v>44281</c:v>
                </c:pt>
                <c:pt idx="440">
                  <c:v>44282</c:v>
                </c:pt>
                <c:pt idx="441">
                  <c:v>44283</c:v>
                </c:pt>
                <c:pt idx="442">
                  <c:v>44284</c:v>
                </c:pt>
                <c:pt idx="443">
                  <c:v>44285</c:v>
                </c:pt>
                <c:pt idx="444">
                  <c:v>44286</c:v>
                </c:pt>
                <c:pt idx="445">
                  <c:v>44287</c:v>
                </c:pt>
                <c:pt idx="446">
                  <c:v>44288</c:v>
                </c:pt>
                <c:pt idx="447">
                  <c:v>44289</c:v>
                </c:pt>
                <c:pt idx="448">
                  <c:v>44290</c:v>
                </c:pt>
                <c:pt idx="449">
                  <c:v>44291</c:v>
                </c:pt>
                <c:pt idx="450">
                  <c:v>44292</c:v>
                </c:pt>
                <c:pt idx="451">
                  <c:v>44293</c:v>
                </c:pt>
                <c:pt idx="452">
                  <c:v>44294</c:v>
                </c:pt>
                <c:pt idx="453">
                  <c:v>44295</c:v>
                </c:pt>
                <c:pt idx="454">
                  <c:v>44296</c:v>
                </c:pt>
                <c:pt idx="455">
                  <c:v>44297</c:v>
                </c:pt>
                <c:pt idx="456">
                  <c:v>44298</c:v>
                </c:pt>
                <c:pt idx="457">
                  <c:v>44299</c:v>
                </c:pt>
                <c:pt idx="458">
                  <c:v>44300</c:v>
                </c:pt>
                <c:pt idx="459">
                  <c:v>44301</c:v>
                </c:pt>
                <c:pt idx="460">
                  <c:v>44302</c:v>
                </c:pt>
                <c:pt idx="461">
                  <c:v>44303</c:v>
                </c:pt>
                <c:pt idx="462">
                  <c:v>44304</c:v>
                </c:pt>
                <c:pt idx="463">
                  <c:v>44305</c:v>
                </c:pt>
                <c:pt idx="464">
                  <c:v>44306</c:v>
                </c:pt>
                <c:pt idx="465">
                  <c:v>44307</c:v>
                </c:pt>
                <c:pt idx="466">
                  <c:v>44308</c:v>
                </c:pt>
                <c:pt idx="467">
                  <c:v>44309</c:v>
                </c:pt>
                <c:pt idx="468">
                  <c:v>44310</c:v>
                </c:pt>
                <c:pt idx="469">
                  <c:v>44311</c:v>
                </c:pt>
                <c:pt idx="470">
                  <c:v>44312</c:v>
                </c:pt>
                <c:pt idx="471">
                  <c:v>44313</c:v>
                </c:pt>
                <c:pt idx="472">
                  <c:v>44314</c:v>
                </c:pt>
                <c:pt idx="473">
                  <c:v>44315</c:v>
                </c:pt>
                <c:pt idx="474">
                  <c:v>44316</c:v>
                </c:pt>
                <c:pt idx="475">
                  <c:v>44317</c:v>
                </c:pt>
                <c:pt idx="476">
                  <c:v>44318</c:v>
                </c:pt>
                <c:pt idx="477">
                  <c:v>44319</c:v>
                </c:pt>
                <c:pt idx="478">
                  <c:v>44320</c:v>
                </c:pt>
                <c:pt idx="479">
                  <c:v>44321</c:v>
                </c:pt>
                <c:pt idx="480">
                  <c:v>44322</c:v>
                </c:pt>
                <c:pt idx="481">
                  <c:v>44323</c:v>
                </c:pt>
                <c:pt idx="482">
                  <c:v>44324</c:v>
                </c:pt>
                <c:pt idx="483">
                  <c:v>44325</c:v>
                </c:pt>
                <c:pt idx="484">
                  <c:v>44326</c:v>
                </c:pt>
                <c:pt idx="485">
                  <c:v>44327</c:v>
                </c:pt>
                <c:pt idx="486">
                  <c:v>44328</c:v>
                </c:pt>
                <c:pt idx="487">
                  <c:v>44329</c:v>
                </c:pt>
                <c:pt idx="488">
                  <c:v>44330</c:v>
                </c:pt>
                <c:pt idx="489">
                  <c:v>44331</c:v>
                </c:pt>
                <c:pt idx="490">
                  <c:v>44332</c:v>
                </c:pt>
                <c:pt idx="491">
                  <c:v>44333</c:v>
                </c:pt>
                <c:pt idx="492">
                  <c:v>44334</c:v>
                </c:pt>
                <c:pt idx="493">
                  <c:v>44335</c:v>
                </c:pt>
                <c:pt idx="494">
                  <c:v>44336</c:v>
                </c:pt>
                <c:pt idx="495">
                  <c:v>44337</c:v>
                </c:pt>
                <c:pt idx="496">
                  <c:v>44338</c:v>
                </c:pt>
                <c:pt idx="497">
                  <c:v>44339</c:v>
                </c:pt>
                <c:pt idx="498">
                  <c:v>44340</c:v>
                </c:pt>
                <c:pt idx="499">
                  <c:v>44341</c:v>
                </c:pt>
                <c:pt idx="500">
                  <c:v>44342</c:v>
                </c:pt>
                <c:pt idx="501">
                  <c:v>44343</c:v>
                </c:pt>
                <c:pt idx="502">
                  <c:v>44344</c:v>
                </c:pt>
                <c:pt idx="503">
                  <c:v>44345</c:v>
                </c:pt>
                <c:pt idx="504">
                  <c:v>44346</c:v>
                </c:pt>
                <c:pt idx="505">
                  <c:v>44347</c:v>
                </c:pt>
                <c:pt idx="506">
                  <c:v>44348</c:v>
                </c:pt>
                <c:pt idx="507">
                  <c:v>44349</c:v>
                </c:pt>
                <c:pt idx="508">
                  <c:v>44350</c:v>
                </c:pt>
                <c:pt idx="509">
                  <c:v>44351</c:v>
                </c:pt>
                <c:pt idx="510">
                  <c:v>44352</c:v>
                </c:pt>
                <c:pt idx="511">
                  <c:v>44353</c:v>
                </c:pt>
                <c:pt idx="512">
                  <c:v>44354</c:v>
                </c:pt>
                <c:pt idx="513">
                  <c:v>44355</c:v>
                </c:pt>
                <c:pt idx="514">
                  <c:v>44356</c:v>
                </c:pt>
                <c:pt idx="515">
                  <c:v>44357</c:v>
                </c:pt>
                <c:pt idx="516">
                  <c:v>44358</c:v>
                </c:pt>
                <c:pt idx="517">
                  <c:v>44359</c:v>
                </c:pt>
                <c:pt idx="518">
                  <c:v>44360</c:v>
                </c:pt>
                <c:pt idx="519">
                  <c:v>44361</c:v>
                </c:pt>
                <c:pt idx="520">
                  <c:v>44362</c:v>
                </c:pt>
                <c:pt idx="521">
                  <c:v>44363</c:v>
                </c:pt>
                <c:pt idx="522">
                  <c:v>44364</c:v>
                </c:pt>
                <c:pt idx="523">
                  <c:v>44365</c:v>
                </c:pt>
                <c:pt idx="524">
                  <c:v>44366</c:v>
                </c:pt>
                <c:pt idx="525">
                  <c:v>44367</c:v>
                </c:pt>
                <c:pt idx="526">
                  <c:v>44368</c:v>
                </c:pt>
                <c:pt idx="527">
                  <c:v>44369</c:v>
                </c:pt>
                <c:pt idx="528">
                  <c:v>44370</c:v>
                </c:pt>
                <c:pt idx="529">
                  <c:v>44371</c:v>
                </c:pt>
                <c:pt idx="530">
                  <c:v>44372</c:v>
                </c:pt>
                <c:pt idx="531">
                  <c:v>44373</c:v>
                </c:pt>
                <c:pt idx="532">
                  <c:v>44374</c:v>
                </c:pt>
                <c:pt idx="533">
                  <c:v>44375</c:v>
                </c:pt>
                <c:pt idx="534">
                  <c:v>44376</c:v>
                </c:pt>
                <c:pt idx="535">
                  <c:v>44377</c:v>
                </c:pt>
                <c:pt idx="536">
                  <c:v>44378</c:v>
                </c:pt>
                <c:pt idx="537">
                  <c:v>44379</c:v>
                </c:pt>
                <c:pt idx="538">
                  <c:v>44380</c:v>
                </c:pt>
                <c:pt idx="539">
                  <c:v>44381</c:v>
                </c:pt>
                <c:pt idx="540">
                  <c:v>44382</c:v>
                </c:pt>
                <c:pt idx="541">
                  <c:v>44383</c:v>
                </c:pt>
                <c:pt idx="542">
                  <c:v>44384</c:v>
                </c:pt>
                <c:pt idx="543">
                  <c:v>44385</c:v>
                </c:pt>
                <c:pt idx="544">
                  <c:v>44386</c:v>
                </c:pt>
                <c:pt idx="545">
                  <c:v>44387</c:v>
                </c:pt>
                <c:pt idx="546">
                  <c:v>44388</c:v>
                </c:pt>
                <c:pt idx="547">
                  <c:v>44389</c:v>
                </c:pt>
                <c:pt idx="548">
                  <c:v>44390</c:v>
                </c:pt>
                <c:pt idx="549">
                  <c:v>44391</c:v>
                </c:pt>
                <c:pt idx="550">
                  <c:v>44392</c:v>
                </c:pt>
                <c:pt idx="551">
                  <c:v>44393</c:v>
                </c:pt>
                <c:pt idx="552">
                  <c:v>44394</c:v>
                </c:pt>
                <c:pt idx="553">
                  <c:v>44395</c:v>
                </c:pt>
                <c:pt idx="554">
                  <c:v>44396</c:v>
                </c:pt>
                <c:pt idx="555">
                  <c:v>44397</c:v>
                </c:pt>
                <c:pt idx="556">
                  <c:v>44398</c:v>
                </c:pt>
                <c:pt idx="557">
                  <c:v>44399</c:v>
                </c:pt>
                <c:pt idx="558">
                  <c:v>44400</c:v>
                </c:pt>
                <c:pt idx="559">
                  <c:v>44401</c:v>
                </c:pt>
                <c:pt idx="560">
                  <c:v>44402</c:v>
                </c:pt>
                <c:pt idx="561">
                  <c:v>44403</c:v>
                </c:pt>
                <c:pt idx="562">
                  <c:v>44404</c:v>
                </c:pt>
                <c:pt idx="563">
                  <c:v>44405</c:v>
                </c:pt>
                <c:pt idx="564">
                  <c:v>44406</c:v>
                </c:pt>
                <c:pt idx="565">
                  <c:v>44407</c:v>
                </c:pt>
                <c:pt idx="566">
                  <c:v>44408</c:v>
                </c:pt>
                <c:pt idx="567">
                  <c:v>44409</c:v>
                </c:pt>
                <c:pt idx="568">
                  <c:v>44410</c:v>
                </c:pt>
                <c:pt idx="569">
                  <c:v>44411</c:v>
                </c:pt>
                <c:pt idx="570">
                  <c:v>44412</c:v>
                </c:pt>
                <c:pt idx="571">
                  <c:v>44413</c:v>
                </c:pt>
                <c:pt idx="572">
                  <c:v>44414</c:v>
                </c:pt>
                <c:pt idx="573">
                  <c:v>44415</c:v>
                </c:pt>
                <c:pt idx="574">
                  <c:v>44416</c:v>
                </c:pt>
                <c:pt idx="575">
                  <c:v>44417</c:v>
                </c:pt>
                <c:pt idx="576">
                  <c:v>44418</c:v>
                </c:pt>
                <c:pt idx="577">
                  <c:v>44419</c:v>
                </c:pt>
                <c:pt idx="578">
                  <c:v>44420</c:v>
                </c:pt>
                <c:pt idx="579">
                  <c:v>44421</c:v>
                </c:pt>
                <c:pt idx="580">
                  <c:v>44422</c:v>
                </c:pt>
                <c:pt idx="581">
                  <c:v>44423</c:v>
                </c:pt>
                <c:pt idx="582">
                  <c:v>44424</c:v>
                </c:pt>
                <c:pt idx="583">
                  <c:v>44425</c:v>
                </c:pt>
                <c:pt idx="584">
                  <c:v>44426</c:v>
                </c:pt>
                <c:pt idx="585">
                  <c:v>44427</c:v>
                </c:pt>
                <c:pt idx="586">
                  <c:v>44428</c:v>
                </c:pt>
                <c:pt idx="587">
                  <c:v>44429</c:v>
                </c:pt>
                <c:pt idx="588">
                  <c:v>44430</c:v>
                </c:pt>
                <c:pt idx="589">
                  <c:v>44431</c:v>
                </c:pt>
                <c:pt idx="590">
                  <c:v>44432</c:v>
                </c:pt>
                <c:pt idx="591">
                  <c:v>44433</c:v>
                </c:pt>
                <c:pt idx="592">
                  <c:v>44434</c:v>
                </c:pt>
                <c:pt idx="593">
                  <c:v>44435</c:v>
                </c:pt>
                <c:pt idx="594">
                  <c:v>44436</c:v>
                </c:pt>
                <c:pt idx="595">
                  <c:v>44437</c:v>
                </c:pt>
                <c:pt idx="596">
                  <c:v>44438</c:v>
                </c:pt>
                <c:pt idx="597">
                  <c:v>44439</c:v>
                </c:pt>
                <c:pt idx="598">
                  <c:v>44440</c:v>
                </c:pt>
                <c:pt idx="599">
                  <c:v>44441</c:v>
                </c:pt>
                <c:pt idx="600">
                  <c:v>44442</c:v>
                </c:pt>
                <c:pt idx="601">
                  <c:v>44443</c:v>
                </c:pt>
                <c:pt idx="602">
                  <c:v>44444</c:v>
                </c:pt>
                <c:pt idx="603">
                  <c:v>44445</c:v>
                </c:pt>
                <c:pt idx="604">
                  <c:v>44446</c:v>
                </c:pt>
                <c:pt idx="605">
                  <c:v>44447</c:v>
                </c:pt>
                <c:pt idx="606">
                  <c:v>44448</c:v>
                </c:pt>
                <c:pt idx="607">
                  <c:v>44449</c:v>
                </c:pt>
                <c:pt idx="608">
                  <c:v>44450</c:v>
                </c:pt>
                <c:pt idx="609">
                  <c:v>44451</c:v>
                </c:pt>
                <c:pt idx="610">
                  <c:v>44452</c:v>
                </c:pt>
                <c:pt idx="611">
                  <c:v>44453</c:v>
                </c:pt>
                <c:pt idx="612">
                  <c:v>44454</c:v>
                </c:pt>
                <c:pt idx="613">
                  <c:v>44455</c:v>
                </c:pt>
                <c:pt idx="614">
                  <c:v>44456</c:v>
                </c:pt>
                <c:pt idx="615">
                  <c:v>44457</c:v>
                </c:pt>
                <c:pt idx="616">
                  <c:v>44458</c:v>
                </c:pt>
                <c:pt idx="617">
                  <c:v>44459</c:v>
                </c:pt>
                <c:pt idx="618">
                  <c:v>44460</c:v>
                </c:pt>
                <c:pt idx="619">
                  <c:v>44461</c:v>
                </c:pt>
                <c:pt idx="620">
                  <c:v>44462</c:v>
                </c:pt>
                <c:pt idx="621">
                  <c:v>44463</c:v>
                </c:pt>
                <c:pt idx="622">
                  <c:v>44464</c:v>
                </c:pt>
                <c:pt idx="623">
                  <c:v>44465</c:v>
                </c:pt>
                <c:pt idx="624">
                  <c:v>44466</c:v>
                </c:pt>
                <c:pt idx="625">
                  <c:v>44467</c:v>
                </c:pt>
                <c:pt idx="626">
                  <c:v>44468</c:v>
                </c:pt>
                <c:pt idx="627">
                  <c:v>44469</c:v>
                </c:pt>
                <c:pt idx="628">
                  <c:v>44470</c:v>
                </c:pt>
                <c:pt idx="629">
                  <c:v>44471</c:v>
                </c:pt>
                <c:pt idx="630">
                  <c:v>44472</c:v>
                </c:pt>
                <c:pt idx="631">
                  <c:v>44473</c:v>
                </c:pt>
                <c:pt idx="632">
                  <c:v>44474</c:v>
                </c:pt>
                <c:pt idx="633">
                  <c:v>44475</c:v>
                </c:pt>
                <c:pt idx="634">
                  <c:v>44476</c:v>
                </c:pt>
                <c:pt idx="635">
                  <c:v>44477</c:v>
                </c:pt>
                <c:pt idx="636">
                  <c:v>44478</c:v>
                </c:pt>
                <c:pt idx="637">
                  <c:v>44479</c:v>
                </c:pt>
                <c:pt idx="638">
                  <c:v>44480</c:v>
                </c:pt>
                <c:pt idx="639">
                  <c:v>44481</c:v>
                </c:pt>
                <c:pt idx="640">
                  <c:v>44482</c:v>
                </c:pt>
                <c:pt idx="641">
                  <c:v>44483</c:v>
                </c:pt>
                <c:pt idx="642">
                  <c:v>44484</c:v>
                </c:pt>
                <c:pt idx="643">
                  <c:v>44485</c:v>
                </c:pt>
                <c:pt idx="644">
                  <c:v>44486</c:v>
                </c:pt>
                <c:pt idx="645">
                  <c:v>44487</c:v>
                </c:pt>
                <c:pt idx="646">
                  <c:v>44488</c:v>
                </c:pt>
                <c:pt idx="647">
                  <c:v>44489</c:v>
                </c:pt>
                <c:pt idx="648">
                  <c:v>44490</c:v>
                </c:pt>
                <c:pt idx="649">
                  <c:v>44491</c:v>
                </c:pt>
                <c:pt idx="650">
                  <c:v>44492</c:v>
                </c:pt>
                <c:pt idx="651">
                  <c:v>44493</c:v>
                </c:pt>
                <c:pt idx="652">
                  <c:v>44494</c:v>
                </c:pt>
                <c:pt idx="653">
                  <c:v>44495</c:v>
                </c:pt>
                <c:pt idx="654">
                  <c:v>44496</c:v>
                </c:pt>
                <c:pt idx="655">
                  <c:v>44497</c:v>
                </c:pt>
                <c:pt idx="656">
                  <c:v>44498</c:v>
                </c:pt>
                <c:pt idx="657">
                  <c:v>44499</c:v>
                </c:pt>
                <c:pt idx="658">
                  <c:v>44500</c:v>
                </c:pt>
                <c:pt idx="659">
                  <c:v>44501</c:v>
                </c:pt>
                <c:pt idx="660">
                  <c:v>44502</c:v>
                </c:pt>
                <c:pt idx="661">
                  <c:v>44503</c:v>
                </c:pt>
                <c:pt idx="662">
                  <c:v>44504</c:v>
                </c:pt>
                <c:pt idx="663">
                  <c:v>44505</c:v>
                </c:pt>
                <c:pt idx="664">
                  <c:v>44506</c:v>
                </c:pt>
                <c:pt idx="665">
                  <c:v>44507</c:v>
                </c:pt>
                <c:pt idx="666">
                  <c:v>44508</c:v>
                </c:pt>
                <c:pt idx="667">
                  <c:v>44509</c:v>
                </c:pt>
                <c:pt idx="668">
                  <c:v>44510</c:v>
                </c:pt>
                <c:pt idx="669">
                  <c:v>44511</c:v>
                </c:pt>
                <c:pt idx="670">
                  <c:v>44512</c:v>
                </c:pt>
                <c:pt idx="671">
                  <c:v>44513</c:v>
                </c:pt>
                <c:pt idx="672">
                  <c:v>44514</c:v>
                </c:pt>
                <c:pt idx="673">
                  <c:v>44515</c:v>
                </c:pt>
                <c:pt idx="674">
                  <c:v>44516</c:v>
                </c:pt>
                <c:pt idx="675">
                  <c:v>44517</c:v>
                </c:pt>
                <c:pt idx="676">
                  <c:v>44518</c:v>
                </c:pt>
                <c:pt idx="677">
                  <c:v>44519</c:v>
                </c:pt>
                <c:pt idx="678">
                  <c:v>44520</c:v>
                </c:pt>
                <c:pt idx="679">
                  <c:v>44521</c:v>
                </c:pt>
                <c:pt idx="680">
                  <c:v>44522</c:v>
                </c:pt>
                <c:pt idx="681">
                  <c:v>44523</c:v>
                </c:pt>
                <c:pt idx="682">
                  <c:v>44524</c:v>
                </c:pt>
                <c:pt idx="683">
                  <c:v>44525</c:v>
                </c:pt>
                <c:pt idx="684">
                  <c:v>44526</c:v>
                </c:pt>
                <c:pt idx="685">
                  <c:v>44527</c:v>
                </c:pt>
                <c:pt idx="686">
                  <c:v>44528</c:v>
                </c:pt>
                <c:pt idx="687">
                  <c:v>44529</c:v>
                </c:pt>
                <c:pt idx="688">
                  <c:v>44530</c:v>
                </c:pt>
                <c:pt idx="689">
                  <c:v>44531</c:v>
                </c:pt>
                <c:pt idx="690">
                  <c:v>44532</c:v>
                </c:pt>
                <c:pt idx="691">
                  <c:v>44533</c:v>
                </c:pt>
                <c:pt idx="692">
                  <c:v>44534</c:v>
                </c:pt>
                <c:pt idx="693">
                  <c:v>44535</c:v>
                </c:pt>
                <c:pt idx="694">
                  <c:v>44536</c:v>
                </c:pt>
                <c:pt idx="695">
                  <c:v>44537</c:v>
                </c:pt>
                <c:pt idx="696">
                  <c:v>44538</c:v>
                </c:pt>
                <c:pt idx="697">
                  <c:v>44539</c:v>
                </c:pt>
                <c:pt idx="698">
                  <c:v>44540</c:v>
                </c:pt>
                <c:pt idx="699">
                  <c:v>44541</c:v>
                </c:pt>
                <c:pt idx="700">
                  <c:v>44542</c:v>
                </c:pt>
                <c:pt idx="701">
                  <c:v>44543</c:v>
                </c:pt>
                <c:pt idx="702">
                  <c:v>44544</c:v>
                </c:pt>
                <c:pt idx="703">
                  <c:v>44545</c:v>
                </c:pt>
                <c:pt idx="704">
                  <c:v>44546</c:v>
                </c:pt>
                <c:pt idx="705">
                  <c:v>44547</c:v>
                </c:pt>
                <c:pt idx="706">
                  <c:v>44548</c:v>
                </c:pt>
                <c:pt idx="707">
                  <c:v>44549</c:v>
                </c:pt>
                <c:pt idx="708">
                  <c:v>44550</c:v>
                </c:pt>
                <c:pt idx="709">
                  <c:v>44551</c:v>
                </c:pt>
                <c:pt idx="710">
                  <c:v>44552</c:v>
                </c:pt>
                <c:pt idx="711">
                  <c:v>44553</c:v>
                </c:pt>
                <c:pt idx="712">
                  <c:v>44554</c:v>
                </c:pt>
                <c:pt idx="713">
                  <c:v>44555</c:v>
                </c:pt>
                <c:pt idx="714">
                  <c:v>44556</c:v>
                </c:pt>
                <c:pt idx="715">
                  <c:v>44557</c:v>
                </c:pt>
                <c:pt idx="716">
                  <c:v>44558</c:v>
                </c:pt>
                <c:pt idx="717">
                  <c:v>44559</c:v>
                </c:pt>
                <c:pt idx="718">
                  <c:v>44560</c:v>
                </c:pt>
                <c:pt idx="719">
                  <c:v>44561</c:v>
                </c:pt>
                <c:pt idx="720">
                  <c:v>44562</c:v>
                </c:pt>
                <c:pt idx="721">
                  <c:v>44563</c:v>
                </c:pt>
                <c:pt idx="722">
                  <c:v>44564</c:v>
                </c:pt>
                <c:pt idx="723">
                  <c:v>44565</c:v>
                </c:pt>
                <c:pt idx="724">
                  <c:v>44566</c:v>
                </c:pt>
                <c:pt idx="725">
                  <c:v>44567</c:v>
                </c:pt>
                <c:pt idx="726">
                  <c:v>44568</c:v>
                </c:pt>
                <c:pt idx="727">
                  <c:v>44569</c:v>
                </c:pt>
                <c:pt idx="728">
                  <c:v>44570</c:v>
                </c:pt>
                <c:pt idx="729">
                  <c:v>44571</c:v>
                </c:pt>
                <c:pt idx="730">
                  <c:v>44572</c:v>
                </c:pt>
                <c:pt idx="731">
                  <c:v>44573</c:v>
                </c:pt>
                <c:pt idx="732">
                  <c:v>44574</c:v>
                </c:pt>
                <c:pt idx="733">
                  <c:v>44575</c:v>
                </c:pt>
                <c:pt idx="734">
                  <c:v>44576</c:v>
                </c:pt>
                <c:pt idx="735">
                  <c:v>44577</c:v>
                </c:pt>
                <c:pt idx="736">
                  <c:v>44578</c:v>
                </c:pt>
                <c:pt idx="737">
                  <c:v>44579</c:v>
                </c:pt>
                <c:pt idx="738">
                  <c:v>44580</c:v>
                </c:pt>
                <c:pt idx="739">
                  <c:v>44581</c:v>
                </c:pt>
                <c:pt idx="740">
                  <c:v>44582</c:v>
                </c:pt>
                <c:pt idx="741">
                  <c:v>44583</c:v>
                </c:pt>
                <c:pt idx="742">
                  <c:v>44584</c:v>
                </c:pt>
                <c:pt idx="743">
                  <c:v>44585</c:v>
                </c:pt>
                <c:pt idx="744">
                  <c:v>44586</c:v>
                </c:pt>
                <c:pt idx="745">
                  <c:v>44587</c:v>
                </c:pt>
                <c:pt idx="746">
                  <c:v>44588</c:v>
                </c:pt>
                <c:pt idx="747">
                  <c:v>44589</c:v>
                </c:pt>
                <c:pt idx="748">
                  <c:v>44590</c:v>
                </c:pt>
                <c:pt idx="749">
                  <c:v>44591</c:v>
                </c:pt>
                <c:pt idx="750">
                  <c:v>44592</c:v>
                </c:pt>
                <c:pt idx="751">
                  <c:v>44593</c:v>
                </c:pt>
                <c:pt idx="752">
                  <c:v>44594</c:v>
                </c:pt>
                <c:pt idx="753">
                  <c:v>44595</c:v>
                </c:pt>
                <c:pt idx="754">
                  <c:v>44596</c:v>
                </c:pt>
                <c:pt idx="755">
                  <c:v>44597</c:v>
                </c:pt>
                <c:pt idx="756">
                  <c:v>44598</c:v>
                </c:pt>
                <c:pt idx="757">
                  <c:v>44599</c:v>
                </c:pt>
                <c:pt idx="758">
                  <c:v>44600</c:v>
                </c:pt>
                <c:pt idx="759">
                  <c:v>44601</c:v>
                </c:pt>
                <c:pt idx="760">
                  <c:v>44602</c:v>
                </c:pt>
                <c:pt idx="761">
                  <c:v>44603</c:v>
                </c:pt>
                <c:pt idx="762">
                  <c:v>44604</c:v>
                </c:pt>
                <c:pt idx="763">
                  <c:v>44605</c:v>
                </c:pt>
                <c:pt idx="764">
                  <c:v>44606</c:v>
                </c:pt>
                <c:pt idx="765">
                  <c:v>44607</c:v>
                </c:pt>
                <c:pt idx="766">
                  <c:v>44608</c:v>
                </c:pt>
                <c:pt idx="767">
                  <c:v>44609</c:v>
                </c:pt>
                <c:pt idx="768">
                  <c:v>44610</c:v>
                </c:pt>
                <c:pt idx="769">
                  <c:v>44611</c:v>
                </c:pt>
                <c:pt idx="770">
                  <c:v>44612</c:v>
                </c:pt>
                <c:pt idx="771">
                  <c:v>44613</c:v>
                </c:pt>
                <c:pt idx="772">
                  <c:v>44614</c:v>
                </c:pt>
                <c:pt idx="773">
                  <c:v>44615</c:v>
                </c:pt>
                <c:pt idx="774">
                  <c:v>44616</c:v>
                </c:pt>
                <c:pt idx="775">
                  <c:v>44617</c:v>
                </c:pt>
                <c:pt idx="776">
                  <c:v>44618</c:v>
                </c:pt>
                <c:pt idx="777">
                  <c:v>44619</c:v>
                </c:pt>
                <c:pt idx="778">
                  <c:v>44620</c:v>
                </c:pt>
                <c:pt idx="779">
                  <c:v>44621</c:v>
                </c:pt>
                <c:pt idx="780">
                  <c:v>44622</c:v>
                </c:pt>
                <c:pt idx="781">
                  <c:v>44623</c:v>
                </c:pt>
                <c:pt idx="782">
                  <c:v>44624</c:v>
                </c:pt>
                <c:pt idx="783">
                  <c:v>44625</c:v>
                </c:pt>
                <c:pt idx="784">
                  <c:v>44626</c:v>
                </c:pt>
                <c:pt idx="785">
                  <c:v>44627</c:v>
                </c:pt>
                <c:pt idx="786">
                  <c:v>44628</c:v>
                </c:pt>
                <c:pt idx="787">
                  <c:v>44629</c:v>
                </c:pt>
                <c:pt idx="788">
                  <c:v>44630</c:v>
                </c:pt>
                <c:pt idx="789">
                  <c:v>44631</c:v>
                </c:pt>
                <c:pt idx="790">
                  <c:v>44632</c:v>
                </c:pt>
                <c:pt idx="791">
                  <c:v>44633</c:v>
                </c:pt>
                <c:pt idx="792">
                  <c:v>44634</c:v>
                </c:pt>
                <c:pt idx="793">
                  <c:v>44635</c:v>
                </c:pt>
                <c:pt idx="794">
                  <c:v>44636</c:v>
                </c:pt>
                <c:pt idx="795">
                  <c:v>44637</c:v>
                </c:pt>
                <c:pt idx="796">
                  <c:v>44638</c:v>
                </c:pt>
                <c:pt idx="797">
                  <c:v>44639</c:v>
                </c:pt>
                <c:pt idx="798">
                  <c:v>44640</c:v>
                </c:pt>
                <c:pt idx="799">
                  <c:v>44641</c:v>
                </c:pt>
                <c:pt idx="800">
                  <c:v>44642</c:v>
                </c:pt>
                <c:pt idx="801">
                  <c:v>44643</c:v>
                </c:pt>
                <c:pt idx="802">
                  <c:v>44644</c:v>
                </c:pt>
                <c:pt idx="803">
                  <c:v>44645</c:v>
                </c:pt>
                <c:pt idx="804">
                  <c:v>44646</c:v>
                </c:pt>
                <c:pt idx="805">
                  <c:v>44647</c:v>
                </c:pt>
                <c:pt idx="806">
                  <c:v>44648</c:v>
                </c:pt>
                <c:pt idx="807">
                  <c:v>44649</c:v>
                </c:pt>
                <c:pt idx="808">
                  <c:v>44650</c:v>
                </c:pt>
                <c:pt idx="809">
                  <c:v>44651</c:v>
                </c:pt>
                <c:pt idx="810">
                  <c:v>44652</c:v>
                </c:pt>
                <c:pt idx="811">
                  <c:v>44653</c:v>
                </c:pt>
                <c:pt idx="812">
                  <c:v>44654</c:v>
                </c:pt>
                <c:pt idx="813">
                  <c:v>44655</c:v>
                </c:pt>
                <c:pt idx="814">
                  <c:v>44656</c:v>
                </c:pt>
                <c:pt idx="815">
                  <c:v>44657</c:v>
                </c:pt>
                <c:pt idx="816">
                  <c:v>44658</c:v>
                </c:pt>
                <c:pt idx="817">
                  <c:v>44659</c:v>
                </c:pt>
                <c:pt idx="818">
                  <c:v>44660</c:v>
                </c:pt>
                <c:pt idx="819">
                  <c:v>44661</c:v>
                </c:pt>
                <c:pt idx="820">
                  <c:v>44662</c:v>
                </c:pt>
                <c:pt idx="821">
                  <c:v>44663</c:v>
                </c:pt>
                <c:pt idx="822">
                  <c:v>44664</c:v>
                </c:pt>
                <c:pt idx="823">
                  <c:v>44665</c:v>
                </c:pt>
                <c:pt idx="824">
                  <c:v>44666</c:v>
                </c:pt>
                <c:pt idx="825">
                  <c:v>44667</c:v>
                </c:pt>
                <c:pt idx="826">
                  <c:v>44668</c:v>
                </c:pt>
                <c:pt idx="827">
                  <c:v>44669</c:v>
                </c:pt>
                <c:pt idx="828">
                  <c:v>44670</c:v>
                </c:pt>
                <c:pt idx="829">
                  <c:v>44671</c:v>
                </c:pt>
                <c:pt idx="830">
                  <c:v>44672</c:v>
                </c:pt>
                <c:pt idx="831">
                  <c:v>44673</c:v>
                </c:pt>
                <c:pt idx="832">
                  <c:v>44674</c:v>
                </c:pt>
                <c:pt idx="833">
                  <c:v>44675</c:v>
                </c:pt>
                <c:pt idx="834">
                  <c:v>44676</c:v>
                </c:pt>
                <c:pt idx="835">
                  <c:v>44677</c:v>
                </c:pt>
                <c:pt idx="836">
                  <c:v>44678</c:v>
                </c:pt>
                <c:pt idx="837">
                  <c:v>44679</c:v>
                </c:pt>
                <c:pt idx="838">
                  <c:v>44680</c:v>
                </c:pt>
                <c:pt idx="839">
                  <c:v>44681</c:v>
                </c:pt>
                <c:pt idx="840">
                  <c:v>44682</c:v>
                </c:pt>
                <c:pt idx="841">
                  <c:v>44683</c:v>
                </c:pt>
                <c:pt idx="842">
                  <c:v>44684</c:v>
                </c:pt>
                <c:pt idx="843">
                  <c:v>44685</c:v>
                </c:pt>
                <c:pt idx="844">
                  <c:v>44686</c:v>
                </c:pt>
                <c:pt idx="845">
                  <c:v>44687</c:v>
                </c:pt>
                <c:pt idx="846">
                  <c:v>44688</c:v>
                </c:pt>
                <c:pt idx="847">
                  <c:v>44689</c:v>
                </c:pt>
                <c:pt idx="848">
                  <c:v>44690</c:v>
                </c:pt>
                <c:pt idx="849">
                  <c:v>44691</c:v>
                </c:pt>
                <c:pt idx="850">
                  <c:v>44692</c:v>
                </c:pt>
                <c:pt idx="851">
                  <c:v>44693</c:v>
                </c:pt>
                <c:pt idx="852">
                  <c:v>44694</c:v>
                </c:pt>
                <c:pt idx="853">
                  <c:v>44695</c:v>
                </c:pt>
                <c:pt idx="854">
                  <c:v>44696</c:v>
                </c:pt>
                <c:pt idx="855">
                  <c:v>44697</c:v>
                </c:pt>
                <c:pt idx="856">
                  <c:v>44698</c:v>
                </c:pt>
                <c:pt idx="857">
                  <c:v>44699</c:v>
                </c:pt>
                <c:pt idx="858">
                  <c:v>44700</c:v>
                </c:pt>
                <c:pt idx="859">
                  <c:v>44701</c:v>
                </c:pt>
                <c:pt idx="860">
                  <c:v>44702</c:v>
                </c:pt>
                <c:pt idx="861">
                  <c:v>44703</c:v>
                </c:pt>
                <c:pt idx="862">
                  <c:v>44704</c:v>
                </c:pt>
                <c:pt idx="863">
                  <c:v>44705</c:v>
                </c:pt>
                <c:pt idx="864">
                  <c:v>44706</c:v>
                </c:pt>
                <c:pt idx="865">
                  <c:v>44707</c:v>
                </c:pt>
                <c:pt idx="866">
                  <c:v>44708</c:v>
                </c:pt>
                <c:pt idx="867">
                  <c:v>44709</c:v>
                </c:pt>
                <c:pt idx="868">
                  <c:v>44710</c:v>
                </c:pt>
                <c:pt idx="869">
                  <c:v>44711</c:v>
                </c:pt>
                <c:pt idx="870">
                  <c:v>44712</c:v>
                </c:pt>
                <c:pt idx="871">
                  <c:v>44713</c:v>
                </c:pt>
                <c:pt idx="872">
                  <c:v>44714</c:v>
                </c:pt>
                <c:pt idx="873">
                  <c:v>44715</c:v>
                </c:pt>
                <c:pt idx="874">
                  <c:v>44716</c:v>
                </c:pt>
                <c:pt idx="875">
                  <c:v>44717</c:v>
                </c:pt>
                <c:pt idx="876">
                  <c:v>44718</c:v>
                </c:pt>
                <c:pt idx="877">
                  <c:v>44719</c:v>
                </c:pt>
                <c:pt idx="878">
                  <c:v>44720</c:v>
                </c:pt>
                <c:pt idx="879">
                  <c:v>44721</c:v>
                </c:pt>
                <c:pt idx="880">
                  <c:v>44722</c:v>
                </c:pt>
                <c:pt idx="881">
                  <c:v>44723</c:v>
                </c:pt>
                <c:pt idx="882">
                  <c:v>44724</c:v>
                </c:pt>
                <c:pt idx="883">
                  <c:v>44725</c:v>
                </c:pt>
                <c:pt idx="884">
                  <c:v>44726</c:v>
                </c:pt>
                <c:pt idx="885">
                  <c:v>44727</c:v>
                </c:pt>
                <c:pt idx="886">
                  <c:v>44728</c:v>
                </c:pt>
                <c:pt idx="887">
                  <c:v>44729</c:v>
                </c:pt>
                <c:pt idx="888">
                  <c:v>44730</c:v>
                </c:pt>
                <c:pt idx="889">
                  <c:v>44731</c:v>
                </c:pt>
                <c:pt idx="890">
                  <c:v>44732</c:v>
                </c:pt>
                <c:pt idx="891">
                  <c:v>44733</c:v>
                </c:pt>
                <c:pt idx="892">
                  <c:v>44734</c:v>
                </c:pt>
                <c:pt idx="893">
                  <c:v>44735</c:v>
                </c:pt>
                <c:pt idx="894">
                  <c:v>44736</c:v>
                </c:pt>
                <c:pt idx="895">
                  <c:v>44737</c:v>
                </c:pt>
                <c:pt idx="896">
                  <c:v>44738</c:v>
                </c:pt>
                <c:pt idx="897">
                  <c:v>44739</c:v>
                </c:pt>
                <c:pt idx="898">
                  <c:v>44740</c:v>
                </c:pt>
                <c:pt idx="899">
                  <c:v>44741</c:v>
                </c:pt>
                <c:pt idx="900">
                  <c:v>44742</c:v>
                </c:pt>
                <c:pt idx="901">
                  <c:v>44743</c:v>
                </c:pt>
                <c:pt idx="902">
                  <c:v>44744</c:v>
                </c:pt>
                <c:pt idx="903">
                  <c:v>44745</c:v>
                </c:pt>
                <c:pt idx="904">
                  <c:v>44746</c:v>
                </c:pt>
                <c:pt idx="905">
                  <c:v>44747</c:v>
                </c:pt>
                <c:pt idx="906">
                  <c:v>44748</c:v>
                </c:pt>
                <c:pt idx="907">
                  <c:v>44749</c:v>
                </c:pt>
                <c:pt idx="908">
                  <c:v>44750</c:v>
                </c:pt>
                <c:pt idx="909">
                  <c:v>44751</c:v>
                </c:pt>
                <c:pt idx="910">
                  <c:v>44752</c:v>
                </c:pt>
                <c:pt idx="911">
                  <c:v>44753</c:v>
                </c:pt>
                <c:pt idx="912">
                  <c:v>44754</c:v>
                </c:pt>
                <c:pt idx="913">
                  <c:v>44755</c:v>
                </c:pt>
                <c:pt idx="914">
                  <c:v>44756</c:v>
                </c:pt>
                <c:pt idx="915">
                  <c:v>44757</c:v>
                </c:pt>
                <c:pt idx="916">
                  <c:v>44758</c:v>
                </c:pt>
                <c:pt idx="917">
                  <c:v>44759</c:v>
                </c:pt>
                <c:pt idx="918">
                  <c:v>44760</c:v>
                </c:pt>
                <c:pt idx="919">
                  <c:v>44761</c:v>
                </c:pt>
                <c:pt idx="920">
                  <c:v>44762</c:v>
                </c:pt>
                <c:pt idx="921">
                  <c:v>44763</c:v>
                </c:pt>
                <c:pt idx="922">
                  <c:v>44764</c:v>
                </c:pt>
                <c:pt idx="923">
                  <c:v>44765</c:v>
                </c:pt>
                <c:pt idx="924">
                  <c:v>44766</c:v>
                </c:pt>
                <c:pt idx="925">
                  <c:v>44767</c:v>
                </c:pt>
                <c:pt idx="926">
                  <c:v>44768</c:v>
                </c:pt>
                <c:pt idx="927">
                  <c:v>44769</c:v>
                </c:pt>
                <c:pt idx="928">
                  <c:v>44770</c:v>
                </c:pt>
                <c:pt idx="929">
                  <c:v>44771</c:v>
                </c:pt>
                <c:pt idx="930">
                  <c:v>44772</c:v>
                </c:pt>
                <c:pt idx="931">
                  <c:v>44773</c:v>
                </c:pt>
                <c:pt idx="932">
                  <c:v>44774</c:v>
                </c:pt>
                <c:pt idx="933">
                  <c:v>44775</c:v>
                </c:pt>
                <c:pt idx="934">
                  <c:v>44776</c:v>
                </c:pt>
                <c:pt idx="935">
                  <c:v>44777</c:v>
                </c:pt>
                <c:pt idx="936">
                  <c:v>44778</c:v>
                </c:pt>
                <c:pt idx="937">
                  <c:v>44779</c:v>
                </c:pt>
                <c:pt idx="938">
                  <c:v>44780</c:v>
                </c:pt>
                <c:pt idx="939">
                  <c:v>44781</c:v>
                </c:pt>
                <c:pt idx="940">
                  <c:v>44782</c:v>
                </c:pt>
                <c:pt idx="941">
                  <c:v>44783</c:v>
                </c:pt>
                <c:pt idx="942">
                  <c:v>44784</c:v>
                </c:pt>
                <c:pt idx="943">
                  <c:v>44785</c:v>
                </c:pt>
                <c:pt idx="944">
                  <c:v>44786</c:v>
                </c:pt>
                <c:pt idx="945">
                  <c:v>44787</c:v>
                </c:pt>
                <c:pt idx="946">
                  <c:v>44788</c:v>
                </c:pt>
                <c:pt idx="947">
                  <c:v>44789</c:v>
                </c:pt>
                <c:pt idx="948">
                  <c:v>44790</c:v>
                </c:pt>
                <c:pt idx="949">
                  <c:v>44791</c:v>
                </c:pt>
                <c:pt idx="950">
                  <c:v>44792</c:v>
                </c:pt>
                <c:pt idx="951">
                  <c:v>44793</c:v>
                </c:pt>
                <c:pt idx="952">
                  <c:v>44794</c:v>
                </c:pt>
                <c:pt idx="953">
                  <c:v>44795</c:v>
                </c:pt>
                <c:pt idx="954">
                  <c:v>44796</c:v>
                </c:pt>
                <c:pt idx="955">
                  <c:v>44797</c:v>
                </c:pt>
                <c:pt idx="956">
                  <c:v>44798</c:v>
                </c:pt>
                <c:pt idx="957">
                  <c:v>44799</c:v>
                </c:pt>
                <c:pt idx="958">
                  <c:v>44800</c:v>
                </c:pt>
                <c:pt idx="959">
                  <c:v>44801</c:v>
                </c:pt>
                <c:pt idx="960">
                  <c:v>44802</c:v>
                </c:pt>
                <c:pt idx="961">
                  <c:v>44803</c:v>
                </c:pt>
                <c:pt idx="962">
                  <c:v>44804</c:v>
                </c:pt>
                <c:pt idx="963">
                  <c:v>44805</c:v>
                </c:pt>
                <c:pt idx="964">
                  <c:v>44806</c:v>
                </c:pt>
                <c:pt idx="965">
                  <c:v>44807</c:v>
                </c:pt>
                <c:pt idx="966">
                  <c:v>44808</c:v>
                </c:pt>
                <c:pt idx="967">
                  <c:v>44809</c:v>
                </c:pt>
                <c:pt idx="968">
                  <c:v>44810</c:v>
                </c:pt>
                <c:pt idx="969">
                  <c:v>44811</c:v>
                </c:pt>
                <c:pt idx="970">
                  <c:v>44812</c:v>
                </c:pt>
                <c:pt idx="971">
                  <c:v>44813</c:v>
                </c:pt>
                <c:pt idx="972">
                  <c:v>44814</c:v>
                </c:pt>
                <c:pt idx="973">
                  <c:v>44815</c:v>
                </c:pt>
                <c:pt idx="974">
                  <c:v>44816</c:v>
                </c:pt>
                <c:pt idx="975">
                  <c:v>44817</c:v>
                </c:pt>
                <c:pt idx="976">
                  <c:v>44818</c:v>
                </c:pt>
                <c:pt idx="977">
                  <c:v>44819</c:v>
                </c:pt>
                <c:pt idx="978">
                  <c:v>44820</c:v>
                </c:pt>
                <c:pt idx="979">
                  <c:v>44821</c:v>
                </c:pt>
                <c:pt idx="980">
                  <c:v>44822</c:v>
                </c:pt>
                <c:pt idx="981">
                  <c:v>44823</c:v>
                </c:pt>
                <c:pt idx="982">
                  <c:v>44824</c:v>
                </c:pt>
                <c:pt idx="983">
                  <c:v>44825</c:v>
                </c:pt>
                <c:pt idx="984">
                  <c:v>44826</c:v>
                </c:pt>
                <c:pt idx="985">
                  <c:v>44827</c:v>
                </c:pt>
                <c:pt idx="986">
                  <c:v>44828</c:v>
                </c:pt>
                <c:pt idx="987">
                  <c:v>44829</c:v>
                </c:pt>
                <c:pt idx="988">
                  <c:v>44830</c:v>
                </c:pt>
                <c:pt idx="989">
                  <c:v>44831</c:v>
                </c:pt>
                <c:pt idx="990">
                  <c:v>44832</c:v>
                </c:pt>
                <c:pt idx="991">
                  <c:v>44833</c:v>
                </c:pt>
                <c:pt idx="992">
                  <c:v>44834</c:v>
                </c:pt>
                <c:pt idx="993">
                  <c:v>44835</c:v>
                </c:pt>
                <c:pt idx="994">
                  <c:v>44836</c:v>
                </c:pt>
                <c:pt idx="995">
                  <c:v>44837</c:v>
                </c:pt>
                <c:pt idx="996">
                  <c:v>44838</c:v>
                </c:pt>
                <c:pt idx="997">
                  <c:v>44839</c:v>
                </c:pt>
                <c:pt idx="998">
                  <c:v>44840</c:v>
                </c:pt>
                <c:pt idx="999">
                  <c:v>44841</c:v>
                </c:pt>
                <c:pt idx="1000">
                  <c:v>44842</c:v>
                </c:pt>
                <c:pt idx="1001">
                  <c:v>44843</c:v>
                </c:pt>
                <c:pt idx="1002">
                  <c:v>44844</c:v>
                </c:pt>
                <c:pt idx="1003">
                  <c:v>44845</c:v>
                </c:pt>
                <c:pt idx="1004">
                  <c:v>44846</c:v>
                </c:pt>
                <c:pt idx="1005">
                  <c:v>44847</c:v>
                </c:pt>
                <c:pt idx="1006">
                  <c:v>44848</c:v>
                </c:pt>
                <c:pt idx="1007">
                  <c:v>44849</c:v>
                </c:pt>
                <c:pt idx="1008">
                  <c:v>44850</c:v>
                </c:pt>
                <c:pt idx="1009">
                  <c:v>44851</c:v>
                </c:pt>
                <c:pt idx="1010">
                  <c:v>44852</c:v>
                </c:pt>
                <c:pt idx="1011">
                  <c:v>44853</c:v>
                </c:pt>
                <c:pt idx="1012">
                  <c:v>44854</c:v>
                </c:pt>
                <c:pt idx="1013">
                  <c:v>44855</c:v>
                </c:pt>
                <c:pt idx="1014">
                  <c:v>44856</c:v>
                </c:pt>
                <c:pt idx="1015">
                  <c:v>44857</c:v>
                </c:pt>
                <c:pt idx="1016">
                  <c:v>44858</c:v>
                </c:pt>
                <c:pt idx="1017">
                  <c:v>44859</c:v>
                </c:pt>
                <c:pt idx="1018">
                  <c:v>44860</c:v>
                </c:pt>
                <c:pt idx="1019">
                  <c:v>44861</c:v>
                </c:pt>
                <c:pt idx="1020">
                  <c:v>44862</c:v>
                </c:pt>
                <c:pt idx="1021">
                  <c:v>44863</c:v>
                </c:pt>
                <c:pt idx="1022">
                  <c:v>44864</c:v>
                </c:pt>
                <c:pt idx="1023">
                  <c:v>44865</c:v>
                </c:pt>
                <c:pt idx="1024">
                  <c:v>44866</c:v>
                </c:pt>
                <c:pt idx="1025">
                  <c:v>44867</c:v>
                </c:pt>
                <c:pt idx="1026">
                  <c:v>44868</c:v>
                </c:pt>
                <c:pt idx="1027">
                  <c:v>44869</c:v>
                </c:pt>
                <c:pt idx="1028">
                  <c:v>44870</c:v>
                </c:pt>
                <c:pt idx="1029">
                  <c:v>44871</c:v>
                </c:pt>
                <c:pt idx="1030">
                  <c:v>44872</c:v>
                </c:pt>
                <c:pt idx="1031">
                  <c:v>44873</c:v>
                </c:pt>
                <c:pt idx="1032">
                  <c:v>44874</c:v>
                </c:pt>
                <c:pt idx="1033">
                  <c:v>44875</c:v>
                </c:pt>
                <c:pt idx="1034">
                  <c:v>44876</c:v>
                </c:pt>
                <c:pt idx="1035">
                  <c:v>44877</c:v>
                </c:pt>
                <c:pt idx="1036">
                  <c:v>44878</c:v>
                </c:pt>
                <c:pt idx="1037">
                  <c:v>44879</c:v>
                </c:pt>
                <c:pt idx="1038">
                  <c:v>44880</c:v>
                </c:pt>
                <c:pt idx="1039">
                  <c:v>44881</c:v>
                </c:pt>
                <c:pt idx="1040">
                  <c:v>44882</c:v>
                </c:pt>
                <c:pt idx="1041">
                  <c:v>44883</c:v>
                </c:pt>
                <c:pt idx="1042">
                  <c:v>44884</c:v>
                </c:pt>
                <c:pt idx="1043">
                  <c:v>44885</c:v>
                </c:pt>
                <c:pt idx="1044">
                  <c:v>44886</c:v>
                </c:pt>
                <c:pt idx="1045">
                  <c:v>44887</c:v>
                </c:pt>
                <c:pt idx="1046">
                  <c:v>44888</c:v>
                </c:pt>
                <c:pt idx="1047">
                  <c:v>44889</c:v>
                </c:pt>
                <c:pt idx="1048">
                  <c:v>44890</c:v>
                </c:pt>
                <c:pt idx="1049">
                  <c:v>44891</c:v>
                </c:pt>
                <c:pt idx="1050">
                  <c:v>44892</c:v>
                </c:pt>
                <c:pt idx="1051">
                  <c:v>44893</c:v>
                </c:pt>
                <c:pt idx="1052">
                  <c:v>44894</c:v>
                </c:pt>
                <c:pt idx="1053">
                  <c:v>44895</c:v>
                </c:pt>
                <c:pt idx="1054">
                  <c:v>44896</c:v>
                </c:pt>
                <c:pt idx="1055">
                  <c:v>44897</c:v>
                </c:pt>
                <c:pt idx="1056">
                  <c:v>44898</c:v>
                </c:pt>
                <c:pt idx="1057">
                  <c:v>44899</c:v>
                </c:pt>
                <c:pt idx="1058">
                  <c:v>44900</c:v>
                </c:pt>
                <c:pt idx="1059">
                  <c:v>44901</c:v>
                </c:pt>
                <c:pt idx="1060">
                  <c:v>44902</c:v>
                </c:pt>
                <c:pt idx="1061">
                  <c:v>44903</c:v>
                </c:pt>
                <c:pt idx="1062">
                  <c:v>44904</c:v>
                </c:pt>
                <c:pt idx="1063">
                  <c:v>44905</c:v>
                </c:pt>
                <c:pt idx="1064">
                  <c:v>44906</c:v>
                </c:pt>
                <c:pt idx="1065">
                  <c:v>44907</c:v>
                </c:pt>
                <c:pt idx="1066">
                  <c:v>44908</c:v>
                </c:pt>
                <c:pt idx="1067">
                  <c:v>44909</c:v>
                </c:pt>
                <c:pt idx="1068">
                  <c:v>44910</c:v>
                </c:pt>
                <c:pt idx="1069">
                  <c:v>44911</c:v>
                </c:pt>
                <c:pt idx="1070">
                  <c:v>44912</c:v>
                </c:pt>
                <c:pt idx="1071">
                  <c:v>44913</c:v>
                </c:pt>
                <c:pt idx="1072">
                  <c:v>44914</c:v>
                </c:pt>
                <c:pt idx="1073">
                  <c:v>44915</c:v>
                </c:pt>
                <c:pt idx="1074">
                  <c:v>44916</c:v>
                </c:pt>
                <c:pt idx="1075">
                  <c:v>44917</c:v>
                </c:pt>
                <c:pt idx="1076">
                  <c:v>44918</c:v>
                </c:pt>
                <c:pt idx="1077">
                  <c:v>44919</c:v>
                </c:pt>
                <c:pt idx="1078">
                  <c:v>44920</c:v>
                </c:pt>
                <c:pt idx="1079">
                  <c:v>44921</c:v>
                </c:pt>
                <c:pt idx="1080">
                  <c:v>44922</c:v>
                </c:pt>
                <c:pt idx="1081">
                  <c:v>44923</c:v>
                </c:pt>
                <c:pt idx="1082">
                  <c:v>44924</c:v>
                </c:pt>
                <c:pt idx="1083">
                  <c:v>44925</c:v>
                </c:pt>
                <c:pt idx="1084">
                  <c:v>44926</c:v>
                </c:pt>
                <c:pt idx="1085">
                  <c:v>44927</c:v>
                </c:pt>
                <c:pt idx="1086">
                  <c:v>44928</c:v>
                </c:pt>
                <c:pt idx="1087">
                  <c:v>44929</c:v>
                </c:pt>
                <c:pt idx="1088">
                  <c:v>44930</c:v>
                </c:pt>
                <c:pt idx="1089">
                  <c:v>44931</c:v>
                </c:pt>
                <c:pt idx="1090">
                  <c:v>44932</c:v>
                </c:pt>
                <c:pt idx="1091">
                  <c:v>44933</c:v>
                </c:pt>
                <c:pt idx="1092">
                  <c:v>44934</c:v>
                </c:pt>
                <c:pt idx="1093">
                  <c:v>44935</c:v>
                </c:pt>
                <c:pt idx="1094">
                  <c:v>44936</c:v>
                </c:pt>
                <c:pt idx="1095">
                  <c:v>44937</c:v>
                </c:pt>
                <c:pt idx="1096">
                  <c:v>44938</c:v>
                </c:pt>
                <c:pt idx="1097">
                  <c:v>44939</c:v>
                </c:pt>
                <c:pt idx="1098">
                  <c:v>44940</c:v>
                </c:pt>
                <c:pt idx="1099">
                  <c:v>44941</c:v>
                </c:pt>
                <c:pt idx="1100">
                  <c:v>44942</c:v>
                </c:pt>
                <c:pt idx="1101">
                  <c:v>44943</c:v>
                </c:pt>
                <c:pt idx="1102">
                  <c:v>44944</c:v>
                </c:pt>
                <c:pt idx="1103">
                  <c:v>44945</c:v>
                </c:pt>
                <c:pt idx="1104">
                  <c:v>44946</c:v>
                </c:pt>
                <c:pt idx="1105">
                  <c:v>44947</c:v>
                </c:pt>
                <c:pt idx="1106">
                  <c:v>44948</c:v>
                </c:pt>
                <c:pt idx="1107">
                  <c:v>44949</c:v>
                </c:pt>
                <c:pt idx="1108">
                  <c:v>44950</c:v>
                </c:pt>
                <c:pt idx="1109">
                  <c:v>44951</c:v>
                </c:pt>
                <c:pt idx="1110">
                  <c:v>44952</c:v>
                </c:pt>
                <c:pt idx="1111">
                  <c:v>44953</c:v>
                </c:pt>
                <c:pt idx="1112">
                  <c:v>44954</c:v>
                </c:pt>
                <c:pt idx="1113">
                  <c:v>44955</c:v>
                </c:pt>
                <c:pt idx="1114">
                  <c:v>44956</c:v>
                </c:pt>
                <c:pt idx="1115">
                  <c:v>44957</c:v>
                </c:pt>
                <c:pt idx="1116">
                  <c:v>44958</c:v>
                </c:pt>
                <c:pt idx="1117">
                  <c:v>44959</c:v>
                </c:pt>
                <c:pt idx="1118">
                  <c:v>44960</c:v>
                </c:pt>
                <c:pt idx="1119">
                  <c:v>44961</c:v>
                </c:pt>
                <c:pt idx="1120">
                  <c:v>44962</c:v>
                </c:pt>
                <c:pt idx="1121">
                  <c:v>44963</c:v>
                </c:pt>
                <c:pt idx="1122">
                  <c:v>44964</c:v>
                </c:pt>
                <c:pt idx="1123">
                  <c:v>44965</c:v>
                </c:pt>
                <c:pt idx="1124">
                  <c:v>44966</c:v>
                </c:pt>
                <c:pt idx="1125">
                  <c:v>44967</c:v>
                </c:pt>
                <c:pt idx="1126">
                  <c:v>44968</c:v>
                </c:pt>
                <c:pt idx="1127">
                  <c:v>44969</c:v>
                </c:pt>
                <c:pt idx="1128">
                  <c:v>44970</c:v>
                </c:pt>
                <c:pt idx="1129">
                  <c:v>44971</c:v>
                </c:pt>
                <c:pt idx="1130">
                  <c:v>44972</c:v>
                </c:pt>
                <c:pt idx="1131">
                  <c:v>44973</c:v>
                </c:pt>
                <c:pt idx="1132">
                  <c:v>44974</c:v>
                </c:pt>
                <c:pt idx="1133">
                  <c:v>44975</c:v>
                </c:pt>
                <c:pt idx="1134">
                  <c:v>44976</c:v>
                </c:pt>
                <c:pt idx="1135">
                  <c:v>44977</c:v>
                </c:pt>
                <c:pt idx="1136">
                  <c:v>44978</c:v>
                </c:pt>
                <c:pt idx="1137">
                  <c:v>44979</c:v>
                </c:pt>
                <c:pt idx="1138">
                  <c:v>44980</c:v>
                </c:pt>
                <c:pt idx="1139">
                  <c:v>44981</c:v>
                </c:pt>
                <c:pt idx="1140">
                  <c:v>44982</c:v>
                </c:pt>
                <c:pt idx="1141">
                  <c:v>44983</c:v>
                </c:pt>
                <c:pt idx="1142">
                  <c:v>44984</c:v>
                </c:pt>
                <c:pt idx="1143">
                  <c:v>44985</c:v>
                </c:pt>
                <c:pt idx="1144">
                  <c:v>44986</c:v>
                </c:pt>
                <c:pt idx="1145">
                  <c:v>44987</c:v>
                </c:pt>
                <c:pt idx="1146">
                  <c:v>44988</c:v>
                </c:pt>
                <c:pt idx="1147">
                  <c:v>44989</c:v>
                </c:pt>
                <c:pt idx="1148">
                  <c:v>44990</c:v>
                </c:pt>
                <c:pt idx="1149">
                  <c:v>44991</c:v>
                </c:pt>
                <c:pt idx="1150">
                  <c:v>44992</c:v>
                </c:pt>
                <c:pt idx="1151">
                  <c:v>44993</c:v>
                </c:pt>
                <c:pt idx="1152">
                  <c:v>44994</c:v>
                </c:pt>
                <c:pt idx="1153">
                  <c:v>44995</c:v>
                </c:pt>
                <c:pt idx="1154">
                  <c:v>44996</c:v>
                </c:pt>
                <c:pt idx="1155">
                  <c:v>44997</c:v>
                </c:pt>
                <c:pt idx="1156">
                  <c:v>44998</c:v>
                </c:pt>
                <c:pt idx="1157">
                  <c:v>44999</c:v>
                </c:pt>
                <c:pt idx="1158">
                  <c:v>45000</c:v>
                </c:pt>
                <c:pt idx="1159">
                  <c:v>45001</c:v>
                </c:pt>
                <c:pt idx="1160">
                  <c:v>45002</c:v>
                </c:pt>
                <c:pt idx="1161">
                  <c:v>45003</c:v>
                </c:pt>
                <c:pt idx="1162">
                  <c:v>45004</c:v>
                </c:pt>
                <c:pt idx="1163">
                  <c:v>45005</c:v>
                </c:pt>
                <c:pt idx="1164">
                  <c:v>45006</c:v>
                </c:pt>
                <c:pt idx="1165">
                  <c:v>45007</c:v>
                </c:pt>
                <c:pt idx="1166">
                  <c:v>45008</c:v>
                </c:pt>
                <c:pt idx="1167">
                  <c:v>45009</c:v>
                </c:pt>
                <c:pt idx="1168">
                  <c:v>45010</c:v>
                </c:pt>
                <c:pt idx="1169">
                  <c:v>45011</c:v>
                </c:pt>
                <c:pt idx="1170">
                  <c:v>45012</c:v>
                </c:pt>
                <c:pt idx="1171">
                  <c:v>45013</c:v>
                </c:pt>
                <c:pt idx="1172">
                  <c:v>45014</c:v>
                </c:pt>
                <c:pt idx="1173">
                  <c:v>45015</c:v>
                </c:pt>
                <c:pt idx="1174">
                  <c:v>45016</c:v>
                </c:pt>
                <c:pt idx="1175">
                  <c:v>45017</c:v>
                </c:pt>
                <c:pt idx="1176">
                  <c:v>45018</c:v>
                </c:pt>
                <c:pt idx="1177">
                  <c:v>45019</c:v>
                </c:pt>
                <c:pt idx="1178">
                  <c:v>45020</c:v>
                </c:pt>
                <c:pt idx="1179">
                  <c:v>45021</c:v>
                </c:pt>
                <c:pt idx="1180">
                  <c:v>45022</c:v>
                </c:pt>
                <c:pt idx="1181">
                  <c:v>45023</c:v>
                </c:pt>
                <c:pt idx="1182">
                  <c:v>45024</c:v>
                </c:pt>
                <c:pt idx="1183">
                  <c:v>45025</c:v>
                </c:pt>
                <c:pt idx="1184">
                  <c:v>45026</c:v>
                </c:pt>
                <c:pt idx="1185">
                  <c:v>45027</c:v>
                </c:pt>
                <c:pt idx="1186">
                  <c:v>45028</c:v>
                </c:pt>
                <c:pt idx="1187">
                  <c:v>45029</c:v>
                </c:pt>
                <c:pt idx="1188">
                  <c:v>45030</c:v>
                </c:pt>
                <c:pt idx="1189">
                  <c:v>45031</c:v>
                </c:pt>
                <c:pt idx="1190">
                  <c:v>45032</c:v>
                </c:pt>
                <c:pt idx="1191">
                  <c:v>45033</c:v>
                </c:pt>
                <c:pt idx="1192">
                  <c:v>45034</c:v>
                </c:pt>
                <c:pt idx="1193">
                  <c:v>45035</c:v>
                </c:pt>
                <c:pt idx="1194">
                  <c:v>45036</c:v>
                </c:pt>
                <c:pt idx="1195">
                  <c:v>45037</c:v>
                </c:pt>
                <c:pt idx="1196">
                  <c:v>45038</c:v>
                </c:pt>
                <c:pt idx="1197">
                  <c:v>45039</c:v>
                </c:pt>
                <c:pt idx="1198">
                  <c:v>45040</c:v>
                </c:pt>
                <c:pt idx="1199">
                  <c:v>45041</c:v>
                </c:pt>
                <c:pt idx="1200">
                  <c:v>45042</c:v>
                </c:pt>
                <c:pt idx="1201">
                  <c:v>45043</c:v>
                </c:pt>
                <c:pt idx="1202">
                  <c:v>45044</c:v>
                </c:pt>
                <c:pt idx="1203">
                  <c:v>45045</c:v>
                </c:pt>
                <c:pt idx="1204">
                  <c:v>45046</c:v>
                </c:pt>
                <c:pt idx="1205">
                  <c:v>45047</c:v>
                </c:pt>
                <c:pt idx="1206">
                  <c:v>45048</c:v>
                </c:pt>
                <c:pt idx="1207">
                  <c:v>45049</c:v>
                </c:pt>
                <c:pt idx="1208">
                  <c:v>45050</c:v>
                </c:pt>
                <c:pt idx="1209">
                  <c:v>45051</c:v>
                </c:pt>
                <c:pt idx="1210">
                  <c:v>45052</c:v>
                </c:pt>
                <c:pt idx="1211">
                  <c:v>45053</c:v>
                </c:pt>
                <c:pt idx="1212">
                  <c:v>45054</c:v>
                </c:pt>
                <c:pt idx="1213">
                  <c:v>45055</c:v>
                </c:pt>
                <c:pt idx="1214">
                  <c:v>45056</c:v>
                </c:pt>
                <c:pt idx="1215">
                  <c:v>45057</c:v>
                </c:pt>
                <c:pt idx="1216">
                  <c:v>45058</c:v>
                </c:pt>
                <c:pt idx="1217">
                  <c:v>45059</c:v>
                </c:pt>
                <c:pt idx="1218">
                  <c:v>45060</c:v>
                </c:pt>
                <c:pt idx="1219">
                  <c:v>45061</c:v>
                </c:pt>
                <c:pt idx="1220">
                  <c:v>45062</c:v>
                </c:pt>
                <c:pt idx="1221">
                  <c:v>45063</c:v>
                </c:pt>
                <c:pt idx="1222">
                  <c:v>45064</c:v>
                </c:pt>
                <c:pt idx="1223">
                  <c:v>45065</c:v>
                </c:pt>
                <c:pt idx="1224">
                  <c:v>45066</c:v>
                </c:pt>
                <c:pt idx="1225">
                  <c:v>45067</c:v>
                </c:pt>
                <c:pt idx="1226">
                  <c:v>45068</c:v>
                </c:pt>
                <c:pt idx="1227">
                  <c:v>45069</c:v>
                </c:pt>
                <c:pt idx="1228">
                  <c:v>45070</c:v>
                </c:pt>
                <c:pt idx="1229">
                  <c:v>45071</c:v>
                </c:pt>
                <c:pt idx="1230">
                  <c:v>45072</c:v>
                </c:pt>
                <c:pt idx="1231">
                  <c:v>45073</c:v>
                </c:pt>
                <c:pt idx="1232">
                  <c:v>45074</c:v>
                </c:pt>
                <c:pt idx="1233">
                  <c:v>45075</c:v>
                </c:pt>
                <c:pt idx="1234">
                  <c:v>45076</c:v>
                </c:pt>
                <c:pt idx="1235">
                  <c:v>45077</c:v>
                </c:pt>
                <c:pt idx="1236">
                  <c:v>45078</c:v>
                </c:pt>
                <c:pt idx="1237">
                  <c:v>45079</c:v>
                </c:pt>
                <c:pt idx="1238">
                  <c:v>45080</c:v>
                </c:pt>
                <c:pt idx="1239">
                  <c:v>45081</c:v>
                </c:pt>
                <c:pt idx="1240">
                  <c:v>45082</c:v>
                </c:pt>
                <c:pt idx="1241">
                  <c:v>45083</c:v>
                </c:pt>
                <c:pt idx="1242">
                  <c:v>45084</c:v>
                </c:pt>
                <c:pt idx="1243">
                  <c:v>45085</c:v>
                </c:pt>
                <c:pt idx="1244">
                  <c:v>45086</c:v>
                </c:pt>
                <c:pt idx="1245">
                  <c:v>45087</c:v>
                </c:pt>
                <c:pt idx="1246">
                  <c:v>45088</c:v>
                </c:pt>
                <c:pt idx="1247">
                  <c:v>45089</c:v>
                </c:pt>
                <c:pt idx="1248">
                  <c:v>45090</c:v>
                </c:pt>
                <c:pt idx="1249">
                  <c:v>45091</c:v>
                </c:pt>
                <c:pt idx="1250">
                  <c:v>45092</c:v>
                </c:pt>
                <c:pt idx="1251">
                  <c:v>45093</c:v>
                </c:pt>
                <c:pt idx="1252">
                  <c:v>45094</c:v>
                </c:pt>
                <c:pt idx="1253">
                  <c:v>45095</c:v>
                </c:pt>
                <c:pt idx="1254">
                  <c:v>45096</c:v>
                </c:pt>
                <c:pt idx="1255">
                  <c:v>45097</c:v>
                </c:pt>
                <c:pt idx="1256">
                  <c:v>45098</c:v>
                </c:pt>
                <c:pt idx="1257">
                  <c:v>45099</c:v>
                </c:pt>
                <c:pt idx="1258">
                  <c:v>45100</c:v>
                </c:pt>
                <c:pt idx="1259">
                  <c:v>45101</c:v>
                </c:pt>
                <c:pt idx="1260">
                  <c:v>45102</c:v>
                </c:pt>
                <c:pt idx="1261">
                  <c:v>45103</c:v>
                </c:pt>
                <c:pt idx="1262">
                  <c:v>45104</c:v>
                </c:pt>
                <c:pt idx="1263">
                  <c:v>45105</c:v>
                </c:pt>
                <c:pt idx="1264">
                  <c:v>45106</c:v>
                </c:pt>
                <c:pt idx="1265">
                  <c:v>45107</c:v>
                </c:pt>
                <c:pt idx="1266">
                  <c:v>45108</c:v>
                </c:pt>
                <c:pt idx="1267">
                  <c:v>45109</c:v>
                </c:pt>
                <c:pt idx="1268">
                  <c:v>45110</c:v>
                </c:pt>
                <c:pt idx="1269">
                  <c:v>45111</c:v>
                </c:pt>
                <c:pt idx="1270">
                  <c:v>45112</c:v>
                </c:pt>
                <c:pt idx="1271">
                  <c:v>45113</c:v>
                </c:pt>
                <c:pt idx="1272">
                  <c:v>45114</c:v>
                </c:pt>
                <c:pt idx="1273">
                  <c:v>45115</c:v>
                </c:pt>
                <c:pt idx="1274">
                  <c:v>45116</c:v>
                </c:pt>
                <c:pt idx="1275">
                  <c:v>45117</c:v>
                </c:pt>
                <c:pt idx="1276">
                  <c:v>45118</c:v>
                </c:pt>
                <c:pt idx="1277">
                  <c:v>45119</c:v>
                </c:pt>
                <c:pt idx="1278">
                  <c:v>45120</c:v>
                </c:pt>
                <c:pt idx="1279">
                  <c:v>45121</c:v>
                </c:pt>
                <c:pt idx="1280">
                  <c:v>45122</c:v>
                </c:pt>
                <c:pt idx="1281">
                  <c:v>45123</c:v>
                </c:pt>
                <c:pt idx="1282">
                  <c:v>45124</c:v>
                </c:pt>
                <c:pt idx="1283">
                  <c:v>45125</c:v>
                </c:pt>
                <c:pt idx="1284">
                  <c:v>45126</c:v>
                </c:pt>
                <c:pt idx="1285">
                  <c:v>45127</c:v>
                </c:pt>
                <c:pt idx="1286">
                  <c:v>45128</c:v>
                </c:pt>
                <c:pt idx="1287">
                  <c:v>45129</c:v>
                </c:pt>
                <c:pt idx="1288">
                  <c:v>45130</c:v>
                </c:pt>
                <c:pt idx="1289">
                  <c:v>45131</c:v>
                </c:pt>
                <c:pt idx="1290">
                  <c:v>45132</c:v>
                </c:pt>
                <c:pt idx="1291">
                  <c:v>45133</c:v>
                </c:pt>
                <c:pt idx="1292">
                  <c:v>45134</c:v>
                </c:pt>
                <c:pt idx="1293">
                  <c:v>45135</c:v>
                </c:pt>
                <c:pt idx="1294">
                  <c:v>45136</c:v>
                </c:pt>
                <c:pt idx="1295">
                  <c:v>45137</c:v>
                </c:pt>
                <c:pt idx="1296">
                  <c:v>45138</c:v>
                </c:pt>
                <c:pt idx="1297">
                  <c:v>45139</c:v>
                </c:pt>
                <c:pt idx="1298">
                  <c:v>45140</c:v>
                </c:pt>
                <c:pt idx="1299">
                  <c:v>45141</c:v>
                </c:pt>
                <c:pt idx="1300">
                  <c:v>45142</c:v>
                </c:pt>
                <c:pt idx="1301">
                  <c:v>45143</c:v>
                </c:pt>
                <c:pt idx="1302">
                  <c:v>45144</c:v>
                </c:pt>
                <c:pt idx="1303">
                  <c:v>45145</c:v>
                </c:pt>
                <c:pt idx="1304">
                  <c:v>45146</c:v>
                </c:pt>
                <c:pt idx="1305">
                  <c:v>45147</c:v>
                </c:pt>
                <c:pt idx="1306">
                  <c:v>45148</c:v>
                </c:pt>
                <c:pt idx="1307">
                  <c:v>45149</c:v>
                </c:pt>
                <c:pt idx="1308">
                  <c:v>45150</c:v>
                </c:pt>
                <c:pt idx="1309">
                  <c:v>45151</c:v>
                </c:pt>
                <c:pt idx="1310">
                  <c:v>45152</c:v>
                </c:pt>
                <c:pt idx="1311">
                  <c:v>45153</c:v>
                </c:pt>
                <c:pt idx="1312">
                  <c:v>45154</c:v>
                </c:pt>
                <c:pt idx="1313">
                  <c:v>45155</c:v>
                </c:pt>
                <c:pt idx="1314">
                  <c:v>45156</c:v>
                </c:pt>
                <c:pt idx="1315">
                  <c:v>45157</c:v>
                </c:pt>
                <c:pt idx="1316">
                  <c:v>45158</c:v>
                </c:pt>
                <c:pt idx="1317">
                  <c:v>45159</c:v>
                </c:pt>
                <c:pt idx="1318">
                  <c:v>45160</c:v>
                </c:pt>
                <c:pt idx="1319">
                  <c:v>45161</c:v>
                </c:pt>
                <c:pt idx="1320">
                  <c:v>45162</c:v>
                </c:pt>
                <c:pt idx="1321">
                  <c:v>45163</c:v>
                </c:pt>
                <c:pt idx="1322">
                  <c:v>45164</c:v>
                </c:pt>
                <c:pt idx="1323">
                  <c:v>45165</c:v>
                </c:pt>
                <c:pt idx="1324">
                  <c:v>45166</c:v>
                </c:pt>
                <c:pt idx="1325">
                  <c:v>45167</c:v>
                </c:pt>
                <c:pt idx="1326">
                  <c:v>45168</c:v>
                </c:pt>
                <c:pt idx="1327">
                  <c:v>45169</c:v>
                </c:pt>
                <c:pt idx="1328">
                  <c:v>45170</c:v>
                </c:pt>
                <c:pt idx="1329">
                  <c:v>45171</c:v>
                </c:pt>
                <c:pt idx="1330">
                  <c:v>45172</c:v>
                </c:pt>
                <c:pt idx="1331">
                  <c:v>45173</c:v>
                </c:pt>
                <c:pt idx="1332">
                  <c:v>45174</c:v>
                </c:pt>
                <c:pt idx="1333">
                  <c:v>45175</c:v>
                </c:pt>
                <c:pt idx="1334">
                  <c:v>45176</c:v>
                </c:pt>
                <c:pt idx="1335">
                  <c:v>45177</c:v>
                </c:pt>
                <c:pt idx="1336">
                  <c:v>45178</c:v>
                </c:pt>
                <c:pt idx="1337">
                  <c:v>45179</c:v>
                </c:pt>
                <c:pt idx="1338">
                  <c:v>45180</c:v>
                </c:pt>
                <c:pt idx="1339">
                  <c:v>45181</c:v>
                </c:pt>
                <c:pt idx="1340">
                  <c:v>45182</c:v>
                </c:pt>
                <c:pt idx="1341">
                  <c:v>45183</c:v>
                </c:pt>
                <c:pt idx="1342">
                  <c:v>45184</c:v>
                </c:pt>
                <c:pt idx="1343">
                  <c:v>45185</c:v>
                </c:pt>
                <c:pt idx="1344">
                  <c:v>45186</c:v>
                </c:pt>
                <c:pt idx="1345">
                  <c:v>45187</c:v>
                </c:pt>
                <c:pt idx="1346">
                  <c:v>45188</c:v>
                </c:pt>
                <c:pt idx="1347">
                  <c:v>45189</c:v>
                </c:pt>
                <c:pt idx="1348">
                  <c:v>45190</c:v>
                </c:pt>
                <c:pt idx="1349">
                  <c:v>45191</c:v>
                </c:pt>
                <c:pt idx="1350">
                  <c:v>45192</c:v>
                </c:pt>
                <c:pt idx="1351">
                  <c:v>45193</c:v>
                </c:pt>
                <c:pt idx="1352">
                  <c:v>45194</c:v>
                </c:pt>
                <c:pt idx="1353">
                  <c:v>45195</c:v>
                </c:pt>
                <c:pt idx="1354">
                  <c:v>45196</c:v>
                </c:pt>
                <c:pt idx="1355">
                  <c:v>45197</c:v>
                </c:pt>
                <c:pt idx="1356">
                  <c:v>45198</c:v>
                </c:pt>
                <c:pt idx="1357">
                  <c:v>45199</c:v>
                </c:pt>
                <c:pt idx="1358">
                  <c:v>45200</c:v>
                </c:pt>
                <c:pt idx="1359">
                  <c:v>45201</c:v>
                </c:pt>
                <c:pt idx="1360">
                  <c:v>45202</c:v>
                </c:pt>
                <c:pt idx="1361">
                  <c:v>45203</c:v>
                </c:pt>
                <c:pt idx="1362">
                  <c:v>45204</c:v>
                </c:pt>
                <c:pt idx="1363">
                  <c:v>45205</c:v>
                </c:pt>
                <c:pt idx="1364">
                  <c:v>45206</c:v>
                </c:pt>
                <c:pt idx="1365">
                  <c:v>45207</c:v>
                </c:pt>
                <c:pt idx="1366">
                  <c:v>45208</c:v>
                </c:pt>
                <c:pt idx="1367">
                  <c:v>45209</c:v>
                </c:pt>
                <c:pt idx="1368">
                  <c:v>45210</c:v>
                </c:pt>
                <c:pt idx="1369">
                  <c:v>45211</c:v>
                </c:pt>
                <c:pt idx="1370">
                  <c:v>45212</c:v>
                </c:pt>
                <c:pt idx="1371">
                  <c:v>45213</c:v>
                </c:pt>
                <c:pt idx="1372">
                  <c:v>45214</c:v>
                </c:pt>
                <c:pt idx="1373">
                  <c:v>45215</c:v>
                </c:pt>
                <c:pt idx="1374">
                  <c:v>45216</c:v>
                </c:pt>
                <c:pt idx="1375">
                  <c:v>45217</c:v>
                </c:pt>
                <c:pt idx="1376">
                  <c:v>45218</c:v>
                </c:pt>
                <c:pt idx="1377">
                  <c:v>45219</c:v>
                </c:pt>
                <c:pt idx="1378">
                  <c:v>45220</c:v>
                </c:pt>
                <c:pt idx="1379">
                  <c:v>45221</c:v>
                </c:pt>
                <c:pt idx="1380">
                  <c:v>45222</c:v>
                </c:pt>
                <c:pt idx="1381">
                  <c:v>45223</c:v>
                </c:pt>
                <c:pt idx="1382">
                  <c:v>45224</c:v>
                </c:pt>
                <c:pt idx="1383">
                  <c:v>45225</c:v>
                </c:pt>
                <c:pt idx="1384">
                  <c:v>45226</c:v>
                </c:pt>
                <c:pt idx="1385">
                  <c:v>45227</c:v>
                </c:pt>
                <c:pt idx="1386">
                  <c:v>45228</c:v>
                </c:pt>
                <c:pt idx="1387">
                  <c:v>45229</c:v>
                </c:pt>
                <c:pt idx="1388">
                  <c:v>45230</c:v>
                </c:pt>
                <c:pt idx="1389">
                  <c:v>45231</c:v>
                </c:pt>
                <c:pt idx="1390">
                  <c:v>45232</c:v>
                </c:pt>
                <c:pt idx="1391">
                  <c:v>45233</c:v>
                </c:pt>
                <c:pt idx="1392">
                  <c:v>45234</c:v>
                </c:pt>
                <c:pt idx="1393">
                  <c:v>45235</c:v>
                </c:pt>
                <c:pt idx="1394">
                  <c:v>45236</c:v>
                </c:pt>
                <c:pt idx="1395">
                  <c:v>45237</c:v>
                </c:pt>
                <c:pt idx="1396">
                  <c:v>45238</c:v>
                </c:pt>
                <c:pt idx="1397">
                  <c:v>45239</c:v>
                </c:pt>
                <c:pt idx="1398">
                  <c:v>45240</c:v>
                </c:pt>
                <c:pt idx="1399">
                  <c:v>45241</c:v>
                </c:pt>
                <c:pt idx="1400">
                  <c:v>45242</c:v>
                </c:pt>
                <c:pt idx="1401">
                  <c:v>45243</c:v>
                </c:pt>
                <c:pt idx="1402">
                  <c:v>45244</c:v>
                </c:pt>
                <c:pt idx="1403">
                  <c:v>45245</c:v>
                </c:pt>
                <c:pt idx="1404">
                  <c:v>45246</c:v>
                </c:pt>
                <c:pt idx="1405">
                  <c:v>45247</c:v>
                </c:pt>
                <c:pt idx="1406">
                  <c:v>45248</c:v>
                </c:pt>
                <c:pt idx="1407">
                  <c:v>45249</c:v>
                </c:pt>
                <c:pt idx="1408">
                  <c:v>45250</c:v>
                </c:pt>
                <c:pt idx="1409">
                  <c:v>45251</c:v>
                </c:pt>
                <c:pt idx="1410">
                  <c:v>45252</c:v>
                </c:pt>
                <c:pt idx="1411">
                  <c:v>45253</c:v>
                </c:pt>
                <c:pt idx="1412">
                  <c:v>45254</c:v>
                </c:pt>
                <c:pt idx="1413">
                  <c:v>45255</c:v>
                </c:pt>
                <c:pt idx="1414">
                  <c:v>45256</c:v>
                </c:pt>
                <c:pt idx="1415">
                  <c:v>45257</c:v>
                </c:pt>
                <c:pt idx="1416">
                  <c:v>45258</c:v>
                </c:pt>
                <c:pt idx="1417">
                  <c:v>45259</c:v>
                </c:pt>
                <c:pt idx="1418">
                  <c:v>45260</c:v>
                </c:pt>
                <c:pt idx="1419">
                  <c:v>45261</c:v>
                </c:pt>
                <c:pt idx="1420">
                  <c:v>45262</c:v>
                </c:pt>
                <c:pt idx="1421">
                  <c:v>45263</c:v>
                </c:pt>
                <c:pt idx="1422">
                  <c:v>45264</c:v>
                </c:pt>
                <c:pt idx="1423">
                  <c:v>45265</c:v>
                </c:pt>
                <c:pt idx="1424">
                  <c:v>45266</c:v>
                </c:pt>
                <c:pt idx="1425">
                  <c:v>45267</c:v>
                </c:pt>
                <c:pt idx="1426">
                  <c:v>45268</c:v>
                </c:pt>
                <c:pt idx="1427">
                  <c:v>45269</c:v>
                </c:pt>
                <c:pt idx="1428">
                  <c:v>45270</c:v>
                </c:pt>
                <c:pt idx="1429">
                  <c:v>45271</c:v>
                </c:pt>
                <c:pt idx="1430">
                  <c:v>45272</c:v>
                </c:pt>
                <c:pt idx="1431">
                  <c:v>45273</c:v>
                </c:pt>
                <c:pt idx="1432">
                  <c:v>45274</c:v>
                </c:pt>
                <c:pt idx="1433">
                  <c:v>45275</c:v>
                </c:pt>
                <c:pt idx="1434">
                  <c:v>45276</c:v>
                </c:pt>
                <c:pt idx="1435">
                  <c:v>45277</c:v>
                </c:pt>
                <c:pt idx="1436">
                  <c:v>45278</c:v>
                </c:pt>
                <c:pt idx="1437">
                  <c:v>45279</c:v>
                </c:pt>
                <c:pt idx="1438">
                  <c:v>45280</c:v>
                </c:pt>
                <c:pt idx="1439">
                  <c:v>45281</c:v>
                </c:pt>
                <c:pt idx="1440">
                  <c:v>45282</c:v>
                </c:pt>
                <c:pt idx="1441">
                  <c:v>45283</c:v>
                </c:pt>
                <c:pt idx="1442">
                  <c:v>45284</c:v>
                </c:pt>
                <c:pt idx="1443">
                  <c:v>45285</c:v>
                </c:pt>
                <c:pt idx="1444">
                  <c:v>45286</c:v>
                </c:pt>
                <c:pt idx="1445">
                  <c:v>45287</c:v>
                </c:pt>
                <c:pt idx="1446">
                  <c:v>45288</c:v>
                </c:pt>
                <c:pt idx="1447">
                  <c:v>45289</c:v>
                </c:pt>
                <c:pt idx="1448">
                  <c:v>45290</c:v>
                </c:pt>
                <c:pt idx="1449">
                  <c:v>45291</c:v>
                </c:pt>
                <c:pt idx="1450">
                  <c:v>45292</c:v>
                </c:pt>
                <c:pt idx="1451">
                  <c:v>45293</c:v>
                </c:pt>
                <c:pt idx="1452">
                  <c:v>45294</c:v>
                </c:pt>
                <c:pt idx="1453">
                  <c:v>45295</c:v>
                </c:pt>
                <c:pt idx="1454">
                  <c:v>45296</c:v>
                </c:pt>
                <c:pt idx="1455">
                  <c:v>45297</c:v>
                </c:pt>
                <c:pt idx="1456">
                  <c:v>45298</c:v>
                </c:pt>
                <c:pt idx="1457">
                  <c:v>45299</c:v>
                </c:pt>
                <c:pt idx="1458">
                  <c:v>45300</c:v>
                </c:pt>
                <c:pt idx="1459">
                  <c:v>45301</c:v>
                </c:pt>
                <c:pt idx="1460">
                  <c:v>45302</c:v>
                </c:pt>
                <c:pt idx="1461">
                  <c:v>45303</c:v>
                </c:pt>
                <c:pt idx="1462">
                  <c:v>45304</c:v>
                </c:pt>
                <c:pt idx="1463">
                  <c:v>45305</c:v>
                </c:pt>
                <c:pt idx="1464">
                  <c:v>45306</c:v>
                </c:pt>
                <c:pt idx="1465">
                  <c:v>45307</c:v>
                </c:pt>
                <c:pt idx="1466">
                  <c:v>45308</c:v>
                </c:pt>
                <c:pt idx="1467">
                  <c:v>45309</c:v>
                </c:pt>
                <c:pt idx="1468">
                  <c:v>45310</c:v>
                </c:pt>
                <c:pt idx="1469">
                  <c:v>45311</c:v>
                </c:pt>
                <c:pt idx="1470">
                  <c:v>45312</c:v>
                </c:pt>
                <c:pt idx="1471">
                  <c:v>45313</c:v>
                </c:pt>
                <c:pt idx="1472">
                  <c:v>45314</c:v>
                </c:pt>
                <c:pt idx="1473">
                  <c:v>45315</c:v>
                </c:pt>
                <c:pt idx="1474">
                  <c:v>45316</c:v>
                </c:pt>
                <c:pt idx="1475">
                  <c:v>45317</c:v>
                </c:pt>
                <c:pt idx="1476">
                  <c:v>45318</c:v>
                </c:pt>
                <c:pt idx="1477">
                  <c:v>45319</c:v>
                </c:pt>
                <c:pt idx="1478">
                  <c:v>45320</c:v>
                </c:pt>
                <c:pt idx="1479">
                  <c:v>45321</c:v>
                </c:pt>
                <c:pt idx="1480">
                  <c:v>45322</c:v>
                </c:pt>
                <c:pt idx="1481">
                  <c:v>45323</c:v>
                </c:pt>
                <c:pt idx="1482">
                  <c:v>45324</c:v>
                </c:pt>
                <c:pt idx="1483">
                  <c:v>45325</c:v>
                </c:pt>
                <c:pt idx="1484">
                  <c:v>45326</c:v>
                </c:pt>
                <c:pt idx="1485">
                  <c:v>45327</c:v>
                </c:pt>
                <c:pt idx="1486">
                  <c:v>45328</c:v>
                </c:pt>
                <c:pt idx="1487">
                  <c:v>45329</c:v>
                </c:pt>
                <c:pt idx="1488">
                  <c:v>45330</c:v>
                </c:pt>
                <c:pt idx="1489">
                  <c:v>45331</c:v>
                </c:pt>
                <c:pt idx="1490">
                  <c:v>45332</c:v>
                </c:pt>
                <c:pt idx="1491">
                  <c:v>45333</c:v>
                </c:pt>
                <c:pt idx="1492">
                  <c:v>45334</c:v>
                </c:pt>
                <c:pt idx="1493">
                  <c:v>45335</c:v>
                </c:pt>
                <c:pt idx="1494">
                  <c:v>45336</c:v>
                </c:pt>
                <c:pt idx="1495">
                  <c:v>45337</c:v>
                </c:pt>
                <c:pt idx="1496">
                  <c:v>45338</c:v>
                </c:pt>
                <c:pt idx="1497">
                  <c:v>45339</c:v>
                </c:pt>
                <c:pt idx="1498">
                  <c:v>45340</c:v>
                </c:pt>
                <c:pt idx="1499">
                  <c:v>45341</c:v>
                </c:pt>
                <c:pt idx="1500">
                  <c:v>45342</c:v>
                </c:pt>
                <c:pt idx="1501">
                  <c:v>45343</c:v>
                </c:pt>
                <c:pt idx="1502">
                  <c:v>45344</c:v>
                </c:pt>
                <c:pt idx="1503">
                  <c:v>45345</c:v>
                </c:pt>
                <c:pt idx="1504">
                  <c:v>45346</c:v>
                </c:pt>
                <c:pt idx="1505">
                  <c:v>45347</c:v>
                </c:pt>
                <c:pt idx="1506">
                  <c:v>45348</c:v>
                </c:pt>
                <c:pt idx="1507">
                  <c:v>45349</c:v>
                </c:pt>
                <c:pt idx="1508">
                  <c:v>45350</c:v>
                </c:pt>
                <c:pt idx="1509">
                  <c:v>45351</c:v>
                </c:pt>
                <c:pt idx="1510">
                  <c:v>45352</c:v>
                </c:pt>
                <c:pt idx="1511">
                  <c:v>45353</c:v>
                </c:pt>
                <c:pt idx="1512">
                  <c:v>45354</c:v>
                </c:pt>
                <c:pt idx="1513">
                  <c:v>45355</c:v>
                </c:pt>
                <c:pt idx="1514">
                  <c:v>45356</c:v>
                </c:pt>
                <c:pt idx="1515">
                  <c:v>45357</c:v>
                </c:pt>
                <c:pt idx="1516">
                  <c:v>45358</c:v>
                </c:pt>
                <c:pt idx="1517">
                  <c:v>45359</c:v>
                </c:pt>
                <c:pt idx="1518">
                  <c:v>45360</c:v>
                </c:pt>
                <c:pt idx="1519">
                  <c:v>45361</c:v>
                </c:pt>
                <c:pt idx="1520">
                  <c:v>45362</c:v>
                </c:pt>
                <c:pt idx="1521">
                  <c:v>45363</c:v>
                </c:pt>
                <c:pt idx="1522">
                  <c:v>45364</c:v>
                </c:pt>
                <c:pt idx="1523">
                  <c:v>45365</c:v>
                </c:pt>
                <c:pt idx="1524">
                  <c:v>45366</c:v>
                </c:pt>
                <c:pt idx="1525">
                  <c:v>45367</c:v>
                </c:pt>
                <c:pt idx="1526">
                  <c:v>45368</c:v>
                </c:pt>
                <c:pt idx="1527">
                  <c:v>45369</c:v>
                </c:pt>
                <c:pt idx="1528">
                  <c:v>45370</c:v>
                </c:pt>
                <c:pt idx="1529">
                  <c:v>45371</c:v>
                </c:pt>
                <c:pt idx="1530">
                  <c:v>45372</c:v>
                </c:pt>
                <c:pt idx="1531">
                  <c:v>45373</c:v>
                </c:pt>
                <c:pt idx="1532">
                  <c:v>45374</c:v>
                </c:pt>
                <c:pt idx="1533">
                  <c:v>45375</c:v>
                </c:pt>
                <c:pt idx="1534">
                  <c:v>45376</c:v>
                </c:pt>
                <c:pt idx="1535">
                  <c:v>45377</c:v>
                </c:pt>
                <c:pt idx="1536">
                  <c:v>45378</c:v>
                </c:pt>
                <c:pt idx="1537">
                  <c:v>45379</c:v>
                </c:pt>
                <c:pt idx="1538">
                  <c:v>45380</c:v>
                </c:pt>
                <c:pt idx="1539">
                  <c:v>45381</c:v>
                </c:pt>
                <c:pt idx="1540">
                  <c:v>45382</c:v>
                </c:pt>
                <c:pt idx="1541">
                  <c:v>45383</c:v>
                </c:pt>
                <c:pt idx="1542">
                  <c:v>45384</c:v>
                </c:pt>
                <c:pt idx="1543">
                  <c:v>45385</c:v>
                </c:pt>
                <c:pt idx="1544">
                  <c:v>45386</c:v>
                </c:pt>
                <c:pt idx="1545">
                  <c:v>45387</c:v>
                </c:pt>
                <c:pt idx="1546">
                  <c:v>45388</c:v>
                </c:pt>
                <c:pt idx="1547">
                  <c:v>45389</c:v>
                </c:pt>
                <c:pt idx="1548">
                  <c:v>45390</c:v>
                </c:pt>
                <c:pt idx="1549">
                  <c:v>45391</c:v>
                </c:pt>
                <c:pt idx="1550">
                  <c:v>45392</c:v>
                </c:pt>
                <c:pt idx="1551">
                  <c:v>45393</c:v>
                </c:pt>
                <c:pt idx="1552">
                  <c:v>45394</c:v>
                </c:pt>
                <c:pt idx="1553">
                  <c:v>45395</c:v>
                </c:pt>
                <c:pt idx="1554">
                  <c:v>45396</c:v>
                </c:pt>
                <c:pt idx="1555">
                  <c:v>45397</c:v>
                </c:pt>
                <c:pt idx="1556">
                  <c:v>45398</c:v>
                </c:pt>
                <c:pt idx="1557">
                  <c:v>45399</c:v>
                </c:pt>
                <c:pt idx="1558">
                  <c:v>45400</c:v>
                </c:pt>
                <c:pt idx="1559">
                  <c:v>45401</c:v>
                </c:pt>
                <c:pt idx="1560">
                  <c:v>45402</c:v>
                </c:pt>
                <c:pt idx="1561">
                  <c:v>45403</c:v>
                </c:pt>
                <c:pt idx="1562">
                  <c:v>45404</c:v>
                </c:pt>
                <c:pt idx="1563">
                  <c:v>45405</c:v>
                </c:pt>
                <c:pt idx="1564">
                  <c:v>45406</c:v>
                </c:pt>
                <c:pt idx="1565">
                  <c:v>45407</c:v>
                </c:pt>
                <c:pt idx="1566">
                  <c:v>45408</c:v>
                </c:pt>
                <c:pt idx="1567">
                  <c:v>45409</c:v>
                </c:pt>
                <c:pt idx="1568">
                  <c:v>45410</c:v>
                </c:pt>
                <c:pt idx="1569">
                  <c:v>45411</c:v>
                </c:pt>
                <c:pt idx="1570">
                  <c:v>45412</c:v>
                </c:pt>
                <c:pt idx="1571">
                  <c:v>45413</c:v>
                </c:pt>
                <c:pt idx="1572">
                  <c:v>45414</c:v>
                </c:pt>
                <c:pt idx="1573">
                  <c:v>45415</c:v>
                </c:pt>
                <c:pt idx="1574">
                  <c:v>45416</c:v>
                </c:pt>
                <c:pt idx="1575">
                  <c:v>45417</c:v>
                </c:pt>
                <c:pt idx="1576">
                  <c:v>45418</c:v>
                </c:pt>
                <c:pt idx="1577">
                  <c:v>45419</c:v>
                </c:pt>
                <c:pt idx="1578">
                  <c:v>45420</c:v>
                </c:pt>
                <c:pt idx="1579">
                  <c:v>45421</c:v>
                </c:pt>
                <c:pt idx="1580">
                  <c:v>45422</c:v>
                </c:pt>
                <c:pt idx="1581">
                  <c:v>45423</c:v>
                </c:pt>
                <c:pt idx="1582">
                  <c:v>45424</c:v>
                </c:pt>
                <c:pt idx="1583">
                  <c:v>45425</c:v>
                </c:pt>
                <c:pt idx="1584">
                  <c:v>45426</c:v>
                </c:pt>
                <c:pt idx="1585">
                  <c:v>45427</c:v>
                </c:pt>
                <c:pt idx="1586">
                  <c:v>45428</c:v>
                </c:pt>
                <c:pt idx="1587">
                  <c:v>45429</c:v>
                </c:pt>
                <c:pt idx="1588">
                  <c:v>45430</c:v>
                </c:pt>
                <c:pt idx="1589">
                  <c:v>45431</c:v>
                </c:pt>
                <c:pt idx="1590">
                  <c:v>45432</c:v>
                </c:pt>
                <c:pt idx="1591">
                  <c:v>45433</c:v>
                </c:pt>
                <c:pt idx="1592">
                  <c:v>45434</c:v>
                </c:pt>
                <c:pt idx="1593">
                  <c:v>45435</c:v>
                </c:pt>
                <c:pt idx="1594">
                  <c:v>45436</c:v>
                </c:pt>
                <c:pt idx="1595">
                  <c:v>45437</c:v>
                </c:pt>
                <c:pt idx="1596">
                  <c:v>45438</c:v>
                </c:pt>
                <c:pt idx="1597">
                  <c:v>45439</c:v>
                </c:pt>
                <c:pt idx="1598">
                  <c:v>45440</c:v>
                </c:pt>
                <c:pt idx="1599">
                  <c:v>45441</c:v>
                </c:pt>
                <c:pt idx="1600">
                  <c:v>45442</c:v>
                </c:pt>
                <c:pt idx="1601">
                  <c:v>45443</c:v>
                </c:pt>
                <c:pt idx="1602">
                  <c:v>45444</c:v>
                </c:pt>
                <c:pt idx="1603">
                  <c:v>45445</c:v>
                </c:pt>
                <c:pt idx="1604">
                  <c:v>45446</c:v>
                </c:pt>
                <c:pt idx="1605">
                  <c:v>45447</c:v>
                </c:pt>
                <c:pt idx="1606">
                  <c:v>45448</c:v>
                </c:pt>
                <c:pt idx="1607">
                  <c:v>45449</c:v>
                </c:pt>
                <c:pt idx="1608">
                  <c:v>45450</c:v>
                </c:pt>
                <c:pt idx="1609">
                  <c:v>45451</c:v>
                </c:pt>
                <c:pt idx="1610">
                  <c:v>45452</c:v>
                </c:pt>
                <c:pt idx="1611">
                  <c:v>45453</c:v>
                </c:pt>
                <c:pt idx="1612">
                  <c:v>45454</c:v>
                </c:pt>
                <c:pt idx="1613">
                  <c:v>45455</c:v>
                </c:pt>
                <c:pt idx="1614">
                  <c:v>45456</c:v>
                </c:pt>
                <c:pt idx="1615">
                  <c:v>45457</c:v>
                </c:pt>
                <c:pt idx="1616">
                  <c:v>45458</c:v>
                </c:pt>
                <c:pt idx="1617">
                  <c:v>45459</c:v>
                </c:pt>
                <c:pt idx="1618">
                  <c:v>45460</c:v>
                </c:pt>
                <c:pt idx="1619">
                  <c:v>45461</c:v>
                </c:pt>
                <c:pt idx="1620">
                  <c:v>45462</c:v>
                </c:pt>
                <c:pt idx="1621">
                  <c:v>45463</c:v>
                </c:pt>
                <c:pt idx="1622">
                  <c:v>45464</c:v>
                </c:pt>
                <c:pt idx="1623">
                  <c:v>45465</c:v>
                </c:pt>
                <c:pt idx="1624">
                  <c:v>45466</c:v>
                </c:pt>
                <c:pt idx="1625">
                  <c:v>45467</c:v>
                </c:pt>
                <c:pt idx="1626">
                  <c:v>45468</c:v>
                </c:pt>
                <c:pt idx="1627">
                  <c:v>45469</c:v>
                </c:pt>
                <c:pt idx="1628">
                  <c:v>45470</c:v>
                </c:pt>
                <c:pt idx="1629">
                  <c:v>45471</c:v>
                </c:pt>
                <c:pt idx="1630">
                  <c:v>45472</c:v>
                </c:pt>
                <c:pt idx="1631">
                  <c:v>45473</c:v>
                </c:pt>
                <c:pt idx="1632">
                  <c:v>45474</c:v>
                </c:pt>
                <c:pt idx="1633">
                  <c:v>45475</c:v>
                </c:pt>
                <c:pt idx="1634">
                  <c:v>45476</c:v>
                </c:pt>
                <c:pt idx="1635">
                  <c:v>45477</c:v>
                </c:pt>
                <c:pt idx="1636">
                  <c:v>45478</c:v>
                </c:pt>
                <c:pt idx="1637">
                  <c:v>45479</c:v>
                </c:pt>
                <c:pt idx="1638">
                  <c:v>45480</c:v>
                </c:pt>
                <c:pt idx="1639">
                  <c:v>45481</c:v>
                </c:pt>
                <c:pt idx="1640">
                  <c:v>45482</c:v>
                </c:pt>
                <c:pt idx="1641">
                  <c:v>45483</c:v>
                </c:pt>
                <c:pt idx="1642">
                  <c:v>45484</c:v>
                </c:pt>
                <c:pt idx="1643">
                  <c:v>45485</c:v>
                </c:pt>
                <c:pt idx="1644">
                  <c:v>45486</c:v>
                </c:pt>
                <c:pt idx="1645">
                  <c:v>45487</c:v>
                </c:pt>
                <c:pt idx="1646">
                  <c:v>45488</c:v>
                </c:pt>
                <c:pt idx="1647">
                  <c:v>45489</c:v>
                </c:pt>
                <c:pt idx="1648">
                  <c:v>45490</c:v>
                </c:pt>
                <c:pt idx="1649">
                  <c:v>45491</c:v>
                </c:pt>
                <c:pt idx="1650">
                  <c:v>45492</c:v>
                </c:pt>
                <c:pt idx="1651">
                  <c:v>45493</c:v>
                </c:pt>
                <c:pt idx="1652">
                  <c:v>45494</c:v>
                </c:pt>
                <c:pt idx="1653">
                  <c:v>45495</c:v>
                </c:pt>
                <c:pt idx="1654">
                  <c:v>45496</c:v>
                </c:pt>
                <c:pt idx="1655">
                  <c:v>45497</c:v>
                </c:pt>
                <c:pt idx="1656">
                  <c:v>45498</c:v>
                </c:pt>
                <c:pt idx="1657">
                  <c:v>45499</c:v>
                </c:pt>
                <c:pt idx="1658">
                  <c:v>45500</c:v>
                </c:pt>
                <c:pt idx="1659">
                  <c:v>45501</c:v>
                </c:pt>
                <c:pt idx="1660">
                  <c:v>45502</c:v>
                </c:pt>
                <c:pt idx="1661">
                  <c:v>45503</c:v>
                </c:pt>
                <c:pt idx="1662">
                  <c:v>45504</c:v>
                </c:pt>
                <c:pt idx="1663">
                  <c:v>45505</c:v>
                </c:pt>
                <c:pt idx="1664">
                  <c:v>45506</c:v>
                </c:pt>
                <c:pt idx="1665">
                  <c:v>45507</c:v>
                </c:pt>
                <c:pt idx="1666">
                  <c:v>45508</c:v>
                </c:pt>
                <c:pt idx="1667">
                  <c:v>45509</c:v>
                </c:pt>
                <c:pt idx="1668">
                  <c:v>45510</c:v>
                </c:pt>
                <c:pt idx="1669">
                  <c:v>45511</c:v>
                </c:pt>
                <c:pt idx="1670">
                  <c:v>45512</c:v>
                </c:pt>
                <c:pt idx="1671">
                  <c:v>45513</c:v>
                </c:pt>
                <c:pt idx="1672">
                  <c:v>45514</c:v>
                </c:pt>
                <c:pt idx="1673">
                  <c:v>45515</c:v>
                </c:pt>
                <c:pt idx="1674">
                  <c:v>45516</c:v>
                </c:pt>
                <c:pt idx="1675">
                  <c:v>45517</c:v>
                </c:pt>
                <c:pt idx="1676">
                  <c:v>45518</c:v>
                </c:pt>
                <c:pt idx="1677">
                  <c:v>45519</c:v>
                </c:pt>
                <c:pt idx="1678">
                  <c:v>45520</c:v>
                </c:pt>
                <c:pt idx="1679">
                  <c:v>45521</c:v>
                </c:pt>
                <c:pt idx="1680">
                  <c:v>45522</c:v>
                </c:pt>
                <c:pt idx="1681">
                  <c:v>45523</c:v>
                </c:pt>
                <c:pt idx="1682">
                  <c:v>45524</c:v>
                </c:pt>
                <c:pt idx="1683">
                  <c:v>45525</c:v>
                </c:pt>
                <c:pt idx="1684">
                  <c:v>45526</c:v>
                </c:pt>
                <c:pt idx="1685">
                  <c:v>45527</c:v>
                </c:pt>
                <c:pt idx="1686">
                  <c:v>45528</c:v>
                </c:pt>
                <c:pt idx="1687">
                  <c:v>45529</c:v>
                </c:pt>
                <c:pt idx="1688">
                  <c:v>45530</c:v>
                </c:pt>
                <c:pt idx="1689">
                  <c:v>45531</c:v>
                </c:pt>
                <c:pt idx="1690">
                  <c:v>45532</c:v>
                </c:pt>
                <c:pt idx="1691">
                  <c:v>45533</c:v>
                </c:pt>
                <c:pt idx="1692">
                  <c:v>45534</c:v>
                </c:pt>
                <c:pt idx="1693">
                  <c:v>45535</c:v>
                </c:pt>
                <c:pt idx="1694">
                  <c:v>45536</c:v>
                </c:pt>
                <c:pt idx="1695">
                  <c:v>45537</c:v>
                </c:pt>
                <c:pt idx="1696">
                  <c:v>45538</c:v>
                </c:pt>
                <c:pt idx="1697">
                  <c:v>45539</c:v>
                </c:pt>
                <c:pt idx="1698">
                  <c:v>45540</c:v>
                </c:pt>
                <c:pt idx="1699">
                  <c:v>45541</c:v>
                </c:pt>
                <c:pt idx="1700">
                  <c:v>45542</c:v>
                </c:pt>
                <c:pt idx="1701">
                  <c:v>45543</c:v>
                </c:pt>
                <c:pt idx="1702">
                  <c:v>45544</c:v>
                </c:pt>
                <c:pt idx="1703">
                  <c:v>45545</c:v>
                </c:pt>
                <c:pt idx="1704">
                  <c:v>45546</c:v>
                </c:pt>
                <c:pt idx="1705">
                  <c:v>45547</c:v>
                </c:pt>
                <c:pt idx="1706">
                  <c:v>45548</c:v>
                </c:pt>
                <c:pt idx="1707">
                  <c:v>45549</c:v>
                </c:pt>
                <c:pt idx="1708">
                  <c:v>45550</c:v>
                </c:pt>
                <c:pt idx="1709">
                  <c:v>45551</c:v>
                </c:pt>
                <c:pt idx="1710">
                  <c:v>45552</c:v>
                </c:pt>
                <c:pt idx="1711">
                  <c:v>45553</c:v>
                </c:pt>
                <c:pt idx="1712">
                  <c:v>45554</c:v>
                </c:pt>
                <c:pt idx="1713">
                  <c:v>45555</c:v>
                </c:pt>
                <c:pt idx="1714">
                  <c:v>45556</c:v>
                </c:pt>
                <c:pt idx="1715">
                  <c:v>45557</c:v>
                </c:pt>
                <c:pt idx="1716">
                  <c:v>45558</c:v>
                </c:pt>
                <c:pt idx="1717">
                  <c:v>45559</c:v>
                </c:pt>
                <c:pt idx="1718">
                  <c:v>45560</c:v>
                </c:pt>
                <c:pt idx="1719">
                  <c:v>45561</c:v>
                </c:pt>
                <c:pt idx="1720">
                  <c:v>45562</c:v>
                </c:pt>
                <c:pt idx="1721">
                  <c:v>45563</c:v>
                </c:pt>
                <c:pt idx="1722">
                  <c:v>45564</c:v>
                </c:pt>
                <c:pt idx="1723">
                  <c:v>45565</c:v>
                </c:pt>
                <c:pt idx="1724">
                  <c:v>45566</c:v>
                </c:pt>
                <c:pt idx="1725">
                  <c:v>45567</c:v>
                </c:pt>
                <c:pt idx="1726">
                  <c:v>45568</c:v>
                </c:pt>
                <c:pt idx="1727">
                  <c:v>45569</c:v>
                </c:pt>
                <c:pt idx="1728">
                  <c:v>45570</c:v>
                </c:pt>
                <c:pt idx="1729">
                  <c:v>45571</c:v>
                </c:pt>
                <c:pt idx="1730">
                  <c:v>45572</c:v>
                </c:pt>
                <c:pt idx="1731">
                  <c:v>45573</c:v>
                </c:pt>
                <c:pt idx="1732">
                  <c:v>45574</c:v>
                </c:pt>
                <c:pt idx="1733">
                  <c:v>45575</c:v>
                </c:pt>
                <c:pt idx="1734">
                  <c:v>45576</c:v>
                </c:pt>
                <c:pt idx="1735">
                  <c:v>45577</c:v>
                </c:pt>
                <c:pt idx="1736">
                  <c:v>45578</c:v>
                </c:pt>
                <c:pt idx="1737">
                  <c:v>45579</c:v>
                </c:pt>
                <c:pt idx="1738">
                  <c:v>45580</c:v>
                </c:pt>
                <c:pt idx="1739">
                  <c:v>45581</c:v>
                </c:pt>
                <c:pt idx="1740">
                  <c:v>45582</c:v>
                </c:pt>
                <c:pt idx="1741">
                  <c:v>45583</c:v>
                </c:pt>
                <c:pt idx="1742">
                  <c:v>45584</c:v>
                </c:pt>
                <c:pt idx="1743">
                  <c:v>45585</c:v>
                </c:pt>
                <c:pt idx="1744">
                  <c:v>45586</c:v>
                </c:pt>
                <c:pt idx="1745">
                  <c:v>45587</c:v>
                </c:pt>
                <c:pt idx="1746">
                  <c:v>45588</c:v>
                </c:pt>
                <c:pt idx="1747">
                  <c:v>45589</c:v>
                </c:pt>
                <c:pt idx="1748">
                  <c:v>45590</c:v>
                </c:pt>
                <c:pt idx="1749">
                  <c:v>45591</c:v>
                </c:pt>
                <c:pt idx="1750">
                  <c:v>45592</c:v>
                </c:pt>
                <c:pt idx="1751">
                  <c:v>45593</c:v>
                </c:pt>
                <c:pt idx="1752">
                  <c:v>45594</c:v>
                </c:pt>
                <c:pt idx="1753">
                  <c:v>45595</c:v>
                </c:pt>
                <c:pt idx="1754">
                  <c:v>45596</c:v>
                </c:pt>
                <c:pt idx="1755">
                  <c:v>45597</c:v>
                </c:pt>
                <c:pt idx="1756">
                  <c:v>45598</c:v>
                </c:pt>
                <c:pt idx="1757">
                  <c:v>45599</c:v>
                </c:pt>
                <c:pt idx="1758">
                  <c:v>45600</c:v>
                </c:pt>
                <c:pt idx="1759">
                  <c:v>45601</c:v>
                </c:pt>
                <c:pt idx="1760">
                  <c:v>45602</c:v>
                </c:pt>
                <c:pt idx="1761">
                  <c:v>45603</c:v>
                </c:pt>
                <c:pt idx="1762">
                  <c:v>45604</c:v>
                </c:pt>
                <c:pt idx="1763">
                  <c:v>45605</c:v>
                </c:pt>
                <c:pt idx="1764">
                  <c:v>45606</c:v>
                </c:pt>
                <c:pt idx="1765">
                  <c:v>45607</c:v>
                </c:pt>
                <c:pt idx="1766">
                  <c:v>45608</c:v>
                </c:pt>
                <c:pt idx="1767">
                  <c:v>45609</c:v>
                </c:pt>
                <c:pt idx="1768">
                  <c:v>45610</c:v>
                </c:pt>
                <c:pt idx="1769">
                  <c:v>45611</c:v>
                </c:pt>
                <c:pt idx="1770">
                  <c:v>45612</c:v>
                </c:pt>
                <c:pt idx="1771">
                  <c:v>45613</c:v>
                </c:pt>
                <c:pt idx="1772">
                  <c:v>45614</c:v>
                </c:pt>
                <c:pt idx="1773">
                  <c:v>45615</c:v>
                </c:pt>
                <c:pt idx="1774">
                  <c:v>45616</c:v>
                </c:pt>
                <c:pt idx="1775">
                  <c:v>45617</c:v>
                </c:pt>
                <c:pt idx="1776">
                  <c:v>45618</c:v>
                </c:pt>
                <c:pt idx="1777">
                  <c:v>45619</c:v>
                </c:pt>
                <c:pt idx="1778">
                  <c:v>45620</c:v>
                </c:pt>
                <c:pt idx="1779">
                  <c:v>45621</c:v>
                </c:pt>
                <c:pt idx="1780">
                  <c:v>45622</c:v>
                </c:pt>
                <c:pt idx="1781">
                  <c:v>45623</c:v>
                </c:pt>
                <c:pt idx="1782">
                  <c:v>45624</c:v>
                </c:pt>
                <c:pt idx="1783">
                  <c:v>45625</c:v>
                </c:pt>
                <c:pt idx="1784">
                  <c:v>45626</c:v>
                </c:pt>
                <c:pt idx="1785">
                  <c:v>45627</c:v>
                </c:pt>
                <c:pt idx="1786">
                  <c:v>45628</c:v>
                </c:pt>
                <c:pt idx="1787">
                  <c:v>45629</c:v>
                </c:pt>
                <c:pt idx="1788">
                  <c:v>45630</c:v>
                </c:pt>
                <c:pt idx="1789">
                  <c:v>45631</c:v>
                </c:pt>
                <c:pt idx="1790">
                  <c:v>45632</c:v>
                </c:pt>
                <c:pt idx="1791">
                  <c:v>45633</c:v>
                </c:pt>
                <c:pt idx="1792">
                  <c:v>45634</c:v>
                </c:pt>
                <c:pt idx="1793">
                  <c:v>45635</c:v>
                </c:pt>
                <c:pt idx="1794">
                  <c:v>45636</c:v>
                </c:pt>
                <c:pt idx="1795">
                  <c:v>45637</c:v>
                </c:pt>
                <c:pt idx="1796">
                  <c:v>45638</c:v>
                </c:pt>
                <c:pt idx="1797">
                  <c:v>45639</c:v>
                </c:pt>
                <c:pt idx="1798">
                  <c:v>45640</c:v>
                </c:pt>
                <c:pt idx="1799">
                  <c:v>45641</c:v>
                </c:pt>
                <c:pt idx="1800">
                  <c:v>45642</c:v>
                </c:pt>
                <c:pt idx="1801">
                  <c:v>45643</c:v>
                </c:pt>
                <c:pt idx="1802">
                  <c:v>45644</c:v>
                </c:pt>
                <c:pt idx="1803">
                  <c:v>45645</c:v>
                </c:pt>
                <c:pt idx="1804">
                  <c:v>45646</c:v>
                </c:pt>
                <c:pt idx="1805">
                  <c:v>45647</c:v>
                </c:pt>
                <c:pt idx="1806">
                  <c:v>45648</c:v>
                </c:pt>
                <c:pt idx="1807">
                  <c:v>45649</c:v>
                </c:pt>
                <c:pt idx="1808">
                  <c:v>45650</c:v>
                </c:pt>
                <c:pt idx="1809">
                  <c:v>45651</c:v>
                </c:pt>
                <c:pt idx="1810">
                  <c:v>45652</c:v>
                </c:pt>
                <c:pt idx="1811">
                  <c:v>45653</c:v>
                </c:pt>
                <c:pt idx="1812">
                  <c:v>45654</c:v>
                </c:pt>
                <c:pt idx="1813">
                  <c:v>45655</c:v>
                </c:pt>
                <c:pt idx="1814">
                  <c:v>45656</c:v>
                </c:pt>
                <c:pt idx="1815">
                  <c:v>45657</c:v>
                </c:pt>
                <c:pt idx="1816">
                  <c:v>45658</c:v>
                </c:pt>
                <c:pt idx="1817">
                  <c:v>45659</c:v>
                </c:pt>
                <c:pt idx="1818">
                  <c:v>45660</c:v>
                </c:pt>
                <c:pt idx="1819">
                  <c:v>45661</c:v>
                </c:pt>
                <c:pt idx="1820">
                  <c:v>45662</c:v>
                </c:pt>
                <c:pt idx="1821">
                  <c:v>45663</c:v>
                </c:pt>
                <c:pt idx="1822">
                  <c:v>45664</c:v>
                </c:pt>
                <c:pt idx="1823">
                  <c:v>45665</c:v>
                </c:pt>
                <c:pt idx="1824">
                  <c:v>45666</c:v>
                </c:pt>
                <c:pt idx="1825">
                  <c:v>45667</c:v>
                </c:pt>
                <c:pt idx="1826">
                  <c:v>45668</c:v>
                </c:pt>
                <c:pt idx="1827">
                  <c:v>45669</c:v>
                </c:pt>
                <c:pt idx="1828">
                  <c:v>45670</c:v>
                </c:pt>
                <c:pt idx="1829">
                  <c:v>45671</c:v>
                </c:pt>
                <c:pt idx="1830">
                  <c:v>45672</c:v>
                </c:pt>
                <c:pt idx="1831">
                  <c:v>45673</c:v>
                </c:pt>
                <c:pt idx="1832">
                  <c:v>45674</c:v>
                </c:pt>
                <c:pt idx="1833">
                  <c:v>45675</c:v>
                </c:pt>
                <c:pt idx="1834">
                  <c:v>45676</c:v>
                </c:pt>
                <c:pt idx="1835">
                  <c:v>45677</c:v>
                </c:pt>
                <c:pt idx="1836">
                  <c:v>45678</c:v>
                </c:pt>
                <c:pt idx="1837">
                  <c:v>45679</c:v>
                </c:pt>
                <c:pt idx="1838">
                  <c:v>45680</c:v>
                </c:pt>
                <c:pt idx="1839">
                  <c:v>45681</c:v>
                </c:pt>
                <c:pt idx="1840">
                  <c:v>45682</c:v>
                </c:pt>
                <c:pt idx="1841">
                  <c:v>45683</c:v>
                </c:pt>
                <c:pt idx="1842">
                  <c:v>45684</c:v>
                </c:pt>
                <c:pt idx="1843">
                  <c:v>45685</c:v>
                </c:pt>
                <c:pt idx="1844">
                  <c:v>45686</c:v>
                </c:pt>
                <c:pt idx="1845">
                  <c:v>45687</c:v>
                </c:pt>
                <c:pt idx="1846">
                  <c:v>45688</c:v>
                </c:pt>
                <c:pt idx="1847">
                  <c:v>45689</c:v>
                </c:pt>
                <c:pt idx="1848">
                  <c:v>45690</c:v>
                </c:pt>
                <c:pt idx="1849">
                  <c:v>45691</c:v>
                </c:pt>
                <c:pt idx="1850">
                  <c:v>45692</c:v>
                </c:pt>
                <c:pt idx="1851">
                  <c:v>45693</c:v>
                </c:pt>
                <c:pt idx="1852">
                  <c:v>45694</c:v>
                </c:pt>
                <c:pt idx="1853">
                  <c:v>45695</c:v>
                </c:pt>
                <c:pt idx="1854">
                  <c:v>45696</c:v>
                </c:pt>
                <c:pt idx="1855">
                  <c:v>45697</c:v>
                </c:pt>
                <c:pt idx="1856">
                  <c:v>45698</c:v>
                </c:pt>
                <c:pt idx="1857">
                  <c:v>45699</c:v>
                </c:pt>
                <c:pt idx="1858">
                  <c:v>45700</c:v>
                </c:pt>
                <c:pt idx="1859">
                  <c:v>45701</c:v>
                </c:pt>
                <c:pt idx="1860">
                  <c:v>45702</c:v>
                </c:pt>
                <c:pt idx="1861">
                  <c:v>45703</c:v>
                </c:pt>
                <c:pt idx="1862">
                  <c:v>45704</c:v>
                </c:pt>
                <c:pt idx="1863">
                  <c:v>45705</c:v>
                </c:pt>
                <c:pt idx="1864">
                  <c:v>45706</c:v>
                </c:pt>
                <c:pt idx="1865">
                  <c:v>45707</c:v>
                </c:pt>
                <c:pt idx="1866">
                  <c:v>45708</c:v>
                </c:pt>
                <c:pt idx="1867">
                  <c:v>45709</c:v>
                </c:pt>
                <c:pt idx="1868">
                  <c:v>45710</c:v>
                </c:pt>
                <c:pt idx="1869">
                  <c:v>45711</c:v>
                </c:pt>
                <c:pt idx="1870">
                  <c:v>45712</c:v>
                </c:pt>
                <c:pt idx="1871">
                  <c:v>45713</c:v>
                </c:pt>
                <c:pt idx="1872">
                  <c:v>45714</c:v>
                </c:pt>
                <c:pt idx="1873">
                  <c:v>45715</c:v>
                </c:pt>
                <c:pt idx="1874">
                  <c:v>45716</c:v>
                </c:pt>
                <c:pt idx="1875">
                  <c:v>45717</c:v>
                </c:pt>
                <c:pt idx="1876">
                  <c:v>45718</c:v>
                </c:pt>
                <c:pt idx="1877">
                  <c:v>45719</c:v>
                </c:pt>
                <c:pt idx="1878">
                  <c:v>45720</c:v>
                </c:pt>
                <c:pt idx="1879">
                  <c:v>45721</c:v>
                </c:pt>
                <c:pt idx="1880">
                  <c:v>45722</c:v>
                </c:pt>
                <c:pt idx="1881">
                  <c:v>45723</c:v>
                </c:pt>
                <c:pt idx="1882">
                  <c:v>45724</c:v>
                </c:pt>
                <c:pt idx="1883">
                  <c:v>45725</c:v>
                </c:pt>
                <c:pt idx="1884">
                  <c:v>45726</c:v>
                </c:pt>
                <c:pt idx="1885">
                  <c:v>45727</c:v>
                </c:pt>
                <c:pt idx="1886">
                  <c:v>45728</c:v>
                </c:pt>
                <c:pt idx="1887">
                  <c:v>45729</c:v>
                </c:pt>
                <c:pt idx="1888">
                  <c:v>45730</c:v>
                </c:pt>
                <c:pt idx="1889">
                  <c:v>45731</c:v>
                </c:pt>
                <c:pt idx="1890">
                  <c:v>45732</c:v>
                </c:pt>
                <c:pt idx="1891">
                  <c:v>45733</c:v>
                </c:pt>
                <c:pt idx="1892">
                  <c:v>45734</c:v>
                </c:pt>
                <c:pt idx="1893">
                  <c:v>45735</c:v>
                </c:pt>
                <c:pt idx="1894">
                  <c:v>45736</c:v>
                </c:pt>
                <c:pt idx="1895">
                  <c:v>45737</c:v>
                </c:pt>
                <c:pt idx="1896">
                  <c:v>45738</c:v>
                </c:pt>
                <c:pt idx="1897">
                  <c:v>45739</c:v>
                </c:pt>
                <c:pt idx="1898">
                  <c:v>45740</c:v>
                </c:pt>
                <c:pt idx="1899">
                  <c:v>45741</c:v>
                </c:pt>
                <c:pt idx="1900">
                  <c:v>45742</c:v>
                </c:pt>
                <c:pt idx="1901">
                  <c:v>45743</c:v>
                </c:pt>
                <c:pt idx="1902">
                  <c:v>45744</c:v>
                </c:pt>
                <c:pt idx="1903">
                  <c:v>45745</c:v>
                </c:pt>
                <c:pt idx="1904">
                  <c:v>45746</c:v>
                </c:pt>
                <c:pt idx="1905">
                  <c:v>45747</c:v>
                </c:pt>
                <c:pt idx="1906">
                  <c:v>45748</c:v>
                </c:pt>
                <c:pt idx="1907">
                  <c:v>45749</c:v>
                </c:pt>
                <c:pt idx="1908">
                  <c:v>45750</c:v>
                </c:pt>
                <c:pt idx="1909">
                  <c:v>45751</c:v>
                </c:pt>
                <c:pt idx="1910">
                  <c:v>45752</c:v>
                </c:pt>
                <c:pt idx="1911">
                  <c:v>45753</c:v>
                </c:pt>
                <c:pt idx="1912">
                  <c:v>45754</c:v>
                </c:pt>
                <c:pt idx="1913">
                  <c:v>45755</c:v>
                </c:pt>
                <c:pt idx="1914">
                  <c:v>45756</c:v>
                </c:pt>
                <c:pt idx="1915">
                  <c:v>45757</c:v>
                </c:pt>
                <c:pt idx="1916">
                  <c:v>45758</c:v>
                </c:pt>
                <c:pt idx="1917">
                  <c:v>45759</c:v>
                </c:pt>
                <c:pt idx="1918">
                  <c:v>45760</c:v>
                </c:pt>
                <c:pt idx="1919">
                  <c:v>45761</c:v>
                </c:pt>
                <c:pt idx="1920">
                  <c:v>45762</c:v>
                </c:pt>
                <c:pt idx="1921">
                  <c:v>45763</c:v>
                </c:pt>
                <c:pt idx="1922">
                  <c:v>45764</c:v>
                </c:pt>
                <c:pt idx="1923">
                  <c:v>45765</c:v>
                </c:pt>
                <c:pt idx="1924">
                  <c:v>45766</c:v>
                </c:pt>
                <c:pt idx="1925">
                  <c:v>45767</c:v>
                </c:pt>
                <c:pt idx="1926">
                  <c:v>45768</c:v>
                </c:pt>
                <c:pt idx="1927">
                  <c:v>45769</c:v>
                </c:pt>
                <c:pt idx="1928">
                  <c:v>45770</c:v>
                </c:pt>
                <c:pt idx="1929">
                  <c:v>45771</c:v>
                </c:pt>
                <c:pt idx="1930">
                  <c:v>45772</c:v>
                </c:pt>
                <c:pt idx="1931">
                  <c:v>45773</c:v>
                </c:pt>
                <c:pt idx="1932">
                  <c:v>45774</c:v>
                </c:pt>
                <c:pt idx="1933">
                  <c:v>45775</c:v>
                </c:pt>
                <c:pt idx="1934">
                  <c:v>45776</c:v>
                </c:pt>
                <c:pt idx="1935">
                  <c:v>45777</c:v>
                </c:pt>
                <c:pt idx="1936">
                  <c:v>45778</c:v>
                </c:pt>
                <c:pt idx="1937">
                  <c:v>45779</c:v>
                </c:pt>
                <c:pt idx="1938">
                  <c:v>45780</c:v>
                </c:pt>
                <c:pt idx="1939">
                  <c:v>45781</c:v>
                </c:pt>
                <c:pt idx="1940">
                  <c:v>45782</c:v>
                </c:pt>
                <c:pt idx="1941">
                  <c:v>45783</c:v>
                </c:pt>
                <c:pt idx="1942">
                  <c:v>45784</c:v>
                </c:pt>
                <c:pt idx="1943">
                  <c:v>45785</c:v>
                </c:pt>
                <c:pt idx="1944">
                  <c:v>45786</c:v>
                </c:pt>
                <c:pt idx="1945">
                  <c:v>45787</c:v>
                </c:pt>
                <c:pt idx="1946">
                  <c:v>45788</c:v>
                </c:pt>
                <c:pt idx="1947">
                  <c:v>45789</c:v>
                </c:pt>
                <c:pt idx="1948">
                  <c:v>45790</c:v>
                </c:pt>
                <c:pt idx="1949">
                  <c:v>45791</c:v>
                </c:pt>
                <c:pt idx="1950">
                  <c:v>45792</c:v>
                </c:pt>
                <c:pt idx="1951">
                  <c:v>45793</c:v>
                </c:pt>
                <c:pt idx="1952">
                  <c:v>45794</c:v>
                </c:pt>
                <c:pt idx="1953">
                  <c:v>45795</c:v>
                </c:pt>
                <c:pt idx="1954">
                  <c:v>45796</c:v>
                </c:pt>
                <c:pt idx="1955">
                  <c:v>45797</c:v>
                </c:pt>
                <c:pt idx="1956">
                  <c:v>45798</c:v>
                </c:pt>
                <c:pt idx="1957">
                  <c:v>45799</c:v>
                </c:pt>
                <c:pt idx="1958">
                  <c:v>45800</c:v>
                </c:pt>
                <c:pt idx="1959">
                  <c:v>45801</c:v>
                </c:pt>
                <c:pt idx="1960">
                  <c:v>45802</c:v>
                </c:pt>
                <c:pt idx="1961">
                  <c:v>45803</c:v>
                </c:pt>
                <c:pt idx="1962">
                  <c:v>45804</c:v>
                </c:pt>
                <c:pt idx="1963">
                  <c:v>45805</c:v>
                </c:pt>
                <c:pt idx="1964">
                  <c:v>45806</c:v>
                </c:pt>
                <c:pt idx="1965">
                  <c:v>45807</c:v>
                </c:pt>
                <c:pt idx="1966">
                  <c:v>45808</c:v>
                </c:pt>
                <c:pt idx="1967">
                  <c:v>45809</c:v>
                </c:pt>
                <c:pt idx="1968">
                  <c:v>45810</c:v>
                </c:pt>
                <c:pt idx="1969">
                  <c:v>45811</c:v>
                </c:pt>
                <c:pt idx="1970">
                  <c:v>45812</c:v>
                </c:pt>
                <c:pt idx="1971">
                  <c:v>45813</c:v>
                </c:pt>
                <c:pt idx="1972">
                  <c:v>45814</c:v>
                </c:pt>
                <c:pt idx="1973">
                  <c:v>45815</c:v>
                </c:pt>
                <c:pt idx="1974">
                  <c:v>45816</c:v>
                </c:pt>
                <c:pt idx="1975">
                  <c:v>45817</c:v>
                </c:pt>
                <c:pt idx="1976">
                  <c:v>45818</c:v>
                </c:pt>
                <c:pt idx="1977">
                  <c:v>45819</c:v>
                </c:pt>
                <c:pt idx="1978">
                  <c:v>45820</c:v>
                </c:pt>
                <c:pt idx="1979">
                  <c:v>45821</c:v>
                </c:pt>
                <c:pt idx="1980">
                  <c:v>45822</c:v>
                </c:pt>
                <c:pt idx="1981">
                  <c:v>45823</c:v>
                </c:pt>
                <c:pt idx="1982">
                  <c:v>45824</c:v>
                </c:pt>
                <c:pt idx="1983">
                  <c:v>45825</c:v>
                </c:pt>
                <c:pt idx="1984">
                  <c:v>45826</c:v>
                </c:pt>
                <c:pt idx="1985">
                  <c:v>45827</c:v>
                </c:pt>
                <c:pt idx="1986">
                  <c:v>45828</c:v>
                </c:pt>
                <c:pt idx="1987">
                  <c:v>45829</c:v>
                </c:pt>
                <c:pt idx="1988">
                  <c:v>45830</c:v>
                </c:pt>
                <c:pt idx="1989">
                  <c:v>45831</c:v>
                </c:pt>
                <c:pt idx="1990">
                  <c:v>45832</c:v>
                </c:pt>
                <c:pt idx="1991">
                  <c:v>45833</c:v>
                </c:pt>
                <c:pt idx="1992">
                  <c:v>45834</c:v>
                </c:pt>
                <c:pt idx="1993">
                  <c:v>45835</c:v>
                </c:pt>
                <c:pt idx="1994">
                  <c:v>45836</c:v>
                </c:pt>
                <c:pt idx="1995">
                  <c:v>45837</c:v>
                </c:pt>
                <c:pt idx="1996">
                  <c:v>45838</c:v>
                </c:pt>
                <c:pt idx="1997">
                  <c:v>45839</c:v>
                </c:pt>
                <c:pt idx="1998">
                  <c:v>45840</c:v>
                </c:pt>
                <c:pt idx="1999">
                  <c:v>45841</c:v>
                </c:pt>
                <c:pt idx="2000">
                  <c:v>45842</c:v>
                </c:pt>
                <c:pt idx="2001">
                  <c:v>45843</c:v>
                </c:pt>
                <c:pt idx="2002">
                  <c:v>45844</c:v>
                </c:pt>
                <c:pt idx="2003">
                  <c:v>45845</c:v>
                </c:pt>
                <c:pt idx="2004">
                  <c:v>45846</c:v>
                </c:pt>
                <c:pt idx="2005">
                  <c:v>45847</c:v>
                </c:pt>
                <c:pt idx="2006">
                  <c:v>45848</c:v>
                </c:pt>
                <c:pt idx="2007">
                  <c:v>45849</c:v>
                </c:pt>
                <c:pt idx="2008">
                  <c:v>45850</c:v>
                </c:pt>
                <c:pt idx="2009">
                  <c:v>45851</c:v>
                </c:pt>
                <c:pt idx="2010">
                  <c:v>45852</c:v>
                </c:pt>
                <c:pt idx="2011">
                  <c:v>45853</c:v>
                </c:pt>
                <c:pt idx="2012">
                  <c:v>45854</c:v>
                </c:pt>
                <c:pt idx="2013">
                  <c:v>45855</c:v>
                </c:pt>
                <c:pt idx="2014">
                  <c:v>45856</c:v>
                </c:pt>
                <c:pt idx="2015">
                  <c:v>45857</c:v>
                </c:pt>
                <c:pt idx="2016">
                  <c:v>45858</c:v>
                </c:pt>
                <c:pt idx="2017">
                  <c:v>45859</c:v>
                </c:pt>
                <c:pt idx="2018">
                  <c:v>45860</c:v>
                </c:pt>
                <c:pt idx="2019">
                  <c:v>45861</c:v>
                </c:pt>
                <c:pt idx="2020">
                  <c:v>45862</c:v>
                </c:pt>
                <c:pt idx="2021">
                  <c:v>45863</c:v>
                </c:pt>
                <c:pt idx="2022">
                  <c:v>45864</c:v>
                </c:pt>
                <c:pt idx="2023">
                  <c:v>45865</c:v>
                </c:pt>
                <c:pt idx="2024">
                  <c:v>45866</c:v>
                </c:pt>
                <c:pt idx="2025">
                  <c:v>45867</c:v>
                </c:pt>
                <c:pt idx="2026">
                  <c:v>45868</c:v>
                </c:pt>
                <c:pt idx="2027">
                  <c:v>45869</c:v>
                </c:pt>
                <c:pt idx="2028">
                  <c:v>45870</c:v>
                </c:pt>
                <c:pt idx="2029">
                  <c:v>45871</c:v>
                </c:pt>
                <c:pt idx="2030">
                  <c:v>45872</c:v>
                </c:pt>
                <c:pt idx="2031">
                  <c:v>45873</c:v>
                </c:pt>
                <c:pt idx="2032">
                  <c:v>45874</c:v>
                </c:pt>
                <c:pt idx="2033">
                  <c:v>45875</c:v>
                </c:pt>
                <c:pt idx="2034">
                  <c:v>45876</c:v>
                </c:pt>
                <c:pt idx="2035">
                  <c:v>45877</c:v>
                </c:pt>
                <c:pt idx="2036">
                  <c:v>45878</c:v>
                </c:pt>
                <c:pt idx="2037">
                  <c:v>45879</c:v>
                </c:pt>
                <c:pt idx="2038">
                  <c:v>45880</c:v>
                </c:pt>
                <c:pt idx="2039">
                  <c:v>45881</c:v>
                </c:pt>
                <c:pt idx="2040">
                  <c:v>45882</c:v>
                </c:pt>
                <c:pt idx="2041">
                  <c:v>45883</c:v>
                </c:pt>
                <c:pt idx="2042">
                  <c:v>45884</c:v>
                </c:pt>
                <c:pt idx="2043">
                  <c:v>45885</c:v>
                </c:pt>
                <c:pt idx="2044">
                  <c:v>45886</c:v>
                </c:pt>
                <c:pt idx="2045">
                  <c:v>45887</c:v>
                </c:pt>
                <c:pt idx="2046">
                  <c:v>45888</c:v>
                </c:pt>
                <c:pt idx="2047">
                  <c:v>45889</c:v>
                </c:pt>
                <c:pt idx="2048">
                  <c:v>45890</c:v>
                </c:pt>
                <c:pt idx="2049">
                  <c:v>45891</c:v>
                </c:pt>
                <c:pt idx="2050">
                  <c:v>45892</c:v>
                </c:pt>
                <c:pt idx="2051">
                  <c:v>45893</c:v>
                </c:pt>
                <c:pt idx="2052">
                  <c:v>45894</c:v>
                </c:pt>
                <c:pt idx="2053">
                  <c:v>45895</c:v>
                </c:pt>
                <c:pt idx="2054">
                  <c:v>45896</c:v>
                </c:pt>
                <c:pt idx="2055">
                  <c:v>45897</c:v>
                </c:pt>
                <c:pt idx="2056">
                  <c:v>45898</c:v>
                </c:pt>
                <c:pt idx="2057">
                  <c:v>45899</c:v>
                </c:pt>
                <c:pt idx="2058">
                  <c:v>45900</c:v>
                </c:pt>
                <c:pt idx="2059">
                  <c:v>45901</c:v>
                </c:pt>
                <c:pt idx="2060">
                  <c:v>45902</c:v>
                </c:pt>
                <c:pt idx="2061">
                  <c:v>45903</c:v>
                </c:pt>
                <c:pt idx="2062">
                  <c:v>45904</c:v>
                </c:pt>
                <c:pt idx="2063">
                  <c:v>45905</c:v>
                </c:pt>
                <c:pt idx="2064">
                  <c:v>45906</c:v>
                </c:pt>
                <c:pt idx="2065">
                  <c:v>45907</c:v>
                </c:pt>
                <c:pt idx="2066">
                  <c:v>45908</c:v>
                </c:pt>
                <c:pt idx="2067">
                  <c:v>45909</c:v>
                </c:pt>
                <c:pt idx="2068">
                  <c:v>45910</c:v>
                </c:pt>
                <c:pt idx="2069">
                  <c:v>45911</c:v>
                </c:pt>
                <c:pt idx="2070">
                  <c:v>45912</c:v>
                </c:pt>
                <c:pt idx="2071">
                  <c:v>45913</c:v>
                </c:pt>
                <c:pt idx="2072">
                  <c:v>45914</c:v>
                </c:pt>
                <c:pt idx="2073">
                  <c:v>45915</c:v>
                </c:pt>
                <c:pt idx="2074">
                  <c:v>45916</c:v>
                </c:pt>
                <c:pt idx="2075">
                  <c:v>45917</c:v>
                </c:pt>
                <c:pt idx="2076">
                  <c:v>45918</c:v>
                </c:pt>
                <c:pt idx="2077">
                  <c:v>45919</c:v>
                </c:pt>
                <c:pt idx="2078">
                  <c:v>45920</c:v>
                </c:pt>
                <c:pt idx="2079">
                  <c:v>45921</c:v>
                </c:pt>
                <c:pt idx="2080">
                  <c:v>45922</c:v>
                </c:pt>
                <c:pt idx="2081">
                  <c:v>45923</c:v>
                </c:pt>
                <c:pt idx="2082">
                  <c:v>45924</c:v>
                </c:pt>
                <c:pt idx="2083">
                  <c:v>45925</c:v>
                </c:pt>
                <c:pt idx="2084">
                  <c:v>45926</c:v>
                </c:pt>
                <c:pt idx="2085">
                  <c:v>45927</c:v>
                </c:pt>
                <c:pt idx="2086">
                  <c:v>45928</c:v>
                </c:pt>
                <c:pt idx="2087">
                  <c:v>45929</c:v>
                </c:pt>
                <c:pt idx="2088">
                  <c:v>45930</c:v>
                </c:pt>
                <c:pt idx="2089">
                  <c:v>45931</c:v>
                </c:pt>
                <c:pt idx="2090">
                  <c:v>45932</c:v>
                </c:pt>
                <c:pt idx="2091">
                  <c:v>45933</c:v>
                </c:pt>
                <c:pt idx="2092">
                  <c:v>45934</c:v>
                </c:pt>
                <c:pt idx="2093">
                  <c:v>45935</c:v>
                </c:pt>
                <c:pt idx="2094">
                  <c:v>45936</c:v>
                </c:pt>
                <c:pt idx="2095">
                  <c:v>45937</c:v>
                </c:pt>
                <c:pt idx="2096">
                  <c:v>45938</c:v>
                </c:pt>
                <c:pt idx="2097">
                  <c:v>45939</c:v>
                </c:pt>
                <c:pt idx="2098">
                  <c:v>45940</c:v>
                </c:pt>
                <c:pt idx="2099">
                  <c:v>45941</c:v>
                </c:pt>
                <c:pt idx="2100">
                  <c:v>45942</c:v>
                </c:pt>
                <c:pt idx="2101">
                  <c:v>45943</c:v>
                </c:pt>
                <c:pt idx="2102">
                  <c:v>45944</c:v>
                </c:pt>
                <c:pt idx="2103">
                  <c:v>45945</c:v>
                </c:pt>
                <c:pt idx="2104">
                  <c:v>45946</c:v>
                </c:pt>
                <c:pt idx="2105">
                  <c:v>45947</c:v>
                </c:pt>
                <c:pt idx="2106">
                  <c:v>45948</c:v>
                </c:pt>
                <c:pt idx="2107">
                  <c:v>45949</c:v>
                </c:pt>
                <c:pt idx="2108">
                  <c:v>45950</c:v>
                </c:pt>
                <c:pt idx="2109">
                  <c:v>45951</c:v>
                </c:pt>
                <c:pt idx="2110">
                  <c:v>45952</c:v>
                </c:pt>
                <c:pt idx="2111">
                  <c:v>45953</c:v>
                </c:pt>
                <c:pt idx="2112">
                  <c:v>45954</c:v>
                </c:pt>
                <c:pt idx="2113">
                  <c:v>45955</c:v>
                </c:pt>
                <c:pt idx="2114">
                  <c:v>45956</c:v>
                </c:pt>
                <c:pt idx="2115">
                  <c:v>45957</c:v>
                </c:pt>
                <c:pt idx="2116">
                  <c:v>45958</c:v>
                </c:pt>
                <c:pt idx="2117">
                  <c:v>45959</c:v>
                </c:pt>
                <c:pt idx="2118">
                  <c:v>45960</c:v>
                </c:pt>
                <c:pt idx="2119">
                  <c:v>45961</c:v>
                </c:pt>
                <c:pt idx="2120">
                  <c:v>45962</c:v>
                </c:pt>
                <c:pt idx="2121">
                  <c:v>45963</c:v>
                </c:pt>
                <c:pt idx="2122">
                  <c:v>45964</c:v>
                </c:pt>
                <c:pt idx="2123">
                  <c:v>45965</c:v>
                </c:pt>
                <c:pt idx="2124">
                  <c:v>45966</c:v>
                </c:pt>
                <c:pt idx="2125">
                  <c:v>45967</c:v>
                </c:pt>
                <c:pt idx="2126">
                  <c:v>45968</c:v>
                </c:pt>
                <c:pt idx="2127">
                  <c:v>45969</c:v>
                </c:pt>
                <c:pt idx="2128">
                  <c:v>45970</c:v>
                </c:pt>
                <c:pt idx="2129">
                  <c:v>45971</c:v>
                </c:pt>
                <c:pt idx="2130">
                  <c:v>45972</c:v>
                </c:pt>
                <c:pt idx="2131">
                  <c:v>45973</c:v>
                </c:pt>
                <c:pt idx="2132">
                  <c:v>45974</c:v>
                </c:pt>
                <c:pt idx="2133">
                  <c:v>45975</c:v>
                </c:pt>
                <c:pt idx="2134">
                  <c:v>45976</c:v>
                </c:pt>
                <c:pt idx="2135">
                  <c:v>45977</c:v>
                </c:pt>
                <c:pt idx="2136">
                  <c:v>45978</c:v>
                </c:pt>
                <c:pt idx="2137">
                  <c:v>45979</c:v>
                </c:pt>
                <c:pt idx="2138">
                  <c:v>45980</c:v>
                </c:pt>
                <c:pt idx="2139">
                  <c:v>45981</c:v>
                </c:pt>
                <c:pt idx="2140">
                  <c:v>45982</c:v>
                </c:pt>
                <c:pt idx="2141">
                  <c:v>45983</c:v>
                </c:pt>
                <c:pt idx="2142">
                  <c:v>45984</c:v>
                </c:pt>
                <c:pt idx="2143">
                  <c:v>45985</c:v>
                </c:pt>
                <c:pt idx="2144">
                  <c:v>45986</c:v>
                </c:pt>
                <c:pt idx="2145">
                  <c:v>45987</c:v>
                </c:pt>
                <c:pt idx="2146">
                  <c:v>45988</c:v>
                </c:pt>
                <c:pt idx="2147">
                  <c:v>45989</c:v>
                </c:pt>
                <c:pt idx="2148">
                  <c:v>45990</c:v>
                </c:pt>
                <c:pt idx="2149">
                  <c:v>45991</c:v>
                </c:pt>
                <c:pt idx="2150">
                  <c:v>45992</c:v>
                </c:pt>
                <c:pt idx="2151">
                  <c:v>45993</c:v>
                </c:pt>
                <c:pt idx="2152">
                  <c:v>45994</c:v>
                </c:pt>
                <c:pt idx="2153">
                  <c:v>45995</c:v>
                </c:pt>
                <c:pt idx="2154">
                  <c:v>45996</c:v>
                </c:pt>
                <c:pt idx="2155">
                  <c:v>45997</c:v>
                </c:pt>
                <c:pt idx="2156">
                  <c:v>45998</c:v>
                </c:pt>
                <c:pt idx="2157">
                  <c:v>45999</c:v>
                </c:pt>
                <c:pt idx="2158">
                  <c:v>46000</c:v>
                </c:pt>
                <c:pt idx="2159">
                  <c:v>46001</c:v>
                </c:pt>
                <c:pt idx="2160">
                  <c:v>46002</c:v>
                </c:pt>
                <c:pt idx="2161">
                  <c:v>46003</c:v>
                </c:pt>
                <c:pt idx="2162">
                  <c:v>46004</c:v>
                </c:pt>
                <c:pt idx="2163">
                  <c:v>46005</c:v>
                </c:pt>
                <c:pt idx="2164">
                  <c:v>46006</c:v>
                </c:pt>
                <c:pt idx="2165">
                  <c:v>46007</c:v>
                </c:pt>
                <c:pt idx="2166">
                  <c:v>46008</c:v>
                </c:pt>
                <c:pt idx="2167">
                  <c:v>46009</c:v>
                </c:pt>
                <c:pt idx="2168">
                  <c:v>46010</c:v>
                </c:pt>
                <c:pt idx="2169">
                  <c:v>46011</c:v>
                </c:pt>
                <c:pt idx="2170">
                  <c:v>46012</c:v>
                </c:pt>
                <c:pt idx="2171">
                  <c:v>46013</c:v>
                </c:pt>
                <c:pt idx="2172">
                  <c:v>46014</c:v>
                </c:pt>
                <c:pt idx="2173">
                  <c:v>46015</c:v>
                </c:pt>
                <c:pt idx="2174">
                  <c:v>46016</c:v>
                </c:pt>
                <c:pt idx="2175">
                  <c:v>46017</c:v>
                </c:pt>
                <c:pt idx="2176">
                  <c:v>46018</c:v>
                </c:pt>
                <c:pt idx="2177">
                  <c:v>46019</c:v>
                </c:pt>
                <c:pt idx="2178">
                  <c:v>46020</c:v>
                </c:pt>
                <c:pt idx="2179">
                  <c:v>46021</c:v>
                </c:pt>
                <c:pt idx="2180">
                  <c:v>46022</c:v>
                </c:pt>
                <c:pt idx="2181">
                  <c:v>46023</c:v>
                </c:pt>
                <c:pt idx="2182">
                  <c:v>46024</c:v>
                </c:pt>
                <c:pt idx="2183">
                  <c:v>46025</c:v>
                </c:pt>
                <c:pt idx="2184">
                  <c:v>46026</c:v>
                </c:pt>
                <c:pt idx="2185">
                  <c:v>46027</c:v>
                </c:pt>
                <c:pt idx="2186">
                  <c:v>46028</c:v>
                </c:pt>
                <c:pt idx="2187">
                  <c:v>46029</c:v>
                </c:pt>
                <c:pt idx="2188">
                  <c:v>46030</c:v>
                </c:pt>
                <c:pt idx="2189">
                  <c:v>46031</c:v>
                </c:pt>
                <c:pt idx="2190">
                  <c:v>46032</c:v>
                </c:pt>
                <c:pt idx="2191">
                  <c:v>46033</c:v>
                </c:pt>
                <c:pt idx="2192">
                  <c:v>46034</c:v>
                </c:pt>
                <c:pt idx="2193">
                  <c:v>46035</c:v>
                </c:pt>
                <c:pt idx="2194">
                  <c:v>46036</c:v>
                </c:pt>
                <c:pt idx="2195">
                  <c:v>46037</c:v>
                </c:pt>
                <c:pt idx="2196">
                  <c:v>46038</c:v>
                </c:pt>
                <c:pt idx="2197">
                  <c:v>46039</c:v>
                </c:pt>
                <c:pt idx="2198">
                  <c:v>46040</c:v>
                </c:pt>
                <c:pt idx="2199">
                  <c:v>46041</c:v>
                </c:pt>
                <c:pt idx="2200">
                  <c:v>46042</c:v>
                </c:pt>
                <c:pt idx="2201">
                  <c:v>46043</c:v>
                </c:pt>
                <c:pt idx="2202">
                  <c:v>46044</c:v>
                </c:pt>
                <c:pt idx="2203">
                  <c:v>46045</c:v>
                </c:pt>
                <c:pt idx="2204">
                  <c:v>46046</c:v>
                </c:pt>
                <c:pt idx="2205">
                  <c:v>46047</c:v>
                </c:pt>
                <c:pt idx="2206">
                  <c:v>46048</c:v>
                </c:pt>
                <c:pt idx="2207">
                  <c:v>46049</c:v>
                </c:pt>
                <c:pt idx="2208">
                  <c:v>46050</c:v>
                </c:pt>
                <c:pt idx="2209">
                  <c:v>46051</c:v>
                </c:pt>
                <c:pt idx="2210">
                  <c:v>46052</c:v>
                </c:pt>
                <c:pt idx="2211">
                  <c:v>46053</c:v>
                </c:pt>
                <c:pt idx="2212">
                  <c:v>46054</c:v>
                </c:pt>
                <c:pt idx="2213">
                  <c:v>46055</c:v>
                </c:pt>
                <c:pt idx="2214">
                  <c:v>46056</c:v>
                </c:pt>
                <c:pt idx="2215">
                  <c:v>46057</c:v>
                </c:pt>
                <c:pt idx="2216">
                  <c:v>46058</c:v>
                </c:pt>
                <c:pt idx="2217">
                  <c:v>46059</c:v>
                </c:pt>
                <c:pt idx="2218">
                  <c:v>46060</c:v>
                </c:pt>
                <c:pt idx="2219">
                  <c:v>46061</c:v>
                </c:pt>
                <c:pt idx="2220">
                  <c:v>46062</c:v>
                </c:pt>
                <c:pt idx="2221">
                  <c:v>46063</c:v>
                </c:pt>
                <c:pt idx="2222">
                  <c:v>46064</c:v>
                </c:pt>
                <c:pt idx="2223">
                  <c:v>46065</c:v>
                </c:pt>
                <c:pt idx="2224">
                  <c:v>46066</c:v>
                </c:pt>
                <c:pt idx="2225">
                  <c:v>46067</c:v>
                </c:pt>
                <c:pt idx="2226">
                  <c:v>46068</c:v>
                </c:pt>
                <c:pt idx="2227">
                  <c:v>46069</c:v>
                </c:pt>
                <c:pt idx="2228">
                  <c:v>46070</c:v>
                </c:pt>
                <c:pt idx="2229">
                  <c:v>46071</c:v>
                </c:pt>
                <c:pt idx="2230">
                  <c:v>46072</c:v>
                </c:pt>
                <c:pt idx="2231">
                  <c:v>46073</c:v>
                </c:pt>
                <c:pt idx="2232">
                  <c:v>46074</c:v>
                </c:pt>
                <c:pt idx="2233">
                  <c:v>46075</c:v>
                </c:pt>
                <c:pt idx="2234">
                  <c:v>46076</c:v>
                </c:pt>
                <c:pt idx="2235">
                  <c:v>46077</c:v>
                </c:pt>
                <c:pt idx="2236">
                  <c:v>46078</c:v>
                </c:pt>
                <c:pt idx="2237">
                  <c:v>46079</c:v>
                </c:pt>
                <c:pt idx="2238">
                  <c:v>46080</c:v>
                </c:pt>
                <c:pt idx="2239">
                  <c:v>46081</c:v>
                </c:pt>
                <c:pt idx="2240">
                  <c:v>46082</c:v>
                </c:pt>
                <c:pt idx="2241">
                  <c:v>46083</c:v>
                </c:pt>
                <c:pt idx="2242">
                  <c:v>46084</c:v>
                </c:pt>
                <c:pt idx="2243">
                  <c:v>46085</c:v>
                </c:pt>
                <c:pt idx="2244">
                  <c:v>46086</c:v>
                </c:pt>
                <c:pt idx="2245">
                  <c:v>46087</c:v>
                </c:pt>
                <c:pt idx="2246">
                  <c:v>46088</c:v>
                </c:pt>
                <c:pt idx="2247">
                  <c:v>46089</c:v>
                </c:pt>
                <c:pt idx="2248">
                  <c:v>46090</c:v>
                </c:pt>
                <c:pt idx="2249">
                  <c:v>46091</c:v>
                </c:pt>
                <c:pt idx="2250">
                  <c:v>46092</c:v>
                </c:pt>
                <c:pt idx="2251">
                  <c:v>46093</c:v>
                </c:pt>
                <c:pt idx="2252">
                  <c:v>46094</c:v>
                </c:pt>
                <c:pt idx="2253">
                  <c:v>46095</c:v>
                </c:pt>
                <c:pt idx="2254">
                  <c:v>46096</c:v>
                </c:pt>
                <c:pt idx="2255">
                  <c:v>46097</c:v>
                </c:pt>
                <c:pt idx="2256">
                  <c:v>46098</c:v>
                </c:pt>
                <c:pt idx="2257">
                  <c:v>46099</c:v>
                </c:pt>
                <c:pt idx="2258">
                  <c:v>46100</c:v>
                </c:pt>
                <c:pt idx="2259">
                  <c:v>46101</c:v>
                </c:pt>
                <c:pt idx="2260">
                  <c:v>46102</c:v>
                </c:pt>
                <c:pt idx="2261">
                  <c:v>46103</c:v>
                </c:pt>
                <c:pt idx="2262">
                  <c:v>46104</c:v>
                </c:pt>
                <c:pt idx="2263">
                  <c:v>46105</c:v>
                </c:pt>
                <c:pt idx="2264">
                  <c:v>46106</c:v>
                </c:pt>
                <c:pt idx="2265">
                  <c:v>46107</c:v>
                </c:pt>
                <c:pt idx="2266">
                  <c:v>46108</c:v>
                </c:pt>
                <c:pt idx="2267">
                  <c:v>46109</c:v>
                </c:pt>
                <c:pt idx="2268">
                  <c:v>46110</c:v>
                </c:pt>
                <c:pt idx="2269">
                  <c:v>46111</c:v>
                </c:pt>
                <c:pt idx="2270">
                  <c:v>46112</c:v>
                </c:pt>
                <c:pt idx="2271">
                  <c:v>46113</c:v>
                </c:pt>
                <c:pt idx="2272">
                  <c:v>46114</c:v>
                </c:pt>
                <c:pt idx="2273">
                  <c:v>46115</c:v>
                </c:pt>
                <c:pt idx="2274">
                  <c:v>46116</c:v>
                </c:pt>
                <c:pt idx="2275">
                  <c:v>46117</c:v>
                </c:pt>
                <c:pt idx="2276">
                  <c:v>46118</c:v>
                </c:pt>
                <c:pt idx="2277">
                  <c:v>46119</c:v>
                </c:pt>
                <c:pt idx="2278">
                  <c:v>46120</c:v>
                </c:pt>
                <c:pt idx="2279">
                  <c:v>46121</c:v>
                </c:pt>
                <c:pt idx="2280">
                  <c:v>46122</c:v>
                </c:pt>
                <c:pt idx="2281">
                  <c:v>46123</c:v>
                </c:pt>
                <c:pt idx="2282">
                  <c:v>46124</c:v>
                </c:pt>
                <c:pt idx="2283">
                  <c:v>46125</c:v>
                </c:pt>
                <c:pt idx="2284">
                  <c:v>46126</c:v>
                </c:pt>
                <c:pt idx="2285">
                  <c:v>46127</c:v>
                </c:pt>
                <c:pt idx="2286">
                  <c:v>46128</c:v>
                </c:pt>
                <c:pt idx="2287">
                  <c:v>46129</c:v>
                </c:pt>
                <c:pt idx="2288">
                  <c:v>46130</c:v>
                </c:pt>
                <c:pt idx="2289">
                  <c:v>46131</c:v>
                </c:pt>
                <c:pt idx="2290">
                  <c:v>46132</c:v>
                </c:pt>
                <c:pt idx="2291">
                  <c:v>46133</c:v>
                </c:pt>
                <c:pt idx="2292">
                  <c:v>46134</c:v>
                </c:pt>
                <c:pt idx="2293">
                  <c:v>46135</c:v>
                </c:pt>
                <c:pt idx="2294">
                  <c:v>46136</c:v>
                </c:pt>
                <c:pt idx="2295">
                  <c:v>46137</c:v>
                </c:pt>
                <c:pt idx="2296">
                  <c:v>46138</c:v>
                </c:pt>
                <c:pt idx="2297">
                  <c:v>46139</c:v>
                </c:pt>
                <c:pt idx="2298">
                  <c:v>46140</c:v>
                </c:pt>
                <c:pt idx="2299">
                  <c:v>46141</c:v>
                </c:pt>
                <c:pt idx="2300">
                  <c:v>46142</c:v>
                </c:pt>
                <c:pt idx="2301">
                  <c:v>46143</c:v>
                </c:pt>
                <c:pt idx="2302">
                  <c:v>46144</c:v>
                </c:pt>
                <c:pt idx="2303">
                  <c:v>46145</c:v>
                </c:pt>
                <c:pt idx="2304">
                  <c:v>46146</c:v>
                </c:pt>
                <c:pt idx="2305">
                  <c:v>46147</c:v>
                </c:pt>
                <c:pt idx="2306">
                  <c:v>46148</c:v>
                </c:pt>
                <c:pt idx="2307">
                  <c:v>46149</c:v>
                </c:pt>
                <c:pt idx="2308">
                  <c:v>46150</c:v>
                </c:pt>
                <c:pt idx="2309">
                  <c:v>46151</c:v>
                </c:pt>
                <c:pt idx="2310">
                  <c:v>46152</c:v>
                </c:pt>
                <c:pt idx="2311">
                  <c:v>46153</c:v>
                </c:pt>
                <c:pt idx="2312">
                  <c:v>46154</c:v>
                </c:pt>
                <c:pt idx="2313">
                  <c:v>46155</c:v>
                </c:pt>
                <c:pt idx="2314">
                  <c:v>46156</c:v>
                </c:pt>
                <c:pt idx="2315">
                  <c:v>46157</c:v>
                </c:pt>
                <c:pt idx="2316">
                  <c:v>46158</c:v>
                </c:pt>
                <c:pt idx="2317">
                  <c:v>46159</c:v>
                </c:pt>
                <c:pt idx="2318">
                  <c:v>46160</c:v>
                </c:pt>
                <c:pt idx="2319">
                  <c:v>46161</c:v>
                </c:pt>
                <c:pt idx="2320">
                  <c:v>46162</c:v>
                </c:pt>
                <c:pt idx="2321">
                  <c:v>46163</c:v>
                </c:pt>
                <c:pt idx="2322">
                  <c:v>46164</c:v>
                </c:pt>
                <c:pt idx="2323">
                  <c:v>46165</c:v>
                </c:pt>
                <c:pt idx="2324">
                  <c:v>46166</c:v>
                </c:pt>
                <c:pt idx="2325">
                  <c:v>46167</c:v>
                </c:pt>
                <c:pt idx="2326">
                  <c:v>46168</c:v>
                </c:pt>
                <c:pt idx="2327">
                  <c:v>46169</c:v>
                </c:pt>
                <c:pt idx="2328">
                  <c:v>46170</c:v>
                </c:pt>
                <c:pt idx="2329">
                  <c:v>46171</c:v>
                </c:pt>
                <c:pt idx="2330">
                  <c:v>46172</c:v>
                </c:pt>
                <c:pt idx="2331">
                  <c:v>46173</c:v>
                </c:pt>
                <c:pt idx="2332">
                  <c:v>46174</c:v>
                </c:pt>
                <c:pt idx="2333">
                  <c:v>46175</c:v>
                </c:pt>
                <c:pt idx="2334">
                  <c:v>46176</c:v>
                </c:pt>
                <c:pt idx="2335">
                  <c:v>46177</c:v>
                </c:pt>
                <c:pt idx="2336">
                  <c:v>46178</c:v>
                </c:pt>
                <c:pt idx="2337">
                  <c:v>46179</c:v>
                </c:pt>
                <c:pt idx="2338">
                  <c:v>46180</c:v>
                </c:pt>
                <c:pt idx="2339">
                  <c:v>46181</c:v>
                </c:pt>
                <c:pt idx="2340">
                  <c:v>46182</c:v>
                </c:pt>
                <c:pt idx="2341">
                  <c:v>46183</c:v>
                </c:pt>
                <c:pt idx="2342">
                  <c:v>46184</c:v>
                </c:pt>
                <c:pt idx="2343">
                  <c:v>46185</c:v>
                </c:pt>
                <c:pt idx="2344">
                  <c:v>46186</c:v>
                </c:pt>
                <c:pt idx="2345">
                  <c:v>46187</c:v>
                </c:pt>
                <c:pt idx="2346">
                  <c:v>46188</c:v>
                </c:pt>
                <c:pt idx="2347">
                  <c:v>46189</c:v>
                </c:pt>
                <c:pt idx="2348">
                  <c:v>46190</c:v>
                </c:pt>
                <c:pt idx="2349">
                  <c:v>46191</c:v>
                </c:pt>
                <c:pt idx="2350">
                  <c:v>46192</c:v>
                </c:pt>
                <c:pt idx="2351">
                  <c:v>46193</c:v>
                </c:pt>
                <c:pt idx="2352">
                  <c:v>46194</c:v>
                </c:pt>
                <c:pt idx="2353">
                  <c:v>46195</c:v>
                </c:pt>
                <c:pt idx="2354">
                  <c:v>46196</c:v>
                </c:pt>
                <c:pt idx="2355">
                  <c:v>46197</c:v>
                </c:pt>
                <c:pt idx="2356">
                  <c:v>46198</c:v>
                </c:pt>
                <c:pt idx="2357">
                  <c:v>46199</c:v>
                </c:pt>
                <c:pt idx="2358">
                  <c:v>46200</c:v>
                </c:pt>
                <c:pt idx="2359">
                  <c:v>46201</c:v>
                </c:pt>
                <c:pt idx="2360">
                  <c:v>46202</c:v>
                </c:pt>
                <c:pt idx="2361">
                  <c:v>46203</c:v>
                </c:pt>
                <c:pt idx="2362">
                  <c:v>46204</c:v>
                </c:pt>
                <c:pt idx="2363">
                  <c:v>46205</c:v>
                </c:pt>
                <c:pt idx="2364">
                  <c:v>46206</c:v>
                </c:pt>
                <c:pt idx="2365">
                  <c:v>46207</c:v>
                </c:pt>
              </c:numCache>
            </c:numRef>
          </c:cat>
          <c:val>
            <c:numRef>
              <c:f>AI_Forecast!$E$2:$E$2367</c:f>
              <c:numCache>
                <c:formatCode>General</c:formatCode>
                <c:ptCount val="2366"/>
                <c:pt idx="1999" formatCode="0">
                  <c:v>10400</c:v>
                </c:pt>
                <c:pt idx="2000" formatCode="0">
                  <c:v>14900.823701133853</c:v>
                </c:pt>
                <c:pt idx="2001" formatCode="0">
                  <c:v>14953.815493265673</c:v>
                </c:pt>
                <c:pt idx="2002" formatCode="0">
                  <c:v>15101.002285395833</c:v>
                </c:pt>
                <c:pt idx="2003" formatCode="0">
                  <c:v>14875.584498726923</c:v>
                </c:pt>
                <c:pt idx="2004" formatCode="0">
                  <c:v>13195.841920218485</c:v>
                </c:pt>
                <c:pt idx="2005" formatCode="0">
                  <c:v>13029.581163429892</c:v>
                </c:pt>
                <c:pt idx="2006" formatCode="0">
                  <c:v>16816.248158212613</c:v>
                </c:pt>
                <c:pt idx="2007" formatCode="0">
                  <c:v>15790.504014299122</c:v>
                </c:pt>
                <c:pt idx="2008" formatCode="0">
                  <c:v>14907.636508887113</c:v>
                </c:pt>
                <c:pt idx="2009" formatCode="0">
                  <c:v>14379.482832314698</c:v>
                </c:pt>
                <c:pt idx="2010" formatCode="0">
                  <c:v>15741.74218184056</c:v>
                </c:pt>
                <c:pt idx="2011" formatCode="0">
                  <c:v>17407.70479430128</c:v>
                </c:pt>
                <c:pt idx="2012" formatCode="0">
                  <c:v>15142.91774167694</c:v>
                </c:pt>
                <c:pt idx="2013" formatCode="0">
                  <c:v>15196.639694250887</c:v>
                </c:pt>
                <c:pt idx="2014" formatCode="0">
                  <c:v>15344.636973844217</c:v>
                </c:pt>
                <c:pt idx="2015" formatCode="0">
                  <c:v>15120.109727757514</c:v>
                </c:pt>
                <c:pt idx="2016" formatCode="0">
                  <c:v>13441.337461187593</c:v>
                </c:pt>
                <c:pt idx="2017" formatCode="0">
                  <c:v>13276.126497361049</c:v>
                </c:pt>
                <c:pt idx="2018" formatCode="0">
                  <c:v>17063.922466528184</c:v>
                </c:pt>
                <c:pt idx="2019" formatCode="0">
                  <c:v>16039.38616886519</c:v>
                </c:pt>
                <c:pt idx="2020" formatCode="0">
                  <c:v>15157.805061384035</c:v>
                </c:pt>
                <c:pt idx="2021" formatCode="0">
                  <c:v>14631.016002946428</c:v>
                </c:pt>
                <c:pt idx="2022" formatCode="0">
                  <c:v>15994.717847396754</c:v>
                </c:pt>
                <c:pt idx="2023" formatCode="0">
                  <c:v>17662.200475586909</c:v>
                </c:pt>
                <c:pt idx="2024" formatCode="0">
                  <c:v>15410.434576374366</c:v>
                </c:pt>
                <c:pt idx="2025" formatCode="0">
                  <c:v>15465.774396644763</c:v>
                </c:pt>
                <c:pt idx="2026" formatCode="0">
                  <c:v>15615.463385111972</c:v>
                </c:pt>
                <c:pt idx="2027" formatCode="0">
                  <c:v>15392.701298579554</c:v>
                </c:pt>
                <c:pt idx="2028" formatCode="0">
                  <c:v>13715.767237746342</c:v>
                </c:pt>
                <c:pt idx="2029" formatCode="0">
                  <c:v>13552.467106861812</c:v>
                </c:pt>
                <c:pt idx="2030" formatCode="0">
                  <c:v>17342.246102260582</c:v>
                </c:pt>
                <c:pt idx="2031" formatCode="0">
                  <c:v>16319.764574824949</c:v>
                </c:pt>
                <c:pt idx="2032" formatCode="0">
                  <c:v>15440.309516475743</c:v>
                </c:pt>
                <c:pt idx="2033" formatCode="0">
                  <c:v>14915.717304788835</c:v>
                </c:pt>
                <c:pt idx="2034" formatCode="0">
                  <c:v>16281.686295753072</c:v>
                </c:pt>
                <c:pt idx="2035" formatCode="0">
                  <c:v>17951.505855443524</c:v>
                </c:pt>
                <c:pt idx="2036" formatCode="0">
                  <c:v>15711.60930229722</c:v>
                </c:pt>
                <c:pt idx="2037" formatCode="0">
                  <c:v>15769.341934054262</c:v>
                </c:pt>
                <c:pt idx="2038" formatCode="0">
                  <c:v>15921.489781107886</c:v>
                </c:pt>
                <c:pt idx="2039" formatCode="0">
                  <c:v>15701.252054799339</c:v>
                </c:pt>
                <c:pt idx="2040" formatCode="0">
                  <c:v>14026.907293715936</c:v>
                </c:pt>
                <c:pt idx="2041" formatCode="0">
                  <c:v>13866.260823156646</c:v>
                </c:pt>
                <c:pt idx="2042" formatCode="0">
                  <c:v>17658.757243502267</c:v>
                </c:pt>
                <c:pt idx="2043" formatCode="0">
                  <c:v>16639.056292539615</c:v>
                </c:pt>
                <c:pt idx="2044" formatCode="0">
                  <c:v>15762.444331840743</c:v>
                </c:pt>
                <c:pt idx="2045" formatCode="0">
                  <c:v>15240.757091295047</c:v>
                </c:pt>
                <c:pt idx="2046" formatCode="0">
                  <c:v>16609.692261810571</c:v>
                </c:pt>
                <c:pt idx="2047" formatCode="0">
                  <c:v>18282.538526958924</c:v>
                </c:pt>
                <c:pt idx="2048" formatCode="0">
                  <c:v>16053.101876231405</c:v>
                </c:pt>
                <c:pt idx="2049" formatCode="0">
                  <c:v>16113.879618227258</c:v>
                </c:pt>
                <c:pt idx="2050" formatCode="0">
                  <c:v>16269.129490386091</c:v>
                </c:pt>
                <c:pt idx="2051" formatCode="0">
                  <c:v>16052.050007571244</c:v>
                </c:pt>
                <c:pt idx="2052" formatCode="0">
                  <c:v>14380.9189960781</c:v>
                </c:pt>
                <c:pt idx="2053" formatCode="0">
                  <c:v>14223.541053208432</c:v>
                </c:pt>
                <c:pt idx="2054" formatCode="0">
                  <c:v>18019.360035775793</c:v>
                </c:pt>
                <c:pt idx="2055" formatCode="0">
                  <c:v>17003.034922591571</c:v>
                </c:pt>
                <c:pt idx="2056" formatCode="0">
                  <c:v>16129.851301032646</c:v>
                </c:pt>
                <c:pt idx="2057" formatCode="0">
                  <c:v>15611.644111788473</c:v>
                </c:pt>
                <c:pt idx="2058" formatCode="0">
                  <c:v>16984.110241803894</c:v>
                </c:pt>
                <c:pt idx="2059" formatCode="0">
                  <c:v>18660.537556191826</c:v>
                </c:pt>
                <c:pt idx="2060" formatCode="0">
                  <c:v>16439.993182696126</c:v>
                </c:pt>
                <c:pt idx="2061" formatCode="0">
                  <c:v>16504.339544590228</c:v>
                </c:pt>
                <c:pt idx="2062" formatCode="0">
                  <c:v>16663.204860494898</c:v>
                </c:pt>
                <c:pt idx="2063" formatCode="0">
                  <c:v>16449.786835392035</c:v>
                </c:pt>
                <c:pt idx="2064" formatCode="0">
                  <c:v>14782.362473536847</c:v>
                </c:pt>
                <c:pt idx="2065" formatCode="0">
                  <c:v>14628.73553838266</c:v>
                </c:pt>
                <c:pt idx="2066" formatCode="0">
                  <c:v>18428.349041457965</c:v>
                </c:pt>
                <c:pt idx="2067" formatCode="0">
                  <c:v>17415.86110524484</c:v>
                </c:pt>
                <c:pt idx="2068" formatCode="0">
                  <c:v>16546.556450159111</c:v>
                </c:pt>
                <c:pt idx="2069" formatCode="0">
                  <c:v>16032.269139729471</c:v>
                </c:pt>
                <c:pt idx="2070" formatCode="0">
                  <c:v>17408.695173991153</c:v>
                </c:pt>
                <c:pt idx="2071" formatCode="0">
                  <c:v>19089.12152186763</c:v>
                </c:pt>
                <c:pt idx="2072" formatCode="0">
                  <c:v>16875.847819902374</c:v>
                </c:pt>
                <c:pt idx="2073" formatCode="0">
                  <c:v>16944.157922952403</c:v>
                </c:pt>
                <c:pt idx="2074" formatCode="0">
                  <c:v>17107.023369071074</c:v>
                </c:pt>
                <c:pt idx="2075" formatCode="0">
                  <c:v>16897.640997072795</c:v>
                </c:pt>
                <c:pt idx="2076" formatCode="0">
                  <c:v>15234.286938161766</c:v>
                </c:pt>
                <c:pt idx="2077" formatCode="0">
                  <c:v>15084.764076343603</c:v>
                </c:pt>
                <c:pt idx="2078" formatCode="0">
                  <c:v>18888.514537801013</c:v>
                </c:pt>
                <c:pt idx="2079" formatCode="0">
                  <c:v>17880.195554281705</c:v>
                </c:pt>
                <c:pt idx="2080" formatCode="0">
                  <c:v>17015.09095059806</c:v>
                </c:pt>
                <c:pt idx="2081" formatCode="0">
                  <c:v>16505.033890334857</c:v>
                </c:pt>
                <c:pt idx="2082" formatCode="0">
                  <c:v>17885.719469779713</c:v>
                </c:pt>
                <c:pt idx="2083" formatCode="0">
                  <c:v>19570.433750848686</c:v>
                </c:pt>
                <c:pt idx="2084" formatCode="0">
                  <c:v>17362.849606307143</c:v>
                </c:pt>
                <c:pt idx="2085" formatCode="0">
                  <c:v>17435.397688009838</c:v>
                </c:pt>
                <c:pt idx="2086" formatCode="0">
                  <c:v>17602.527386523609</c:v>
                </c:pt>
                <c:pt idx="2087" formatCode="0">
                  <c:v>17397.434679109014</c:v>
                </c:pt>
                <c:pt idx="2088" formatCode="0">
                  <c:v>15738.394834091896</c:v>
                </c:pt>
                <c:pt idx="2089" formatCode="0">
                  <c:v>15593.209871783225</c:v>
                </c:pt>
                <c:pt idx="2090" formatCode="0">
                  <c:v>19401.321054364715</c:v>
                </c:pt>
                <c:pt idx="2091" formatCode="0">
                  <c:v>18397.384749787503</c:v>
                </c:pt>
                <c:pt idx="2092" formatCode="0">
                  <c:v>17536.683919782641</c:v>
                </c:pt>
                <c:pt idx="2093" formatCode="0">
                  <c:v>17031.050866078636</c:v>
                </c:pt>
                <c:pt idx="2094" formatCode="0">
                  <c:v>18416.179824839994</c:v>
                </c:pt>
                <c:pt idx="2095" formatCode="0">
                  <c:v>20105.356000098342</c:v>
                </c:pt>
                <c:pt idx="2096" formatCode="0">
                  <c:v>17901.994922598969</c:v>
                </c:pt>
                <c:pt idx="2097" formatCode="0">
                  <c:v>17978.947709251515</c:v>
                </c:pt>
                <c:pt idx="2098" formatCode="0">
                  <c:v>18150.49915039643</c:v>
                </c:pt>
                <c:pt idx="2099" formatCode="0">
                  <c:v>17949.844418329441</c:v>
                </c:pt>
                <c:pt idx="2100" formatCode="0">
                  <c:v>16295.257979864593</c:v>
                </c:pt>
                <c:pt idx="2101" formatCode="0">
                  <c:v>16154.541057693727</c:v>
                </c:pt>
                <c:pt idx="2102" formatCode="0">
                  <c:v>19967.134120705879</c:v>
                </c:pt>
                <c:pt idx="2103" formatCode="0">
                  <c:v>18967.692748313166</c:v>
                </c:pt>
                <c:pt idx="2104" formatCode="0">
                  <c:v>18111.499118881147</c:v>
                </c:pt>
                <c:pt idx="2105" formatCode="0">
                  <c:v>17610.384756358639</c:v>
                </c:pt>
                <c:pt idx="2106" formatCode="0">
                  <c:v>19000.043125119864</c:v>
                </c:pt>
                <c:pt idx="2107" formatCode="0">
                  <c:v>20693.758663790341</c:v>
                </c:pt>
                <c:pt idx="2108" formatCode="0">
                  <c:v>18493.317794713224</c:v>
                </c:pt>
                <c:pt idx="2109" formatCode="0">
                  <c:v>18574.751516492823</c:v>
                </c:pt>
                <c:pt idx="2110" formatCode="0">
                  <c:v>18750.792945549765</c:v>
                </c:pt>
                <c:pt idx="2111" formatCode="0">
                  <c:v>18554.636541817577</c:v>
                </c:pt>
                <c:pt idx="2112" formatCode="0">
                  <c:v>16904.556066614361</c:v>
                </c:pt>
                <c:pt idx="2113" formatCode="0">
                  <c:v>16768.352044324976</c:v>
                </c:pt>
                <c:pt idx="2114" formatCode="0">
                  <c:v>20585.464253033111</c:v>
                </c:pt>
                <c:pt idx="2115" formatCode="0">
                  <c:v>19590.54758914949</c:v>
                </c:pt>
                <c:pt idx="2116" formatCode="0">
                  <c:v>18738.883556133977</c:v>
                </c:pt>
                <c:pt idx="2117" formatCode="0">
                  <c:v>18242.303011405973</c:v>
                </c:pt>
                <c:pt idx="2118" formatCode="0">
                  <c:v>19636.498761456103</c:v>
                </c:pt>
                <c:pt idx="2119" formatCode="0">
                  <c:v>21334.754595930041</c:v>
                </c:pt>
                <c:pt idx="2120" formatCode="0">
                  <c:v>19136.119271755688</c:v>
                </c:pt>
                <c:pt idx="2121" formatCode="0">
                  <c:v>19222.037934426622</c:v>
                </c:pt>
                <c:pt idx="2122" formatCode="0">
                  <c:v>19402.566791844547</c:v>
                </c:pt>
                <c:pt idx="2123" formatCode="0">
                  <c:v>19210.899702874365</c:v>
                </c:pt>
                <c:pt idx="2124" formatCode="0">
                  <c:v>17565.309836566783</c:v>
                </c:pt>
                <c:pt idx="2125" formatCode="0">
                  <c:v>17433.59713403659</c:v>
                </c:pt>
                <c:pt idx="2126" formatCode="0">
                  <c:v>21255.20079927993</c:v>
                </c:pt>
                <c:pt idx="2127" formatCode="0">
                  <c:v>20264.775163976803</c:v>
                </c:pt>
                <c:pt idx="2128" formatCode="0">
                  <c:v>19417.60117637644</c:v>
                </c:pt>
                <c:pt idx="2129" formatCode="0">
                  <c:v>18925.509148360004</c:v>
                </c:pt>
                <c:pt idx="2130" formatCode="0">
                  <c:v>20324.191350693465</c:v>
                </c:pt>
                <c:pt idx="2131" formatCode="0">
                  <c:v>22026.931047241611</c:v>
                </c:pt>
                <c:pt idx="2132" formatCode="0">
                  <c:v>19829.179238807865</c:v>
                </c:pt>
                <c:pt idx="2133" formatCode="0">
                  <c:v>19919.532190475518</c:v>
                </c:pt>
                <c:pt idx="2134" formatCode="0">
                  <c:v>20104.49267611976</c:v>
                </c:pt>
                <c:pt idx="2135" formatCode="0">
                  <c:v>19917.254068760329</c:v>
                </c:pt>
                <c:pt idx="2136" formatCode="0">
                  <c:v>18276.089061064951</c:v>
                </c:pt>
                <c:pt idx="2137" formatCode="0">
                  <c:v>18148.797127313323</c:v>
                </c:pt>
                <c:pt idx="2138" formatCode="0">
                  <c:v>21974.817014290496</c:v>
                </c:pt>
                <c:pt idx="2139" formatCode="0">
                  <c:v>20988.80260615607</c:v>
                </c:pt>
                <c:pt idx="2140" formatCode="0">
                  <c:v>20146.034413386795</c:v>
                </c:pt>
                <c:pt idx="2141" formatCode="0">
                  <c:v>19658.342319887292</c:v>
                </c:pt>
                <c:pt idx="2142" formatCode="0">
                  <c:v>21061.418178281841</c:v>
                </c:pt>
                <c:pt idx="2143" formatCode="0">
                  <c:v>22768.544844158278</c:v>
                </c:pt>
                <c:pt idx="2144" formatCode="0">
                  <c:v>20570.93730019057</c:v>
                </c:pt>
                <c:pt idx="2145" formatCode="0">
                  <c:v>20665.634809889536</c:v>
                </c:pt>
                <c:pt idx="2146" formatCode="0">
                  <c:v>20854.933342087395</c:v>
                </c:pt>
                <c:pt idx="2147" formatCode="0">
                  <c:v>20672.025892658221</c:v>
                </c:pt>
                <c:pt idx="2148" formatCode="0">
                  <c:v>19035.184786319329</c:v>
                </c:pt>
                <c:pt idx="2149" formatCode="0">
                  <c:v>18912.209138598504</c:v>
                </c:pt>
                <c:pt idx="2150" formatCode="0">
                  <c:v>22742.537346723326</c:v>
                </c:pt>
                <c:pt idx="2151" formatCode="0">
                  <c:v>21760.822954479023</c:v>
                </c:pt>
                <c:pt idx="2152" formatCode="0">
                  <c:v>20922.34614113285</c:v>
                </c:pt>
                <c:pt idx="2153" formatCode="0">
                  <c:v>20438.936468519743</c:v>
                </c:pt>
                <c:pt idx="2154" formatCode="0">
                  <c:v>21846.28547630243</c:v>
                </c:pt>
                <c:pt idx="2155" formatCode="0">
                  <c:v>23557.675716177298</c:v>
                </c:pt>
                <c:pt idx="2156" formatCode="0">
                  <c:v>21359.637492411792</c:v>
                </c:pt>
                <c:pt idx="2157" formatCode="0">
                  <c:v>21458.56372353909</c:v>
                </c:pt>
                <c:pt idx="2158" formatCode="0">
                  <c:v>21652.081729882641</c:v>
                </c:pt>
                <c:pt idx="2159" formatCode="0">
                  <c:v>21473.38422626226</c:v>
                </c:pt>
                <c:pt idx="2160" formatCode="0">
                  <c:v>19840.743264696677</c:v>
                </c:pt>
                <c:pt idx="2161" formatCode="0">
                  <c:v>19721.957696320471</c:v>
                </c:pt>
                <c:pt idx="2162" formatCode="0">
                  <c:v>23556.465662218106</c:v>
                </c:pt>
                <c:pt idx="2163" formatCode="0">
                  <c:v>22578.92045822175</c:v>
                </c:pt>
                <c:pt idx="2164" formatCode="0">
                  <c:v>21744.602023770956</c:v>
                </c:pt>
                <c:pt idx="2165" formatCode="0">
                  <c:v>21265.339688929223</c:v>
                </c:pt>
                <c:pt idx="2166" formatCode="0">
                  <c:v>22676.824769570827</c:v>
                </c:pt>
                <c:pt idx="2167" formatCode="0">
                  <c:v>24392.339601509306</c:v>
                </c:pt>
                <c:pt idx="2168" formatCode="0">
                  <c:v>22193.437594639079</c:v>
                </c:pt>
                <c:pt idx="2169" formatCode="0">
                  <c:v>22296.4608673779</c:v>
                </c:pt>
                <c:pt idx="2170" formatCode="0">
                  <c:v>22494.064843987751</c:v>
                </c:pt>
                <c:pt idx="2171" formatCode="0">
                  <c:v>22319.442039158967</c:v>
                </c:pt>
                <c:pt idx="2172" formatCode="0">
                  <c:v>20690.864312016431</c:v>
                </c:pt>
                <c:pt idx="2173" formatCode="0">
                  <c:v>20576.130327957053</c:v>
                </c:pt>
                <c:pt idx="2174" formatCode="0">
                  <c:v>24414.678049401311</c:v>
                </c:pt>
                <c:pt idx="2175" formatCode="0">
                  <c:v>23441.16060050582</c:v>
                </c:pt>
                <c:pt idx="2176" formatCode="0">
                  <c:v>22610.857755935118</c:v>
                </c:pt>
                <c:pt idx="2177" formatCode="0">
                  <c:v>22135.598687787849</c:v>
                </c:pt>
                <c:pt idx="2178" formatCode="0">
                  <c:v>23551.074560690926</c:v>
                </c:pt>
                <c:pt idx="2179" formatCode="0">
                  <c:v>25270.567565833215</c:v>
                </c:pt>
                <c:pt idx="2180" formatCode="0">
                  <c:v>23070.487326650844</c:v>
                </c:pt>
                <c:pt idx="2181" formatCode="0">
                  <c:v>23177.467884090554</c:v>
                </c:pt>
                <c:pt idx="2182" formatCode="0">
                  <c:v>23379.016966079893</c:v>
                </c:pt>
                <c:pt idx="2183" formatCode="0">
                  <c:v>23208.326952793908</c:v>
                </c:pt>
                <c:pt idx="2184" formatCode="0">
                  <c:v>21583.669574884581</c:v>
                </c:pt>
                <c:pt idx="2185" formatCode="0">
                  <c:v>21472.84337522733</c:v>
                </c:pt>
                <c:pt idx="2186" formatCode="0">
                  <c:v>25315.286199580209</c:v>
                </c:pt>
                <c:pt idx="2187" formatCode="0">
                  <c:v>24345.651061202741</c:v>
                </c:pt>
                <c:pt idx="2188" formatCode="0">
                  <c:v>23519.217629532839</c:v>
                </c:pt>
                <c:pt idx="2189" formatCode="0">
                  <c:v>23047.814977017075</c:v>
                </c:pt>
                <c:pt idx="2190" formatCode="0">
                  <c:v>24467.134174107916</c:v>
                </c:pt>
                <c:pt idx="2191" formatCode="0">
                  <c:v>26190.457323199771</c:v>
                </c:pt>
                <c:pt idx="2192" formatCode="0">
                  <c:v>23988.981185469442</c:v>
                </c:pt>
                <c:pt idx="2193" formatCode="0">
                  <c:v>24099.776835317454</c:v>
                </c:pt>
                <c:pt idx="2194" formatCode="0">
                  <c:v>24305.128265579602</c:v>
                </c:pt>
                <c:pt idx="2195" formatCode="0">
                  <c:v>24138.227773486818</c:v>
                </c:pt>
                <c:pt idx="2196" formatCode="0">
                  <c:v>22517.347011651094</c:v>
                </c:pt>
                <c:pt idx="2197" formatCode="0">
                  <c:v>22410.284449721152</c:v>
                </c:pt>
                <c:pt idx="2198" formatCode="0">
                  <c:v>26256.477864950444</c:v>
                </c:pt>
                <c:pt idx="2199" formatCode="0">
                  <c:v>25290.580206724459</c:v>
                </c:pt>
                <c:pt idx="2200" formatCode="0">
                  <c:v>24467.871085145885</c:v>
                </c:pt>
                <c:pt idx="2201" formatCode="0">
                  <c:v>24000.179517773009</c:v>
                </c:pt>
                <c:pt idx="2202" formatCode="0">
                  <c:v>25423.196524525018</c:v>
                </c:pt>
                <c:pt idx="2203" formatCode="0">
                  <c:v>27150.204161526133</c:v>
                </c:pt>
                <c:pt idx="2204" formatCode="0">
                  <c:v>24947.191760276419</c:v>
                </c:pt>
                <c:pt idx="2205" formatCode="0">
                  <c:v>25061.661807239761</c:v>
                </c:pt>
                <c:pt idx="2206" formatCode="0">
                  <c:v>25270.674724588978</c:v>
                </c:pt>
                <c:pt idx="2207" formatCode="0">
                  <c:v>25107.422766067353</c:v>
                </c:pt>
                <c:pt idx="2208" formatCode="0">
                  <c:v>23490.177544687715</c:v>
                </c:pt>
                <c:pt idx="2209" formatCode="0">
                  <c:v>23386.737494304125</c:v>
                </c:pt>
                <c:pt idx="2210" formatCode="0">
                  <c:v>27236.540360096016</c:v>
                </c:pt>
                <c:pt idx="2211" formatCode="0">
                  <c:v>26274.239063012097</c:v>
                </c:pt>
                <c:pt idx="2212" formatCode="0">
                  <c:v>25455.11318827232</c:v>
                </c:pt>
                <c:pt idx="2213" formatCode="0">
                  <c:v>24990.991732023591</c:v>
                </c:pt>
                <c:pt idx="2214" formatCode="0">
                  <c:v>26417.565696162819</c:v>
                </c:pt>
                <c:pt idx="2215" formatCode="0">
                  <c:v>28148.117122099306</c:v>
                </c:pt>
                <c:pt idx="2216" formatCode="0">
                  <c:v>25943.488711149097</c:v>
                </c:pt>
                <c:pt idx="2217" formatCode="0">
                  <c:v>26061.496571433992</c:v>
                </c:pt>
                <c:pt idx="2218" formatCode="0">
                  <c:v>26274.03450973261</c:v>
                </c:pt>
                <c:pt idx="2219" formatCode="0">
                  <c:v>26114.294765742077</c:v>
                </c:pt>
                <c:pt idx="2220" formatCode="0">
                  <c:v>24500.548941450907</c:v>
                </c:pt>
                <c:pt idx="2221" formatCode="0">
                  <c:v>24400.595462636611</c:v>
                </c:pt>
                <c:pt idx="2222" formatCode="0">
                  <c:v>28253.87206927644</c:v>
                </c:pt>
                <c:pt idx="2223" formatCode="0">
                  <c:v>27295.03167991836</c:v>
                </c:pt>
                <c:pt idx="2224" formatCode="0">
                  <c:v>26479.353880110943</c:v>
                </c:pt>
                <c:pt idx="2225" formatCode="0">
                  <c:v>26018.667668987506</c:v>
                </c:pt>
                <c:pt idx="2226" formatCode="0">
                  <c:v>27448.664054018474</c:v>
                </c:pt>
                <c:pt idx="2227" formatCode="0">
                  <c:v>29182.625084703723</c:v>
                </c:pt>
                <c:pt idx="2228" formatCode="0">
                  <c:v>26976.347652348224</c:v>
                </c:pt>
                <c:pt idx="2229" formatCode="0">
                  <c:v>27097.762486583062</c:v>
                </c:pt>
                <c:pt idx="2230" formatCode="0">
                  <c:v>27313.694918301986</c:v>
                </c:pt>
                <c:pt idx="2231" formatCode="0">
                  <c:v>27157.337194573818</c:v>
                </c:pt>
                <c:pt idx="2232" formatCode="0">
                  <c:v>25546.960927064109</c:v>
                </c:pt>
                <c:pt idx="2233" formatCode="0">
                  <c:v>25450.364553469604</c:v>
                </c:pt>
                <c:pt idx="2234" formatCode="0">
                  <c:v>29306.985827866643</c:v>
                </c:pt>
                <c:pt idx="2235" formatCode="0">
                  <c:v>28351.477685020509</c:v>
                </c:pt>
                <c:pt idx="2236" formatCode="0">
                  <c:v>27539.119728754507</c:v>
                </c:pt>
                <c:pt idx="2237" formatCode="0">
                  <c:v>27081.740978474074</c:v>
                </c:pt>
                <c:pt idx="2238" formatCode="0">
                  <c:v>28515.032463859912</c:v>
                </c:pt>
                <c:pt idx="2239" formatCode="0">
                  <c:v>30252.276258501937</c:v>
                </c:pt>
                <c:pt idx="2240" formatCode="0">
                  <c:v>28044.352215687773</c:v>
                </c:pt>
                <c:pt idx="2241" formatCode="0">
                  <c:v>28169.049852342599</c:v>
                </c:pt>
                <c:pt idx="2242" formatCode="0">
                  <c:v>28388.253044541892</c:v>
                </c:pt>
                <c:pt idx="2243" formatCode="0">
                  <c:v>28235.154061869103</c:v>
                </c:pt>
                <c:pt idx="2244" formatCode="0">
                  <c:v>26628.02454023109</c:v>
                </c:pt>
                <c:pt idx="2245" formatCode="0">
                  <c:v>26534.662943240099</c:v>
                </c:pt>
                <c:pt idx="2246" formatCode="0">
                  <c:v>30394.507052510387</c:v>
                </c:pt>
                <c:pt idx="2247" formatCode="0">
                  <c:v>29442.209831916643</c:v>
                </c:pt>
                <c:pt idx="2248" formatCode="0">
                  <c:v>28633.050915912863</c:v>
                </c:pt>
                <c:pt idx="2249" formatCode="0">
                  <c:v>28178.859356007106</c:v>
                </c:pt>
                <c:pt idx="2250" formatCode="0">
                  <c:v>29615.326215406065</c:v>
                </c:pt>
                <c:pt idx="2251" formatCode="0">
                  <c:v>31355.733602601256</c:v>
                </c:pt>
                <c:pt idx="2252" formatCode="0">
                  <c:v>29146.191717397316</c:v>
                </c:pt>
                <c:pt idx="2253" formatCode="0">
                  <c:v>29274.055077695499</c:v>
                </c:pt>
                <c:pt idx="2254" formatCode="0">
                  <c:v>29496.412467171016</c:v>
                </c:pt>
                <c:pt idx="2255" formatCode="0">
                  <c:v>29346.456188252359</c:v>
                </c:pt>
                <c:pt idx="2256" formatCode="0">
                  <c:v>27742.457910959165</c:v>
                </c:pt>
                <c:pt idx="2257" formatCode="0">
                  <c:v>27652.216134241295</c:v>
                </c:pt>
                <c:pt idx="2258" formatCode="0">
                  <c:v>31515.168676233228</c:v>
                </c:pt>
                <c:pt idx="2259" formatCode="0">
                  <c:v>30565.968538471068</c:v>
                </c:pt>
                <c:pt idx="2260" formatCode="0">
                  <c:v>29759.89539417066</c:v>
                </c:pt>
                <c:pt idx="2261" formatCode="0">
                  <c:v>29308.778334662402</c:v>
                </c:pt>
                <c:pt idx="2262" formatCode="0">
                  <c:v>30748.308463996545</c:v>
                </c:pt>
                <c:pt idx="2263" formatCode="0">
                  <c:v>32491.767932490897</c:v>
                </c:pt>
                <c:pt idx="2264" formatCode="0">
                  <c:v>30280.656159749567</c:v>
                </c:pt>
                <c:pt idx="2265" formatCode="0">
                  <c:v>30411.575342596036</c:v>
                </c:pt>
                <c:pt idx="2266" formatCode="0">
                  <c:v>30636.977584844994</c:v>
                </c:pt>
                <c:pt idx="2267" formatCode="0">
                  <c:v>30490.055228470505</c:v>
                </c:pt>
                <c:pt idx="2268" formatCode="0">
                  <c:v>28889.079983946798</c:v>
                </c:pt>
                <c:pt idx="2269" formatCode="0">
                  <c:v>28801.850391552616</c:v>
                </c:pt>
                <c:pt idx="2270" formatCode="0">
                  <c:v>32667.804311591746</c:v>
                </c:pt>
                <c:pt idx="2271" formatCode="0">
                  <c:v>31721.594788576662</c:v>
                </c:pt>
                <c:pt idx="2272" formatCode="0">
                  <c:v>30918.501539474026</c:v>
                </c:pt>
                <c:pt idx="2273" formatCode="0">
                  <c:v>30470.353700107516</c:v>
                </c:pt>
                <c:pt idx="2274" formatCode="0">
                  <c:v>31912.842419731802</c:v>
                </c:pt>
                <c:pt idx="2275" formatCode="0">
                  <c:v>33659.249894549568</c:v>
                </c:pt>
                <c:pt idx="2276" formatCode="0">
                  <c:v>31446.629766475071</c:v>
                </c:pt>
                <c:pt idx="2277" formatCode="0">
                  <c:v>31580.501909537925</c:v>
                </c:pt>
                <c:pt idx="2278" formatCode="0">
                  <c:v>31808.846714402505</c:v>
                </c:pt>
                <c:pt idx="2279" formatCode="0">
                  <c:v>31664.856566592851</c:v>
                </c:pt>
                <c:pt idx="2280" formatCode="0">
                  <c:v>30066.803220764967</c:v>
                </c:pt>
                <c:pt idx="2281" formatCode="0">
                  <c:v>29982.485261983675</c:v>
                </c:pt>
                <c:pt idx="2282" formatCode="0">
                  <c:v>33851.340595915972</c:v>
                </c:pt>
                <c:pt idx="2283" formatCode="0">
                  <c:v>32908.022312988222</c:v>
                </c:pt>
                <c:pt idx="2284" formatCode="0">
                  <c:v>32107.810176605832</c:v>
                </c:pt>
                <c:pt idx="2285" formatCode="0">
                  <c:v>31662.533369530629</c:v>
                </c:pt>
                <c:pt idx="2286" formatCode="0">
                  <c:v>33107.883088430121</c:v>
                </c:pt>
                <c:pt idx="2287" formatCode="0">
                  <c:v>34857.141577370276</c:v>
                </c:pt>
                <c:pt idx="2288" formatCode="0">
                  <c:v>32643.083857434864</c:v>
                </c:pt>
                <c:pt idx="2289" formatCode="0">
                  <c:v>32779.812857657191</c:v>
                </c:pt>
                <c:pt idx="2290" formatCode="0">
                  <c:v>33011.004692274313</c:v>
                </c:pt>
                <c:pt idx="2291" formatCode="0">
                  <c:v>32869.851792392212</c:v>
                </c:pt>
                <c:pt idx="2292" formatCode="0">
                  <c:v>31274.625958668963</c:v>
                </c:pt>
                <c:pt idx="2293" formatCode="0">
                  <c:v>31193.125822569713</c:v>
                </c:pt>
                <c:pt idx="2294" formatCode="0">
                  <c:v>35064.789336538677</c:v>
                </c:pt>
                <c:pt idx="2295" formatCode="0">
                  <c:v>34124.26963813552</c:v>
                </c:pt>
                <c:pt idx="2296" formatCode="0">
                  <c:v>33326.846538234488</c:v>
                </c:pt>
                <c:pt idx="2297" formatCode="0">
                  <c:v>32884.349267382036</c:v>
                </c:pt>
                <c:pt idx="2298" formatCode="0">
                  <c:v>34332.469070326544</c:v>
                </c:pt>
                <c:pt idx="2299" formatCode="0">
                  <c:v>36084.48823949213</c:v>
                </c:pt>
                <c:pt idx="2300" formatCode="0">
                  <c:v>33869.069585685771</c:v>
                </c:pt>
                <c:pt idx="2301" formatCode="0">
                  <c:v>34008.565737771023</c:v>
                </c:pt>
                <c:pt idx="2302" formatCode="0">
                  <c:v>34242.515453297492</c:v>
                </c:pt>
                <c:pt idx="2303" formatCode="0">
                  <c:v>34104.11120956597</c:v>
                </c:pt>
                <c:pt idx="2304" formatCode="0">
                  <c:v>32511.624853689369</c:v>
                </c:pt>
                <c:pt idx="2305" formatCode="0">
                  <c:v>32432.855063830488</c:v>
                </c:pt>
                <c:pt idx="2306" formatCode="0">
                  <c:v>36307.239839357324</c:v>
                </c:pt>
                <c:pt idx="2307" formatCode="0">
                  <c:v>35369.432364963017</c:v>
                </c:pt>
                <c:pt idx="2308" formatCode="0">
                  <c:v>34574.712498849163</c:v>
                </c:pt>
                <c:pt idx="2309" formatCode="0">
                  <c:v>34134.909519067776</c:v>
                </c:pt>
                <c:pt idx="2310" formatCode="0">
                  <c:v>35585.714718035946</c:v>
                </c:pt>
                <c:pt idx="2311" formatCode="0">
                  <c:v>37340.410435994803</c:v>
                </c:pt>
                <c:pt idx="2312" formatCode="0">
                  <c:v>35123.710862533357</c:v>
                </c:pt>
                <c:pt idx="2313" formatCode="0">
                  <c:v>35265.890455740519</c:v>
                </c:pt>
                <c:pt idx="2314" formatCode="0">
                  <c:v>35502.514876602312</c:v>
                </c:pt>
                <c:pt idx="2315" formatCode="0">
                  <c:v>35366.776648226172</c:v>
                </c:pt>
                <c:pt idx="2316" formatCode="0">
                  <c:v>33776.947663671846</c:v>
                </c:pt>
                <c:pt idx="2317" formatCode="0">
                  <c:v>33700.826647175796</c:v>
                </c:pt>
                <c:pt idx="2318" formatCode="0">
                  <c:v>37577.851644293449</c:v>
                </c:pt>
                <c:pt idx="2319" formatCode="0">
                  <c:v>36642.675886006451</c:v>
                </c:pt>
                <c:pt idx="2320" formatCode="0">
                  <c:v>35850.579276893579</c:v>
                </c:pt>
                <c:pt idx="2321" formatCode="0">
                  <c:v>35413.391141460692</c:v>
                </c:pt>
                <c:pt idx="2322" formatCode="0">
                  <c:v>36866.802818643591</c:v>
                </c:pt>
                <c:pt idx="2323" formatCode="0">
                  <c:v>38624.096695255626</c:v>
                </c:pt>
                <c:pt idx="2324" formatCode="0">
                  <c:v>36406.197661049664</c:v>
                </c:pt>
                <c:pt idx="2325" formatCode="0">
                  <c:v>36550.982561467419</c:v>
                </c:pt>
                <c:pt idx="2326" formatCode="0">
                  <c:v>36790.20406310774</c:v>
                </c:pt>
                <c:pt idx="2327" formatCode="0">
                  <c:v>36657.054733808167</c:v>
                </c:pt>
                <c:pt idx="2328" formatCode="0">
                  <c:v>35069.806511410192</c:v>
                </c:pt>
                <c:pt idx="2329" formatCode="0">
                  <c:v>34996.258164973275</c:v>
                </c:pt>
                <c:pt idx="2330" formatCode="0">
                  <c:v>38875.847784907019</c:v>
                </c:pt>
                <c:pt idx="2331" formatCode="0">
                  <c:v>37943.228647068594</c:v>
                </c:pt>
                <c:pt idx="2332" formatCode="0">
                  <c:v>37153.68070092408</c:v>
                </c:pt>
                <c:pt idx="2333" formatCode="0">
                  <c:v>36719.033315869172</c:v>
                </c:pt>
                <c:pt idx="2334" formatCode="0">
                  <c:v>38174.977875723009</c:v>
                </c:pt>
                <c:pt idx="2335" formatCode="0">
                  <c:v>39934.796812167013</c:v>
                </c:pt>
                <c:pt idx="2336" formatCode="0">
                  <c:v>37715.779798176984</c:v>
                </c:pt>
                <c:pt idx="2337" formatCode="0">
                  <c:v>37863.097034266946</c:v>
                </c:pt>
                <c:pt idx="2338" formatCode="0">
                  <c:v>38104.843126295891</c:v>
                </c:pt>
                <c:pt idx="2339" formatCode="0">
                  <c:v>37974.210685298356</c:v>
                </c:pt>
                <c:pt idx="2340" formatCode="0">
                  <c:v>36389.471692299907</c:v>
                </c:pt>
                <c:pt idx="2341" formatCode="0">
                  <c:v>36318.424959523152</c:v>
                </c:pt>
                <c:pt idx="2342" formatCode="0">
                  <c:v>40200.508620512192</c:v>
                </c:pt>
                <c:pt idx="2343" formatCode="0">
                  <c:v>39270.375994222479</c:v>
                </c:pt>
                <c:pt idx="2344" formatCode="0">
                  <c:v>38483.307073174903</c:v>
                </c:pt>
                <c:pt idx="2345" formatCode="0">
                  <c:v>38051.131269769314</c:v>
                </c:pt>
                <c:pt idx="2346" formatCode="0">
                  <c:v>39509.540010771525</c:v>
                </c:pt>
                <c:pt idx="2347" formatCode="0">
                  <c:v>41271.815770745488</c:v>
                </c:pt>
                <c:pt idx="2348" formatCode="0">
                  <c:v>39051.761236621154</c:v>
                </c:pt>
                <c:pt idx="2349" formatCode="0">
                  <c:v>39201.542599231208</c:v>
                </c:pt>
                <c:pt idx="2350" formatCode="0">
                  <c:v>39445.745524526537</c:v>
                </c:pt>
                <c:pt idx="2351" formatCode="0">
                  <c:v>39317.562664919082</c:v>
                </c:pt>
                <c:pt idx="2352" formatCode="0">
                  <c:v>37735.266042752693</c:v>
                </c:pt>
                <c:pt idx="2353" formatCode="0">
                  <c:v>37666.654511503068</c:v>
                </c:pt>
                <c:pt idx="2354" formatCode="0">
                  <c:v>41551.166245896195</c:v>
                </c:pt>
                <c:pt idx="2355" formatCode="0">
                  <c:v>40623.454605992592</c:v>
                </c:pt>
                <c:pt idx="2356" formatCode="0">
                  <c:v>39838.799625335741</c:v>
                </c:pt>
                <c:pt idx="2357" formatCode="0">
                  <c:v>39409.030757260305</c:v>
                </c:pt>
                <c:pt idx="2358" formatCode="0">
                  <c:v>40869.839469373852</c:v>
                </c:pt>
                <c:pt idx="2359" formatCode="0">
                  <c:v>42634.508276984052</c:v>
                </c:pt>
                <c:pt idx="2360" formatCode="0">
                  <c:v>40413.494910509136</c:v>
                </c:pt>
                <c:pt idx="2361" formatCode="0">
                  <c:v>40565.676573993405</c:v>
                </c:pt>
                <c:pt idx="2362" formatCode="0">
                  <c:v>40812.272929914645</c:v>
                </c:pt>
                <c:pt idx="2363" formatCode="0">
                  <c:v>40686.476670079821</c:v>
                </c:pt>
                <c:pt idx="2364" formatCode="0">
                  <c:v>39106.55985613641</c:v>
                </c:pt>
                <c:pt idx="2365" formatCode="0">
                  <c:v>39040.321380767724</c:v>
                </c:pt>
              </c:numCache>
            </c:numRef>
          </c:val>
          <c:smooth val="0"/>
          <c:extLst>
            <c:ext xmlns:c16="http://schemas.microsoft.com/office/drawing/2014/chart" uri="{C3380CC4-5D6E-409C-BE32-E72D297353CC}">
              <c16:uniqueId val="{00000003-EF04-4EF9-AB9C-83D2C24F01C8}"/>
            </c:ext>
          </c:extLst>
        </c:ser>
        <c:dLbls>
          <c:showLegendKey val="0"/>
          <c:showVal val="0"/>
          <c:showCatName val="0"/>
          <c:showSerName val="0"/>
          <c:showPercent val="0"/>
          <c:showBubbleSize val="0"/>
        </c:dLbls>
        <c:smooth val="0"/>
        <c:axId val="1607077231"/>
        <c:axId val="1607094511"/>
      </c:lineChart>
      <c:catAx>
        <c:axId val="1607077231"/>
        <c:scaling>
          <c:orientation val="minMax"/>
        </c:scaling>
        <c:delete val="0"/>
        <c:axPos val="b"/>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7094511"/>
        <c:crosses val="autoZero"/>
        <c:auto val="1"/>
        <c:lblAlgn val="ctr"/>
        <c:lblOffset val="100"/>
        <c:noMultiLvlLbl val="0"/>
      </c:catAx>
      <c:valAx>
        <c:axId val="16070945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7077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[AI_Sales_Insight_Dashboard.xlsx]Pivot_Analysis!PivotTable1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Pivot_Analysis!$A$3:$A$75</c:f>
              <c:multiLvlStrCache>
                <c:ptCount val="6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lvl>
                <c:lvl>
                  <c:pt idx="0">
                    <c:v>2020</c:v>
                  </c:pt>
                  <c:pt idx="12">
                    <c:v>2021</c:v>
                  </c:pt>
                  <c:pt idx="24">
                    <c:v>2022</c:v>
                  </c:pt>
                  <c:pt idx="36">
                    <c:v>2023</c:v>
                  </c:pt>
                  <c:pt idx="48">
                    <c:v>2024</c:v>
                  </c:pt>
                  <c:pt idx="60">
                    <c:v>2025</c:v>
                  </c:pt>
                </c:lvl>
              </c:multiLvlStrCache>
            </c:multiLvlStrRef>
          </c:cat>
          <c:val>
            <c:numRef>
              <c:f>Pivot_Analysis!$B$3:$B$75</c:f>
              <c:numCache>
                <c:formatCode>"₹"\ #,##0</c:formatCode>
                <c:ptCount val="67"/>
                <c:pt idx="0">
                  <c:v>191600</c:v>
                </c:pt>
                <c:pt idx="1">
                  <c:v>266700</c:v>
                </c:pt>
                <c:pt idx="2">
                  <c:v>304600</c:v>
                </c:pt>
                <c:pt idx="3">
                  <c:v>300000</c:v>
                </c:pt>
                <c:pt idx="4">
                  <c:v>295000</c:v>
                </c:pt>
                <c:pt idx="5">
                  <c:v>265800</c:v>
                </c:pt>
                <c:pt idx="6">
                  <c:v>318800</c:v>
                </c:pt>
                <c:pt idx="7">
                  <c:v>307500</c:v>
                </c:pt>
                <c:pt idx="8">
                  <c:v>281400</c:v>
                </c:pt>
                <c:pt idx="9">
                  <c:v>263700</c:v>
                </c:pt>
                <c:pt idx="10">
                  <c:v>295500</c:v>
                </c:pt>
                <c:pt idx="11">
                  <c:v>264000</c:v>
                </c:pt>
                <c:pt idx="12">
                  <c:v>319900</c:v>
                </c:pt>
                <c:pt idx="13">
                  <c:v>285700</c:v>
                </c:pt>
                <c:pt idx="14">
                  <c:v>308400</c:v>
                </c:pt>
                <c:pt idx="15">
                  <c:v>260000</c:v>
                </c:pt>
                <c:pt idx="16">
                  <c:v>305500</c:v>
                </c:pt>
                <c:pt idx="17">
                  <c:v>294600</c:v>
                </c:pt>
                <c:pt idx="18">
                  <c:v>328100</c:v>
                </c:pt>
                <c:pt idx="19">
                  <c:v>303600</c:v>
                </c:pt>
                <c:pt idx="20">
                  <c:v>286000</c:v>
                </c:pt>
                <c:pt idx="21">
                  <c:v>300100</c:v>
                </c:pt>
                <c:pt idx="22">
                  <c:v>296900</c:v>
                </c:pt>
                <c:pt idx="23">
                  <c:v>277500</c:v>
                </c:pt>
                <c:pt idx="24">
                  <c:v>283000</c:v>
                </c:pt>
                <c:pt idx="25">
                  <c:v>253700</c:v>
                </c:pt>
                <c:pt idx="26">
                  <c:v>285900</c:v>
                </c:pt>
                <c:pt idx="27">
                  <c:v>282900</c:v>
                </c:pt>
                <c:pt idx="28">
                  <c:v>274800</c:v>
                </c:pt>
                <c:pt idx="29">
                  <c:v>289700</c:v>
                </c:pt>
                <c:pt idx="30">
                  <c:v>290100</c:v>
                </c:pt>
                <c:pt idx="31">
                  <c:v>302700</c:v>
                </c:pt>
                <c:pt idx="32">
                  <c:v>304900</c:v>
                </c:pt>
                <c:pt idx="33">
                  <c:v>286100</c:v>
                </c:pt>
                <c:pt idx="34">
                  <c:v>279700</c:v>
                </c:pt>
                <c:pt idx="35">
                  <c:v>298700</c:v>
                </c:pt>
                <c:pt idx="36">
                  <c:v>313400</c:v>
                </c:pt>
                <c:pt idx="37">
                  <c:v>286400</c:v>
                </c:pt>
                <c:pt idx="38">
                  <c:v>295800</c:v>
                </c:pt>
                <c:pt idx="39">
                  <c:v>291600</c:v>
                </c:pt>
                <c:pt idx="40">
                  <c:v>261200</c:v>
                </c:pt>
                <c:pt idx="41">
                  <c:v>272100</c:v>
                </c:pt>
                <c:pt idx="42">
                  <c:v>292900</c:v>
                </c:pt>
                <c:pt idx="43">
                  <c:v>322200</c:v>
                </c:pt>
                <c:pt idx="44">
                  <c:v>282000</c:v>
                </c:pt>
                <c:pt idx="45">
                  <c:v>295700</c:v>
                </c:pt>
                <c:pt idx="46">
                  <c:v>284600</c:v>
                </c:pt>
                <c:pt idx="47">
                  <c:v>297100</c:v>
                </c:pt>
                <c:pt idx="48">
                  <c:v>280300</c:v>
                </c:pt>
                <c:pt idx="49">
                  <c:v>274600</c:v>
                </c:pt>
                <c:pt idx="50">
                  <c:v>309200</c:v>
                </c:pt>
                <c:pt idx="51">
                  <c:v>289100</c:v>
                </c:pt>
                <c:pt idx="52">
                  <c:v>305100</c:v>
                </c:pt>
                <c:pt idx="53">
                  <c:v>290500</c:v>
                </c:pt>
                <c:pt idx="54">
                  <c:v>295600</c:v>
                </c:pt>
                <c:pt idx="55">
                  <c:v>298500</c:v>
                </c:pt>
                <c:pt idx="56">
                  <c:v>303800</c:v>
                </c:pt>
                <c:pt idx="57">
                  <c:v>269300</c:v>
                </c:pt>
                <c:pt idx="58">
                  <c:v>272700</c:v>
                </c:pt>
                <c:pt idx="59">
                  <c:v>301900</c:v>
                </c:pt>
                <c:pt idx="60">
                  <c:v>309400</c:v>
                </c:pt>
                <c:pt idx="61">
                  <c:v>276000</c:v>
                </c:pt>
                <c:pt idx="62">
                  <c:v>277700</c:v>
                </c:pt>
                <c:pt idx="63">
                  <c:v>271300</c:v>
                </c:pt>
                <c:pt idx="64">
                  <c:v>285300</c:v>
                </c:pt>
                <c:pt idx="65">
                  <c:v>287000</c:v>
                </c:pt>
                <c:pt idx="66">
                  <c:v>28200</c:v>
                </c:pt>
              </c:numCache>
            </c:numRef>
          </c:val>
          <c:smooth val="0"/>
          <c:extLst>
            <c:ext xmlns:c16="http://schemas.microsoft.com/office/drawing/2014/chart" uri="{C3380CC4-5D6E-409C-BE32-E72D297353CC}">
              <c16:uniqueId val="{00000000-5830-4BAE-8371-147653264004}"/>
            </c:ext>
          </c:extLst>
        </c:ser>
        <c:dLbls>
          <c:showLegendKey val="0"/>
          <c:showVal val="0"/>
          <c:showCatName val="0"/>
          <c:showSerName val="0"/>
          <c:showPercent val="0"/>
          <c:showBubbleSize val="0"/>
        </c:dLbls>
        <c:marker val="1"/>
        <c:smooth val="0"/>
        <c:axId val="873767023"/>
        <c:axId val="873753583"/>
      </c:lineChart>
      <c:catAx>
        <c:axId val="8737670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3753583"/>
        <c:crosses val="autoZero"/>
        <c:auto val="1"/>
        <c:lblAlgn val="ctr"/>
        <c:lblOffset val="100"/>
        <c:noMultiLvlLbl val="0"/>
      </c:catAx>
      <c:valAx>
        <c:axId val="873753583"/>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3767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[AI_Sales_Insight_Dashboard.xlsx]Pivot_Analysis!PivotTable2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Regional Sales and Profit Comparison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Pivot_Analysis!$E$2</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Pivot_Analysis!$D$3:$D$6</c:f>
              <c:strCache>
                <c:ptCount val="4"/>
                <c:pt idx="0">
                  <c:v>East</c:v>
                </c:pt>
                <c:pt idx="1">
                  <c:v>North</c:v>
                </c:pt>
                <c:pt idx="2">
                  <c:v>South</c:v>
                </c:pt>
                <c:pt idx="3">
                  <c:v>West</c:v>
                </c:pt>
              </c:strCache>
            </c:strRef>
          </c:cat>
          <c:val>
            <c:numRef>
              <c:f>Pivot_Analysis!$E$3:$E$6</c:f>
              <c:numCache>
                <c:formatCode>"₹"\ #,##0</c:formatCode>
                <c:ptCount val="4"/>
                <c:pt idx="0">
                  <c:v>4834800</c:v>
                </c:pt>
                <c:pt idx="1">
                  <c:v>4713200</c:v>
                </c:pt>
                <c:pt idx="2">
                  <c:v>4778000</c:v>
                </c:pt>
                <c:pt idx="3">
                  <c:v>4747600</c:v>
                </c:pt>
              </c:numCache>
            </c:numRef>
          </c:val>
          <c:extLst>
            <c:ext xmlns:c16="http://schemas.microsoft.com/office/drawing/2014/chart" uri="{C3380CC4-5D6E-409C-BE32-E72D297353CC}">
              <c16:uniqueId val="{00000000-A8CB-4DD2-94E8-EA4D56EEFA4F}"/>
            </c:ext>
          </c:extLst>
        </c:ser>
        <c:ser>
          <c:idx val="1"/>
          <c:order val="1"/>
          <c:tx>
            <c:strRef>
              <c:f>Pivot_Analysis!$F$2</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Pivot_Analysis!$D$3:$D$6</c:f>
              <c:strCache>
                <c:ptCount val="4"/>
                <c:pt idx="0">
                  <c:v>East</c:v>
                </c:pt>
                <c:pt idx="1">
                  <c:v>North</c:v>
                </c:pt>
                <c:pt idx="2">
                  <c:v>South</c:v>
                </c:pt>
                <c:pt idx="3">
                  <c:v>West</c:v>
                </c:pt>
              </c:strCache>
            </c:strRef>
          </c:cat>
          <c:val>
            <c:numRef>
              <c:f>Pivot_Analysis!$F$3:$F$6</c:f>
              <c:numCache>
                <c:formatCode>"₹"\ #,##0</c:formatCode>
                <c:ptCount val="4"/>
                <c:pt idx="0">
                  <c:v>4108925</c:v>
                </c:pt>
                <c:pt idx="1">
                  <c:v>4008795</c:v>
                </c:pt>
                <c:pt idx="2">
                  <c:v>4052705</c:v>
                </c:pt>
                <c:pt idx="3">
                  <c:v>4038670</c:v>
                </c:pt>
              </c:numCache>
            </c:numRef>
          </c:val>
          <c:extLst>
            <c:ext xmlns:c16="http://schemas.microsoft.com/office/drawing/2014/chart" uri="{C3380CC4-5D6E-409C-BE32-E72D297353CC}">
              <c16:uniqueId val="{00000001-A8CB-4DD2-94E8-EA4D56EEFA4F}"/>
            </c:ext>
          </c:extLst>
        </c:ser>
        <c:dLbls>
          <c:showLegendKey val="0"/>
          <c:showVal val="0"/>
          <c:showCatName val="0"/>
          <c:showSerName val="0"/>
          <c:showPercent val="0"/>
          <c:showBubbleSize val="0"/>
        </c:dLbls>
        <c:gapWidth val="100"/>
        <c:overlap val="-24"/>
        <c:axId val="844499007"/>
        <c:axId val="844494207"/>
      </c:barChart>
      <c:catAx>
        <c:axId val="8444990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4494207"/>
        <c:crosses val="autoZero"/>
        <c:auto val="1"/>
        <c:lblAlgn val="ctr"/>
        <c:lblOffset val="100"/>
        <c:noMultiLvlLbl val="0"/>
      </c:catAx>
      <c:valAx>
        <c:axId val="844494207"/>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4499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[AI_Sales_Insight_Dashboard.xlsx]Pivot_Analysis!PivotTable3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Sales and Profitability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Pivot_Analysis!$I$2</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Pivot_Analysis!$H$3:$H$5</c:f>
              <c:strCache>
                <c:ptCount val="3"/>
                <c:pt idx="0">
                  <c:v>Electronics</c:v>
                </c:pt>
                <c:pt idx="1">
                  <c:v>Furniture</c:v>
                </c:pt>
                <c:pt idx="2">
                  <c:v>Office Supplies</c:v>
                </c:pt>
              </c:strCache>
            </c:strRef>
          </c:cat>
          <c:val>
            <c:numRef>
              <c:f>Pivot_Analysis!$I$3:$I$5</c:f>
              <c:numCache>
                <c:formatCode>"₹"\ #,##0</c:formatCode>
                <c:ptCount val="3"/>
                <c:pt idx="0">
                  <c:v>6436500</c:v>
                </c:pt>
                <c:pt idx="1">
                  <c:v>6384400</c:v>
                </c:pt>
                <c:pt idx="2">
                  <c:v>6252700</c:v>
                </c:pt>
              </c:numCache>
            </c:numRef>
          </c:val>
          <c:extLst>
            <c:ext xmlns:c16="http://schemas.microsoft.com/office/drawing/2014/chart" uri="{C3380CC4-5D6E-409C-BE32-E72D297353CC}">
              <c16:uniqueId val="{00000000-03A1-4648-8C00-1FF8879D29D9}"/>
            </c:ext>
          </c:extLst>
        </c:ser>
        <c:dLbls>
          <c:showLegendKey val="0"/>
          <c:showVal val="0"/>
          <c:showCatName val="0"/>
          <c:showSerName val="0"/>
          <c:showPercent val="0"/>
          <c:showBubbleSize val="0"/>
        </c:dLbls>
        <c:gapWidth val="247"/>
        <c:overlap val="-27"/>
        <c:axId val="1607118991"/>
        <c:axId val="1607123791"/>
      </c:barChart>
      <c:lineChart>
        <c:grouping val="standard"/>
        <c:varyColors val="0"/>
        <c:ser>
          <c:idx val="1"/>
          <c:order val="1"/>
          <c:tx>
            <c:strRef>
              <c:f>Pivot_Analysis!$J$2</c:f>
              <c:strCache>
                <c:ptCount val="1"/>
                <c:pt idx="0">
                  <c:v>Profit_Margin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Pivot_Analysis!$H$3:$H$5</c:f>
              <c:strCache>
                <c:ptCount val="3"/>
                <c:pt idx="0">
                  <c:v>Electronics</c:v>
                </c:pt>
                <c:pt idx="1">
                  <c:v>Furniture</c:v>
                </c:pt>
                <c:pt idx="2">
                  <c:v>Office Supplies</c:v>
                </c:pt>
              </c:strCache>
            </c:strRef>
          </c:cat>
          <c:val>
            <c:numRef>
              <c:f>Pivot_Analysis!$J$3:$J$5</c:f>
              <c:numCache>
                <c:formatCode>0%</c:formatCode>
                <c:ptCount val="3"/>
                <c:pt idx="0">
                  <c:v>0.84999999999999987</c:v>
                </c:pt>
                <c:pt idx="1">
                  <c:v>0.84999999999999987</c:v>
                </c:pt>
                <c:pt idx="2">
                  <c:v>0.84999999999999987</c:v>
                </c:pt>
              </c:numCache>
            </c:numRef>
          </c:val>
          <c:smooth val="0"/>
          <c:extLst>
            <c:ext xmlns:c16="http://schemas.microsoft.com/office/drawing/2014/chart" uri="{C3380CC4-5D6E-409C-BE32-E72D297353CC}">
              <c16:uniqueId val="{00000001-03A1-4648-8C00-1FF8879D29D9}"/>
            </c:ext>
          </c:extLst>
        </c:ser>
        <c:dLbls>
          <c:showLegendKey val="0"/>
          <c:showVal val="0"/>
          <c:showCatName val="0"/>
          <c:showSerName val="0"/>
          <c:showPercent val="0"/>
          <c:showBubbleSize val="0"/>
        </c:dLbls>
        <c:marker val="1"/>
        <c:smooth val="0"/>
        <c:axId val="1607124751"/>
        <c:axId val="1607117071"/>
      </c:lineChart>
      <c:catAx>
        <c:axId val="16071189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7123791"/>
        <c:crosses val="autoZero"/>
        <c:auto val="1"/>
        <c:lblAlgn val="ctr"/>
        <c:lblOffset val="100"/>
        <c:noMultiLvlLbl val="0"/>
      </c:catAx>
      <c:valAx>
        <c:axId val="160712379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7118991"/>
        <c:crosses val="autoZero"/>
        <c:crossBetween val="between"/>
      </c:valAx>
      <c:valAx>
        <c:axId val="1607117071"/>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7124751"/>
        <c:crosses val="max"/>
        <c:crossBetween val="between"/>
      </c:valAx>
      <c:catAx>
        <c:axId val="1607124751"/>
        <c:scaling>
          <c:orientation val="minMax"/>
        </c:scaling>
        <c:delete val="1"/>
        <c:axPos val="b"/>
        <c:numFmt formatCode="General" sourceLinked="1"/>
        <c:majorTickMark val="none"/>
        <c:minorTickMark val="none"/>
        <c:tickLblPos val="nextTo"/>
        <c:crossAx val="160711707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[AI_Sales_Insight_Dashboard.xlsx]Pivot_Analysis!PivotTable4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Customer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Pivot_Analysis!$M$2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7C9-46CF-B4E5-E89D902A2F6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7C9-46CF-B4E5-E89D902A2F6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7C9-46CF-B4E5-E89D902A2F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Pivot_Analysis!$L$3:$L$5</c:f>
              <c:strCache>
                <c:ptCount val="3"/>
                <c:pt idx="0">
                  <c:v>Consumer</c:v>
                </c:pt>
                <c:pt idx="1">
                  <c:v>Corporate</c:v>
                </c:pt>
                <c:pt idx="2">
                  <c:v>Home Office</c:v>
                </c:pt>
              </c:strCache>
            </c:strRef>
          </c:cat>
          <c:val>
            <c:numRef>
              <c:f>Pivot_Analysis!$M$3:$M$5</c:f>
              <c:numCache>
                <c:formatCode>"₹"\ #,##0</c:formatCode>
                <c:ptCount val="3"/>
                <c:pt idx="0">
                  <c:v>6436500</c:v>
                </c:pt>
                <c:pt idx="1">
                  <c:v>6384400</c:v>
                </c:pt>
                <c:pt idx="2">
                  <c:v>6252700</c:v>
                </c:pt>
              </c:numCache>
            </c:numRef>
          </c:val>
          <c:extLst>
            <c:ext xmlns:c16="http://schemas.microsoft.com/office/drawing/2014/chart" uri="{C3380CC4-5D6E-409C-BE32-E72D297353CC}">
              <c16:uniqueId val="{00000000-4BAC-4F88-AB2A-5989EA8108C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AI_Forecast!$B$1</c:f>
              <c:strCache>
                <c:ptCount val="1"/>
                <c:pt idx="0">
                  <c:v>Forecast_Sales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AI_Forecast!$B$2:$B$2367</c:f>
              <c:numCache>
                <c:formatCode>0</c:formatCode>
                <c:ptCount val="2366"/>
                <c:pt idx="0">
                  <c:v>4000</c:v>
                </c:pt>
                <c:pt idx="1">
                  <c:v>6400</c:v>
                </c:pt>
                <c:pt idx="2">
                  <c:v>13900</c:v>
                </c:pt>
                <c:pt idx="3">
                  <c:v>9500</c:v>
                </c:pt>
                <c:pt idx="4">
                  <c:v>5500</c:v>
                </c:pt>
                <c:pt idx="5">
                  <c:v>9300</c:v>
                </c:pt>
                <c:pt idx="6">
                  <c:v>13500</c:v>
                </c:pt>
                <c:pt idx="7">
                  <c:v>12400</c:v>
                </c:pt>
                <c:pt idx="8">
                  <c:v>9400</c:v>
                </c:pt>
                <c:pt idx="9">
                  <c:v>5400</c:v>
                </c:pt>
                <c:pt idx="10">
                  <c:v>6200</c:v>
                </c:pt>
                <c:pt idx="11">
                  <c:v>14500</c:v>
                </c:pt>
                <c:pt idx="12">
                  <c:v>14300</c:v>
                </c:pt>
                <c:pt idx="13">
                  <c:v>13500</c:v>
                </c:pt>
                <c:pt idx="14">
                  <c:v>12500</c:v>
                </c:pt>
                <c:pt idx="15">
                  <c:v>5500</c:v>
                </c:pt>
                <c:pt idx="16">
                  <c:v>12500</c:v>
                </c:pt>
                <c:pt idx="17">
                  <c:v>4900</c:v>
                </c:pt>
                <c:pt idx="18">
                  <c:v>12700</c:v>
                </c:pt>
                <c:pt idx="19">
                  <c:v>5700</c:v>
                </c:pt>
                <c:pt idx="20">
                  <c:v>4100</c:v>
                </c:pt>
                <c:pt idx="21">
                  <c:v>9400</c:v>
                </c:pt>
                <c:pt idx="22">
                  <c:v>14400</c:v>
                </c:pt>
                <c:pt idx="23">
                  <c:v>5300</c:v>
                </c:pt>
                <c:pt idx="24">
                  <c:v>4000</c:v>
                </c:pt>
                <c:pt idx="25">
                  <c:v>12800</c:v>
                </c:pt>
                <c:pt idx="26">
                  <c:v>10400</c:v>
                </c:pt>
                <c:pt idx="27">
                  <c:v>13200</c:v>
                </c:pt>
                <c:pt idx="28">
                  <c:v>10000</c:v>
                </c:pt>
                <c:pt idx="29">
                  <c:v>13400</c:v>
                </c:pt>
                <c:pt idx="30">
                  <c:v>7900</c:v>
                </c:pt>
                <c:pt idx="31">
                  <c:v>8900</c:v>
                </c:pt>
                <c:pt idx="32">
                  <c:v>7100</c:v>
                </c:pt>
                <c:pt idx="33">
                  <c:v>4700</c:v>
                </c:pt>
                <c:pt idx="34">
                  <c:v>5100</c:v>
                </c:pt>
                <c:pt idx="35">
                  <c:v>14900</c:v>
                </c:pt>
                <c:pt idx="36">
                  <c:v>13300</c:v>
                </c:pt>
                <c:pt idx="37">
                  <c:v>4600</c:v>
                </c:pt>
                <c:pt idx="38">
                  <c:v>5700</c:v>
                </c:pt>
                <c:pt idx="39">
                  <c:v>8200</c:v>
                </c:pt>
                <c:pt idx="40">
                  <c:v>8200</c:v>
                </c:pt>
                <c:pt idx="41">
                  <c:v>5900</c:v>
                </c:pt>
                <c:pt idx="42">
                  <c:v>14100</c:v>
                </c:pt>
                <c:pt idx="43">
                  <c:v>7400</c:v>
                </c:pt>
                <c:pt idx="44">
                  <c:v>15000</c:v>
                </c:pt>
                <c:pt idx="45">
                  <c:v>6800</c:v>
                </c:pt>
                <c:pt idx="46">
                  <c:v>7800</c:v>
                </c:pt>
                <c:pt idx="47">
                  <c:v>11600</c:v>
                </c:pt>
                <c:pt idx="48">
                  <c:v>12500</c:v>
                </c:pt>
                <c:pt idx="49">
                  <c:v>11700</c:v>
                </c:pt>
                <c:pt idx="50">
                  <c:v>10800</c:v>
                </c:pt>
                <c:pt idx="51">
                  <c:v>9100</c:v>
                </c:pt>
                <c:pt idx="52">
                  <c:v>7400</c:v>
                </c:pt>
                <c:pt idx="53">
                  <c:v>14800</c:v>
                </c:pt>
                <c:pt idx="54">
                  <c:v>9400</c:v>
                </c:pt>
                <c:pt idx="55">
                  <c:v>4100</c:v>
                </c:pt>
                <c:pt idx="56">
                  <c:v>14800</c:v>
                </c:pt>
                <c:pt idx="57">
                  <c:v>4200</c:v>
                </c:pt>
                <c:pt idx="58">
                  <c:v>14900</c:v>
                </c:pt>
                <c:pt idx="59">
                  <c:v>6700</c:v>
                </c:pt>
                <c:pt idx="60">
                  <c:v>8300</c:v>
                </c:pt>
                <c:pt idx="61">
                  <c:v>6500</c:v>
                </c:pt>
                <c:pt idx="62">
                  <c:v>6600</c:v>
                </c:pt>
                <c:pt idx="63">
                  <c:v>8700</c:v>
                </c:pt>
                <c:pt idx="64">
                  <c:v>14500</c:v>
                </c:pt>
                <c:pt idx="65">
                  <c:v>5300</c:v>
                </c:pt>
                <c:pt idx="66">
                  <c:v>11900</c:v>
                </c:pt>
                <c:pt idx="67">
                  <c:v>6600</c:v>
                </c:pt>
                <c:pt idx="68">
                  <c:v>9300</c:v>
                </c:pt>
                <c:pt idx="69">
                  <c:v>14900</c:v>
                </c:pt>
                <c:pt idx="70">
                  <c:v>14500</c:v>
                </c:pt>
                <c:pt idx="71">
                  <c:v>12500</c:v>
                </c:pt>
                <c:pt idx="72">
                  <c:v>14800</c:v>
                </c:pt>
                <c:pt idx="73">
                  <c:v>8400</c:v>
                </c:pt>
                <c:pt idx="74">
                  <c:v>11400</c:v>
                </c:pt>
                <c:pt idx="75">
                  <c:v>10700</c:v>
                </c:pt>
                <c:pt idx="76">
                  <c:v>4300</c:v>
                </c:pt>
                <c:pt idx="77">
                  <c:v>12700</c:v>
                </c:pt>
                <c:pt idx="78">
                  <c:v>4600</c:v>
                </c:pt>
                <c:pt idx="79">
                  <c:v>10200</c:v>
                </c:pt>
                <c:pt idx="80">
                  <c:v>12400</c:v>
                </c:pt>
                <c:pt idx="81">
                  <c:v>10200</c:v>
                </c:pt>
                <c:pt idx="82">
                  <c:v>12300</c:v>
                </c:pt>
                <c:pt idx="83">
                  <c:v>8100</c:v>
                </c:pt>
                <c:pt idx="84">
                  <c:v>13400</c:v>
                </c:pt>
                <c:pt idx="85">
                  <c:v>14900</c:v>
                </c:pt>
                <c:pt idx="86">
                  <c:v>10800</c:v>
                </c:pt>
                <c:pt idx="87">
                  <c:v>5100</c:v>
                </c:pt>
                <c:pt idx="88">
                  <c:v>6600</c:v>
                </c:pt>
                <c:pt idx="89">
                  <c:v>14000</c:v>
                </c:pt>
                <c:pt idx="90">
                  <c:v>9400</c:v>
                </c:pt>
                <c:pt idx="91">
                  <c:v>4800</c:v>
                </c:pt>
                <c:pt idx="92">
                  <c:v>14700</c:v>
                </c:pt>
                <c:pt idx="93">
                  <c:v>10200</c:v>
                </c:pt>
                <c:pt idx="94">
                  <c:v>11100</c:v>
                </c:pt>
                <c:pt idx="95">
                  <c:v>7400</c:v>
                </c:pt>
                <c:pt idx="96">
                  <c:v>7400</c:v>
                </c:pt>
                <c:pt idx="97">
                  <c:v>8000</c:v>
                </c:pt>
                <c:pt idx="98">
                  <c:v>7600</c:v>
                </c:pt>
                <c:pt idx="99">
                  <c:v>10800</c:v>
                </c:pt>
                <c:pt idx="100">
                  <c:v>13900</c:v>
                </c:pt>
                <c:pt idx="101">
                  <c:v>6600</c:v>
                </c:pt>
                <c:pt idx="102">
                  <c:v>9200</c:v>
                </c:pt>
                <c:pt idx="103">
                  <c:v>5100</c:v>
                </c:pt>
                <c:pt idx="104">
                  <c:v>11900</c:v>
                </c:pt>
                <c:pt idx="105">
                  <c:v>13000</c:v>
                </c:pt>
                <c:pt idx="106">
                  <c:v>10000</c:v>
                </c:pt>
                <c:pt idx="107">
                  <c:v>10400</c:v>
                </c:pt>
                <c:pt idx="108">
                  <c:v>8400</c:v>
                </c:pt>
                <c:pt idx="109">
                  <c:v>12300</c:v>
                </c:pt>
                <c:pt idx="110">
                  <c:v>10400</c:v>
                </c:pt>
                <c:pt idx="111">
                  <c:v>13500</c:v>
                </c:pt>
                <c:pt idx="112">
                  <c:v>10300</c:v>
                </c:pt>
                <c:pt idx="113">
                  <c:v>11700</c:v>
                </c:pt>
                <c:pt idx="114">
                  <c:v>10400</c:v>
                </c:pt>
                <c:pt idx="115">
                  <c:v>5400</c:v>
                </c:pt>
                <c:pt idx="116">
                  <c:v>4400</c:v>
                </c:pt>
                <c:pt idx="117">
                  <c:v>13700</c:v>
                </c:pt>
                <c:pt idx="118">
                  <c:v>8700</c:v>
                </c:pt>
                <c:pt idx="119">
                  <c:v>10500</c:v>
                </c:pt>
                <c:pt idx="120">
                  <c:v>11800</c:v>
                </c:pt>
                <c:pt idx="121">
                  <c:v>5500</c:v>
                </c:pt>
                <c:pt idx="122">
                  <c:v>14900</c:v>
                </c:pt>
                <c:pt idx="123">
                  <c:v>4800</c:v>
                </c:pt>
                <c:pt idx="124">
                  <c:v>14300</c:v>
                </c:pt>
                <c:pt idx="125">
                  <c:v>9700</c:v>
                </c:pt>
                <c:pt idx="126">
                  <c:v>5800</c:v>
                </c:pt>
                <c:pt idx="127">
                  <c:v>9400</c:v>
                </c:pt>
                <c:pt idx="128">
                  <c:v>5500</c:v>
                </c:pt>
                <c:pt idx="129">
                  <c:v>10900</c:v>
                </c:pt>
                <c:pt idx="130">
                  <c:v>11700</c:v>
                </c:pt>
                <c:pt idx="131">
                  <c:v>9500</c:v>
                </c:pt>
                <c:pt idx="132">
                  <c:v>9600</c:v>
                </c:pt>
                <c:pt idx="133">
                  <c:v>11600</c:v>
                </c:pt>
                <c:pt idx="134">
                  <c:v>5700</c:v>
                </c:pt>
                <c:pt idx="135">
                  <c:v>13200</c:v>
                </c:pt>
                <c:pt idx="136">
                  <c:v>9800</c:v>
                </c:pt>
                <c:pt idx="137">
                  <c:v>14600</c:v>
                </c:pt>
                <c:pt idx="138">
                  <c:v>4600</c:v>
                </c:pt>
                <c:pt idx="139">
                  <c:v>4000</c:v>
                </c:pt>
                <c:pt idx="140">
                  <c:v>9100</c:v>
                </c:pt>
                <c:pt idx="141">
                  <c:v>6300</c:v>
                </c:pt>
                <c:pt idx="142">
                  <c:v>10700</c:v>
                </c:pt>
                <c:pt idx="143">
                  <c:v>6500</c:v>
                </c:pt>
                <c:pt idx="144">
                  <c:v>5100</c:v>
                </c:pt>
                <c:pt idx="145">
                  <c:v>14700</c:v>
                </c:pt>
                <c:pt idx="146">
                  <c:v>9600</c:v>
                </c:pt>
                <c:pt idx="147">
                  <c:v>8900</c:v>
                </c:pt>
                <c:pt idx="148">
                  <c:v>5000</c:v>
                </c:pt>
                <c:pt idx="149">
                  <c:v>9200</c:v>
                </c:pt>
                <c:pt idx="150">
                  <c:v>4400</c:v>
                </c:pt>
                <c:pt idx="151">
                  <c:v>5700</c:v>
                </c:pt>
                <c:pt idx="152">
                  <c:v>8800</c:v>
                </c:pt>
                <c:pt idx="153">
                  <c:v>8300</c:v>
                </c:pt>
                <c:pt idx="154">
                  <c:v>6000</c:v>
                </c:pt>
                <c:pt idx="155">
                  <c:v>6800</c:v>
                </c:pt>
                <c:pt idx="156">
                  <c:v>12300</c:v>
                </c:pt>
                <c:pt idx="157">
                  <c:v>8600</c:v>
                </c:pt>
                <c:pt idx="158">
                  <c:v>7200</c:v>
                </c:pt>
                <c:pt idx="159">
                  <c:v>8300</c:v>
                </c:pt>
                <c:pt idx="160">
                  <c:v>9000</c:v>
                </c:pt>
                <c:pt idx="161">
                  <c:v>10300</c:v>
                </c:pt>
                <c:pt idx="162">
                  <c:v>10100</c:v>
                </c:pt>
                <c:pt idx="163">
                  <c:v>7700</c:v>
                </c:pt>
                <c:pt idx="164">
                  <c:v>14000</c:v>
                </c:pt>
                <c:pt idx="165">
                  <c:v>13400</c:v>
                </c:pt>
                <c:pt idx="166">
                  <c:v>4600</c:v>
                </c:pt>
                <c:pt idx="167">
                  <c:v>12400</c:v>
                </c:pt>
                <c:pt idx="168">
                  <c:v>14000</c:v>
                </c:pt>
                <c:pt idx="169">
                  <c:v>7200</c:v>
                </c:pt>
                <c:pt idx="170">
                  <c:v>10700</c:v>
                </c:pt>
                <c:pt idx="171">
                  <c:v>6900</c:v>
                </c:pt>
                <c:pt idx="172">
                  <c:v>8500</c:v>
                </c:pt>
                <c:pt idx="173">
                  <c:v>13500</c:v>
                </c:pt>
                <c:pt idx="174">
                  <c:v>7900</c:v>
                </c:pt>
                <c:pt idx="175">
                  <c:v>12100</c:v>
                </c:pt>
                <c:pt idx="176">
                  <c:v>13800</c:v>
                </c:pt>
                <c:pt idx="177">
                  <c:v>6100</c:v>
                </c:pt>
                <c:pt idx="178">
                  <c:v>13000</c:v>
                </c:pt>
                <c:pt idx="179">
                  <c:v>6500</c:v>
                </c:pt>
                <c:pt idx="180">
                  <c:v>8500</c:v>
                </c:pt>
                <c:pt idx="181">
                  <c:v>9400</c:v>
                </c:pt>
                <c:pt idx="182">
                  <c:v>12900</c:v>
                </c:pt>
                <c:pt idx="183">
                  <c:v>14200</c:v>
                </c:pt>
                <c:pt idx="184">
                  <c:v>7200</c:v>
                </c:pt>
                <c:pt idx="185">
                  <c:v>7300</c:v>
                </c:pt>
                <c:pt idx="186">
                  <c:v>10600</c:v>
                </c:pt>
                <c:pt idx="187">
                  <c:v>14000</c:v>
                </c:pt>
                <c:pt idx="188">
                  <c:v>11200</c:v>
                </c:pt>
                <c:pt idx="189">
                  <c:v>14800</c:v>
                </c:pt>
                <c:pt idx="190">
                  <c:v>8700</c:v>
                </c:pt>
                <c:pt idx="191">
                  <c:v>8700</c:v>
                </c:pt>
                <c:pt idx="192">
                  <c:v>14800</c:v>
                </c:pt>
                <c:pt idx="193">
                  <c:v>12700</c:v>
                </c:pt>
                <c:pt idx="194">
                  <c:v>10300</c:v>
                </c:pt>
                <c:pt idx="195">
                  <c:v>8500</c:v>
                </c:pt>
                <c:pt idx="196">
                  <c:v>11900</c:v>
                </c:pt>
                <c:pt idx="197">
                  <c:v>10300</c:v>
                </c:pt>
                <c:pt idx="198">
                  <c:v>5600</c:v>
                </c:pt>
                <c:pt idx="199">
                  <c:v>10900</c:v>
                </c:pt>
                <c:pt idx="200">
                  <c:v>8600</c:v>
                </c:pt>
                <c:pt idx="201">
                  <c:v>9400</c:v>
                </c:pt>
                <c:pt idx="202">
                  <c:v>11800</c:v>
                </c:pt>
                <c:pt idx="203">
                  <c:v>10800</c:v>
                </c:pt>
                <c:pt idx="204">
                  <c:v>6500</c:v>
                </c:pt>
                <c:pt idx="205">
                  <c:v>5000</c:v>
                </c:pt>
                <c:pt idx="206">
                  <c:v>4300</c:v>
                </c:pt>
                <c:pt idx="207">
                  <c:v>11700</c:v>
                </c:pt>
                <c:pt idx="208">
                  <c:v>10600</c:v>
                </c:pt>
                <c:pt idx="209">
                  <c:v>14500</c:v>
                </c:pt>
                <c:pt idx="210">
                  <c:v>14600</c:v>
                </c:pt>
                <c:pt idx="211">
                  <c:v>11700</c:v>
                </c:pt>
                <c:pt idx="212">
                  <c:v>11000</c:v>
                </c:pt>
                <c:pt idx="213">
                  <c:v>6700</c:v>
                </c:pt>
                <c:pt idx="214">
                  <c:v>10600</c:v>
                </c:pt>
                <c:pt idx="215">
                  <c:v>11300</c:v>
                </c:pt>
                <c:pt idx="216">
                  <c:v>6400</c:v>
                </c:pt>
                <c:pt idx="217">
                  <c:v>6600</c:v>
                </c:pt>
                <c:pt idx="218">
                  <c:v>11700</c:v>
                </c:pt>
                <c:pt idx="219">
                  <c:v>13300</c:v>
                </c:pt>
                <c:pt idx="220">
                  <c:v>9100</c:v>
                </c:pt>
                <c:pt idx="221">
                  <c:v>10100</c:v>
                </c:pt>
                <c:pt idx="222">
                  <c:v>4200</c:v>
                </c:pt>
                <c:pt idx="223">
                  <c:v>13000</c:v>
                </c:pt>
                <c:pt idx="224">
                  <c:v>11500</c:v>
                </c:pt>
                <c:pt idx="225">
                  <c:v>6700</c:v>
                </c:pt>
                <c:pt idx="226">
                  <c:v>8400</c:v>
                </c:pt>
                <c:pt idx="227">
                  <c:v>12400</c:v>
                </c:pt>
                <c:pt idx="228">
                  <c:v>12300</c:v>
                </c:pt>
                <c:pt idx="229">
                  <c:v>14500</c:v>
                </c:pt>
                <c:pt idx="230">
                  <c:v>9800</c:v>
                </c:pt>
                <c:pt idx="231">
                  <c:v>12200</c:v>
                </c:pt>
                <c:pt idx="232">
                  <c:v>4200</c:v>
                </c:pt>
                <c:pt idx="233">
                  <c:v>5800</c:v>
                </c:pt>
                <c:pt idx="234">
                  <c:v>6800</c:v>
                </c:pt>
                <c:pt idx="235">
                  <c:v>10300</c:v>
                </c:pt>
                <c:pt idx="236">
                  <c:v>10800</c:v>
                </c:pt>
                <c:pt idx="237">
                  <c:v>7500</c:v>
                </c:pt>
                <c:pt idx="238">
                  <c:v>6800</c:v>
                </c:pt>
                <c:pt idx="239">
                  <c:v>4900</c:v>
                </c:pt>
                <c:pt idx="240">
                  <c:v>8700</c:v>
                </c:pt>
                <c:pt idx="241">
                  <c:v>5500</c:v>
                </c:pt>
                <c:pt idx="242">
                  <c:v>14500</c:v>
                </c:pt>
                <c:pt idx="243">
                  <c:v>10700</c:v>
                </c:pt>
                <c:pt idx="244">
                  <c:v>6800</c:v>
                </c:pt>
                <c:pt idx="245">
                  <c:v>5700</c:v>
                </c:pt>
                <c:pt idx="246">
                  <c:v>4300</c:v>
                </c:pt>
                <c:pt idx="247">
                  <c:v>14600</c:v>
                </c:pt>
                <c:pt idx="248">
                  <c:v>11400</c:v>
                </c:pt>
                <c:pt idx="249">
                  <c:v>12500</c:v>
                </c:pt>
                <c:pt idx="250">
                  <c:v>9400</c:v>
                </c:pt>
                <c:pt idx="251">
                  <c:v>10400</c:v>
                </c:pt>
                <c:pt idx="252">
                  <c:v>12500</c:v>
                </c:pt>
                <c:pt idx="253">
                  <c:v>5600</c:v>
                </c:pt>
                <c:pt idx="254">
                  <c:v>4700</c:v>
                </c:pt>
                <c:pt idx="255">
                  <c:v>11500</c:v>
                </c:pt>
                <c:pt idx="256">
                  <c:v>12500</c:v>
                </c:pt>
                <c:pt idx="257">
                  <c:v>11900</c:v>
                </c:pt>
                <c:pt idx="258">
                  <c:v>14400</c:v>
                </c:pt>
                <c:pt idx="259">
                  <c:v>11900</c:v>
                </c:pt>
                <c:pt idx="260">
                  <c:v>11900</c:v>
                </c:pt>
                <c:pt idx="261">
                  <c:v>9000</c:v>
                </c:pt>
                <c:pt idx="262">
                  <c:v>8100</c:v>
                </c:pt>
                <c:pt idx="263">
                  <c:v>12800</c:v>
                </c:pt>
                <c:pt idx="264">
                  <c:v>4200</c:v>
                </c:pt>
                <c:pt idx="265">
                  <c:v>13400</c:v>
                </c:pt>
                <c:pt idx="266">
                  <c:v>4200</c:v>
                </c:pt>
                <c:pt idx="267">
                  <c:v>13800</c:v>
                </c:pt>
                <c:pt idx="268">
                  <c:v>7400</c:v>
                </c:pt>
                <c:pt idx="269">
                  <c:v>10900</c:v>
                </c:pt>
                <c:pt idx="270">
                  <c:v>11000</c:v>
                </c:pt>
                <c:pt idx="271">
                  <c:v>7400</c:v>
                </c:pt>
                <c:pt idx="272">
                  <c:v>7100</c:v>
                </c:pt>
                <c:pt idx="273">
                  <c:v>10000</c:v>
                </c:pt>
                <c:pt idx="274">
                  <c:v>12800</c:v>
                </c:pt>
                <c:pt idx="275">
                  <c:v>4900</c:v>
                </c:pt>
                <c:pt idx="276">
                  <c:v>7400</c:v>
                </c:pt>
                <c:pt idx="277">
                  <c:v>4200</c:v>
                </c:pt>
                <c:pt idx="278">
                  <c:v>5600</c:v>
                </c:pt>
                <c:pt idx="279">
                  <c:v>9200</c:v>
                </c:pt>
                <c:pt idx="280">
                  <c:v>6800</c:v>
                </c:pt>
                <c:pt idx="281">
                  <c:v>6300</c:v>
                </c:pt>
                <c:pt idx="282">
                  <c:v>11800</c:v>
                </c:pt>
                <c:pt idx="283">
                  <c:v>5500</c:v>
                </c:pt>
                <c:pt idx="284">
                  <c:v>4700</c:v>
                </c:pt>
                <c:pt idx="285">
                  <c:v>6000</c:v>
                </c:pt>
                <c:pt idx="286">
                  <c:v>13600</c:v>
                </c:pt>
                <c:pt idx="287">
                  <c:v>11300</c:v>
                </c:pt>
                <c:pt idx="288">
                  <c:v>9900</c:v>
                </c:pt>
                <c:pt idx="289">
                  <c:v>5000</c:v>
                </c:pt>
                <c:pt idx="290">
                  <c:v>11300</c:v>
                </c:pt>
                <c:pt idx="291">
                  <c:v>7700</c:v>
                </c:pt>
                <c:pt idx="292">
                  <c:v>7900</c:v>
                </c:pt>
                <c:pt idx="293">
                  <c:v>9600</c:v>
                </c:pt>
                <c:pt idx="294">
                  <c:v>4700</c:v>
                </c:pt>
                <c:pt idx="295">
                  <c:v>4700</c:v>
                </c:pt>
                <c:pt idx="296">
                  <c:v>11900</c:v>
                </c:pt>
                <c:pt idx="297">
                  <c:v>14300</c:v>
                </c:pt>
                <c:pt idx="298">
                  <c:v>13300</c:v>
                </c:pt>
                <c:pt idx="299">
                  <c:v>7500</c:v>
                </c:pt>
                <c:pt idx="300">
                  <c:v>4900</c:v>
                </c:pt>
                <c:pt idx="301">
                  <c:v>5100</c:v>
                </c:pt>
                <c:pt idx="302">
                  <c:v>14300</c:v>
                </c:pt>
                <c:pt idx="303">
                  <c:v>7600</c:v>
                </c:pt>
                <c:pt idx="304">
                  <c:v>5900</c:v>
                </c:pt>
                <c:pt idx="305">
                  <c:v>4100</c:v>
                </c:pt>
                <c:pt idx="306">
                  <c:v>10700</c:v>
                </c:pt>
                <c:pt idx="307">
                  <c:v>6600</c:v>
                </c:pt>
                <c:pt idx="308">
                  <c:v>7400</c:v>
                </c:pt>
                <c:pt idx="309">
                  <c:v>13800</c:v>
                </c:pt>
                <c:pt idx="310">
                  <c:v>9500</c:v>
                </c:pt>
                <c:pt idx="311">
                  <c:v>12100</c:v>
                </c:pt>
                <c:pt idx="312">
                  <c:v>11900</c:v>
                </c:pt>
                <c:pt idx="313">
                  <c:v>14200</c:v>
                </c:pt>
                <c:pt idx="314">
                  <c:v>15000</c:v>
                </c:pt>
                <c:pt idx="315">
                  <c:v>12800</c:v>
                </c:pt>
                <c:pt idx="316">
                  <c:v>5000</c:v>
                </c:pt>
                <c:pt idx="317">
                  <c:v>12700</c:v>
                </c:pt>
                <c:pt idx="318">
                  <c:v>11600</c:v>
                </c:pt>
                <c:pt idx="319">
                  <c:v>10200</c:v>
                </c:pt>
                <c:pt idx="320">
                  <c:v>14100</c:v>
                </c:pt>
                <c:pt idx="321">
                  <c:v>7900</c:v>
                </c:pt>
                <c:pt idx="322">
                  <c:v>14600</c:v>
                </c:pt>
                <c:pt idx="323">
                  <c:v>7100</c:v>
                </c:pt>
                <c:pt idx="324">
                  <c:v>5700</c:v>
                </c:pt>
                <c:pt idx="325">
                  <c:v>11500</c:v>
                </c:pt>
                <c:pt idx="326">
                  <c:v>10900</c:v>
                </c:pt>
                <c:pt idx="327">
                  <c:v>12800</c:v>
                </c:pt>
                <c:pt idx="328">
                  <c:v>4600</c:v>
                </c:pt>
                <c:pt idx="329">
                  <c:v>11100</c:v>
                </c:pt>
                <c:pt idx="330">
                  <c:v>7400</c:v>
                </c:pt>
                <c:pt idx="331">
                  <c:v>6900</c:v>
                </c:pt>
                <c:pt idx="332">
                  <c:v>6700</c:v>
                </c:pt>
                <c:pt idx="333">
                  <c:v>4900</c:v>
                </c:pt>
                <c:pt idx="334">
                  <c:v>11100</c:v>
                </c:pt>
                <c:pt idx="335">
                  <c:v>13200</c:v>
                </c:pt>
                <c:pt idx="336">
                  <c:v>5000</c:v>
                </c:pt>
                <c:pt idx="337">
                  <c:v>5600</c:v>
                </c:pt>
                <c:pt idx="338">
                  <c:v>10100</c:v>
                </c:pt>
                <c:pt idx="339">
                  <c:v>7600</c:v>
                </c:pt>
                <c:pt idx="340">
                  <c:v>14200</c:v>
                </c:pt>
                <c:pt idx="341">
                  <c:v>4200</c:v>
                </c:pt>
                <c:pt idx="342">
                  <c:v>8600</c:v>
                </c:pt>
                <c:pt idx="343">
                  <c:v>6600</c:v>
                </c:pt>
                <c:pt idx="344">
                  <c:v>4100</c:v>
                </c:pt>
                <c:pt idx="345">
                  <c:v>11400</c:v>
                </c:pt>
                <c:pt idx="346">
                  <c:v>12300</c:v>
                </c:pt>
                <c:pt idx="347">
                  <c:v>5700</c:v>
                </c:pt>
                <c:pt idx="348">
                  <c:v>7200</c:v>
                </c:pt>
                <c:pt idx="349">
                  <c:v>4100</c:v>
                </c:pt>
                <c:pt idx="350">
                  <c:v>14100</c:v>
                </c:pt>
                <c:pt idx="351">
                  <c:v>7900</c:v>
                </c:pt>
                <c:pt idx="352">
                  <c:v>5600</c:v>
                </c:pt>
                <c:pt idx="353">
                  <c:v>9400</c:v>
                </c:pt>
                <c:pt idx="354">
                  <c:v>13500</c:v>
                </c:pt>
                <c:pt idx="355">
                  <c:v>14700</c:v>
                </c:pt>
                <c:pt idx="356">
                  <c:v>7200</c:v>
                </c:pt>
                <c:pt idx="357">
                  <c:v>11900</c:v>
                </c:pt>
                <c:pt idx="358">
                  <c:v>4600</c:v>
                </c:pt>
                <c:pt idx="359">
                  <c:v>10800</c:v>
                </c:pt>
                <c:pt idx="360">
                  <c:v>10600</c:v>
                </c:pt>
                <c:pt idx="361">
                  <c:v>4600</c:v>
                </c:pt>
                <c:pt idx="362">
                  <c:v>12100</c:v>
                </c:pt>
                <c:pt idx="363">
                  <c:v>14700</c:v>
                </c:pt>
                <c:pt idx="364">
                  <c:v>12200</c:v>
                </c:pt>
                <c:pt idx="365">
                  <c:v>13500</c:v>
                </c:pt>
                <c:pt idx="366">
                  <c:v>11500</c:v>
                </c:pt>
                <c:pt idx="367">
                  <c:v>13900</c:v>
                </c:pt>
                <c:pt idx="368">
                  <c:v>8600</c:v>
                </c:pt>
                <c:pt idx="369">
                  <c:v>9500</c:v>
                </c:pt>
                <c:pt idx="370">
                  <c:v>13800</c:v>
                </c:pt>
                <c:pt idx="371">
                  <c:v>6000</c:v>
                </c:pt>
                <c:pt idx="372">
                  <c:v>5500</c:v>
                </c:pt>
                <c:pt idx="373">
                  <c:v>9900</c:v>
                </c:pt>
                <c:pt idx="374">
                  <c:v>6700</c:v>
                </c:pt>
                <c:pt idx="375">
                  <c:v>7000</c:v>
                </c:pt>
                <c:pt idx="376">
                  <c:v>14800</c:v>
                </c:pt>
                <c:pt idx="377">
                  <c:v>13800</c:v>
                </c:pt>
                <c:pt idx="378">
                  <c:v>11300</c:v>
                </c:pt>
                <c:pt idx="379">
                  <c:v>8400</c:v>
                </c:pt>
                <c:pt idx="380">
                  <c:v>5400</c:v>
                </c:pt>
                <c:pt idx="381">
                  <c:v>15000</c:v>
                </c:pt>
                <c:pt idx="382">
                  <c:v>14300</c:v>
                </c:pt>
                <c:pt idx="383">
                  <c:v>8700</c:v>
                </c:pt>
                <c:pt idx="384">
                  <c:v>8600</c:v>
                </c:pt>
                <c:pt idx="385">
                  <c:v>10300</c:v>
                </c:pt>
                <c:pt idx="386">
                  <c:v>13700</c:v>
                </c:pt>
                <c:pt idx="387">
                  <c:v>13500</c:v>
                </c:pt>
                <c:pt idx="388">
                  <c:v>8000</c:v>
                </c:pt>
                <c:pt idx="389">
                  <c:v>9900</c:v>
                </c:pt>
                <c:pt idx="390">
                  <c:v>6100</c:v>
                </c:pt>
                <c:pt idx="391">
                  <c:v>10000</c:v>
                </c:pt>
                <c:pt idx="392">
                  <c:v>13300</c:v>
                </c:pt>
                <c:pt idx="393">
                  <c:v>6200</c:v>
                </c:pt>
                <c:pt idx="394">
                  <c:v>14800</c:v>
                </c:pt>
                <c:pt idx="395">
                  <c:v>13300</c:v>
                </c:pt>
                <c:pt idx="396">
                  <c:v>8900</c:v>
                </c:pt>
                <c:pt idx="397">
                  <c:v>11800</c:v>
                </c:pt>
                <c:pt idx="398">
                  <c:v>13700</c:v>
                </c:pt>
                <c:pt idx="399">
                  <c:v>10600</c:v>
                </c:pt>
                <c:pt idx="400">
                  <c:v>12600</c:v>
                </c:pt>
                <c:pt idx="401">
                  <c:v>9200</c:v>
                </c:pt>
                <c:pt idx="402">
                  <c:v>7400</c:v>
                </c:pt>
                <c:pt idx="403">
                  <c:v>9900</c:v>
                </c:pt>
                <c:pt idx="404">
                  <c:v>8200</c:v>
                </c:pt>
                <c:pt idx="405">
                  <c:v>12600</c:v>
                </c:pt>
                <c:pt idx="406">
                  <c:v>12800</c:v>
                </c:pt>
                <c:pt idx="407">
                  <c:v>6100</c:v>
                </c:pt>
                <c:pt idx="408">
                  <c:v>6800</c:v>
                </c:pt>
                <c:pt idx="409">
                  <c:v>5800</c:v>
                </c:pt>
                <c:pt idx="410">
                  <c:v>10800</c:v>
                </c:pt>
                <c:pt idx="411">
                  <c:v>8300</c:v>
                </c:pt>
                <c:pt idx="412">
                  <c:v>13800</c:v>
                </c:pt>
                <c:pt idx="413">
                  <c:v>7600</c:v>
                </c:pt>
                <c:pt idx="414">
                  <c:v>13700</c:v>
                </c:pt>
                <c:pt idx="415">
                  <c:v>13600</c:v>
                </c:pt>
                <c:pt idx="416">
                  <c:v>7500</c:v>
                </c:pt>
                <c:pt idx="417">
                  <c:v>7400</c:v>
                </c:pt>
                <c:pt idx="418">
                  <c:v>6100</c:v>
                </c:pt>
                <c:pt idx="419">
                  <c:v>7800</c:v>
                </c:pt>
                <c:pt idx="420">
                  <c:v>8100</c:v>
                </c:pt>
                <c:pt idx="421">
                  <c:v>6000</c:v>
                </c:pt>
                <c:pt idx="422">
                  <c:v>7500</c:v>
                </c:pt>
                <c:pt idx="423">
                  <c:v>14200</c:v>
                </c:pt>
                <c:pt idx="424">
                  <c:v>14600</c:v>
                </c:pt>
                <c:pt idx="425">
                  <c:v>11300</c:v>
                </c:pt>
                <c:pt idx="426">
                  <c:v>13400</c:v>
                </c:pt>
                <c:pt idx="427">
                  <c:v>8200</c:v>
                </c:pt>
                <c:pt idx="428">
                  <c:v>11900</c:v>
                </c:pt>
                <c:pt idx="429">
                  <c:v>7000</c:v>
                </c:pt>
                <c:pt idx="430">
                  <c:v>13300</c:v>
                </c:pt>
                <c:pt idx="431">
                  <c:v>8800</c:v>
                </c:pt>
                <c:pt idx="432">
                  <c:v>5500</c:v>
                </c:pt>
                <c:pt idx="433">
                  <c:v>9200</c:v>
                </c:pt>
                <c:pt idx="434">
                  <c:v>12100</c:v>
                </c:pt>
                <c:pt idx="435">
                  <c:v>11100</c:v>
                </c:pt>
                <c:pt idx="436">
                  <c:v>14800</c:v>
                </c:pt>
                <c:pt idx="437">
                  <c:v>12400</c:v>
                </c:pt>
                <c:pt idx="438">
                  <c:v>9700</c:v>
                </c:pt>
                <c:pt idx="439">
                  <c:v>13900</c:v>
                </c:pt>
                <c:pt idx="440">
                  <c:v>13100</c:v>
                </c:pt>
                <c:pt idx="441">
                  <c:v>9800</c:v>
                </c:pt>
                <c:pt idx="442">
                  <c:v>5400</c:v>
                </c:pt>
                <c:pt idx="443">
                  <c:v>4300</c:v>
                </c:pt>
                <c:pt idx="444">
                  <c:v>6700</c:v>
                </c:pt>
                <c:pt idx="445">
                  <c:v>6800</c:v>
                </c:pt>
                <c:pt idx="446">
                  <c:v>11700</c:v>
                </c:pt>
                <c:pt idx="447">
                  <c:v>12300</c:v>
                </c:pt>
                <c:pt idx="448">
                  <c:v>5700</c:v>
                </c:pt>
                <c:pt idx="449">
                  <c:v>9700</c:v>
                </c:pt>
                <c:pt idx="450">
                  <c:v>4400</c:v>
                </c:pt>
                <c:pt idx="451">
                  <c:v>4200</c:v>
                </c:pt>
                <c:pt idx="452">
                  <c:v>14200</c:v>
                </c:pt>
                <c:pt idx="453">
                  <c:v>8600</c:v>
                </c:pt>
                <c:pt idx="454">
                  <c:v>7300</c:v>
                </c:pt>
                <c:pt idx="455">
                  <c:v>9800</c:v>
                </c:pt>
                <c:pt idx="456">
                  <c:v>6900</c:v>
                </c:pt>
                <c:pt idx="457">
                  <c:v>11100</c:v>
                </c:pt>
                <c:pt idx="458">
                  <c:v>11700</c:v>
                </c:pt>
                <c:pt idx="459">
                  <c:v>14100</c:v>
                </c:pt>
                <c:pt idx="460">
                  <c:v>11100</c:v>
                </c:pt>
                <c:pt idx="461">
                  <c:v>8700</c:v>
                </c:pt>
                <c:pt idx="462">
                  <c:v>8900</c:v>
                </c:pt>
                <c:pt idx="463">
                  <c:v>5300</c:v>
                </c:pt>
                <c:pt idx="464">
                  <c:v>7300</c:v>
                </c:pt>
                <c:pt idx="465">
                  <c:v>11300</c:v>
                </c:pt>
                <c:pt idx="466">
                  <c:v>6900</c:v>
                </c:pt>
                <c:pt idx="467">
                  <c:v>4600</c:v>
                </c:pt>
                <c:pt idx="468">
                  <c:v>4600</c:v>
                </c:pt>
                <c:pt idx="469">
                  <c:v>12500</c:v>
                </c:pt>
                <c:pt idx="470">
                  <c:v>12700</c:v>
                </c:pt>
                <c:pt idx="471">
                  <c:v>4000</c:v>
                </c:pt>
                <c:pt idx="472">
                  <c:v>12700</c:v>
                </c:pt>
                <c:pt idx="473">
                  <c:v>6900</c:v>
                </c:pt>
                <c:pt idx="474">
                  <c:v>4000</c:v>
                </c:pt>
                <c:pt idx="475">
                  <c:v>12900</c:v>
                </c:pt>
                <c:pt idx="476">
                  <c:v>9200</c:v>
                </c:pt>
                <c:pt idx="477">
                  <c:v>12300</c:v>
                </c:pt>
                <c:pt idx="478">
                  <c:v>4100</c:v>
                </c:pt>
                <c:pt idx="479">
                  <c:v>10600</c:v>
                </c:pt>
                <c:pt idx="480">
                  <c:v>9600</c:v>
                </c:pt>
                <c:pt idx="481">
                  <c:v>13100</c:v>
                </c:pt>
                <c:pt idx="482">
                  <c:v>12500</c:v>
                </c:pt>
                <c:pt idx="483">
                  <c:v>9300</c:v>
                </c:pt>
                <c:pt idx="484">
                  <c:v>11100</c:v>
                </c:pt>
                <c:pt idx="485">
                  <c:v>10600</c:v>
                </c:pt>
                <c:pt idx="486">
                  <c:v>10600</c:v>
                </c:pt>
                <c:pt idx="487">
                  <c:v>11800</c:v>
                </c:pt>
                <c:pt idx="488">
                  <c:v>5100</c:v>
                </c:pt>
                <c:pt idx="489">
                  <c:v>11300</c:v>
                </c:pt>
                <c:pt idx="490">
                  <c:v>13500</c:v>
                </c:pt>
                <c:pt idx="491">
                  <c:v>12600</c:v>
                </c:pt>
                <c:pt idx="492">
                  <c:v>9100</c:v>
                </c:pt>
                <c:pt idx="493">
                  <c:v>4500</c:v>
                </c:pt>
                <c:pt idx="494">
                  <c:v>13900</c:v>
                </c:pt>
                <c:pt idx="495">
                  <c:v>10700</c:v>
                </c:pt>
                <c:pt idx="496">
                  <c:v>4000</c:v>
                </c:pt>
                <c:pt idx="497">
                  <c:v>9900</c:v>
                </c:pt>
                <c:pt idx="498">
                  <c:v>14900</c:v>
                </c:pt>
                <c:pt idx="499">
                  <c:v>5000</c:v>
                </c:pt>
                <c:pt idx="500">
                  <c:v>14900</c:v>
                </c:pt>
                <c:pt idx="501">
                  <c:v>5400</c:v>
                </c:pt>
                <c:pt idx="502">
                  <c:v>12000</c:v>
                </c:pt>
                <c:pt idx="503">
                  <c:v>6600</c:v>
                </c:pt>
                <c:pt idx="504">
                  <c:v>9100</c:v>
                </c:pt>
                <c:pt idx="505">
                  <c:v>5300</c:v>
                </c:pt>
                <c:pt idx="506">
                  <c:v>10800</c:v>
                </c:pt>
                <c:pt idx="507">
                  <c:v>11600</c:v>
                </c:pt>
                <c:pt idx="508">
                  <c:v>11000</c:v>
                </c:pt>
                <c:pt idx="509">
                  <c:v>5900</c:v>
                </c:pt>
                <c:pt idx="510">
                  <c:v>12000</c:v>
                </c:pt>
                <c:pt idx="511">
                  <c:v>5300</c:v>
                </c:pt>
                <c:pt idx="512">
                  <c:v>11700</c:v>
                </c:pt>
                <c:pt idx="513">
                  <c:v>9800</c:v>
                </c:pt>
                <c:pt idx="514">
                  <c:v>11000</c:v>
                </c:pt>
                <c:pt idx="515">
                  <c:v>12000</c:v>
                </c:pt>
                <c:pt idx="516">
                  <c:v>11400</c:v>
                </c:pt>
                <c:pt idx="517">
                  <c:v>10000</c:v>
                </c:pt>
                <c:pt idx="518">
                  <c:v>7300</c:v>
                </c:pt>
                <c:pt idx="519">
                  <c:v>5300</c:v>
                </c:pt>
                <c:pt idx="520">
                  <c:v>12400</c:v>
                </c:pt>
                <c:pt idx="521">
                  <c:v>13800</c:v>
                </c:pt>
                <c:pt idx="522">
                  <c:v>11500</c:v>
                </c:pt>
                <c:pt idx="523">
                  <c:v>8300</c:v>
                </c:pt>
                <c:pt idx="524">
                  <c:v>14300</c:v>
                </c:pt>
                <c:pt idx="525">
                  <c:v>7200</c:v>
                </c:pt>
                <c:pt idx="526">
                  <c:v>9700</c:v>
                </c:pt>
                <c:pt idx="527">
                  <c:v>7200</c:v>
                </c:pt>
                <c:pt idx="528">
                  <c:v>6000</c:v>
                </c:pt>
                <c:pt idx="529">
                  <c:v>6200</c:v>
                </c:pt>
                <c:pt idx="530">
                  <c:v>13600</c:v>
                </c:pt>
                <c:pt idx="531">
                  <c:v>7700</c:v>
                </c:pt>
                <c:pt idx="532">
                  <c:v>13500</c:v>
                </c:pt>
                <c:pt idx="533">
                  <c:v>9400</c:v>
                </c:pt>
                <c:pt idx="534">
                  <c:v>5600</c:v>
                </c:pt>
                <c:pt idx="535">
                  <c:v>13100</c:v>
                </c:pt>
                <c:pt idx="536">
                  <c:v>4600</c:v>
                </c:pt>
                <c:pt idx="537">
                  <c:v>12400</c:v>
                </c:pt>
                <c:pt idx="538">
                  <c:v>5800</c:v>
                </c:pt>
                <c:pt idx="539">
                  <c:v>12200</c:v>
                </c:pt>
                <c:pt idx="540">
                  <c:v>7100</c:v>
                </c:pt>
                <c:pt idx="541">
                  <c:v>8500</c:v>
                </c:pt>
                <c:pt idx="542">
                  <c:v>9600</c:v>
                </c:pt>
                <c:pt idx="543">
                  <c:v>12600</c:v>
                </c:pt>
                <c:pt idx="544">
                  <c:v>11800</c:v>
                </c:pt>
                <c:pt idx="545">
                  <c:v>14800</c:v>
                </c:pt>
                <c:pt idx="546">
                  <c:v>14200</c:v>
                </c:pt>
                <c:pt idx="547">
                  <c:v>7100</c:v>
                </c:pt>
                <c:pt idx="548">
                  <c:v>11800</c:v>
                </c:pt>
                <c:pt idx="549">
                  <c:v>14400</c:v>
                </c:pt>
                <c:pt idx="550">
                  <c:v>5400</c:v>
                </c:pt>
                <c:pt idx="551">
                  <c:v>12900</c:v>
                </c:pt>
                <c:pt idx="552">
                  <c:v>6500</c:v>
                </c:pt>
                <c:pt idx="553">
                  <c:v>7300</c:v>
                </c:pt>
                <c:pt idx="554">
                  <c:v>14100</c:v>
                </c:pt>
                <c:pt idx="555">
                  <c:v>13500</c:v>
                </c:pt>
                <c:pt idx="556">
                  <c:v>13600</c:v>
                </c:pt>
                <c:pt idx="557">
                  <c:v>7100</c:v>
                </c:pt>
                <c:pt idx="558">
                  <c:v>13000</c:v>
                </c:pt>
                <c:pt idx="559">
                  <c:v>6900</c:v>
                </c:pt>
                <c:pt idx="560">
                  <c:v>11900</c:v>
                </c:pt>
                <c:pt idx="561">
                  <c:v>13600</c:v>
                </c:pt>
                <c:pt idx="562">
                  <c:v>12500</c:v>
                </c:pt>
                <c:pt idx="563">
                  <c:v>7200</c:v>
                </c:pt>
                <c:pt idx="564">
                  <c:v>11000</c:v>
                </c:pt>
                <c:pt idx="565">
                  <c:v>10800</c:v>
                </c:pt>
                <c:pt idx="566">
                  <c:v>13900</c:v>
                </c:pt>
                <c:pt idx="567">
                  <c:v>12700</c:v>
                </c:pt>
                <c:pt idx="568">
                  <c:v>11500</c:v>
                </c:pt>
                <c:pt idx="569">
                  <c:v>7600</c:v>
                </c:pt>
                <c:pt idx="570">
                  <c:v>14500</c:v>
                </c:pt>
                <c:pt idx="571">
                  <c:v>5800</c:v>
                </c:pt>
                <c:pt idx="572">
                  <c:v>10700</c:v>
                </c:pt>
                <c:pt idx="573">
                  <c:v>4900</c:v>
                </c:pt>
                <c:pt idx="574">
                  <c:v>8400</c:v>
                </c:pt>
                <c:pt idx="575">
                  <c:v>10800</c:v>
                </c:pt>
                <c:pt idx="576">
                  <c:v>13500</c:v>
                </c:pt>
                <c:pt idx="577">
                  <c:v>9600</c:v>
                </c:pt>
                <c:pt idx="578">
                  <c:v>8100</c:v>
                </c:pt>
                <c:pt idx="579">
                  <c:v>5400</c:v>
                </c:pt>
                <c:pt idx="580">
                  <c:v>5200</c:v>
                </c:pt>
                <c:pt idx="581">
                  <c:v>6300</c:v>
                </c:pt>
                <c:pt idx="582">
                  <c:v>8200</c:v>
                </c:pt>
                <c:pt idx="583">
                  <c:v>13000</c:v>
                </c:pt>
                <c:pt idx="584">
                  <c:v>11500</c:v>
                </c:pt>
                <c:pt idx="585">
                  <c:v>8300</c:v>
                </c:pt>
                <c:pt idx="586">
                  <c:v>6700</c:v>
                </c:pt>
                <c:pt idx="587">
                  <c:v>13300</c:v>
                </c:pt>
                <c:pt idx="588">
                  <c:v>6100</c:v>
                </c:pt>
                <c:pt idx="589">
                  <c:v>12500</c:v>
                </c:pt>
                <c:pt idx="590">
                  <c:v>4100</c:v>
                </c:pt>
                <c:pt idx="591">
                  <c:v>9300</c:v>
                </c:pt>
                <c:pt idx="592">
                  <c:v>14100</c:v>
                </c:pt>
                <c:pt idx="593">
                  <c:v>13100</c:v>
                </c:pt>
                <c:pt idx="594">
                  <c:v>14400</c:v>
                </c:pt>
                <c:pt idx="595">
                  <c:v>14900</c:v>
                </c:pt>
                <c:pt idx="596">
                  <c:v>4700</c:v>
                </c:pt>
                <c:pt idx="597">
                  <c:v>14400</c:v>
                </c:pt>
                <c:pt idx="598">
                  <c:v>13800</c:v>
                </c:pt>
                <c:pt idx="599">
                  <c:v>4000</c:v>
                </c:pt>
                <c:pt idx="600">
                  <c:v>12100</c:v>
                </c:pt>
                <c:pt idx="601">
                  <c:v>8700</c:v>
                </c:pt>
                <c:pt idx="602">
                  <c:v>11100</c:v>
                </c:pt>
                <c:pt idx="603">
                  <c:v>11700</c:v>
                </c:pt>
                <c:pt idx="604">
                  <c:v>13200</c:v>
                </c:pt>
                <c:pt idx="605">
                  <c:v>5700</c:v>
                </c:pt>
                <c:pt idx="606">
                  <c:v>7800</c:v>
                </c:pt>
                <c:pt idx="607">
                  <c:v>10600</c:v>
                </c:pt>
                <c:pt idx="608">
                  <c:v>9200</c:v>
                </c:pt>
                <c:pt idx="609">
                  <c:v>5900</c:v>
                </c:pt>
                <c:pt idx="610">
                  <c:v>4400</c:v>
                </c:pt>
                <c:pt idx="611">
                  <c:v>6400</c:v>
                </c:pt>
                <c:pt idx="612">
                  <c:v>7500</c:v>
                </c:pt>
                <c:pt idx="613">
                  <c:v>14100</c:v>
                </c:pt>
                <c:pt idx="614">
                  <c:v>4500</c:v>
                </c:pt>
                <c:pt idx="615">
                  <c:v>12500</c:v>
                </c:pt>
                <c:pt idx="616">
                  <c:v>7400</c:v>
                </c:pt>
                <c:pt idx="617">
                  <c:v>6800</c:v>
                </c:pt>
                <c:pt idx="618">
                  <c:v>14600</c:v>
                </c:pt>
                <c:pt idx="619">
                  <c:v>12300</c:v>
                </c:pt>
                <c:pt idx="620">
                  <c:v>11600</c:v>
                </c:pt>
                <c:pt idx="621">
                  <c:v>14700</c:v>
                </c:pt>
                <c:pt idx="622">
                  <c:v>14100</c:v>
                </c:pt>
                <c:pt idx="623">
                  <c:v>11500</c:v>
                </c:pt>
                <c:pt idx="624">
                  <c:v>7600</c:v>
                </c:pt>
                <c:pt idx="625">
                  <c:v>7100</c:v>
                </c:pt>
                <c:pt idx="626">
                  <c:v>4700</c:v>
                </c:pt>
                <c:pt idx="627">
                  <c:v>10400</c:v>
                </c:pt>
                <c:pt idx="628">
                  <c:v>9900</c:v>
                </c:pt>
                <c:pt idx="629">
                  <c:v>8400</c:v>
                </c:pt>
                <c:pt idx="630">
                  <c:v>4300</c:v>
                </c:pt>
                <c:pt idx="631">
                  <c:v>7400</c:v>
                </c:pt>
                <c:pt idx="632">
                  <c:v>5500</c:v>
                </c:pt>
                <c:pt idx="633">
                  <c:v>12800</c:v>
                </c:pt>
                <c:pt idx="634">
                  <c:v>13700</c:v>
                </c:pt>
                <c:pt idx="635">
                  <c:v>10800</c:v>
                </c:pt>
                <c:pt idx="636">
                  <c:v>5600</c:v>
                </c:pt>
                <c:pt idx="637">
                  <c:v>12500</c:v>
                </c:pt>
                <c:pt idx="638">
                  <c:v>9000</c:v>
                </c:pt>
                <c:pt idx="639">
                  <c:v>12000</c:v>
                </c:pt>
                <c:pt idx="640">
                  <c:v>8200</c:v>
                </c:pt>
                <c:pt idx="641">
                  <c:v>9400</c:v>
                </c:pt>
                <c:pt idx="642">
                  <c:v>12400</c:v>
                </c:pt>
                <c:pt idx="643">
                  <c:v>10200</c:v>
                </c:pt>
                <c:pt idx="644">
                  <c:v>11000</c:v>
                </c:pt>
                <c:pt idx="645">
                  <c:v>13100</c:v>
                </c:pt>
                <c:pt idx="646">
                  <c:v>13700</c:v>
                </c:pt>
                <c:pt idx="647">
                  <c:v>12100</c:v>
                </c:pt>
                <c:pt idx="648">
                  <c:v>9600</c:v>
                </c:pt>
                <c:pt idx="649">
                  <c:v>9000</c:v>
                </c:pt>
                <c:pt idx="650">
                  <c:v>6800</c:v>
                </c:pt>
                <c:pt idx="651">
                  <c:v>8200</c:v>
                </c:pt>
                <c:pt idx="652">
                  <c:v>7400</c:v>
                </c:pt>
                <c:pt idx="653">
                  <c:v>8800</c:v>
                </c:pt>
                <c:pt idx="654">
                  <c:v>9300</c:v>
                </c:pt>
                <c:pt idx="655">
                  <c:v>7900</c:v>
                </c:pt>
                <c:pt idx="656">
                  <c:v>15000</c:v>
                </c:pt>
                <c:pt idx="657">
                  <c:v>11100</c:v>
                </c:pt>
                <c:pt idx="658">
                  <c:v>5000</c:v>
                </c:pt>
                <c:pt idx="659">
                  <c:v>11500</c:v>
                </c:pt>
                <c:pt idx="660">
                  <c:v>8500</c:v>
                </c:pt>
                <c:pt idx="661">
                  <c:v>12000</c:v>
                </c:pt>
                <c:pt idx="662">
                  <c:v>5300</c:v>
                </c:pt>
                <c:pt idx="663">
                  <c:v>4800</c:v>
                </c:pt>
                <c:pt idx="664">
                  <c:v>14200</c:v>
                </c:pt>
                <c:pt idx="665">
                  <c:v>13700</c:v>
                </c:pt>
                <c:pt idx="666">
                  <c:v>12800</c:v>
                </c:pt>
                <c:pt idx="667">
                  <c:v>8800</c:v>
                </c:pt>
                <c:pt idx="668">
                  <c:v>9100</c:v>
                </c:pt>
                <c:pt idx="669">
                  <c:v>8000</c:v>
                </c:pt>
                <c:pt idx="670">
                  <c:v>12400</c:v>
                </c:pt>
                <c:pt idx="671">
                  <c:v>9100</c:v>
                </c:pt>
                <c:pt idx="672">
                  <c:v>7700</c:v>
                </c:pt>
                <c:pt idx="673">
                  <c:v>15000</c:v>
                </c:pt>
                <c:pt idx="674">
                  <c:v>10900</c:v>
                </c:pt>
                <c:pt idx="675">
                  <c:v>10700</c:v>
                </c:pt>
                <c:pt idx="676">
                  <c:v>7700</c:v>
                </c:pt>
                <c:pt idx="677">
                  <c:v>4400</c:v>
                </c:pt>
                <c:pt idx="678">
                  <c:v>9000</c:v>
                </c:pt>
                <c:pt idx="679">
                  <c:v>4900</c:v>
                </c:pt>
                <c:pt idx="680">
                  <c:v>10400</c:v>
                </c:pt>
                <c:pt idx="681">
                  <c:v>11100</c:v>
                </c:pt>
                <c:pt idx="682">
                  <c:v>6900</c:v>
                </c:pt>
                <c:pt idx="683">
                  <c:v>14500</c:v>
                </c:pt>
                <c:pt idx="684">
                  <c:v>10200</c:v>
                </c:pt>
                <c:pt idx="685">
                  <c:v>5000</c:v>
                </c:pt>
                <c:pt idx="686">
                  <c:v>13600</c:v>
                </c:pt>
                <c:pt idx="687">
                  <c:v>13100</c:v>
                </c:pt>
                <c:pt idx="688">
                  <c:v>11600</c:v>
                </c:pt>
                <c:pt idx="689">
                  <c:v>4800</c:v>
                </c:pt>
                <c:pt idx="690">
                  <c:v>13000</c:v>
                </c:pt>
                <c:pt idx="691">
                  <c:v>7100</c:v>
                </c:pt>
                <c:pt idx="692">
                  <c:v>13200</c:v>
                </c:pt>
                <c:pt idx="693">
                  <c:v>8400</c:v>
                </c:pt>
                <c:pt idx="694">
                  <c:v>12600</c:v>
                </c:pt>
                <c:pt idx="695">
                  <c:v>4800</c:v>
                </c:pt>
                <c:pt idx="696">
                  <c:v>12900</c:v>
                </c:pt>
                <c:pt idx="697">
                  <c:v>6000</c:v>
                </c:pt>
                <c:pt idx="698">
                  <c:v>11000</c:v>
                </c:pt>
                <c:pt idx="699">
                  <c:v>6100</c:v>
                </c:pt>
                <c:pt idx="700">
                  <c:v>6200</c:v>
                </c:pt>
                <c:pt idx="701">
                  <c:v>5000</c:v>
                </c:pt>
                <c:pt idx="702">
                  <c:v>7000</c:v>
                </c:pt>
                <c:pt idx="703">
                  <c:v>12000</c:v>
                </c:pt>
                <c:pt idx="704">
                  <c:v>6400</c:v>
                </c:pt>
                <c:pt idx="705">
                  <c:v>4500</c:v>
                </c:pt>
                <c:pt idx="706">
                  <c:v>7700</c:v>
                </c:pt>
                <c:pt idx="707">
                  <c:v>6800</c:v>
                </c:pt>
                <c:pt idx="708">
                  <c:v>9700</c:v>
                </c:pt>
                <c:pt idx="709">
                  <c:v>13800</c:v>
                </c:pt>
                <c:pt idx="710">
                  <c:v>12700</c:v>
                </c:pt>
                <c:pt idx="711">
                  <c:v>9600</c:v>
                </c:pt>
                <c:pt idx="712">
                  <c:v>8500</c:v>
                </c:pt>
                <c:pt idx="713">
                  <c:v>10800</c:v>
                </c:pt>
                <c:pt idx="714">
                  <c:v>7700</c:v>
                </c:pt>
                <c:pt idx="715">
                  <c:v>12500</c:v>
                </c:pt>
                <c:pt idx="716">
                  <c:v>8500</c:v>
                </c:pt>
                <c:pt idx="717">
                  <c:v>6800</c:v>
                </c:pt>
                <c:pt idx="718">
                  <c:v>14100</c:v>
                </c:pt>
                <c:pt idx="719">
                  <c:v>7300</c:v>
                </c:pt>
                <c:pt idx="720">
                  <c:v>6900</c:v>
                </c:pt>
                <c:pt idx="721">
                  <c:v>7400</c:v>
                </c:pt>
                <c:pt idx="722">
                  <c:v>12500</c:v>
                </c:pt>
                <c:pt idx="723">
                  <c:v>14100</c:v>
                </c:pt>
                <c:pt idx="724">
                  <c:v>8900</c:v>
                </c:pt>
                <c:pt idx="725">
                  <c:v>10400</c:v>
                </c:pt>
                <c:pt idx="726">
                  <c:v>7700</c:v>
                </c:pt>
                <c:pt idx="727">
                  <c:v>9300</c:v>
                </c:pt>
                <c:pt idx="728">
                  <c:v>12600</c:v>
                </c:pt>
                <c:pt idx="729">
                  <c:v>7600</c:v>
                </c:pt>
                <c:pt idx="730">
                  <c:v>5900</c:v>
                </c:pt>
                <c:pt idx="731">
                  <c:v>13200</c:v>
                </c:pt>
                <c:pt idx="732">
                  <c:v>12400</c:v>
                </c:pt>
                <c:pt idx="733">
                  <c:v>12600</c:v>
                </c:pt>
                <c:pt idx="734">
                  <c:v>10300</c:v>
                </c:pt>
                <c:pt idx="735">
                  <c:v>4300</c:v>
                </c:pt>
                <c:pt idx="736">
                  <c:v>10300</c:v>
                </c:pt>
                <c:pt idx="737">
                  <c:v>14500</c:v>
                </c:pt>
                <c:pt idx="738">
                  <c:v>9500</c:v>
                </c:pt>
                <c:pt idx="739">
                  <c:v>6300</c:v>
                </c:pt>
                <c:pt idx="740">
                  <c:v>5900</c:v>
                </c:pt>
                <c:pt idx="741">
                  <c:v>10800</c:v>
                </c:pt>
                <c:pt idx="742">
                  <c:v>11000</c:v>
                </c:pt>
                <c:pt idx="743">
                  <c:v>5000</c:v>
                </c:pt>
                <c:pt idx="744">
                  <c:v>10200</c:v>
                </c:pt>
                <c:pt idx="745">
                  <c:v>4600</c:v>
                </c:pt>
                <c:pt idx="746">
                  <c:v>6900</c:v>
                </c:pt>
                <c:pt idx="747">
                  <c:v>12200</c:v>
                </c:pt>
                <c:pt idx="748">
                  <c:v>8600</c:v>
                </c:pt>
                <c:pt idx="749">
                  <c:v>6900</c:v>
                </c:pt>
                <c:pt idx="750">
                  <c:v>4200</c:v>
                </c:pt>
                <c:pt idx="751">
                  <c:v>9500</c:v>
                </c:pt>
                <c:pt idx="752">
                  <c:v>4200</c:v>
                </c:pt>
                <c:pt idx="753">
                  <c:v>6400</c:v>
                </c:pt>
                <c:pt idx="754">
                  <c:v>4500</c:v>
                </c:pt>
                <c:pt idx="755">
                  <c:v>11500</c:v>
                </c:pt>
                <c:pt idx="756">
                  <c:v>6600</c:v>
                </c:pt>
                <c:pt idx="757">
                  <c:v>10000</c:v>
                </c:pt>
                <c:pt idx="758">
                  <c:v>10000</c:v>
                </c:pt>
                <c:pt idx="759">
                  <c:v>8200</c:v>
                </c:pt>
                <c:pt idx="760">
                  <c:v>13700</c:v>
                </c:pt>
                <c:pt idx="761">
                  <c:v>13800</c:v>
                </c:pt>
                <c:pt idx="762">
                  <c:v>7800</c:v>
                </c:pt>
                <c:pt idx="763">
                  <c:v>4300</c:v>
                </c:pt>
                <c:pt idx="764">
                  <c:v>8900</c:v>
                </c:pt>
                <c:pt idx="765">
                  <c:v>10700</c:v>
                </c:pt>
                <c:pt idx="766">
                  <c:v>13100</c:v>
                </c:pt>
                <c:pt idx="767">
                  <c:v>6300</c:v>
                </c:pt>
                <c:pt idx="768">
                  <c:v>14500</c:v>
                </c:pt>
                <c:pt idx="769">
                  <c:v>10900</c:v>
                </c:pt>
                <c:pt idx="770">
                  <c:v>11100</c:v>
                </c:pt>
                <c:pt idx="771">
                  <c:v>5300</c:v>
                </c:pt>
                <c:pt idx="772">
                  <c:v>13500</c:v>
                </c:pt>
                <c:pt idx="773">
                  <c:v>6100</c:v>
                </c:pt>
                <c:pt idx="774">
                  <c:v>6600</c:v>
                </c:pt>
                <c:pt idx="775">
                  <c:v>7500</c:v>
                </c:pt>
                <c:pt idx="776">
                  <c:v>10800</c:v>
                </c:pt>
                <c:pt idx="777">
                  <c:v>9000</c:v>
                </c:pt>
                <c:pt idx="778">
                  <c:v>8900</c:v>
                </c:pt>
                <c:pt idx="779">
                  <c:v>10100</c:v>
                </c:pt>
                <c:pt idx="780">
                  <c:v>6500</c:v>
                </c:pt>
                <c:pt idx="781">
                  <c:v>11600</c:v>
                </c:pt>
                <c:pt idx="782">
                  <c:v>11600</c:v>
                </c:pt>
                <c:pt idx="783">
                  <c:v>11200</c:v>
                </c:pt>
                <c:pt idx="784">
                  <c:v>12600</c:v>
                </c:pt>
                <c:pt idx="785">
                  <c:v>12400</c:v>
                </c:pt>
                <c:pt idx="786">
                  <c:v>14600</c:v>
                </c:pt>
                <c:pt idx="787">
                  <c:v>5600</c:v>
                </c:pt>
                <c:pt idx="788">
                  <c:v>7400</c:v>
                </c:pt>
                <c:pt idx="789">
                  <c:v>4600</c:v>
                </c:pt>
                <c:pt idx="790">
                  <c:v>10800</c:v>
                </c:pt>
                <c:pt idx="791">
                  <c:v>8000</c:v>
                </c:pt>
                <c:pt idx="792">
                  <c:v>12600</c:v>
                </c:pt>
                <c:pt idx="793">
                  <c:v>6900</c:v>
                </c:pt>
                <c:pt idx="794">
                  <c:v>8400</c:v>
                </c:pt>
                <c:pt idx="795">
                  <c:v>10900</c:v>
                </c:pt>
                <c:pt idx="796">
                  <c:v>8000</c:v>
                </c:pt>
                <c:pt idx="797">
                  <c:v>11900</c:v>
                </c:pt>
                <c:pt idx="798">
                  <c:v>8000</c:v>
                </c:pt>
                <c:pt idx="799">
                  <c:v>10000</c:v>
                </c:pt>
                <c:pt idx="800">
                  <c:v>11300</c:v>
                </c:pt>
                <c:pt idx="801">
                  <c:v>7100</c:v>
                </c:pt>
                <c:pt idx="802">
                  <c:v>4300</c:v>
                </c:pt>
                <c:pt idx="803">
                  <c:v>7900</c:v>
                </c:pt>
                <c:pt idx="804">
                  <c:v>5400</c:v>
                </c:pt>
                <c:pt idx="805">
                  <c:v>10900</c:v>
                </c:pt>
                <c:pt idx="806">
                  <c:v>9800</c:v>
                </c:pt>
                <c:pt idx="807">
                  <c:v>9500</c:v>
                </c:pt>
                <c:pt idx="808">
                  <c:v>10600</c:v>
                </c:pt>
                <c:pt idx="809">
                  <c:v>5400</c:v>
                </c:pt>
                <c:pt idx="810">
                  <c:v>9200</c:v>
                </c:pt>
                <c:pt idx="811">
                  <c:v>5700</c:v>
                </c:pt>
                <c:pt idx="812">
                  <c:v>9600</c:v>
                </c:pt>
                <c:pt idx="813">
                  <c:v>13600</c:v>
                </c:pt>
                <c:pt idx="814">
                  <c:v>5600</c:v>
                </c:pt>
                <c:pt idx="815">
                  <c:v>8400</c:v>
                </c:pt>
                <c:pt idx="816">
                  <c:v>10000</c:v>
                </c:pt>
                <c:pt idx="817">
                  <c:v>14100</c:v>
                </c:pt>
                <c:pt idx="818">
                  <c:v>10200</c:v>
                </c:pt>
                <c:pt idx="819">
                  <c:v>11200</c:v>
                </c:pt>
                <c:pt idx="820">
                  <c:v>11200</c:v>
                </c:pt>
                <c:pt idx="821">
                  <c:v>8700</c:v>
                </c:pt>
                <c:pt idx="822">
                  <c:v>4600</c:v>
                </c:pt>
                <c:pt idx="823">
                  <c:v>6100</c:v>
                </c:pt>
                <c:pt idx="824">
                  <c:v>14900</c:v>
                </c:pt>
                <c:pt idx="825">
                  <c:v>14200</c:v>
                </c:pt>
                <c:pt idx="826">
                  <c:v>7700</c:v>
                </c:pt>
                <c:pt idx="827">
                  <c:v>11900</c:v>
                </c:pt>
                <c:pt idx="828">
                  <c:v>12300</c:v>
                </c:pt>
                <c:pt idx="829">
                  <c:v>12600</c:v>
                </c:pt>
                <c:pt idx="830">
                  <c:v>5100</c:v>
                </c:pt>
                <c:pt idx="831">
                  <c:v>5400</c:v>
                </c:pt>
                <c:pt idx="832">
                  <c:v>6100</c:v>
                </c:pt>
                <c:pt idx="833">
                  <c:v>12900</c:v>
                </c:pt>
                <c:pt idx="834">
                  <c:v>9500</c:v>
                </c:pt>
                <c:pt idx="835">
                  <c:v>11400</c:v>
                </c:pt>
                <c:pt idx="836">
                  <c:v>5100</c:v>
                </c:pt>
                <c:pt idx="837">
                  <c:v>12700</c:v>
                </c:pt>
                <c:pt idx="838">
                  <c:v>5100</c:v>
                </c:pt>
                <c:pt idx="839">
                  <c:v>7800</c:v>
                </c:pt>
                <c:pt idx="840">
                  <c:v>9000</c:v>
                </c:pt>
                <c:pt idx="841">
                  <c:v>13700</c:v>
                </c:pt>
                <c:pt idx="842">
                  <c:v>13100</c:v>
                </c:pt>
                <c:pt idx="843">
                  <c:v>7000</c:v>
                </c:pt>
                <c:pt idx="844">
                  <c:v>13400</c:v>
                </c:pt>
                <c:pt idx="845">
                  <c:v>9400</c:v>
                </c:pt>
                <c:pt idx="846">
                  <c:v>14000</c:v>
                </c:pt>
                <c:pt idx="847">
                  <c:v>4000</c:v>
                </c:pt>
                <c:pt idx="848">
                  <c:v>12600</c:v>
                </c:pt>
                <c:pt idx="849">
                  <c:v>11800</c:v>
                </c:pt>
                <c:pt idx="850">
                  <c:v>4900</c:v>
                </c:pt>
                <c:pt idx="851">
                  <c:v>4600</c:v>
                </c:pt>
                <c:pt idx="852">
                  <c:v>7700</c:v>
                </c:pt>
                <c:pt idx="853">
                  <c:v>8600</c:v>
                </c:pt>
                <c:pt idx="854">
                  <c:v>6200</c:v>
                </c:pt>
                <c:pt idx="855">
                  <c:v>5800</c:v>
                </c:pt>
                <c:pt idx="856">
                  <c:v>6900</c:v>
                </c:pt>
                <c:pt idx="857">
                  <c:v>14200</c:v>
                </c:pt>
                <c:pt idx="858">
                  <c:v>10100</c:v>
                </c:pt>
                <c:pt idx="859">
                  <c:v>4300</c:v>
                </c:pt>
                <c:pt idx="860">
                  <c:v>9800</c:v>
                </c:pt>
                <c:pt idx="861">
                  <c:v>6100</c:v>
                </c:pt>
                <c:pt idx="862">
                  <c:v>7600</c:v>
                </c:pt>
                <c:pt idx="863">
                  <c:v>13000</c:v>
                </c:pt>
                <c:pt idx="864">
                  <c:v>9600</c:v>
                </c:pt>
                <c:pt idx="865">
                  <c:v>9600</c:v>
                </c:pt>
                <c:pt idx="866">
                  <c:v>4600</c:v>
                </c:pt>
                <c:pt idx="867">
                  <c:v>7600</c:v>
                </c:pt>
                <c:pt idx="868">
                  <c:v>7000</c:v>
                </c:pt>
                <c:pt idx="869">
                  <c:v>7000</c:v>
                </c:pt>
                <c:pt idx="870">
                  <c:v>11600</c:v>
                </c:pt>
                <c:pt idx="871">
                  <c:v>14600</c:v>
                </c:pt>
                <c:pt idx="872">
                  <c:v>14000</c:v>
                </c:pt>
                <c:pt idx="873">
                  <c:v>9100</c:v>
                </c:pt>
                <c:pt idx="874">
                  <c:v>6900</c:v>
                </c:pt>
                <c:pt idx="875">
                  <c:v>11500</c:v>
                </c:pt>
                <c:pt idx="876">
                  <c:v>14000</c:v>
                </c:pt>
                <c:pt idx="877">
                  <c:v>14700</c:v>
                </c:pt>
                <c:pt idx="878">
                  <c:v>13900</c:v>
                </c:pt>
                <c:pt idx="879">
                  <c:v>7800</c:v>
                </c:pt>
                <c:pt idx="880">
                  <c:v>11600</c:v>
                </c:pt>
                <c:pt idx="881">
                  <c:v>4100</c:v>
                </c:pt>
                <c:pt idx="882">
                  <c:v>6300</c:v>
                </c:pt>
                <c:pt idx="883">
                  <c:v>8600</c:v>
                </c:pt>
                <c:pt idx="884">
                  <c:v>14300</c:v>
                </c:pt>
                <c:pt idx="885">
                  <c:v>7900</c:v>
                </c:pt>
                <c:pt idx="886">
                  <c:v>4100</c:v>
                </c:pt>
                <c:pt idx="887">
                  <c:v>14600</c:v>
                </c:pt>
                <c:pt idx="888">
                  <c:v>4800</c:v>
                </c:pt>
                <c:pt idx="889">
                  <c:v>6600</c:v>
                </c:pt>
                <c:pt idx="890">
                  <c:v>6700</c:v>
                </c:pt>
                <c:pt idx="891">
                  <c:v>4900</c:v>
                </c:pt>
                <c:pt idx="892">
                  <c:v>10300</c:v>
                </c:pt>
                <c:pt idx="893">
                  <c:v>5400</c:v>
                </c:pt>
                <c:pt idx="894">
                  <c:v>14100</c:v>
                </c:pt>
                <c:pt idx="895">
                  <c:v>9600</c:v>
                </c:pt>
                <c:pt idx="896">
                  <c:v>7500</c:v>
                </c:pt>
                <c:pt idx="897">
                  <c:v>14300</c:v>
                </c:pt>
                <c:pt idx="898">
                  <c:v>11400</c:v>
                </c:pt>
                <c:pt idx="899">
                  <c:v>6200</c:v>
                </c:pt>
                <c:pt idx="900">
                  <c:v>9900</c:v>
                </c:pt>
                <c:pt idx="901">
                  <c:v>8900</c:v>
                </c:pt>
                <c:pt idx="902">
                  <c:v>12500</c:v>
                </c:pt>
                <c:pt idx="903">
                  <c:v>10200</c:v>
                </c:pt>
                <c:pt idx="904">
                  <c:v>5300</c:v>
                </c:pt>
                <c:pt idx="905">
                  <c:v>12000</c:v>
                </c:pt>
                <c:pt idx="906">
                  <c:v>12300</c:v>
                </c:pt>
                <c:pt idx="907">
                  <c:v>11400</c:v>
                </c:pt>
                <c:pt idx="908">
                  <c:v>13600</c:v>
                </c:pt>
                <c:pt idx="909">
                  <c:v>7000</c:v>
                </c:pt>
                <c:pt idx="910">
                  <c:v>10300</c:v>
                </c:pt>
                <c:pt idx="911">
                  <c:v>5600</c:v>
                </c:pt>
                <c:pt idx="912">
                  <c:v>14900</c:v>
                </c:pt>
                <c:pt idx="913">
                  <c:v>11100</c:v>
                </c:pt>
                <c:pt idx="914">
                  <c:v>10300</c:v>
                </c:pt>
                <c:pt idx="915">
                  <c:v>11500</c:v>
                </c:pt>
                <c:pt idx="916">
                  <c:v>8700</c:v>
                </c:pt>
                <c:pt idx="917">
                  <c:v>4100</c:v>
                </c:pt>
                <c:pt idx="918">
                  <c:v>5500</c:v>
                </c:pt>
                <c:pt idx="919">
                  <c:v>12000</c:v>
                </c:pt>
                <c:pt idx="920">
                  <c:v>8800</c:v>
                </c:pt>
                <c:pt idx="921">
                  <c:v>9400</c:v>
                </c:pt>
                <c:pt idx="922">
                  <c:v>11800</c:v>
                </c:pt>
                <c:pt idx="923">
                  <c:v>4000</c:v>
                </c:pt>
                <c:pt idx="924">
                  <c:v>5300</c:v>
                </c:pt>
                <c:pt idx="925">
                  <c:v>11000</c:v>
                </c:pt>
                <c:pt idx="926">
                  <c:v>8200</c:v>
                </c:pt>
                <c:pt idx="927">
                  <c:v>8600</c:v>
                </c:pt>
                <c:pt idx="928">
                  <c:v>8100</c:v>
                </c:pt>
                <c:pt idx="929">
                  <c:v>11100</c:v>
                </c:pt>
                <c:pt idx="930">
                  <c:v>9300</c:v>
                </c:pt>
                <c:pt idx="931">
                  <c:v>7300</c:v>
                </c:pt>
                <c:pt idx="932">
                  <c:v>13300</c:v>
                </c:pt>
                <c:pt idx="933">
                  <c:v>8300</c:v>
                </c:pt>
                <c:pt idx="934">
                  <c:v>14800</c:v>
                </c:pt>
                <c:pt idx="935">
                  <c:v>12500</c:v>
                </c:pt>
                <c:pt idx="936">
                  <c:v>8300</c:v>
                </c:pt>
                <c:pt idx="937">
                  <c:v>13800</c:v>
                </c:pt>
                <c:pt idx="938">
                  <c:v>6400</c:v>
                </c:pt>
                <c:pt idx="939">
                  <c:v>4900</c:v>
                </c:pt>
                <c:pt idx="940">
                  <c:v>9600</c:v>
                </c:pt>
                <c:pt idx="941">
                  <c:v>4400</c:v>
                </c:pt>
                <c:pt idx="942">
                  <c:v>10200</c:v>
                </c:pt>
                <c:pt idx="943">
                  <c:v>8600</c:v>
                </c:pt>
                <c:pt idx="944">
                  <c:v>10400</c:v>
                </c:pt>
                <c:pt idx="945">
                  <c:v>12000</c:v>
                </c:pt>
                <c:pt idx="946">
                  <c:v>12400</c:v>
                </c:pt>
                <c:pt idx="947">
                  <c:v>14700</c:v>
                </c:pt>
                <c:pt idx="948">
                  <c:v>13400</c:v>
                </c:pt>
                <c:pt idx="949">
                  <c:v>9000</c:v>
                </c:pt>
                <c:pt idx="950">
                  <c:v>5100</c:v>
                </c:pt>
                <c:pt idx="951">
                  <c:v>14000</c:v>
                </c:pt>
                <c:pt idx="952">
                  <c:v>11900</c:v>
                </c:pt>
                <c:pt idx="953">
                  <c:v>9000</c:v>
                </c:pt>
                <c:pt idx="954">
                  <c:v>4800</c:v>
                </c:pt>
                <c:pt idx="955">
                  <c:v>7400</c:v>
                </c:pt>
                <c:pt idx="956">
                  <c:v>4200</c:v>
                </c:pt>
                <c:pt idx="957">
                  <c:v>8700</c:v>
                </c:pt>
                <c:pt idx="958">
                  <c:v>14700</c:v>
                </c:pt>
                <c:pt idx="959">
                  <c:v>9500</c:v>
                </c:pt>
                <c:pt idx="960">
                  <c:v>12600</c:v>
                </c:pt>
                <c:pt idx="961">
                  <c:v>9500</c:v>
                </c:pt>
                <c:pt idx="962">
                  <c:v>4300</c:v>
                </c:pt>
                <c:pt idx="963">
                  <c:v>12700</c:v>
                </c:pt>
                <c:pt idx="964">
                  <c:v>11600</c:v>
                </c:pt>
                <c:pt idx="965">
                  <c:v>12000</c:v>
                </c:pt>
                <c:pt idx="966">
                  <c:v>11600</c:v>
                </c:pt>
                <c:pt idx="967">
                  <c:v>9500</c:v>
                </c:pt>
                <c:pt idx="968">
                  <c:v>12100</c:v>
                </c:pt>
                <c:pt idx="969">
                  <c:v>6700</c:v>
                </c:pt>
                <c:pt idx="970">
                  <c:v>7100</c:v>
                </c:pt>
                <c:pt idx="971">
                  <c:v>12700</c:v>
                </c:pt>
                <c:pt idx="972">
                  <c:v>5400</c:v>
                </c:pt>
                <c:pt idx="973">
                  <c:v>9200</c:v>
                </c:pt>
                <c:pt idx="974">
                  <c:v>5000</c:v>
                </c:pt>
                <c:pt idx="975">
                  <c:v>11600</c:v>
                </c:pt>
                <c:pt idx="976">
                  <c:v>9000</c:v>
                </c:pt>
                <c:pt idx="977">
                  <c:v>11700</c:v>
                </c:pt>
                <c:pt idx="978">
                  <c:v>14400</c:v>
                </c:pt>
                <c:pt idx="979">
                  <c:v>8800</c:v>
                </c:pt>
                <c:pt idx="980">
                  <c:v>8700</c:v>
                </c:pt>
                <c:pt idx="981">
                  <c:v>13900</c:v>
                </c:pt>
                <c:pt idx="982">
                  <c:v>14000</c:v>
                </c:pt>
                <c:pt idx="983">
                  <c:v>6500</c:v>
                </c:pt>
                <c:pt idx="984">
                  <c:v>6500</c:v>
                </c:pt>
                <c:pt idx="985">
                  <c:v>12700</c:v>
                </c:pt>
                <c:pt idx="986">
                  <c:v>13800</c:v>
                </c:pt>
                <c:pt idx="987">
                  <c:v>5800</c:v>
                </c:pt>
                <c:pt idx="988">
                  <c:v>13300</c:v>
                </c:pt>
                <c:pt idx="989">
                  <c:v>10800</c:v>
                </c:pt>
                <c:pt idx="990">
                  <c:v>6700</c:v>
                </c:pt>
                <c:pt idx="991">
                  <c:v>8600</c:v>
                </c:pt>
                <c:pt idx="992">
                  <c:v>12500</c:v>
                </c:pt>
                <c:pt idx="993">
                  <c:v>14400</c:v>
                </c:pt>
                <c:pt idx="994">
                  <c:v>8900</c:v>
                </c:pt>
                <c:pt idx="995">
                  <c:v>5100</c:v>
                </c:pt>
                <c:pt idx="996">
                  <c:v>6500</c:v>
                </c:pt>
                <c:pt idx="997">
                  <c:v>12500</c:v>
                </c:pt>
                <c:pt idx="998">
                  <c:v>13100</c:v>
                </c:pt>
                <c:pt idx="999">
                  <c:v>12200</c:v>
                </c:pt>
                <c:pt idx="1000">
                  <c:v>4800</c:v>
                </c:pt>
                <c:pt idx="1001">
                  <c:v>7000</c:v>
                </c:pt>
                <c:pt idx="1002">
                  <c:v>9700</c:v>
                </c:pt>
                <c:pt idx="1003">
                  <c:v>14300</c:v>
                </c:pt>
                <c:pt idx="1004">
                  <c:v>13000</c:v>
                </c:pt>
                <c:pt idx="1005">
                  <c:v>8600</c:v>
                </c:pt>
                <c:pt idx="1006">
                  <c:v>8400</c:v>
                </c:pt>
                <c:pt idx="1007">
                  <c:v>6800</c:v>
                </c:pt>
                <c:pt idx="1008">
                  <c:v>6100</c:v>
                </c:pt>
                <c:pt idx="1009">
                  <c:v>8100</c:v>
                </c:pt>
                <c:pt idx="1010">
                  <c:v>14800</c:v>
                </c:pt>
                <c:pt idx="1011">
                  <c:v>7000</c:v>
                </c:pt>
                <c:pt idx="1012">
                  <c:v>6500</c:v>
                </c:pt>
                <c:pt idx="1013">
                  <c:v>6600</c:v>
                </c:pt>
                <c:pt idx="1014">
                  <c:v>4900</c:v>
                </c:pt>
                <c:pt idx="1015">
                  <c:v>11100</c:v>
                </c:pt>
                <c:pt idx="1016">
                  <c:v>13700</c:v>
                </c:pt>
                <c:pt idx="1017">
                  <c:v>11900</c:v>
                </c:pt>
                <c:pt idx="1018">
                  <c:v>6100</c:v>
                </c:pt>
                <c:pt idx="1019">
                  <c:v>8900</c:v>
                </c:pt>
                <c:pt idx="1020">
                  <c:v>9400</c:v>
                </c:pt>
                <c:pt idx="1021">
                  <c:v>8500</c:v>
                </c:pt>
                <c:pt idx="1022">
                  <c:v>11300</c:v>
                </c:pt>
                <c:pt idx="1023">
                  <c:v>5900</c:v>
                </c:pt>
                <c:pt idx="1024">
                  <c:v>10200</c:v>
                </c:pt>
                <c:pt idx="1025">
                  <c:v>6600</c:v>
                </c:pt>
                <c:pt idx="1026">
                  <c:v>7500</c:v>
                </c:pt>
                <c:pt idx="1027">
                  <c:v>13500</c:v>
                </c:pt>
                <c:pt idx="1028">
                  <c:v>5700</c:v>
                </c:pt>
                <c:pt idx="1029">
                  <c:v>12000</c:v>
                </c:pt>
                <c:pt idx="1030">
                  <c:v>5400</c:v>
                </c:pt>
                <c:pt idx="1031">
                  <c:v>11300</c:v>
                </c:pt>
                <c:pt idx="1032">
                  <c:v>4100</c:v>
                </c:pt>
                <c:pt idx="1033">
                  <c:v>11500</c:v>
                </c:pt>
                <c:pt idx="1034">
                  <c:v>4200</c:v>
                </c:pt>
                <c:pt idx="1035">
                  <c:v>5700</c:v>
                </c:pt>
                <c:pt idx="1036">
                  <c:v>6800</c:v>
                </c:pt>
                <c:pt idx="1037">
                  <c:v>4900</c:v>
                </c:pt>
                <c:pt idx="1038">
                  <c:v>12800</c:v>
                </c:pt>
                <c:pt idx="1039">
                  <c:v>11000</c:v>
                </c:pt>
                <c:pt idx="1040">
                  <c:v>10500</c:v>
                </c:pt>
                <c:pt idx="1041">
                  <c:v>12000</c:v>
                </c:pt>
                <c:pt idx="1042">
                  <c:v>12900</c:v>
                </c:pt>
                <c:pt idx="1043">
                  <c:v>8700</c:v>
                </c:pt>
                <c:pt idx="1044">
                  <c:v>4200</c:v>
                </c:pt>
                <c:pt idx="1045">
                  <c:v>7800</c:v>
                </c:pt>
                <c:pt idx="1046">
                  <c:v>13500</c:v>
                </c:pt>
                <c:pt idx="1047">
                  <c:v>10800</c:v>
                </c:pt>
                <c:pt idx="1048">
                  <c:v>10500</c:v>
                </c:pt>
                <c:pt idx="1049">
                  <c:v>13100</c:v>
                </c:pt>
                <c:pt idx="1050">
                  <c:v>11000</c:v>
                </c:pt>
                <c:pt idx="1051">
                  <c:v>11000</c:v>
                </c:pt>
                <c:pt idx="1052">
                  <c:v>12100</c:v>
                </c:pt>
                <c:pt idx="1053">
                  <c:v>8400</c:v>
                </c:pt>
                <c:pt idx="1054">
                  <c:v>8300</c:v>
                </c:pt>
                <c:pt idx="1055">
                  <c:v>14300</c:v>
                </c:pt>
                <c:pt idx="1056">
                  <c:v>9300</c:v>
                </c:pt>
                <c:pt idx="1057">
                  <c:v>11100</c:v>
                </c:pt>
                <c:pt idx="1058">
                  <c:v>4600</c:v>
                </c:pt>
                <c:pt idx="1059">
                  <c:v>10300</c:v>
                </c:pt>
                <c:pt idx="1060">
                  <c:v>14800</c:v>
                </c:pt>
                <c:pt idx="1061">
                  <c:v>11400</c:v>
                </c:pt>
                <c:pt idx="1062">
                  <c:v>6800</c:v>
                </c:pt>
                <c:pt idx="1063">
                  <c:v>8400</c:v>
                </c:pt>
                <c:pt idx="1064">
                  <c:v>12600</c:v>
                </c:pt>
                <c:pt idx="1065">
                  <c:v>4900</c:v>
                </c:pt>
                <c:pt idx="1066">
                  <c:v>5200</c:v>
                </c:pt>
                <c:pt idx="1067">
                  <c:v>12300</c:v>
                </c:pt>
                <c:pt idx="1068">
                  <c:v>8100</c:v>
                </c:pt>
                <c:pt idx="1069">
                  <c:v>10900</c:v>
                </c:pt>
                <c:pt idx="1070">
                  <c:v>11500</c:v>
                </c:pt>
                <c:pt idx="1071">
                  <c:v>13800</c:v>
                </c:pt>
                <c:pt idx="1072">
                  <c:v>5800</c:v>
                </c:pt>
                <c:pt idx="1073">
                  <c:v>13700</c:v>
                </c:pt>
                <c:pt idx="1074">
                  <c:v>5500</c:v>
                </c:pt>
                <c:pt idx="1075">
                  <c:v>4100</c:v>
                </c:pt>
                <c:pt idx="1076">
                  <c:v>8400</c:v>
                </c:pt>
                <c:pt idx="1077">
                  <c:v>11600</c:v>
                </c:pt>
                <c:pt idx="1078">
                  <c:v>14900</c:v>
                </c:pt>
                <c:pt idx="1079">
                  <c:v>7000</c:v>
                </c:pt>
                <c:pt idx="1080">
                  <c:v>11700</c:v>
                </c:pt>
                <c:pt idx="1081">
                  <c:v>12500</c:v>
                </c:pt>
                <c:pt idx="1082">
                  <c:v>8300</c:v>
                </c:pt>
                <c:pt idx="1083">
                  <c:v>11000</c:v>
                </c:pt>
                <c:pt idx="1084">
                  <c:v>5600</c:v>
                </c:pt>
                <c:pt idx="1085">
                  <c:v>8400</c:v>
                </c:pt>
                <c:pt idx="1086">
                  <c:v>4600</c:v>
                </c:pt>
                <c:pt idx="1087">
                  <c:v>12400</c:v>
                </c:pt>
                <c:pt idx="1088">
                  <c:v>7400</c:v>
                </c:pt>
                <c:pt idx="1089">
                  <c:v>7500</c:v>
                </c:pt>
                <c:pt idx="1090">
                  <c:v>9300</c:v>
                </c:pt>
                <c:pt idx="1091">
                  <c:v>11100</c:v>
                </c:pt>
                <c:pt idx="1092">
                  <c:v>6300</c:v>
                </c:pt>
                <c:pt idx="1093">
                  <c:v>12600</c:v>
                </c:pt>
                <c:pt idx="1094">
                  <c:v>5100</c:v>
                </c:pt>
                <c:pt idx="1095">
                  <c:v>9600</c:v>
                </c:pt>
                <c:pt idx="1096">
                  <c:v>7200</c:v>
                </c:pt>
                <c:pt idx="1097">
                  <c:v>13300</c:v>
                </c:pt>
                <c:pt idx="1098">
                  <c:v>10300</c:v>
                </c:pt>
                <c:pt idx="1099">
                  <c:v>10800</c:v>
                </c:pt>
                <c:pt idx="1100">
                  <c:v>10600</c:v>
                </c:pt>
                <c:pt idx="1101">
                  <c:v>10000</c:v>
                </c:pt>
                <c:pt idx="1102">
                  <c:v>6700</c:v>
                </c:pt>
                <c:pt idx="1103">
                  <c:v>11700</c:v>
                </c:pt>
                <c:pt idx="1104">
                  <c:v>11100</c:v>
                </c:pt>
                <c:pt idx="1105">
                  <c:v>14100</c:v>
                </c:pt>
                <c:pt idx="1106">
                  <c:v>5700</c:v>
                </c:pt>
                <c:pt idx="1107">
                  <c:v>13800</c:v>
                </c:pt>
                <c:pt idx="1108">
                  <c:v>14500</c:v>
                </c:pt>
                <c:pt idx="1109">
                  <c:v>14900</c:v>
                </c:pt>
                <c:pt idx="1110">
                  <c:v>7500</c:v>
                </c:pt>
                <c:pt idx="1111">
                  <c:v>13200</c:v>
                </c:pt>
                <c:pt idx="1112">
                  <c:v>14900</c:v>
                </c:pt>
                <c:pt idx="1113">
                  <c:v>12600</c:v>
                </c:pt>
                <c:pt idx="1114">
                  <c:v>9800</c:v>
                </c:pt>
                <c:pt idx="1115">
                  <c:v>6400</c:v>
                </c:pt>
                <c:pt idx="1116">
                  <c:v>7800</c:v>
                </c:pt>
                <c:pt idx="1117">
                  <c:v>12900</c:v>
                </c:pt>
                <c:pt idx="1118">
                  <c:v>13400</c:v>
                </c:pt>
                <c:pt idx="1119">
                  <c:v>10200</c:v>
                </c:pt>
                <c:pt idx="1120">
                  <c:v>14400</c:v>
                </c:pt>
                <c:pt idx="1121">
                  <c:v>12300</c:v>
                </c:pt>
                <c:pt idx="1122">
                  <c:v>13500</c:v>
                </c:pt>
                <c:pt idx="1123">
                  <c:v>7400</c:v>
                </c:pt>
                <c:pt idx="1124">
                  <c:v>11300</c:v>
                </c:pt>
                <c:pt idx="1125">
                  <c:v>7900</c:v>
                </c:pt>
                <c:pt idx="1126">
                  <c:v>14900</c:v>
                </c:pt>
                <c:pt idx="1127">
                  <c:v>10900</c:v>
                </c:pt>
                <c:pt idx="1128">
                  <c:v>13400</c:v>
                </c:pt>
                <c:pt idx="1129">
                  <c:v>10800</c:v>
                </c:pt>
                <c:pt idx="1130">
                  <c:v>11800</c:v>
                </c:pt>
                <c:pt idx="1131">
                  <c:v>5200</c:v>
                </c:pt>
                <c:pt idx="1132">
                  <c:v>5600</c:v>
                </c:pt>
                <c:pt idx="1133">
                  <c:v>11100</c:v>
                </c:pt>
                <c:pt idx="1134">
                  <c:v>7100</c:v>
                </c:pt>
                <c:pt idx="1135">
                  <c:v>7900</c:v>
                </c:pt>
                <c:pt idx="1136">
                  <c:v>4100</c:v>
                </c:pt>
                <c:pt idx="1137">
                  <c:v>7500</c:v>
                </c:pt>
                <c:pt idx="1138">
                  <c:v>11800</c:v>
                </c:pt>
                <c:pt idx="1139">
                  <c:v>5400</c:v>
                </c:pt>
                <c:pt idx="1140">
                  <c:v>8400</c:v>
                </c:pt>
                <c:pt idx="1141">
                  <c:v>11400</c:v>
                </c:pt>
                <c:pt idx="1142">
                  <c:v>14000</c:v>
                </c:pt>
                <c:pt idx="1143">
                  <c:v>14000</c:v>
                </c:pt>
                <c:pt idx="1144">
                  <c:v>10900</c:v>
                </c:pt>
                <c:pt idx="1145">
                  <c:v>4200</c:v>
                </c:pt>
                <c:pt idx="1146">
                  <c:v>9000</c:v>
                </c:pt>
                <c:pt idx="1147">
                  <c:v>9000</c:v>
                </c:pt>
                <c:pt idx="1148">
                  <c:v>10100</c:v>
                </c:pt>
                <c:pt idx="1149">
                  <c:v>15000</c:v>
                </c:pt>
                <c:pt idx="1150">
                  <c:v>14500</c:v>
                </c:pt>
                <c:pt idx="1151">
                  <c:v>5600</c:v>
                </c:pt>
                <c:pt idx="1152">
                  <c:v>6800</c:v>
                </c:pt>
                <c:pt idx="1153">
                  <c:v>7500</c:v>
                </c:pt>
                <c:pt idx="1154">
                  <c:v>4600</c:v>
                </c:pt>
                <c:pt idx="1155">
                  <c:v>4600</c:v>
                </c:pt>
                <c:pt idx="1156">
                  <c:v>13500</c:v>
                </c:pt>
                <c:pt idx="1157">
                  <c:v>12900</c:v>
                </c:pt>
                <c:pt idx="1158">
                  <c:v>10300</c:v>
                </c:pt>
                <c:pt idx="1159">
                  <c:v>13400</c:v>
                </c:pt>
                <c:pt idx="1160">
                  <c:v>6600</c:v>
                </c:pt>
                <c:pt idx="1161">
                  <c:v>14800</c:v>
                </c:pt>
                <c:pt idx="1162">
                  <c:v>5500</c:v>
                </c:pt>
                <c:pt idx="1163">
                  <c:v>4300</c:v>
                </c:pt>
                <c:pt idx="1164">
                  <c:v>9300</c:v>
                </c:pt>
                <c:pt idx="1165">
                  <c:v>14700</c:v>
                </c:pt>
                <c:pt idx="1166">
                  <c:v>5200</c:v>
                </c:pt>
                <c:pt idx="1167">
                  <c:v>8400</c:v>
                </c:pt>
                <c:pt idx="1168">
                  <c:v>7600</c:v>
                </c:pt>
                <c:pt idx="1169">
                  <c:v>13400</c:v>
                </c:pt>
                <c:pt idx="1170">
                  <c:v>6800</c:v>
                </c:pt>
                <c:pt idx="1171">
                  <c:v>12100</c:v>
                </c:pt>
                <c:pt idx="1172">
                  <c:v>11000</c:v>
                </c:pt>
                <c:pt idx="1173">
                  <c:v>13100</c:v>
                </c:pt>
                <c:pt idx="1174">
                  <c:v>11100</c:v>
                </c:pt>
                <c:pt idx="1175">
                  <c:v>6800</c:v>
                </c:pt>
                <c:pt idx="1176">
                  <c:v>6200</c:v>
                </c:pt>
                <c:pt idx="1177">
                  <c:v>11400</c:v>
                </c:pt>
                <c:pt idx="1178">
                  <c:v>14400</c:v>
                </c:pt>
                <c:pt idx="1179">
                  <c:v>14900</c:v>
                </c:pt>
                <c:pt idx="1180">
                  <c:v>14300</c:v>
                </c:pt>
                <c:pt idx="1181">
                  <c:v>11900</c:v>
                </c:pt>
                <c:pt idx="1182">
                  <c:v>5000</c:v>
                </c:pt>
                <c:pt idx="1183">
                  <c:v>9200</c:v>
                </c:pt>
                <c:pt idx="1184">
                  <c:v>7100</c:v>
                </c:pt>
                <c:pt idx="1185">
                  <c:v>12700</c:v>
                </c:pt>
                <c:pt idx="1186">
                  <c:v>13000</c:v>
                </c:pt>
                <c:pt idx="1187">
                  <c:v>5900</c:v>
                </c:pt>
                <c:pt idx="1188">
                  <c:v>6000</c:v>
                </c:pt>
                <c:pt idx="1189">
                  <c:v>13900</c:v>
                </c:pt>
                <c:pt idx="1190">
                  <c:v>4000</c:v>
                </c:pt>
                <c:pt idx="1191">
                  <c:v>6100</c:v>
                </c:pt>
                <c:pt idx="1192">
                  <c:v>6200</c:v>
                </c:pt>
                <c:pt idx="1193">
                  <c:v>8900</c:v>
                </c:pt>
                <c:pt idx="1194">
                  <c:v>8100</c:v>
                </c:pt>
                <c:pt idx="1195">
                  <c:v>14600</c:v>
                </c:pt>
                <c:pt idx="1196">
                  <c:v>9900</c:v>
                </c:pt>
                <c:pt idx="1197">
                  <c:v>5500</c:v>
                </c:pt>
                <c:pt idx="1198">
                  <c:v>11400</c:v>
                </c:pt>
                <c:pt idx="1199">
                  <c:v>7600</c:v>
                </c:pt>
                <c:pt idx="1200">
                  <c:v>11300</c:v>
                </c:pt>
                <c:pt idx="1201">
                  <c:v>11200</c:v>
                </c:pt>
                <c:pt idx="1202">
                  <c:v>9000</c:v>
                </c:pt>
                <c:pt idx="1203">
                  <c:v>14400</c:v>
                </c:pt>
                <c:pt idx="1204">
                  <c:v>10700</c:v>
                </c:pt>
                <c:pt idx="1205">
                  <c:v>7100</c:v>
                </c:pt>
                <c:pt idx="1206">
                  <c:v>14800</c:v>
                </c:pt>
                <c:pt idx="1207">
                  <c:v>7200</c:v>
                </c:pt>
                <c:pt idx="1208">
                  <c:v>14500</c:v>
                </c:pt>
                <c:pt idx="1209">
                  <c:v>5100</c:v>
                </c:pt>
                <c:pt idx="1210">
                  <c:v>4200</c:v>
                </c:pt>
                <c:pt idx="1211">
                  <c:v>4900</c:v>
                </c:pt>
                <c:pt idx="1212">
                  <c:v>8000</c:v>
                </c:pt>
                <c:pt idx="1213">
                  <c:v>9900</c:v>
                </c:pt>
                <c:pt idx="1214">
                  <c:v>8600</c:v>
                </c:pt>
                <c:pt idx="1215">
                  <c:v>6200</c:v>
                </c:pt>
                <c:pt idx="1216">
                  <c:v>4100</c:v>
                </c:pt>
                <c:pt idx="1217">
                  <c:v>4200</c:v>
                </c:pt>
                <c:pt idx="1218">
                  <c:v>10700</c:v>
                </c:pt>
                <c:pt idx="1219">
                  <c:v>8500</c:v>
                </c:pt>
                <c:pt idx="1220">
                  <c:v>11000</c:v>
                </c:pt>
                <c:pt idx="1221">
                  <c:v>6100</c:v>
                </c:pt>
                <c:pt idx="1222">
                  <c:v>5900</c:v>
                </c:pt>
                <c:pt idx="1223">
                  <c:v>5800</c:v>
                </c:pt>
                <c:pt idx="1224">
                  <c:v>14700</c:v>
                </c:pt>
                <c:pt idx="1225">
                  <c:v>9800</c:v>
                </c:pt>
                <c:pt idx="1226">
                  <c:v>5500</c:v>
                </c:pt>
                <c:pt idx="1227">
                  <c:v>6200</c:v>
                </c:pt>
                <c:pt idx="1228">
                  <c:v>11500</c:v>
                </c:pt>
                <c:pt idx="1229">
                  <c:v>13600</c:v>
                </c:pt>
                <c:pt idx="1230">
                  <c:v>9800</c:v>
                </c:pt>
                <c:pt idx="1231">
                  <c:v>11100</c:v>
                </c:pt>
                <c:pt idx="1232">
                  <c:v>12400</c:v>
                </c:pt>
                <c:pt idx="1233">
                  <c:v>5400</c:v>
                </c:pt>
                <c:pt idx="1234">
                  <c:v>9800</c:v>
                </c:pt>
                <c:pt idx="1235">
                  <c:v>4600</c:v>
                </c:pt>
                <c:pt idx="1236">
                  <c:v>4100</c:v>
                </c:pt>
                <c:pt idx="1237">
                  <c:v>5100</c:v>
                </c:pt>
                <c:pt idx="1238">
                  <c:v>4900</c:v>
                </c:pt>
                <c:pt idx="1239">
                  <c:v>8200</c:v>
                </c:pt>
                <c:pt idx="1240">
                  <c:v>5400</c:v>
                </c:pt>
                <c:pt idx="1241">
                  <c:v>4300</c:v>
                </c:pt>
                <c:pt idx="1242">
                  <c:v>8400</c:v>
                </c:pt>
                <c:pt idx="1243">
                  <c:v>7200</c:v>
                </c:pt>
                <c:pt idx="1244">
                  <c:v>6600</c:v>
                </c:pt>
                <c:pt idx="1245">
                  <c:v>7500</c:v>
                </c:pt>
                <c:pt idx="1246">
                  <c:v>11800</c:v>
                </c:pt>
                <c:pt idx="1247">
                  <c:v>8800</c:v>
                </c:pt>
                <c:pt idx="1248">
                  <c:v>14100</c:v>
                </c:pt>
                <c:pt idx="1249">
                  <c:v>14100</c:v>
                </c:pt>
                <c:pt idx="1250">
                  <c:v>14600</c:v>
                </c:pt>
                <c:pt idx="1251">
                  <c:v>4800</c:v>
                </c:pt>
                <c:pt idx="1252">
                  <c:v>10600</c:v>
                </c:pt>
                <c:pt idx="1253">
                  <c:v>5500</c:v>
                </c:pt>
                <c:pt idx="1254">
                  <c:v>7000</c:v>
                </c:pt>
                <c:pt idx="1255">
                  <c:v>10700</c:v>
                </c:pt>
                <c:pt idx="1256">
                  <c:v>7900</c:v>
                </c:pt>
                <c:pt idx="1257">
                  <c:v>11000</c:v>
                </c:pt>
                <c:pt idx="1258">
                  <c:v>11200</c:v>
                </c:pt>
                <c:pt idx="1259">
                  <c:v>14200</c:v>
                </c:pt>
                <c:pt idx="1260">
                  <c:v>8300</c:v>
                </c:pt>
                <c:pt idx="1261">
                  <c:v>11400</c:v>
                </c:pt>
                <c:pt idx="1262">
                  <c:v>13400</c:v>
                </c:pt>
                <c:pt idx="1263">
                  <c:v>5800</c:v>
                </c:pt>
                <c:pt idx="1264">
                  <c:v>11000</c:v>
                </c:pt>
                <c:pt idx="1265">
                  <c:v>14200</c:v>
                </c:pt>
                <c:pt idx="1266">
                  <c:v>5500</c:v>
                </c:pt>
                <c:pt idx="1267">
                  <c:v>10400</c:v>
                </c:pt>
                <c:pt idx="1268">
                  <c:v>6400</c:v>
                </c:pt>
                <c:pt idx="1269">
                  <c:v>12300</c:v>
                </c:pt>
                <c:pt idx="1270">
                  <c:v>10300</c:v>
                </c:pt>
                <c:pt idx="1271">
                  <c:v>9500</c:v>
                </c:pt>
                <c:pt idx="1272">
                  <c:v>14500</c:v>
                </c:pt>
                <c:pt idx="1273">
                  <c:v>14500</c:v>
                </c:pt>
                <c:pt idx="1274">
                  <c:v>10200</c:v>
                </c:pt>
                <c:pt idx="1275">
                  <c:v>12200</c:v>
                </c:pt>
                <c:pt idx="1276">
                  <c:v>5800</c:v>
                </c:pt>
                <c:pt idx="1277">
                  <c:v>6300</c:v>
                </c:pt>
                <c:pt idx="1278">
                  <c:v>14300</c:v>
                </c:pt>
                <c:pt idx="1279">
                  <c:v>6500</c:v>
                </c:pt>
                <c:pt idx="1280">
                  <c:v>10300</c:v>
                </c:pt>
                <c:pt idx="1281">
                  <c:v>7200</c:v>
                </c:pt>
                <c:pt idx="1282">
                  <c:v>13400</c:v>
                </c:pt>
                <c:pt idx="1283">
                  <c:v>9200</c:v>
                </c:pt>
                <c:pt idx="1284">
                  <c:v>8800</c:v>
                </c:pt>
                <c:pt idx="1285">
                  <c:v>13000</c:v>
                </c:pt>
                <c:pt idx="1286">
                  <c:v>4500</c:v>
                </c:pt>
                <c:pt idx="1287">
                  <c:v>10600</c:v>
                </c:pt>
                <c:pt idx="1288">
                  <c:v>4000</c:v>
                </c:pt>
                <c:pt idx="1289">
                  <c:v>8000</c:v>
                </c:pt>
                <c:pt idx="1290">
                  <c:v>7600</c:v>
                </c:pt>
                <c:pt idx="1291">
                  <c:v>8800</c:v>
                </c:pt>
                <c:pt idx="1292">
                  <c:v>10500</c:v>
                </c:pt>
                <c:pt idx="1293">
                  <c:v>6500</c:v>
                </c:pt>
                <c:pt idx="1294">
                  <c:v>9500</c:v>
                </c:pt>
                <c:pt idx="1295">
                  <c:v>7500</c:v>
                </c:pt>
                <c:pt idx="1296">
                  <c:v>14800</c:v>
                </c:pt>
                <c:pt idx="1297">
                  <c:v>4800</c:v>
                </c:pt>
                <c:pt idx="1298">
                  <c:v>11600</c:v>
                </c:pt>
                <c:pt idx="1299">
                  <c:v>9700</c:v>
                </c:pt>
                <c:pt idx="1300">
                  <c:v>7200</c:v>
                </c:pt>
                <c:pt idx="1301">
                  <c:v>5900</c:v>
                </c:pt>
                <c:pt idx="1302">
                  <c:v>12500</c:v>
                </c:pt>
                <c:pt idx="1303">
                  <c:v>14100</c:v>
                </c:pt>
                <c:pt idx="1304">
                  <c:v>4400</c:v>
                </c:pt>
                <c:pt idx="1305">
                  <c:v>12900</c:v>
                </c:pt>
                <c:pt idx="1306">
                  <c:v>6900</c:v>
                </c:pt>
                <c:pt idx="1307">
                  <c:v>10700</c:v>
                </c:pt>
                <c:pt idx="1308">
                  <c:v>5200</c:v>
                </c:pt>
                <c:pt idx="1309">
                  <c:v>7200</c:v>
                </c:pt>
                <c:pt idx="1310">
                  <c:v>14600</c:v>
                </c:pt>
                <c:pt idx="1311">
                  <c:v>10700</c:v>
                </c:pt>
                <c:pt idx="1312">
                  <c:v>13000</c:v>
                </c:pt>
                <c:pt idx="1313">
                  <c:v>12900</c:v>
                </c:pt>
                <c:pt idx="1314">
                  <c:v>5800</c:v>
                </c:pt>
                <c:pt idx="1315">
                  <c:v>9200</c:v>
                </c:pt>
                <c:pt idx="1316">
                  <c:v>12600</c:v>
                </c:pt>
                <c:pt idx="1317">
                  <c:v>10000</c:v>
                </c:pt>
                <c:pt idx="1318">
                  <c:v>13200</c:v>
                </c:pt>
                <c:pt idx="1319">
                  <c:v>14700</c:v>
                </c:pt>
                <c:pt idx="1320">
                  <c:v>14800</c:v>
                </c:pt>
                <c:pt idx="1321">
                  <c:v>13500</c:v>
                </c:pt>
                <c:pt idx="1322">
                  <c:v>13300</c:v>
                </c:pt>
                <c:pt idx="1323">
                  <c:v>14100</c:v>
                </c:pt>
                <c:pt idx="1324">
                  <c:v>7400</c:v>
                </c:pt>
                <c:pt idx="1325">
                  <c:v>8500</c:v>
                </c:pt>
                <c:pt idx="1326">
                  <c:v>10700</c:v>
                </c:pt>
                <c:pt idx="1327">
                  <c:v>10100</c:v>
                </c:pt>
                <c:pt idx="1328">
                  <c:v>5500</c:v>
                </c:pt>
                <c:pt idx="1329">
                  <c:v>9100</c:v>
                </c:pt>
                <c:pt idx="1330">
                  <c:v>5700</c:v>
                </c:pt>
                <c:pt idx="1331">
                  <c:v>5200</c:v>
                </c:pt>
                <c:pt idx="1332">
                  <c:v>4800</c:v>
                </c:pt>
                <c:pt idx="1333">
                  <c:v>12200</c:v>
                </c:pt>
                <c:pt idx="1334">
                  <c:v>12300</c:v>
                </c:pt>
                <c:pt idx="1335">
                  <c:v>10500</c:v>
                </c:pt>
                <c:pt idx="1336">
                  <c:v>10000</c:v>
                </c:pt>
                <c:pt idx="1337">
                  <c:v>9600</c:v>
                </c:pt>
                <c:pt idx="1338">
                  <c:v>4600</c:v>
                </c:pt>
                <c:pt idx="1339">
                  <c:v>7900</c:v>
                </c:pt>
                <c:pt idx="1340">
                  <c:v>15000</c:v>
                </c:pt>
                <c:pt idx="1341">
                  <c:v>5900</c:v>
                </c:pt>
                <c:pt idx="1342">
                  <c:v>14200</c:v>
                </c:pt>
                <c:pt idx="1343">
                  <c:v>9200</c:v>
                </c:pt>
                <c:pt idx="1344">
                  <c:v>10700</c:v>
                </c:pt>
                <c:pt idx="1345">
                  <c:v>9500</c:v>
                </c:pt>
                <c:pt idx="1346">
                  <c:v>7300</c:v>
                </c:pt>
                <c:pt idx="1347">
                  <c:v>4600</c:v>
                </c:pt>
                <c:pt idx="1348">
                  <c:v>12700</c:v>
                </c:pt>
                <c:pt idx="1349">
                  <c:v>6900</c:v>
                </c:pt>
                <c:pt idx="1350">
                  <c:v>9000</c:v>
                </c:pt>
                <c:pt idx="1351">
                  <c:v>10100</c:v>
                </c:pt>
                <c:pt idx="1352">
                  <c:v>9900</c:v>
                </c:pt>
                <c:pt idx="1353">
                  <c:v>13000</c:v>
                </c:pt>
                <c:pt idx="1354">
                  <c:v>10100</c:v>
                </c:pt>
                <c:pt idx="1355">
                  <c:v>13500</c:v>
                </c:pt>
                <c:pt idx="1356">
                  <c:v>12700</c:v>
                </c:pt>
                <c:pt idx="1357">
                  <c:v>10300</c:v>
                </c:pt>
                <c:pt idx="1358">
                  <c:v>12100</c:v>
                </c:pt>
                <c:pt idx="1359">
                  <c:v>11700</c:v>
                </c:pt>
                <c:pt idx="1360">
                  <c:v>7500</c:v>
                </c:pt>
                <c:pt idx="1361">
                  <c:v>14600</c:v>
                </c:pt>
                <c:pt idx="1362">
                  <c:v>4200</c:v>
                </c:pt>
                <c:pt idx="1363">
                  <c:v>12300</c:v>
                </c:pt>
                <c:pt idx="1364">
                  <c:v>5600</c:v>
                </c:pt>
                <c:pt idx="1365">
                  <c:v>14200</c:v>
                </c:pt>
                <c:pt idx="1366">
                  <c:v>13400</c:v>
                </c:pt>
                <c:pt idx="1367">
                  <c:v>14700</c:v>
                </c:pt>
                <c:pt idx="1368">
                  <c:v>7600</c:v>
                </c:pt>
                <c:pt idx="1369">
                  <c:v>12200</c:v>
                </c:pt>
                <c:pt idx="1370">
                  <c:v>8300</c:v>
                </c:pt>
                <c:pt idx="1371">
                  <c:v>9800</c:v>
                </c:pt>
                <c:pt idx="1372">
                  <c:v>10300</c:v>
                </c:pt>
                <c:pt idx="1373">
                  <c:v>7400</c:v>
                </c:pt>
                <c:pt idx="1374">
                  <c:v>6200</c:v>
                </c:pt>
                <c:pt idx="1375">
                  <c:v>8800</c:v>
                </c:pt>
                <c:pt idx="1376">
                  <c:v>7300</c:v>
                </c:pt>
                <c:pt idx="1377">
                  <c:v>12600</c:v>
                </c:pt>
                <c:pt idx="1378">
                  <c:v>11000</c:v>
                </c:pt>
                <c:pt idx="1379">
                  <c:v>11200</c:v>
                </c:pt>
                <c:pt idx="1380">
                  <c:v>4400</c:v>
                </c:pt>
                <c:pt idx="1381">
                  <c:v>4800</c:v>
                </c:pt>
                <c:pt idx="1382">
                  <c:v>11700</c:v>
                </c:pt>
                <c:pt idx="1383">
                  <c:v>6400</c:v>
                </c:pt>
                <c:pt idx="1384">
                  <c:v>8000</c:v>
                </c:pt>
                <c:pt idx="1385">
                  <c:v>8100</c:v>
                </c:pt>
                <c:pt idx="1386">
                  <c:v>12700</c:v>
                </c:pt>
                <c:pt idx="1387">
                  <c:v>5200</c:v>
                </c:pt>
                <c:pt idx="1388">
                  <c:v>11400</c:v>
                </c:pt>
                <c:pt idx="1389">
                  <c:v>7000</c:v>
                </c:pt>
                <c:pt idx="1390">
                  <c:v>10000</c:v>
                </c:pt>
                <c:pt idx="1391">
                  <c:v>4700</c:v>
                </c:pt>
                <c:pt idx="1392">
                  <c:v>13300</c:v>
                </c:pt>
                <c:pt idx="1393">
                  <c:v>13400</c:v>
                </c:pt>
                <c:pt idx="1394">
                  <c:v>11200</c:v>
                </c:pt>
                <c:pt idx="1395">
                  <c:v>13200</c:v>
                </c:pt>
                <c:pt idx="1396">
                  <c:v>9400</c:v>
                </c:pt>
                <c:pt idx="1397">
                  <c:v>8600</c:v>
                </c:pt>
                <c:pt idx="1398">
                  <c:v>13000</c:v>
                </c:pt>
                <c:pt idx="1399">
                  <c:v>8500</c:v>
                </c:pt>
                <c:pt idx="1400">
                  <c:v>11400</c:v>
                </c:pt>
                <c:pt idx="1401">
                  <c:v>5500</c:v>
                </c:pt>
                <c:pt idx="1402">
                  <c:v>5000</c:v>
                </c:pt>
                <c:pt idx="1403">
                  <c:v>14900</c:v>
                </c:pt>
                <c:pt idx="1404">
                  <c:v>4500</c:v>
                </c:pt>
                <c:pt idx="1405">
                  <c:v>14500</c:v>
                </c:pt>
                <c:pt idx="1406">
                  <c:v>4300</c:v>
                </c:pt>
                <c:pt idx="1407">
                  <c:v>10700</c:v>
                </c:pt>
                <c:pt idx="1408">
                  <c:v>8600</c:v>
                </c:pt>
                <c:pt idx="1409">
                  <c:v>13700</c:v>
                </c:pt>
                <c:pt idx="1410">
                  <c:v>10100</c:v>
                </c:pt>
                <c:pt idx="1411">
                  <c:v>5400</c:v>
                </c:pt>
                <c:pt idx="1412">
                  <c:v>12300</c:v>
                </c:pt>
                <c:pt idx="1413">
                  <c:v>6400</c:v>
                </c:pt>
                <c:pt idx="1414">
                  <c:v>8500</c:v>
                </c:pt>
                <c:pt idx="1415">
                  <c:v>9900</c:v>
                </c:pt>
                <c:pt idx="1416">
                  <c:v>11900</c:v>
                </c:pt>
                <c:pt idx="1417">
                  <c:v>7900</c:v>
                </c:pt>
                <c:pt idx="1418">
                  <c:v>6800</c:v>
                </c:pt>
                <c:pt idx="1419">
                  <c:v>13400</c:v>
                </c:pt>
                <c:pt idx="1420">
                  <c:v>4400</c:v>
                </c:pt>
                <c:pt idx="1421">
                  <c:v>6900</c:v>
                </c:pt>
                <c:pt idx="1422">
                  <c:v>13000</c:v>
                </c:pt>
                <c:pt idx="1423">
                  <c:v>6000</c:v>
                </c:pt>
                <c:pt idx="1424">
                  <c:v>4800</c:v>
                </c:pt>
                <c:pt idx="1425">
                  <c:v>10200</c:v>
                </c:pt>
                <c:pt idx="1426">
                  <c:v>5600</c:v>
                </c:pt>
                <c:pt idx="1427">
                  <c:v>8000</c:v>
                </c:pt>
                <c:pt idx="1428">
                  <c:v>6000</c:v>
                </c:pt>
                <c:pt idx="1429">
                  <c:v>14800</c:v>
                </c:pt>
                <c:pt idx="1430">
                  <c:v>11100</c:v>
                </c:pt>
                <c:pt idx="1431">
                  <c:v>14500</c:v>
                </c:pt>
                <c:pt idx="1432">
                  <c:v>13600</c:v>
                </c:pt>
                <c:pt idx="1433">
                  <c:v>5400</c:v>
                </c:pt>
                <c:pt idx="1434">
                  <c:v>7100</c:v>
                </c:pt>
                <c:pt idx="1435">
                  <c:v>4600</c:v>
                </c:pt>
                <c:pt idx="1436">
                  <c:v>11300</c:v>
                </c:pt>
                <c:pt idx="1437">
                  <c:v>13300</c:v>
                </c:pt>
                <c:pt idx="1438">
                  <c:v>14900</c:v>
                </c:pt>
                <c:pt idx="1439">
                  <c:v>14600</c:v>
                </c:pt>
                <c:pt idx="1440">
                  <c:v>10100</c:v>
                </c:pt>
                <c:pt idx="1441">
                  <c:v>7500</c:v>
                </c:pt>
                <c:pt idx="1442">
                  <c:v>9900</c:v>
                </c:pt>
                <c:pt idx="1443">
                  <c:v>7200</c:v>
                </c:pt>
                <c:pt idx="1444">
                  <c:v>15000</c:v>
                </c:pt>
                <c:pt idx="1445">
                  <c:v>6900</c:v>
                </c:pt>
                <c:pt idx="1446">
                  <c:v>12400</c:v>
                </c:pt>
                <c:pt idx="1447">
                  <c:v>5000</c:v>
                </c:pt>
                <c:pt idx="1448">
                  <c:v>5800</c:v>
                </c:pt>
                <c:pt idx="1449">
                  <c:v>13800</c:v>
                </c:pt>
                <c:pt idx="1450">
                  <c:v>6100</c:v>
                </c:pt>
                <c:pt idx="1451">
                  <c:v>13300</c:v>
                </c:pt>
                <c:pt idx="1452">
                  <c:v>4100</c:v>
                </c:pt>
                <c:pt idx="1453">
                  <c:v>6700</c:v>
                </c:pt>
                <c:pt idx="1454">
                  <c:v>14800</c:v>
                </c:pt>
                <c:pt idx="1455">
                  <c:v>5800</c:v>
                </c:pt>
                <c:pt idx="1456">
                  <c:v>10700</c:v>
                </c:pt>
                <c:pt idx="1457">
                  <c:v>10000</c:v>
                </c:pt>
                <c:pt idx="1458">
                  <c:v>6200</c:v>
                </c:pt>
                <c:pt idx="1459">
                  <c:v>14800</c:v>
                </c:pt>
                <c:pt idx="1460">
                  <c:v>12500</c:v>
                </c:pt>
                <c:pt idx="1461">
                  <c:v>7000</c:v>
                </c:pt>
                <c:pt idx="1462">
                  <c:v>7300</c:v>
                </c:pt>
                <c:pt idx="1463">
                  <c:v>9900</c:v>
                </c:pt>
                <c:pt idx="1464">
                  <c:v>7800</c:v>
                </c:pt>
                <c:pt idx="1465">
                  <c:v>8100</c:v>
                </c:pt>
                <c:pt idx="1466">
                  <c:v>4500</c:v>
                </c:pt>
                <c:pt idx="1467">
                  <c:v>8300</c:v>
                </c:pt>
                <c:pt idx="1468">
                  <c:v>7500</c:v>
                </c:pt>
                <c:pt idx="1469">
                  <c:v>5800</c:v>
                </c:pt>
                <c:pt idx="1470">
                  <c:v>9900</c:v>
                </c:pt>
                <c:pt idx="1471">
                  <c:v>5500</c:v>
                </c:pt>
                <c:pt idx="1472">
                  <c:v>5700</c:v>
                </c:pt>
                <c:pt idx="1473">
                  <c:v>7200</c:v>
                </c:pt>
                <c:pt idx="1474">
                  <c:v>10800</c:v>
                </c:pt>
                <c:pt idx="1475">
                  <c:v>6800</c:v>
                </c:pt>
                <c:pt idx="1476">
                  <c:v>14500</c:v>
                </c:pt>
                <c:pt idx="1477">
                  <c:v>11300</c:v>
                </c:pt>
                <c:pt idx="1478">
                  <c:v>12600</c:v>
                </c:pt>
                <c:pt idx="1479">
                  <c:v>11800</c:v>
                </c:pt>
                <c:pt idx="1480">
                  <c:v>13000</c:v>
                </c:pt>
                <c:pt idx="1481">
                  <c:v>8600</c:v>
                </c:pt>
                <c:pt idx="1482">
                  <c:v>12800</c:v>
                </c:pt>
                <c:pt idx="1483">
                  <c:v>11600</c:v>
                </c:pt>
                <c:pt idx="1484">
                  <c:v>5200</c:v>
                </c:pt>
                <c:pt idx="1485">
                  <c:v>6600</c:v>
                </c:pt>
                <c:pt idx="1486">
                  <c:v>8600</c:v>
                </c:pt>
                <c:pt idx="1487">
                  <c:v>8400</c:v>
                </c:pt>
                <c:pt idx="1488">
                  <c:v>10400</c:v>
                </c:pt>
                <c:pt idx="1489">
                  <c:v>12200</c:v>
                </c:pt>
                <c:pt idx="1490">
                  <c:v>7200</c:v>
                </c:pt>
                <c:pt idx="1491">
                  <c:v>14400</c:v>
                </c:pt>
                <c:pt idx="1492">
                  <c:v>14300</c:v>
                </c:pt>
                <c:pt idx="1493">
                  <c:v>7300</c:v>
                </c:pt>
                <c:pt idx="1494">
                  <c:v>13500</c:v>
                </c:pt>
                <c:pt idx="1495">
                  <c:v>9400</c:v>
                </c:pt>
                <c:pt idx="1496">
                  <c:v>10800</c:v>
                </c:pt>
                <c:pt idx="1497">
                  <c:v>7200</c:v>
                </c:pt>
                <c:pt idx="1498">
                  <c:v>11100</c:v>
                </c:pt>
                <c:pt idx="1499">
                  <c:v>7900</c:v>
                </c:pt>
                <c:pt idx="1500">
                  <c:v>6600</c:v>
                </c:pt>
                <c:pt idx="1501">
                  <c:v>13400</c:v>
                </c:pt>
                <c:pt idx="1502">
                  <c:v>5800</c:v>
                </c:pt>
                <c:pt idx="1503">
                  <c:v>10900</c:v>
                </c:pt>
                <c:pt idx="1504">
                  <c:v>5300</c:v>
                </c:pt>
                <c:pt idx="1505">
                  <c:v>5100</c:v>
                </c:pt>
                <c:pt idx="1506">
                  <c:v>10200</c:v>
                </c:pt>
                <c:pt idx="1507">
                  <c:v>11900</c:v>
                </c:pt>
                <c:pt idx="1508">
                  <c:v>12300</c:v>
                </c:pt>
                <c:pt idx="1509">
                  <c:v>5600</c:v>
                </c:pt>
                <c:pt idx="1510">
                  <c:v>14700</c:v>
                </c:pt>
                <c:pt idx="1511">
                  <c:v>4900</c:v>
                </c:pt>
                <c:pt idx="1512">
                  <c:v>8500</c:v>
                </c:pt>
                <c:pt idx="1513">
                  <c:v>9200</c:v>
                </c:pt>
                <c:pt idx="1514">
                  <c:v>13400</c:v>
                </c:pt>
                <c:pt idx="1515">
                  <c:v>10800</c:v>
                </c:pt>
                <c:pt idx="1516">
                  <c:v>12400</c:v>
                </c:pt>
                <c:pt idx="1517">
                  <c:v>7800</c:v>
                </c:pt>
                <c:pt idx="1518">
                  <c:v>11300</c:v>
                </c:pt>
                <c:pt idx="1519">
                  <c:v>6300</c:v>
                </c:pt>
                <c:pt idx="1520">
                  <c:v>11500</c:v>
                </c:pt>
                <c:pt idx="1521">
                  <c:v>14100</c:v>
                </c:pt>
                <c:pt idx="1522">
                  <c:v>4500</c:v>
                </c:pt>
                <c:pt idx="1523">
                  <c:v>9500</c:v>
                </c:pt>
                <c:pt idx="1524">
                  <c:v>15000</c:v>
                </c:pt>
                <c:pt idx="1525">
                  <c:v>4500</c:v>
                </c:pt>
                <c:pt idx="1526">
                  <c:v>14500</c:v>
                </c:pt>
                <c:pt idx="1527">
                  <c:v>5800</c:v>
                </c:pt>
                <c:pt idx="1528">
                  <c:v>13900</c:v>
                </c:pt>
                <c:pt idx="1529">
                  <c:v>7400</c:v>
                </c:pt>
                <c:pt idx="1530">
                  <c:v>5000</c:v>
                </c:pt>
                <c:pt idx="1531">
                  <c:v>11700</c:v>
                </c:pt>
                <c:pt idx="1532">
                  <c:v>11600</c:v>
                </c:pt>
                <c:pt idx="1533">
                  <c:v>13800</c:v>
                </c:pt>
                <c:pt idx="1534">
                  <c:v>11200</c:v>
                </c:pt>
                <c:pt idx="1535">
                  <c:v>14500</c:v>
                </c:pt>
                <c:pt idx="1536">
                  <c:v>10600</c:v>
                </c:pt>
                <c:pt idx="1537">
                  <c:v>7900</c:v>
                </c:pt>
                <c:pt idx="1538">
                  <c:v>8200</c:v>
                </c:pt>
                <c:pt idx="1539">
                  <c:v>9200</c:v>
                </c:pt>
                <c:pt idx="1540">
                  <c:v>5500</c:v>
                </c:pt>
                <c:pt idx="1541">
                  <c:v>8600</c:v>
                </c:pt>
                <c:pt idx="1542">
                  <c:v>8200</c:v>
                </c:pt>
                <c:pt idx="1543">
                  <c:v>10800</c:v>
                </c:pt>
                <c:pt idx="1544">
                  <c:v>9800</c:v>
                </c:pt>
                <c:pt idx="1545">
                  <c:v>7100</c:v>
                </c:pt>
                <c:pt idx="1546">
                  <c:v>14400</c:v>
                </c:pt>
                <c:pt idx="1547">
                  <c:v>11400</c:v>
                </c:pt>
                <c:pt idx="1548">
                  <c:v>12600</c:v>
                </c:pt>
                <c:pt idx="1549">
                  <c:v>10100</c:v>
                </c:pt>
                <c:pt idx="1550">
                  <c:v>9900</c:v>
                </c:pt>
                <c:pt idx="1551">
                  <c:v>14900</c:v>
                </c:pt>
                <c:pt idx="1552">
                  <c:v>13700</c:v>
                </c:pt>
                <c:pt idx="1553">
                  <c:v>5300</c:v>
                </c:pt>
                <c:pt idx="1554">
                  <c:v>12700</c:v>
                </c:pt>
                <c:pt idx="1555">
                  <c:v>8900</c:v>
                </c:pt>
                <c:pt idx="1556">
                  <c:v>4300</c:v>
                </c:pt>
                <c:pt idx="1557">
                  <c:v>9200</c:v>
                </c:pt>
                <c:pt idx="1558">
                  <c:v>4300</c:v>
                </c:pt>
                <c:pt idx="1559">
                  <c:v>8000</c:v>
                </c:pt>
                <c:pt idx="1560">
                  <c:v>6300</c:v>
                </c:pt>
                <c:pt idx="1561">
                  <c:v>8600</c:v>
                </c:pt>
                <c:pt idx="1562">
                  <c:v>13100</c:v>
                </c:pt>
                <c:pt idx="1563">
                  <c:v>10700</c:v>
                </c:pt>
                <c:pt idx="1564">
                  <c:v>4100</c:v>
                </c:pt>
                <c:pt idx="1565">
                  <c:v>14800</c:v>
                </c:pt>
                <c:pt idx="1566">
                  <c:v>12900</c:v>
                </c:pt>
                <c:pt idx="1567">
                  <c:v>10100</c:v>
                </c:pt>
                <c:pt idx="1568">
                  <c:v>9500</c:v>
                </c:pt>
                <c:pt idx="1569">
                  <c:v>8200</c:v>
                </c:pt>
                <c:pt idx="1570">
                  <c:v>6600</c:v>
                </c:pt>
                <c:pt idx="1571">
                  <c:v>13400</c:v>
                </c:pt>
                <c:pt idx="1572">
                  <c:v>7500</c:v>
                </c:pt>
                <c:pt idx="1573">
                  <c:v>14300</c:v>
                </c:pt>
                <c:pt idx="1574">
                  <c:v>10000</c:v>
                </c:pt>
                <c:pt idx="1575">
                  <c:v>14500</c:v>
                </c:pt>
                <c:pt idx="1576">
                  <c:v>13600</c:v>
                </c:pt>
                <c:pt idx="1577">
                  <c:v>5000</c:v>
                </c:pt>
                <c:pt idx="1578">
                  <c:v>6200</c:v>
                </c:pt>
                <c:pt idx="1579">
                  <c:v>5300</c:v>
                </c:pt>
                <c:pt idx="1580">
                  <c:v>9600</c:v>
                </c:pt>
                <c:pt idx="1581">
                  <c:v>10000</c:v>
                </c:pt>
                <c:pt idx="1582">
                  <c:v>5900</c:v>
                </c:pt>
                <c:pt idx="1583">
                  <c:v>11900</c:v>
                </c:pt>
                <c:pt idx="1584">
                  <c:v>9900</c:v>
                </c:pt>
                <c:pt idx="1585">
                  <c:v>5500</c:v>
                </c:pt>
                <c:pt idx="1586">
                  <c:v>11900</c:v>
                </c:pt>
                <c:pt idx="1587">
                  <c:v>8100</c:v>
                </c:pt>
                <c:pt idx="1588">
                  <c:v>12400</c:v>
                </c:pt>
                <c:pt idx="1589">
                  <c:v>10800</c:v>
                </c:pt>
                <c:pt idx="1590">
                  <c:v>4300</c:v>
                </c:pt>
                <c:pt idx="1591">
                  <c:v>8600</c:v>
                </c:pt>
                <c:pt idx="1592">
                  <c:v>9200</c:v>
                </c:pt>
                <c:pt idx="1593">
                  <c:v>9500</c:v>
                </c:pt>
                <c:pt idx="1594">
                  <c:v>14400</c:v>
                </c:pt>
                <c:pt idx="1595">
                  <c:v>13700</c:v>
                </c:pt>
                <c:pt idx="1596">
                  <c:v>5500</c:v>
                </c:pt>
                <c:pt idx="1597">
                  <c:v>10400</c:v>
                </c:pt>
                <c:pt idx="1598">
                  <c:v>11100</c:v>
                </c:pt>
                <c:pt idx="1599">
                  <c:v>9400</c:v>
                </c:pt>
                <c:pt idx="1600">
                  <c:v>11300</c:v>
                </c:pt>
                <c:pt idx="1601">
                  <c:v>11900</c:v>
                </c:pt>
                <c:pt idx="1602">
                  <c:v>14400</c:v>
                </c:pt>
                <c:pt idx="1603">
                  <c:v>8000</c:v>
                </c:pt>
                <c:pt idx="1604">
                  <c:v>13300</c:v>
                </c:pt>
                <c:pt idx="1605">
                  <c:v>6400</c:v>
                </c:pt>
                <c:pt idx="1606">
                  <c:v>10400</c:v>
                </c:pt>
                <c:pt idx="1607">
                  <c:v>8200</c:v>
                </c:pt>
                <c:pt idx="1608">
                  <c:v>4900</c:v>
                </c:pt>
                <c:pt idx="1609">
                  <c:v>14300</c:v>
                </c:pt>
                <c:pt idx="1610">
                  <c:v>5900</c:v>
                </c:pt>
                <c:pt idx="1611">
                  <c:v>9000</c:v>
                </c:pt>
                <c:pt idx="1612">
                  <c:v>6400</c:v>
                </c:pt>
                <c:pt idx="1613">
                  <c:v>14400</c:v>
                </c:pt>
                <c:pt idx="1614">
                  <c:v>7200</c:v>
                </c:pt>
                <c:pt idx="1615">
                  <c:v>11800</c:v>
                </c:pt>
                <c:pt idx="1616">
                  <c:v>14500</c:v>
                </c:pt>
                <c:pt idx="1617">
                  <c:v>5600</c:v>
                </c:pt>
                <c:pt idx="1618">
                  <c:v>13100</c:v>
                </c:pt>
                <c:pt idx="1619">
                  <c:v>9400</c:v>
                </c:pt>
                <c:pt idx="1620">
                  <c:v>7700</c:v>
                </c:pt>
                <c:pt idx="1621">
                  <c:v>6400</c:v>
                </c:pt>
                <c:pt idx="1622">
                  <c:v>10900</c:v>
                </c:pt>
                <c:pt idx="1623">
                  <c:v>9600</c:v>
                </c:pt>
                <c:pt idx="1624">
                  <c:v>13300</c:v>
                </c:pt>
                <c:pt idx="1625">
                  <c:v>5800</c:v>
                </c:pt>
                <c:pt idx="1626">
                  <c:v>13100</c:v>
                </c:pt>
                <c:pt idx="1627">
                  <c:v>6700</c:v>
                </c:pt>
                <c:pt idx="1628">
                  <c:v>8200</c:v>
                </c:pt>
                <c:pt idx="1629">
                  <c:v>10700</c:v>
                </c:pt>
                <c:pt idx="1630">
                  <c:v>6300</c:v>
                </c:pt>
                <c:pt idx="1631">
                  <c:v>14600</c:v>
                </c:pt>
                <c:pt idx="1632">
                  <c:v>14800</c:v>
                </c:pt>
                <c:pt idx="1633">
                  <c:v>11700</c:v>
                </c:pt>
                <c:pt idx="1634">
                  <c:v>8300</c:v>
                </c:pt>
                <c:pt idx="1635">
                  <c:v>7600</c:v>
                </c:pt>
                <c:pt idx="1636">
                  <c:v>6200</c:v>
                </c:pt>
                <c:pt idx="1637">
                  <c:v>14100</c:v>
                </c:pt>
                <c:pt idx="1638">
                  <c:v>4100</c:v>
                </c:pt>
                <c:pt idx="1639">
                  <c:v>10500</c:v>
                </c:pt>
                <c:pt idx="1640">
                  <c:v>9300</c:v>
                </c:pt>
                <c:pt idx="1641">
                  <c:v>7400</c:v>
                </c:pt>
                <c:pt idx="1642">
                  <c:v>5900</c:v>
                </c:pt>
                <c:pt idx="1643">
                  <c:v>13900</c:v>
                </c:pt>
                <c:pt idx="1644">
                  <c:v>9400</c:v>
                </c:pt>
                <c:pt idx="1645">
                  <c:v>8100</c:v>
                </c:pt>
                <c:pt idx="1646">
                  <c:v>10200</c:v>
                </c:pt>
                <c:pt idx="1647">
                  <c:v>12700</c:v>
                </c:pt>
                <c:pt idx="1648">
                  <c:v>9900</c:v>
                </c:pt>
                <c:pt idx="1649">
                  <c:v>9800</c:v>
                </c:pt>
                <c:pt idx="1650">
                  <c:v>6900</c:v>
                </c:pt>
                <c:pt idx="1651">
                  <c:v>4700</c:v>
                </c:pt>
                <c:pt idx="1652">
                  <c:v>7400</c:v>
                </c:pt>
                <c:pt idx="1653">
                  <c:v>11700</c:v>
                </c:pt>
                <c:pt idx="1654">
                  <c:v>14000</c:v>
                </c:pt>
                <c:pt idx="1655">
                  <c:v>7200</c:v>
                </c:pt>
                <c:pt idx="1656">
                  <c:v>7600</c:v>
                </c:pt>
                <c:pt idx="1657">
                  <c:v>5500</c:v>
                </c:pt>
                <c:pt idx="1658">
                  <c:v>14100</c:v>
                </c:pt>
                <c:pt idx="1659">
                  <c:v>13800</c:v>
                </c:pt>
                <c:pt idx="1660">
                  <c:v>5300</c:v>
                </c:pt>
                <c:pt idx="1661">
                  <c:v>12400</c:v>
                </c:pt>
                <c:pt idx="1662">
                  <c:v>11100</c:v>
                </c:pt>
                <c:pt idx="1663">
                  <c:v>10100</c:v>
                </c:pt>
                <c:pt idx="1664">
                  <c:v>7900</c:v>
                </c:pt>
                <c:pt idx="1665">
                  <c:v>10300</c:v>
                </c:pt>
                <c:pt idx="1666">
                  <c:v>11100</c:v>
                </c:pt>
                <c:pt idx="1667">
                  <c:v>4500</c:v>
                </c:pt>
                <c:pt idx="1668">
                  <c:v>11900</c:v>
                </c:pt>
                <c:pt idx="1669">
                  <c:v>7600</c:v>
                </c:pt>
                <c:pt idx="1670">
                  <c:v>4400</c:v>
                </c:pt>
                <c:pt idx="1671">
                  <c:v>11800</c:v>
                </c:pt>
                <c:pt idx="1672">
                  <c:v>10700</c:v>
                </c:pt>
                <c:pt idx="1673">
                  <c:v>12800</c:v>
                </c:pt>
                <c:pt idx="1674">
                  <c:v>9400</c:v>
                </c:pt>
                <c:pt idx="1675">
                  <c:v>8300</c:v>
                </c:pt>
                <c:pt idx="1676">
                  <c:v>5400</c:v>
                </c:pt>
                <c:pt idx="1677">
                  <c:v>5800</c:v>
                </c:pt>
                <c:pt idx="1678">
                  <c:v>9800</c:v>
                </c:pt>
                <c:pt idx="1679">
                  <c:v>9800</c:v>
                </c:pt>
                <c:pt idx="1680">
                  <c:v>9500</c:v>
                </c:pt>
                <c:pt idx="1681">
                  <c:v>7400</c:v>
                </c:pt>
                <c:pt idx="1682">
                  <c:v>14000</c:v>
                </c:pt>
                <c:pt idx="1683">
                  <c:v>14000</c:v>
                </c:pt>
                <c:pt idx="1684">
                  <c:v>12000</c:v>
                </c:pt>
                <c:pt idx="1685">
                  <c:v>4500</c:v>
                </c:pt>
                <c:pt idx="1686">
                  <c:v>8600</c:v>
                </c:pt>
                <c:pt idx="1687">
                  <c:v>8900</c:v>
                </c:pt>
                <c:pt idx="1688">
                  <c:v>10700</c:v>
                </c:pt>
                <c:pt idx="1689">
                  <c:v>11400</c:v>
                </c:pt>
                <c:pt idx="1690">
                  <c:v>13900</c:v>
                </c:pt>
                <c:pt idx="1691">
                  <c:v>5900</c:v>
                </c:pt>
                <c:pt idx="1692">
                  <c:v>12000</c:v>
                </c:pt>
                <c:pt idx="1693">
                  <c:v>14100</c:v>
                </c:pt>
                <c:pt idx="1694">
                  <c:v>11800</c:v>
                </c:pt>
                <c:pt idx="1695">
                  <c:v>9800</c:v>
                </c:pt>
                <c:pt idx="1696">
                  <c:v>4500</c:v>
                </c:pt>
                <c:pt idx="1697">
                  <c:v>10200</c:v>
                </c:pt>
                <c:pt idx="1698">
                  <c:v>14500</c:v>
                </c:pt>
                <c:pt idx="1699">
                  <c:v>14400</c:v>
                </c:pt>
                <c:pt idx="1700">
                  <c:v>6600</c:v>
                </c:pt>
                <c:pt idx="1701">
                  <c:v>14500</c:v>
                </c:pt>
                <c:pt idx="1702">
                  <c:v>5300</c:v>
                </c:pt>
                <c:pt idx="1703">
                  <c:v>14800</c:v>
                </c:pt>
                <c:pt idx="1704">
                  <c:v>11600</c:v>
                </c:pt>
                <c:pt idx="1705">
                  <c:v>4200</c:v>
                </c:pt>
                <c:pt idx="1706">
                  <c:v>13100</c:v>
                </c:pt>
                <c:pt idx="1707">
                  <c:v>8200</c:v>
                </c:pt>
                <c:pt idx="1708">
                  <c:v>6000</c:v>
                </c:pt>
                <c:pt idx="1709">
                  <c:v>9000</c:v>
                </c:pt>
                <c:pt idx="1710">
                  <c:v>12700</c:v>
                </c:pt>
                <c:pt idx="1711">
                  <c:v>9500</c:v>
                </c:pt>
                <c:pt idx="1712">
                  <c:v>14500</c:v>
                </c:pt>
                <c:pt idx="1713">
                  <c:v>8200</c:v>
                </c:pt>
                <c:pt idx="1714">
                  <c:v>13400</c:v>
                </c:pt>
                <c:pt idx="1715">
                  <c:v>11900</c:v>
                </c:pt>
                <c:pt idx="1716">
                  <c:v>10300</c:v>
                </c:pt>
                <c:pt idx="1717">
                  <c:v>4500</c:v>
                </c:pt>
                <c:pt idx="1718">
                  <c:v>6800</c:v>
                </c:pt>
                <c:pt idx="1719">
                  <c:v>9800</c:v>
                </c:pt>
                <c:pt idx="1720">
                  <c:v>7300</c:v>
                </c:pt>
                <c:pt idx="1721">
                  <c:v>14800</c:v>
                </c:pt>
                <c:pt idx="1722">
                  <c:v>7600</c:v>
                </c:pt>
                <c:pt idx="1723">
                  <c:v>14000</c:v>
                </c:pt>
                <c:pt idx="1724">
                  <c:v>7000</c:v>
                </c:pt>
                <c:pt idx="1725">
                  <c:v>5600</c:v>
                </c:pt>
                <c:pt idx="1726">
                  <c:v>14100</c:v>
                </c:pt>
                <c:pt idx="1727">
                  <c:v>11100</c:v>
                </c:pt>
                <c:pt idx="1728">
                  <c:v>7900</c:v>
                </c:pt>
                <c:pt idx="1729">
                  <c:v>7400</c:v>
                </c:pt>
                <c:pt idx="1730">
                  <c:v>8200</c:v>
                </c:pt>
                <c:pt idx="1731">
                  <c:v>9400</c:v>
                </c:pt>
                <c:pt idx="1732">
                  <c:v>10900</c:v>
                </c:pt>
                <c:pt idx="1733">
                  <c:v>13700</c:v>
                </c:pt>
                <c:pt idx="1734">
                  <c:v>8100</c:v>
                </c:pt>
                <c:pt idx="1735">
                  <c:v>10600</c:v>
                </c:pt>
                <c:pt idx="1736">
                  <c:v>8300</c:v>
                </c:pt>
                <c:pt idx="1737">
                  <c:v>7400</c:v>
                </c:pt>
                <c:pt idx="1738">
                  <c:v>6500</c:v>
                </c:pt>
                <c:pt idx="1739">
                  <c:v>6500</c:v>
                </c:pt>
                <c:pt idx="1740">
                  <c:v>5000</c:v>
                </c:pt>
                <c:pt idx="1741">
                  <c:v>6300</c:v>
                </c:pt>
                <c:pt idx="1742">
                  <c:v>8000</c:v>
                </c:pt>
                <c:pt idx="1743">
                  <c:v>9300</c:v>
                </c:pt>
                <c:pt idx="1744">
                  <c:v>14600</c:v>
                </c:pt>
                <c:pt idx="1745">
                  <c:v>7600</c:v>
                </c:pt>
                <c:pt idx="1746">
                  <c:v>12300</c:v>
                </c:pt>
                <c:pt idx="1747">
                  <c:v>11300</c:v>
                </c:pt>
                <c:pt idx="1748">
                  <c:v>11800</c:v>
                </c:pt>
                <c:pt idx="1749">
                  <c:v>9000</c:v>
                </c:pt>
                <c:pt idx="1750">
                  <c:v>8700</c:v>
                </c:pt>
                <c:pt idx="1751">
                  <c:v>8100</c:v>
                </c:pt>
                <c:pt idx="1752">
                  <c:v>4500</c:v>
                </c:pt>
                <c:pt idx="1753">
                  <c:v>4000</c:v>
                </c:pt>
                <c:pt idx="1754">
                  <c:v>6100</c:v>
                </c:pt>
                <c:pt idx="1755">
                  <c:v>13700</c:v>
                </c:pt>
                <c:pt idx="1756">
                  <c:v>9500</c:v>
                </c:pt>
                <c:pt idx="1757">
                  <c:v>5100</c:v>
                </c:pt>
                <c:pt idx="1758">
                  <c:v>8700</c:v>
                </c:pt>
                <c:pt idx="1759">
                  <c:v>13900</c:v>
                </c:pt>
                <c:pt idx="1760">
                  <c:v>12700</c:v>
                </c:pt>
                <c:pt idx="1761">
                  <c:v>10600</c:v>
                </c:pt>
                <c:pt idx="1762">
                  <c:v>6700</c:v>
                </c:pt>
                <c:pt idx="1763">
                  <c:v>5300</c:v>
                </c:pt>
                <c:pt idx="1764">
                  <c:v>10100</c:v>
                </c:pt>
                <c:pt idx="1765">
                  <c:v>9400</c:v>
                </c:pt>
                <c:pt idx="1766">
                  <c:v>6400</c:v>
                </c:pt>
                <c:pt idx="1767">
                  <c:v>7100</c:v>
                </c:pt>
                <c:pt idx="1768">
                  <c:v>8500</c:v>
                </c:pt>
                <c:pt idx="1769">
                  <c:v>14600</c:v>
                </c:pt>
                <c:pt idx="1770">
                  <c:v>5800</c:v>
                </c:pt>
                <c:pt idx="1771">
                  <c:v>6100</c:v>
                </c:pt>
                <c:pt idx="1772">
                  <c:v>7600</c:v>
                </c:pt>
                <c:pt idx="1773">
                  <c:v>8700</c:v>
                </c:pt>
                <c:pt idx="1774">
                  <c:v>6000</c:v>
                </c:pt>
                <c:pt idx="1775">
                  <c:v>8300</c:v>
                </c:pt>
                <c:pt idx="1776">
                  <c:v>10100</c:v>
                </c:pt>
                <c:pt idx="1777">
                  <c:v>11400</c:v>
                </c:pt>
                <c:pt idx="1778">
                  <c:v>4500</c:v>
                </c:pt>
                <c:pt idx="1779">
                  <c:v>9100</c:v>
                </c:pt>
                <c:pt idx="1780">
                  <c:v>13400</c:v>
                </c:pt>
                <c:pt idx="1781">
                  <c:v>13700</c:v>
                </c:pt>
                <c:pt idx="1782">
                  <c:v>7400</c:v>
                </c:pt>
                <c:pt idx="1783">
                  <c:v>12000</c:v>
                </c:pt>
                <c:pt idx="1784">
                  <c:v>6300</c:v>
                </c:pt>
                <c:pt idx="1785">
                  <c:v>4100</c:v>
                </c:pt>
                <c:pt idx="1786">
                  <c:v>5800</c:v>
                </c:pt>
                <c:pt idx="1787">
                  <c:v>8500</c:v>
                </c:pt>
                <c:pt idx="1788">
                  <c:v>11200</c:v>
                </c:pt>
                <c:pt idx="1789">
                  <c:v>14700</c:v>
                </c:pt>
                <c:pt idx="1790">
                  <c:v>14200</c:v>
                </c:pt>
                <c:pt idx="1791">
                  <c:v>14500</c:v>
                </c:pt>
                <c:pt idx="1792">
                  <c:v>11300</c:v>
                </c:pt>
                <c:pt idx="1793">
                  <c:v>7800</c:v>
                </c:pt>
                <c:pt idx="1794">
                  <c:v>6600</c:v>
                </c:pt>
                <c:pt idx="1795">
                  <c:v>12300</c:v>
                </c:pt>
                <c:pt idx="1796">
                  <c:v>4000</c:v>
                </c:pt>
                <c:pt idx="1797">
                  <c:v>12100</c:v>
                </c:pt>
                <c:pt idx="1798">
                  <c:v>14700</c:v>
                </c:pt>
                <c:pt idx="1799">
                  <c:v>8400</c:v>
                </c:pt>
                <c:pt idx="1800">
                  <c:v>4700</c:v>
                </c:pt>
                <c:pt idx="1801">
                  <c:v>7000</c:v>
                </c:pt>
                <c:pt idx="1802">
                  <c:v>7900</c:v>
                </c:pt>
                <c:pt idx="1803">
                  <c:v>12100</c:v>
                </c:pt>
                <c:pt idx="1804">
                  <c:v>9200</c:v>
                </c:pt>
                <c:pt idx="1805">
                  <c:v>9700</c:v>
                </c:pt>
                <c:pt idx="1806">
                  <c:v>14600</c:v>
                </c:pt>
                <c:pt idx="1807">
                  <c:v>13700</c:v>
                </c:pt>
                <c:pt idx="1808">
                  <c:v>14800</c:v>
                </c:pt>
                <c:pt idx="1809">
                  <c:v>9000</c:v>
                </c:pt>
                <c:pt idx="1810">
                  <c:v>12100</c:v>
                </c:pt>
                <c:pt idx="1811">
                  <c:v>8000</c:v>
                </c:pt>
                <c:pt idx="1812">
                  <c:v>5700</c:v>
                </c:pt>
                <c:pt idx="1813">
                  <c:v>6000</c:v>
                </c:pt>
                <c:pt idx="1814">
                  <c:v>11900</c:v>
                </c:pt>
                <c:pt idx="1815">
                  <c:v>5300</c:v>
                </c:pt>
                <c:pt idx="1816">
                  <c:v>14600</c:v>
                </c:pt>
                <c:pt idx="1817">
                  <c:v>10800</c:v>
                </c:pt>
                <c:pt idx="1818">
                  <c:v>9700</c:v>
                </c:pt>
                <c:pt idx="1819">
                  <c:v>12500</c:v>
                </c:pt>
                <c:pt idx="1820">
                  <c:v>4600</c:v>
                </c:pt>
                <c:pt idx="1821">
                  <c:v>11900</c:v>
                </c:pt>
                <c:pt idx="1822">
                  <c:v>12600</c:v>
                </c:pt>
                <c:pt idx="1823">
                  <c:v>9100</c:v>
                </c:pt>
                <c:pt idx="1824">
                  <c:v>7500</c:v>
                </c:pt>
                <c:pt idx="1825">
                  <c:v>10900</c:v>
                </c:pt>
                <c:pt idx="1826">
                  <c:v>14400</c:v>
                </c:pt>
                <c:pt idx="1827">
                  <c:v>14400</c:v>
                </c:pt>
                <c:pt idx="1828">
                  <c:v>12100</c:v>
                </c:pt>
                <c:pt idx="1829">
                  <c:v>13600</c:v>
                </c:pt>
                <c:pt idx="1830">
                  <c:v>14500</c:v>
                </c:pt>
                <c:pt idx="1831">
                  <c:v>6100</c:v>
                </c:pt>
                <c:pt idx="1832">
                  <c:v>7900</c:v>
                </c:pt>
                <c:pt idx="1833">
                  <c:v>5400</c:v>
                </c:pt>
                <c:pt idx="1834">
                  <c:v>7000</c:v>
                </c:pt>
                <c:pt idx="1835">
                  <c:v>6800</c:v>
                </c:pt>
                <c:pt idx="1836">
                  <c:v>9500</c:v>
                </c:pt>
                <c:pt idx="1837">
                  <c:v>13000</c:v>
                </c:pt>
                <c:pt idx="1838">
                  <c:v>14700</c:v>
                </c:pt>
                <c:pt idx="1839">
                  <c:v>4200</c:v>
                </c:pt>
                <c:pt idx="1840">
                  <c:v>14800</c:v>
                </c:pt>
                <c:pt idx="1841">
                  <c:v>4700</c:v>
                </c:pt>
                <c:pt idx="1842">
                  <c:v>11200</c:v>
                </c:pt>
                <c:pt idx="1843">
                  <c:v>7400</c:v>
                </c:pt>
                <c:pt idx="1844">
                  <c:v>10400</c:v>
                </c:pt>
                <c:pt idx="1845">
                  <c:v>5100</c:v>
                </c:pt>
                <c:pt idx="1846">
                  <c:v>8000</c:v>
                </c:pt>
                <c:pt idx="1847">
                  <c:v>7400</c:v>
                </c:pt>
                <c:pt idx="1848">
                  <c:v>6200</c:v>
                </c:pt>
                <c:pt idx="1849">
                  <c:v>8300</c:v>
                </c:pt>
                <c:pt idx="1850">
                  <c:v>7100</c:v>
                </c:pt>
                <c:pt idx="1851">
                  <c:v>7700</c:v>
                </c:pt>
                <c:pt idx="1852">
                  <c:v>7400</c:v>
                </c:pt>
                <c:pt idx="1853">
                  <c:v>12800</c:v>
                </c:pt>
                <c:pt idx="1854">
                  <c:v>12500</c:v>
                </c:pt>
                <c:pt idx="1855">
                  <c:v>12000</c:v>
                </c:pt>
                <c:pt idx="1856">
                  <c:v>14300</c:v>
                </c:pt>
                <c:pt idx="1857">
                  <c:v>9100</c:v>
                </c:pt>
                <c:pt idx="1858">
                  <c:v>7700</c:v>
                </c:pt>
                <c:pt idx="1859">
                  <c:v>4700</c:v>
                </c:pt>
                <c:pt idx="1860">
                  <c:v>14600</c:v>
                </c:pt>
                <c:pt idx="1861">
                  <c:v>7600</c:v>
                </c:pt>
                <c:pt idx="1862">
                  <c:v>11200</c:v>
                </c:pt>
                <c:pt idx="1863">
                  <c:v>14500</c:v>
                </c:pt>
                <c:pt idx="1864">
                  <c:v>4600</c:v>
                </c:pt>
                <c:pt idx="1865">
                  <c:v>10400</c:v>
                </c:pt>
                <c:pt idx="1866">
                  <c:v>13400</c:v>
                </c:pt>
                <c:pt idx="1867">
                  <c:v>4900</c:v>
                </c:pt>
                <c:pt idx="1868">
                  <c:v>14100</c:v>
                </c:pt>
                <c:pt idx="1869">
                  <c:v>12200</c:v>
                </c:pt>
                <c:pt idx="1870">
                  <c:v>6900</c:v>
                </c:pt>
                <c:pt idx="1871">
                  <c:v>14600</c:v>
                </c:pt>
                <c:pt idx="1872">
                  <c:v>6300</c:v>
                </c:pt>
                <c:pt idx="1873">
                  <c:v>9100</c:v>
                </c:pt>
                <c:pt idx="1874">
                  <c:v>14400</c:v>
                </c:pt>
                <c:pt idx="1875">
                  <c:v>9700</c:v>
                </c:pt>
                <c:pt idx="1876">
                  <c:v>14000</c:v>
                </c:pt>
                <c:pt idx="1877">
                  <c:v>13400</c:v>
                </c:pt>
                <c:pt idx="1878">
                  <c:v>5200</c:v>
                </c:pt>
                <c:pt idx="1879">
                  <c:v>11100</c:v>
                </c:pt>
                <c:pt idx="1880">
                  <c:v>8000</c:v>
                </c:pt>
                <c:pt idx="1881">
                  <c:v>12800</c:v>
                </c:pt>
                <c:pt idx="1882">
                  <c:v>8100</c:v>
                </c:pt>
                <c:pt idx="1883">
                  <c:v>11300</c:v>
                </c:pt>
                <c:pt idx="1884">
                  <c:v>4000</c:v>
                </c:pt>
                <c:pt idx="1885">
                  <c:v>7200</c:v>
                </c:pt>
                <c:pt idx="1886">
                  <c:v>4300</c:v>
                </c:pt>
                <c:pt idx="1887">
                  <c:v>11600</c:v>
                </c:pt>
                <c:pt idx="1888">
                  <c:v>6200</c:v>
                </c:pt>
                <c:pt idx="1889">
                  <c:v>7200</c:v>
                </c:pt>
                <c:pt idx="1890">
                  <c:v>6600</c:v>
                </c:pt>
                <c:pt idx="1891">
                  <c:v>9900</c:v>
                </c:pt>
                <c:pt idx="1892">
                  <c:v>10900</c:v>
                </c:pt>
                <c:pt idx="1893">
                  <c:v>10500</c:v>
                </c:pt>
                <c:pt idx="1894">
                  <c:v>10300</c:v>
                </c:pt>
                <c:pt idx="1895">
                  <c:v>13700</c:v>
                </c:pt>
                <c:pt idx="1896">
                  <c:v>11100</c:v>
                </c:pt>
                <c:pt idx="1897">
                  <c:v>4200</c:v>
                </c:pt>
                <c:pt idx="1898">
                  <c:v>6600</c:v>
                </c:pt>
                <c:pt idx="1899">
                  <c:v>5600</c:v>
                </c:pt>
                <c:pt idx="1900">
                  <c:v>5500</c:v>
                </c:pt>
                <c:pt idx="1901">
                  <c:v>7900</c:v>
                </c:pt>
                <c:pt idx="1902">
                  <c:v>10100</c:v>
                </c:pt>
                <c:pt idx="1903">
                  <c:v>7300</c:v>
                </c:pt>
                <c:pt idx="1904">
                  <c:v>8500</c:v>
                </c:pt>
                <c:pt idx="1905">
                  <c:v>14900</c:v>
                </c:pt>
                <c:pt idx="1906">
                  <c:v>13000</c:v>
                </c:pt>
                <c:pt idx="1907">
                  <c:v>4800</c:v>
                </c:pt>
                <c:pt idx="1908">
                  <c:v>5500</c:v>
                </c:pt>
                <c:pt idx="1909">
                  <c:v>15000</c:v>
                </c:pt>
                <c:pt idx="1910">
                  <c:v>11300</c:v>
                </c:pt>
                <c:pt idx="1911">
                  <c:v>12300</c:v>
                </c:pt>
                <c:pt idx="1912">
                  <c:v>5600</c:v>
                </c:pt>
                <c:pt idx="1913">
                  <c:v>12100</c:v>
                </c:pt>
                <c:pt idx="1914">
                  <c:v>4700</c:v>
                </c:pt>
                <c:pt idx="1915">
                  <c:v>9800</c:v>
                </c:pt>
                <c:pt idx="1916">
                  <c:v>9400</c:v>
                </c:pt>
                <c:pt idx="1917">
                  <c:v>7400</c:v>
                </c:pt>
                <c:pt idx="1918">
                  <c:v>9300</c:v>
                </c:pt>
                <c:pt idx="1919">
                  <c:v>7100</c:v>
                </c:pt>
                <c:pt idx="1920">
                  <c:v>13700</c:v>
                </c:pt>
                <c:pt idx="1921">
                  <c:v>4400</c:v>
                </c:pt>
                <c:pt idx="1922">
                  <c:v>7700</c:v>
                </c:pt>
                <c:pt idx="1923">
                  <c:v>4200</c:v>
                </c:pt>
                <c:pt idx="1924">
                  <c:v>14600</c:v>
                </c:pt>
                <c:pt idx="1925">
                  <c:v>8700</c:v>
                </c:pt>
                <c:pt idx="1926">
                  <c:v>12400</c:v>
                </c:pt>
                <c:pt idx="1927">
                  <c:v>7200</c:v>
                </c:pt>
                <c:pt idx="1928">
                  <c:v>4600</c:v>
                </c:pt>
                <c:pt idx="1929">
                  <c:v>7300</c:v>
                </c:pt>
                <c:pt idx="1930">
                  <c:v>6300</c:v>
                </c:pt>
                <c:pt idx="1931">
                  <c:v>7500</c:v>
                </c:pt>
                <c:pt idx="1932">
                  <c:v>4600</c:v>
                </c:pt>
                <c:pt idx="1933">
                  <c:v>14300</c:v>
                </c:pt>
                <c:pt idx="1934">
                  <c:v>11600</c:v>
                </c:pt>
                <c:pt idx="1935">
                  <c:v>14900</c:v>
                </c:pt>
                <c:pt idx="1936">
                  <c:v>6300</c:v>
                </c:pt>
                <c:pt idx="1937">
                  <c:v>8700</c:v>
                </c:pt>
                <c:pt idx="1938">
                  <c:v>13800</c:v>
                </c:pt>
                <c:pt idx="1939">
                  <c:v>13600</c:v>
                </c:pt>
                <c:pt idx="1940">
                  <c:v>11200</c:v>
                </c:pt>
                <c:pt idx="1941">
                  <c:v>8200</c:v>
                </c:pt>
                <c:pt idx="1942">
                  <c:v>8000</c:v>
                </c:pt>
                <c:pt idx="1943">
                  <c:v>11800</c:v>
                </c:pt>
                <c:pt idx="1944">
                  <c:v>7400</c:v>
                </c:pt>
                <c:pt idx="1945">
                  <c:v>12900</c:v>
                </c:pt>
                <c:pt idx="1946">
                  <c:v>11800</c:v>
                </c:pt>
                <c:pt idx="1947">
                  <c:v>5800</c:v>
                </c:pt>
                <c:pt idx="1948">
                  <c:v>8700</c:v>
                </c:pt>
                <c:pt idx="1949">
                  <c:v>13500</c:v>
                </c:pt>
                <c:pt idx="1950">
                  <c:v>7100</c:v>
                </c:pt>
                <c:pt idx="1951">
                  <c:v>7600</c:v>
                </c:pt>
                <c:pt idx="1952">
                  <c:v>4100</c:v>
                </c:pt>
                <c:pt idx="1953">
                  <c:v>5800</c:v>
                </c:pt>
                <c:pt idx="1954">
                  <c:v>5200</c:v>
                </c:pt>
                <c:pt idx="1955">
                  <c:v>7400</c:v>
                </c:pt>
                <c:pt idx="1956">
                  <c:v>14100</c:v>
                </c:pt>
                <c:pt idx="1957">
                  <c:v>7800</c:v>
                </c:pt>
                <c:pt idx="1958">
                  <c:v>8100</c:v>
                </c:pt>
                <c:pt idx="1959">
                  <c:v>9200</c:v>
                </c:pt>
                <c:pt idx="1960">
                  <c:v>11400</c:v>
                </c:pt>
                <c:pt idx="1961">
                  <c:v>11700</c:v>
                </c:pt>
                <c:pt idx="1962">
                  <c:v>4800</c:v>
                </c:pt>
                <c:pt idx="1963">
                  <c:v>14500</c:v>
                </c:pt>
                <c:pt idx="1964">
                  <c:v>5600</c:v>
                </c:pt>
                <c:pt idx="1965">
                  <c:v>14200</c:v>
                </c:pt>
                <c:pt idx="1966">
                  <c:v>5000</c:v>
                </c:pt>
                <c:pt idx="1967">
                  <c:v>4600</c:v>
                </c:pt>
                <c:pt idx="1968">
                  <c:v>4200</c:v>
                </c:pt>
                <c:pt idx="1969">
                  <c:v>4900</c:v>
                </c:pt>
                <c:pt idx="1970">
                  <c:v>11300</c:v>
                </c:pt>
                <c:pt idx="1971">
                  <c:v>7900</c:v>
                </c:pt>
                <c:pt idx="1972">
                  <c:v>5400</c:v>
                </c:pt>
                <c:pt idx="1973">
                  <c:v>5900</c:v>
                </c:pt>
                <c:pt idx="1974">
                  <c:v>8400</c:v>
                </c:pt>
                <c:pt idx="1975">
                  <c:v>14200</c:v>
                </c:pt>
                <c:pt idx="1976">
                  <c:v>9100</c:v>
                </c:pt>
                <c:pt idx="1977">
                  <c:v>9100</c:v>
                </c:pt>
                <c:pt idx="1978">
                  <c:v>11700</c:v>
                </c:pt>
                <c:pt idx="1979">
                  <c:v>9300</c:v>
                </c:pt>
                <c:pt idx="1980">
                  <c:v>10500</c:v>
                </c:pt>
                <c:pt idx="1981">
                  <c:v>8200</c:v>
                </c:pt>
                <c:pt idx="1982">
                  <c:v>15000</c:v>
                </c:pt>
                <c:pt idx="1983">
                  <c:v>11600</c:v>
                </c:pt>
                <c:pt idx="1984">
                  <c:v>11900</c:v>
                </c:pt>
                <c:pt idx="1985">
                  <c:v>12100</c:v>
                </c:pt>
                <c:pt idx="1986">
                  <c:v>10400</c:v>
                </c:pt>
                <c:pt idx="1987">
                  <c:v>14200</c:v>
                </c:pt>
                <c:pt idx="1988">
                  <c:v>13600</c:v>
                </c:pt>
                <c:pt idx="1989">
                  <c:v>8200</c:v>
                </c:pt>
                <c:pt idx="1990">
                  <c:v>13000</c:v>
                </c:pt>
                <c:pt idx="1991">
                  <c:v>12500</c:v>
                </c:pt>
                <c:pt idx="1992">
                  <c:v>4000</c:v>
                </c:pt>
                <c:pt idx="1993">
                  <c:v>4000</c:v>
                </c:pt>
                <c:pt idx="1994">
                  <c:v>10600</c:v>
                </c:pt>
                <c:pt idx="1995">
                  <c:v>12000</c:v>
                </c:pt>
                <c:pt idx="1996">
                  <c:v>9200</c:v>
                </c:pt>
                <c:pt idx="1997">
                  <c:v>4200</c:v>
                </c:pt>
                <c:pt idx="1998">
                  <c:v>13600</c:v>
                </c:pt>
                <c:pt idx="1999">
                  <c:v>10400</c:v>
                </c:pt>
              </c:numCache>
            </c:numRef>
          </c:val>
          <c:smooth val="0"/>
          <c:extLst>
            <c:ext xmlns:c16="http://schemas.microsoft.com/office/drawing/2014/chart" uri="{C3380CC4-5D6E-409C-BE32-E72D297353CC}">
              <c16:uniqueId val="{00000000-C968-4BB3-B137-74F6DE229CE4}"/>
            </c:ext>
          </c:extLst>
        </c:ser>
        <c:ser>
          <c:idx val="1"/>
          <c:order val="1"/>
          <c:tx>
            <c:strRef>
              <c:f>AI_Forecast!$C$1</c:f>
              <c:strCache>
                <c:ptCount val="1"/>
                <c:pt idx="0">
                  <c:v>Forecast(Forecast_Sales)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AI_Forecast!$A$2:$A$2367</c:f>
              <c:numCache>
                <c:formatCode>m/d/yyyy</c:formatCode>
                <c:ptCount val="2366"/>
                <c:pt idx="0">
                  <c:v>43842</c:v>
                </c:pt>
                <c:pt idx="1">
                  <c:v>43843</c:v>
                </c:pt>
                <c:pt idx="2">
                  <c:v>43844</c:v>
                </c:pt>
                <c:pt idx="3">
                  <c:v>43845</c:v>
                </c:pt>
                <c:pt idx="4">
                  <c:v>43846</c:v>
                </c:pt>
                <c:pt idx="5">
                  <c:v>43847</c:v>
                </c:pt>
                <c:pt idx="6">
                  <c:v>43848</c:v>
                </c:pt>
                <c:pt idx="7">
                  <c:v>43849</c:v>
                </c:pt>
                <c:pt idx="8">
                  <c:v>43850</c:v>
                </c:pt>
                <c:pt idx="9">
                  <c:v>43851</c:v>
                </c:pt>
                <c:pt idx="10">
                  <c:v>43852</c:v>
                </c:pt>
                <c:pt idx="11">
                  <c:v>43853</c:v>
                </c:pt>
                <c:pt idx="12">
                  <c:v>43854</c:v>
                </c:pt>
                <c:pt idx="13">
                  <c:v>43855</c:v>
                </c:pt>
                <c:pt idx="14">
                  <c:v>43856</c:v>
                </c:pt>
                <c:pt idx="15">
                  <c:v>43857</c:v>
                </c:pt>
                <c:pt idx="16">
                  <c:v>43858</c:v>
                </c:pt>
                <c:pt idx="17">
                  <c:v>43859</c:v>
                </c:pt>
                <c:pt idx="18">
                  <c:v>43860</c:v>
                </c:pt>
                <c:pt idx="19">
                  <c:v>43861</c:v>
                </c:pt>
                <c:pt idx="20">
                  <c:v>43862</c:v>
                </c:pt>
                <c:pt idx="21">
                  <c:v>43863</c:v>
                </c:pt>
                <c:pt idx="22">
                  <c:v>43864</c:v>
                </c:pt>
                <c:pt idx="23">
                  <c:v>43865</c:v>
                </c:pt>
                <c:pt idx="24">
                  <c:v>43866</c:v>
                </c:pt>
                <c:pt idx="25">
                  <c:v>43867</c:v>
                </c:pt>
                <c:pt idx="26">
                  <c:v>43868</c:v>
                </c:pt>
                <c:pt idx="27">
                  <c:v>43869</c:v>
                </c:pt>
                <c:pt idx="28">
                  <c:v>43870</c:v>
                </c:pt>
                <c:pt idx="29">
                  <c:v>43871</c:v>
                </c:pt>
                <c:pt idx="30">
                  <c:v>43872</c:v>
                </c:pt>
                <c:pt idx="31">
                  <c:v>43873</c:v>
                </c:pt>
                <c:pt idx="32">
                  <c:v>43874</c:v>
                </c:pt>
                <c:pt idx="33">
                  <c:v>43875</c:v>
                </c:pt>
                <c:pt idx="34">
                  <c:v>43876</c:v>
                </c:pt>
                <c:pt idx="35">
                  <c:v>43877</c:v>
                </c:pt>
                <c:pt idx="36">
                  <c:v>43878</c:v>
                </c:pt>
                <c:pt idx="37">
                  <c:v>43879</c:v>
                </c:pt>
                <c:pt idx="38">
                  <c:v>43880</c:v>
                </c:pt>
                <c:pt idx="39">
                  <c:v>43881</c:v>
                </c:pt>
                <c:pt idx="40">
                  <c:v>43882</c:v>
                </c:pt>
                <c:pt idx="41">
                  <c:v>43883</c:v>
                </c:pt>
                <c:pt idx="42">
                  <c:v>43884</c:v>
                </c:pt>
                <c:pt idx="43">
                  <c:v>43885</c:v>
                </c:pt>
                <c:pt idx="44">
                  <c:v>43886</c:v>
                </c:pt>
                <c:pt idx="45">
                  <c:v>43887</c:v>
                </c:pt>
                <c:pt idx="46">
                  <c:v>43888</c:v>
                </c:pt>
                <c:pt idx="47">
                  <c:v>43889</c:v>
                </c:pt>
                <c:pt idx="48">
                  <c:v>43890</c:v>
                </c:pt>
                <c:pt idx="49">
                  <c:v>43891</c:v>
                </c:pt>
                <c:pt idx="50">
                  <c:v>43892</c:v>
                </c:pt>
                <c:pt idx="51">
                  <c:v>43893</c:v>
                </c:pt>
                <c:pt idx="52">
                  <c:v>43894</c:v>
                </c:pt>
                <c:pt idx="53">
                  <c:v>43895</c:v>
                </c:pt>
                <c:pt idx="54">
                  <c:v>43896</c:v>
                </c:pt>
                <c:pt idx="55">
                  <c:v>43897</c:v>
                </c:pt>
                <c:pt idx="56">
                  <c:v>43898</c:v>
                </c:pt>
                <c:pt idx="57">
                  <c:v>43899</c:v>
                </c:pt>
                <c:pt idx="58">
                  <c:v>43900</c:v>
                </c:pt>
                <c:pt idx="59">
                  <c:v>43901</c:v>
                </c:pt>
                <c:pt idx="60">
                  <c:v>43902</c:v>
                </c:pt>
                <c:pt idx="61">
                  <c:v>43903</c:v>
                </c:pt>
                <c:pt idx="62">
                  <c:v>43904</c:v>
                </c:pt>
                <c:pt idx="63">
                  <c:v>43905</c:v>
                </c:pt>
                <c:pt idx="64">
                  <c:v>43906</c:v>
                </c:pt>
                <c:pt idx="65">
                  <c:v>43907</c:v>
                </c:pt>
                <c:pt idx="66">
                  <c:v>43908</c:v>
                </c:pt>
                <c:pt idx="67">
                  <c:v>43909</c:v>
                </c:pt>
                <c:pt idx="68">
                  <c:v>43910</c:v>
                </c:pt>
                <c:pt idx="69">
                  <c:v>43911</c:v>
                </c:pt>
                <c:pt idx="70">
                  <c:v>43912</c:v>
                </c:pt>
                <c:pt idx="71">
                  <c:v>43913</c:v>
                </c:pt>
                <c:pt idx="72">
                  <c:v>43914</c:v>
                </c:pt>
                <c:pt idx="73">
                  <c:v>43915</c:v>
                </c:pt>
                <c:pt idx="74">
                  <c:v>43916</c:v>
                </c:pt>
                <c:pt idx="75">
                  <c:v>43917</c:v>
                </c:pt>
                <c:pt idx="76">
                  <c:v>43918</c:v>
                </c:pt>
                <c:pt idx="77">
                  <c:v>43919</c:v>
                </c:pt>
                <c:pt idx="78">
                  <c:v>43920</c:v>
                </c:pt>
                <c:pt idx="79">
                  <c:v>43921</c:v>
                </c:pt>
                <c:pt idx="80">
                  <c:v>43922</c:v>
                </c:pt>
                <c:pt idx="81">
                  <c:v>43923</c:v>
                </c:pt>
                <c:pt idx="82">
                  <c:v>43924</c:v>
                </c:pt>
                <c:pt idx="83">
                  <c:v>43925</c:v>
                </c:pt>
                <c:pt idx="84">
                  <c:v>43926</c:v>
                </c:pt>
                <c:pt idx="85">
                  <c:v>43927</c:v>
                </c:pt>
                <c:pt idx="86">
                  <c:v>43928</c:v>
                </c:pt>
                <c:pt idx="87">
                  <c:v>43929</c:v>
                </c:pt>
                <c:pt idx="88">
                  <c:v>43930</c:v>
                </c:pt>
                <c:pt idx="89">
                  <c:v>43931</c:v>
                </c:pt>
                <c:pt idx="90">
                  <c:v>43932</c:v>
                </c:pt>
                <c:pt idx="91">
                  <c:v>43933</c:v>
                </c:pt>
                <c:pt idx="92">
                  <c:v>43934</c:v>
                </c:pt>
                <c:pt idx="93">
                  <c:v>43935</c:v>
                </c:pt>
                <c:pt idx="94">
                  <c:v>43936</c:v>
                </c:pt>
                <c:pt idx="95">
                  <c:v>43937</c:v>
                </c:pt>
                <c:pt idx="96">
                  <c:v>43938</c:v>
                </c:pt>
                <c:pt idx="97">
                  <c:v>43939</c:v>
                </c:pt>
                <c:pt idx="98">
                  <c:v>43940</c:v>
                </c:pt>
                <c:pt idx="99">
                  <c:v>43941</c:v>
                </c:pt>
                <c:pt idx="100">
                  <c:v>43942</c:v>
                </c:pt>
                <c:pt idx="101">
                  <c:v>43943</c:v>
                </c:pt>
                <c:pt idx="102">
                  <c:v>43944</c:v>
                </c:pt>
                <c:pt idx="103">
                  <c:v>43945</c:v>
                </c:pt>
                <c:pt idx="104">
                  <c:v>43946</c:v>
                </c:pt>
                <c:pt idx="105">
                  <c:v>43947</c:v>
                </c:pt>
                <c:pt idx="106">
                  <c:v>43948</c:v>
                </c:pt>
                <c:pt idx="107">
                  <c:v>43949</c:v>
                </c:pt>
                <c:pt idx="108">
                  <c:v>43950</c:v>
                </c:pt>
                <c:pt idx="109">
                  <c:v>43951</c:v>
                </c:pt>
                <c:pt idx="110">
                  <c:v>43952</c:v>
                </c:pt>
                <c:pt idx="111">
                  <c:v>43953</c:v>
                </c:pt>
                <c:pt idx="112">
                  <c:v>43954</c:v>
                </c:pt>
                <c:pt idx="113">
                  <c:v>43955</c:v>
                </c:pt>
                <c:pt idx="114">
                  <c:v>43956</c:v>
                </c:pt>
                <c:pt idx="115">
                  <c:v>43957</c:v>
                </c:pt>
                <c:pt idx="116">
                  <c:v>43958</c:v>
                </c:pt>
                <c:pt idx="117">
                  <c:v>43959</c:v>
                </c:pt>
                <c:pt idx="118">
                  <c:v>43960</c:v>
                </c:pt>
                <c:pt idx="119">
                  <c:v>43961</c:v>
                </c:pt>
                <c:pt idx="120">
                  <c:v>43962</c:v>
                </c:pt>
                <c:pt idx="121">
                  <c:v>43963</c:v>
                </c:pt>
                <c:pt idx="122">
                  <c:v>43964</c:v>
                </c:pt>
                <c:pt idx="123">
                  <c:v>43965</c:v>
                </c:pt>
                <c:pt idx="124">
                  <c:v>43966</c:v>
                </c:pt>
                <c:pt idx="125">
                  <c:v>43967</c:v>
                </c:pt>
                <c:pt idx="126">
                  <c:v>43968</c:v>
                </c:pt>
                <c:pt idx="127">
                  <c:v>43969</c:v>
                </c:pt>
                <c:pt idx="128">
                  <c:v>43970</c:v>
                </c:pt>
                <c:pt idx="129">
                  <c:v>43971</c:v>
                </c:pt>
                <c:pt idx="130">
                  <c:v>43972</c:v>
                </c:pt>
                <c:pt idx="131">
                  <c:v>43973</c:v>
                </c:pt>
                <c:pt idx="132">
                  <c:v>43974</c:v>
                </c:pt>
                <c:pt idx="133">
                  <c:v>43975</c:v>
                </c:pt>
                <c:pt idx="134">
                  <c:v>43976</c:v>
                </c:pt>
                <c:pt idx="135">
                  <c:v>43977</c:v>
                </c:pt>
                <c:pt idx="136">
                  <c:v>43978</c:v>
                </c:pt>
                <c:pt idx="137">
                  <c:v>43979</c:v>
                </c:pt>
                <c:pt idx="138">
                  <c:v>43980</c:v>
                </c:pt>
                <c:pt idx="139">
                  <c:v>43981</c:v>
                </c:pt>
                <c:pt idx="140">
                  <c:v>43982</c:v>
                </c:pt>
                <c:pt idx="141">
                  <c:v>43983</c:v>
                </c:pt>
                <c:pt idx="142">
                  <c:v>43984</c:v>
                </c:pt>
                <c:pt idx="143">
                  <c:v>43985</c:v>
                </c:pt>
                <c:pt idx="144">
                  <c:v>43986</c:v>
                </c:pt>
                <c:pt idx="145">
                  <c:v>43987</c:v>
                </c:pt>
                <c:pt idx="146">
                  <c:v>43988</c:v>
                </c:pt>
                <c:pt idx="147">
                  <c:v>43989</c:v>
                </c:pt>
                <c:pt idx="148">
                  <c:v>43990</c:v>
                </c:pt>
                <c:pt idx="149">
                  <c:v>43991</c:v>
                </c:pt>
                <c:pt idx="150">
                  <c:v>43992</c:v>
                </c:pt>
                <c:pt idx="151">
                  <c:v>43993</c:v>
                </c:pt>
                <c:pt idx="152">
                  <c:v>43994</c:v>
                </c:pt>
                <c:pt idx="153">
                  <c:v>43995</c:v>
                </c:pt>
                <c:pt idx="154">
                  <c:v>43996</c:v>
                </c:pt>
                <c:pt idx="155">
                  <c:v>43997</c:v>
                </c:pt>
                <c:pt idx="156">
                  <c:v>43998</c:v>
                </c:pt>
                <c:pt idx="157">
                  <c:v>43999</c:v>
                </c:pt>
                <c:pt idx="158">
                  <c:v>44000</c:v>
                </c:pt>
                <c:pt idx="159">
                  <c:v>44001</c:v>
                </c:pt>
                <c:pt idx="160">
                  <c:v>44002</c:v>
                </c:pt>
                <c:pt idx="161">
                  <c:v>44003</c:v>
                </c:pt>
                <c:pt idx="162">
                  <c:v>44004</c:v>
                </c:pt>
                <c:pt idx="163">
                  <c:v>44005</c:v>
                </c:pt>
                <c:pt idx="164">
                  <c:v>44006</c:v>
                </c:pt>
                <c:pt idx="165">
                  <c:v>44007</c:v>
                </c:pt>
                <c:pt idx="166">
                  <c:v>44008</c:v>
                </c:pt>
                <c:pt idx="167">
                  <c:v>44009</c:v>
                </c:pt>
                <c:pt idx="168">
                  <c:v>44010</c:v>
                </c:pt>
                <c:pt idx="169">
                  <c:v>44011</c:v>
                </c:pt>
                <c:pt idx="170">
                  <c:v>44012</c:v>
                </c:pt>
                <c:pt idx="171">
                  <c:v>44013</c:v>
                </c:pt>
                <c:pt idx="172">
                  <c:v>44014</c:v>
                </c:pt>
                <c:pt idx="173">
                  <c:v>44015</c:v>
                </c:pt>
                <c:pt idx="174">
                  <c:v>44016</c:v>
                </c:pt>
                <c:pt idx="175">
                  <c:v>44017</c:v>
                </c:pt>
                <c:pt idx="176">
                  <c:v>44018</c:v>
                </c:pt>
                <c:pt idx="177">
                  <c:v>44019</c:v>
                </c:pt>
                <c:pt idx="178">
                  <c:v>44020</c:v>
                </c:pt>
                <c:pt idx="179">
                  <c:v>44021</c:v>
                </c:pt>
                <c:pt idx="180">
                  <c:v>44022</c:v>
                </c:pt>
                <c:pt idx="181">
                  <c:v>44023</c:v>
                </c:pt>
                <c:pt idx="182">
                  <c:v>44024</c:v>
                </c:pt>
                <c:pt idx="183">
                  <c:v>44025</c:v>
                </c:pt>
                <c:pt idx="184">
                  <c:v>44026</c:v>
                </c:pt>
                <c:pt idx="185">
                  <c:v>44027</c:v>
                </c:pt>
                <c:pt idx="186">
                  <c:v>44028</c:v>
                </c:pt>
                <c:pt idx="187">
                  <c:v>44029</c:v>
                </c:pt>
                <c:pt idx="188">
                  <c:v>44030</c:v>
                </c:pt>
                <c:pt idx="189">
                  <c:v>44031</c:v>
                </c:pt>
                <c:pt idx="190">
                  <c:v>44032</c:v>
                </c:pt>
                <c:pt idx="191">
                  <c:v>44033</c:v>
                </c:pt>
                <c:pt idx="192">
                  <c:v>44034</c:v>
                </c:pt>
                <c:pt idx="193">
                  <c:v>44035</c:v>
                </c:pt>
                <c:pt idx="194">
                  <c:v>44036</c:v>
                </c:pt>
                <c:pt idx="195">
                  <c:v>44037</c:v>
                </c:pt>
                <c:pt idx="196">
                  <c:v>44038</c:v>
                </c:pt>
                <c:pt idx="197">
                  <c:v>44039</c:v>
                </c:pt>
                <c:pt idx="198">
                  <c:v>44040</c:v>
                </c:pt>
                <c:pt idx="199">
                  <c:v>44041</c:v>
                </c:pt>
                <c:pt idx="200">
                  <c:v>44042</c:v>
                </c:pt>
                <c:pt idx="201">
                  <c:v>44043</c:v>
                </c:pt>
                <c:pt idx="202">
                  <c:v>44044</c:v>
                </c:pt>
                <c:pt idx="203">
                  <c:v>44045</c:v>
                </c:pt>
                <c:pt idx="204">
                  <c:v>44046</c:v>
                </c:pt>
                <c:pt idx="205">
                  <c:v>44047</c:v>
                </c:pt>
                <c:pt idx="206">
                  <c:v>44048</c:v>
                </c:pt>
                <c:pt idx="207">
                  <c:v>44049</c:v>
                </c:pt>
                <c:pt idx="208">
                  <c:v>44050</c:v>
                </c:pt>
                <c:pt idx="209">
                  <c:v>44051</c:v>
                </c:pt>
                <c:pt idx="210">
                  <c:v>44052</c:v>
                </c:pt>
                <c:pt idx="211">
                  <c:v>44053</c:v>
                </c:pt>
                <c:pt idx="212">
                  <c:v>44054</c:v>
                </c:pt>
                <c:pt idx="213">
                  <c:v>44055</c:v>
                </c:pt>
                <c:pt idx="214">
                  <c:v>44056</c:v>
                </c:pt>
                <c:pt idx="215">
                  <c:v>44057</c:v>
                </c:pt>
                <c:pt idx="216">
                  <c:v>44058</c:v>
                </c:pt>
                <c:pt idx="217">
                  <c:v>44059</c:v>
                </c:pt>
                <c:pt idx="218">
                  <c:v>44060</c:v>
                </c:pt>
                <c:pt idx="219">
                  <c:v>44061</c:v>
                </c:pt>
                <c:pt idx="220">
                  <c:v>44062</c:v>
                </c:pt>
                <c:pt idx="221">
                  <c:v>44063</c:v>
                </c:pt>
                <c:pt idx="222">
                  <c:v>44064</c:v>
                </c:pt>
                <c:pt idx="223">
                  <c:v>44065</c:v>
                </c:pt>
                <c:pt idx="224">
                  <c:v>44066</c:v>
                </c:pt>
                <c:pt idx="225">
                  <c:v>44067</c:v>
                </c:pt>
                <c:pt idx="226">
                  <c:v>44068</c:v>
                </c:pt>
                <c:pt idx="227">
                  <c:v>44069</c:v>
                </c:pt>
                <c:pt idx="228">
                  <c:v>44070</c:v>
                </c:pt>
                <c:pt idx="229">
                  <c:v>44071</c:v>
                </c:pt>
                <c:pt idx="230">
                  <c:v>44072</c:v>
                </c:pt>
                <c:pt idx="231">
                  <c:v>44073</c:v>
                </c:pt>
                <c:pt idx="232">
                  <c:v>44074</c:v>
                </c:pt>
                <c:pt idx="233">
                  <c:v>44075</c:v>
                </c:pt>
                <c:pt idx="234">
                  <c:v>44076</c:v>
                </c:pt>
                <c:pt idx="235">
                  <c:v>44077</c:v>
                </c:pt>
                <c:pt idx="236">
                  <c:v>44078</c:v>
                </c:pt>
                <c:pt idx="237">
                  <c:v>44079</c:v>
                </c:pt>
                <c:pt idx="238">
                  <c:v>44080</c:v>
                </c:pt>
                <c:pt idx="239">
                  <c:v>44081</c:v>
                </c:pt>
                <c:pt idx="240">
                  <c:v>44082</c:v>
                </c:pt>
                <c:pt idx="241">
                  <c:v>44083</c:v>
                </c:pt>
                <c:pt idx="242">
                  <c:v>44084</c:v>
                </c:pt>
                <c:pt idx="243">
                  <c:v>44085</c:v>
                </c:pt>
                <c:pt idx="244">
                  <c:v>44086</c:v>
                </c:pt>
                <c:pt idx="245">
                  <c:v>44087</c:v>
                </c:pt>
                <c:pt idx="246">
                  <c:v>44088</c:v>
                </c:pt>
                <c:pt idx="247">
                  <c:v>44089</c:v>
                </c:pt>
                <c:pt idx="248">
                  <c:v>44090</c:v>
                </c:pt>
                <c:pt idx="249">
                  <c:v>44091</c:v>
                </c:pt>
                <c:pt idx="250">
                  <c:v>44092</c:v>
                </c:pt>
                <c:pt idx="251">
                  <c:v>44093</c:v>
                </c:pt>
                <c:pt idx="252">
                  <c:v>44094</c:v>
                </c:pt>
                <c:pt idx="253">
                  <c:v>44095</c:v>
                </c:pt>
                <c:pt idx="254">
                  <c:v>44096</c:v>
                </c:pt>
                <c:pt idx="255">
                  <c:v>44097</c:v>
                </c:pt>
                <c:pt idx="256">
                  <c:v>44098</c:v>
                </c:pt>
                <c:pt idx="257">
                  <c:v>44099</c:v>
                </c:pt>
                <c:pt idx="258">
                  <c:v>44100</c:v>
                </c:pt>
                <c:pt idx="259">
                  <c:v>44101</c:v>
                </c:pt>
                <c:pt idx="260">
                  <c:v>44102</c:v>
                </c:pt>
                <c:pt idx="261">
                  <c:v>44103</c:v>
                </c:pt>
                <c:pt idx="262">
                  <c:v>44104</c:v>
                </c:pt>
                <c:pt idx="263">
                  <c:v>44105</c:v>
                </c:pt>
                <c:pt idx="264">
                  <c:v>44106</c:v>
                </c:pt>
                <c:pt idx="265">
                  <c:v>44107</c:v>
                </c:pt>
                <c:pt idx="266">
                  <c:v>44108</c:v>
                </c:pt>
                <c:pt idx="267">
                  <c:v>44109</c:v>
                </c:pt>
                <c:pt idx="268">
                  <c:v>44110</c:v>
                </c:pt>
                <c:pt idx="269">
                  <c:v>44111</c:v>
                </c:pt>
                <c:pt idx="270">
                  <c:v>44112</c:v>
                </c:pt>
                <c:pt idx="271">
                  <c:v>44113</c:v>
                </c:pt>
                <c:pt idx="272">
                  <c:v>44114</c:v>
                </c:pt>
                <c:pt idx="273">
                  <c:v>44115</c:v>
                </c:pt>
                <c:pt idx="274">
                  <c:v>44116</c:v>
                </c:pt>
                <c:pt idx="275">
                  <c:v>44117</c:v>
                </c:pt>
                <c:pt idx="276">
                  <c:v>44118</c:v>
                </c:pt>
                <c:pt idx="277">
                  <c:v>44119</c:v>
                </c:pt>
                <c:pt idx="278">
                  <c:v>44120</c:v>
                </c:pt>
                <c:pt idx="279">
                  <c:v>44121</c:v>
                </c:pt>
                <c:pt idx="280">
                  <c:v>44122</c:v>
                </c:pt>
                <c:pt idx="281">
                  <c:v>44123</c:v>
                </c:pt>
                <c:pt idx="282">
                  <c:v>44124</c:v>
                </c:pt>
                <c:pt idx="283">
                  <c:v>44125</c:v>
                </c:pt>
                <c:pt idx="284">
                  <c:v>44126</c:v>
                </c:pt>
                <c:pt idx="285">
                  <c:v>44127</c:v>
                </c:pt>
                <c:pt idx="286">
                  <c:v>44128</c:v>
                </c:pt>
                <c:pt idx="287">
                  <c:v>44129</c:v>
                </c:pt>
                <c:pt idx="288">
                  <c:v>44130</c:v>
                </c:pt>
                <c:pt idx="289">
                  <c:v>44131</c:v>
                </c:pt>
                <c:pt idx="290">
                  <c:v>44132</c:v>
                </c:pt>
                <c:pt idx="291">
                  <c:v>44133</c:v>
                </c:pt>
                <c:pt idx="292">
                  <c:v>44134</c:v>
                </c:pt>
                <c:pt idx="293">
                  <c:v>44135</c:v>
                </c:pt>
                <c:pt idx="294">
                  <c:v>44136</c:v>
                </c:pt>
                <c:pt idx="295">
                  <c:v>44137</c:v>
                </c:pt>
                <c:pt idx="296">
                  <c:v>44138</c:v>
                </c:pt>
                <c:pt idx="297">
                  <c:v>44139</c:v>
                </c:pt>
                <c:pt idx="298">
                  <c:v>44140</c:v>
                </c:pt>
                <c:pt idx="299">
                  <c:v>44141</c:v>
                </c:pt>
                <c:pt idx="300">
                  <c:v>44142</c:v>
                </c:pt>
                <c:pt idx="301">
                  <c:v>44143</c:v>
                </c:pt>
                <c:pt idx="302">
                  <c:v>44144</c:v>
                </c:pt>
                <c:pt idx="303">
                  <c:v>44145</c:v>
                </c:pt>
                <c:pt idx="304">
                  <c:v>44146</c:v>
                </c:pt>
                <c:pt idx="305">
                  <c:v>44147</c:v>
                </c:pt>
                <c:pt idx="306">
                  <c:v>44148</c:v>
                </c:pt>
                <c:pt idx="307">
                  <c:v>44149</c:v>
                </c:pt>
                <c:pt idx="308">
                  <c:v>44150</c:v>
                </c:pt>
                <c:pt idx="309">
                  <c:v>44151</c:v>
                </c:pt>
                <c:pt idx="310">
                  <c:v>44152</c:v>
                </c:pt>
                <c:pt idx="311">
                  <c:v>44153</c:v>
                </c:pt>
                <c:pt idx="312">
                  <c:v>44154</c:v>
                </c:pt>
                <c:pt idx="313">
                  <c:v>44155</c:v>
                </c:pt>
                <c:pt idx="314">
                  <c:v>44156</c:v>
                </c:pt>
                <c:pt idx="315">
                  <c:v>44157</c:v>
                </c:pt>
                <c:pt idx="316">
                  <c:v>44158</c:v>
                </c:pt>
                <c:pt idx="317">
                  <c:v>44159</c:v>
                </c:pt>
                <c:pt idx="318">
                  <c:v>44160</c:v>
                </c:pt>
                <c:pt idx="319">
                  <c:v>44161</c:v>
                </c:pt>
                <c:pt idx="320">
                  <c:v>44162</c:v>
                </c:pt>
                <c:pt idx="321">
                  <c:v>44163</c:v>
                </c:pt>
                <c:pt idx="322">
                  <c:v>44164</c:v>
                </c:pt>
                <c:pt idx="323">
                  <c:v>44165</c:v>
                </c:pt>
                <c:pt idx="324">
                  <c:v>44166</c:v>
                </c:pt>
                <c:pt idx="325">
                  <c:v>44167</c:v>
                </c:pt>
                <c:pt idx="326">
                  <c:v>44168</c:v>
                </c:pt>
                <c:pt idx="327">
                  <c:v>44169</c:v>
                </c:pt>
                <c:pt idx="328">
                  <c:v>44170</c:v>
                </c:pt>
                <c:pt idx="329">
                  <c:v>44171</c:v>
                </c:pt>
                <c:pt idx="330">
                  <c:v>44172</c:v>
                </c:pt>
                <c:pt idx="331">
                  <c:v>44173</c:v>
                </c:pt>
                <c:pt idx="332">
                  <c:v>44174</c:v>
                </c:pt>
                <c:pt idx="333">
                  <c:v>44175</c:v>
                </c:pt>
                <c:pt idx="334">
                  <c:v>44176</c:v>
                </c:pt>
                <c:pt idx="335">
                  <c:v>44177</c:v>
                </c:pt>
                <c:pt idx="336">
                  <c:v>44178</c:v>
                </c:pt>
                <c:pt idx="337">
                  <c:v>44179</c:v>
                </c:pt>
                <c:pt idx="338">
                  <c:v>44180</c:v>
                </c:pt>
                <c:pt idx="339">
                  <c:v>44181</c:v>
                </c:pt>
                <c:pt idx="340">
                  <c:v>44182</c:v>
                </c:pt>
                <c:pt idx="341">
                  <c:v>44183</c:v>
                </c:pt>
                <c:pt idx="342">
                  <c:v>44184</c:v>
                </c:pt>
                <c:pt idx="343">
                  <c:v>44185</c:v>
                </c:pt>
                <c:pt idx="344">
                  <c:v>44186</c:v>
                </c:pt>
                <c:pt idx="345">
                  <c:v>44187</c:v>
                </c:pt>
                <c:pt idx="346">
                  <c:v>44188</c:v>
                </c:pt>
                <c:pt idx="347">
                  <c:v>44189</c:v>
                </c:pt>
                <c:pt idx="348">
                  <c:v>44190</c:v>
                </c:pt>
                <c:pt idx="349">
                  <c:v>44191</c:v>
                </c:pt>
                <c:pt idx="350">
                  <c:v>44192</c:v>
                </c:pt>
                <c:pt idx="351">
                  <c:v>44193</c:v>
                </c:pt>
                <c:pt idx="352">
                  <c:v>44194</c:v>
                </c:pt>
                <c:pt idx="353">
                  <c:v>44195</c:v>
                </c:pt>
                <c:pt idx="354">
                  <c:v>44196</c:v>
                </c:pt>
                <c:pt idx="355">
                  <c:v>44197</c:v>
                </c:pt>
                <c:pt idx="356">
                  <c:v>44198</c:v>
                </c:pt>
                <c:pt idx="357">
                  <c:v>44199</c:v>
                </c:pt>
                <c:pt idx="358">
                  <c:v>44200</c:v>
                </c:pt>
                <c:pt idx="359">
                  <c:v>44201</c:v>
                </c:pt>
                <c:pt idx="360">
                  <c:v>44202</c:v>
                </c:pt>
                <c:pt idx="361">
                  <c:v>44203</c:v>
                </c:pt>
                <c:pt idx="362">
                  <c:v>44204</c:v>
                </c:pt>
                <c:pt idx="363">
                  <c:v>44205</c:v>
                </c:pt>
                <c:pt idx="364">
                  <c:v>44206</c:v>
                </c:pt>
                <c:pt idx="365">
                  <c:v>44207</c:v>
                </c:pt>
                <c:pt idx="366">
                  <c:v>44208</c:v>
                </c:pt>
                <c:pt idx="367">
                  <c:v>44209</c:v>
                </c:pt>
                <c:pt idx="368">
                  <c:v>44210</c:v>
                </c:pt>
                <c:pt idx="369">
                  <c:v>44211</c:v>
                </c:pt>
                <c:pt idx="370">
                  <c:v>44212</c:v>
                </c:pt>
                <c:pt idx="371">
                  <c:v>44213</c:v>
                </c:pt>
                <c:pt idx="372">
                  <c:v>44214</c:v>
                </c:pt>
                <c:pt idx="373">
                  <c:v>44215</c:v>
                </c:pt>
                <c:pt idx="374">
                  <c:v>44216</c:v>
                </c:pt>
                <c:pt idx="375">
                  <c:v>44217</c:v>
                </c:pt>
                <c:pt idx="376">
                  <c:v>44218</c:v>
                </c:pt>
                <c:pt idx="377">
                  <c:v>44219</c:v>
                </c:pt>
                <c:pt idx="378">
                  <c:v>44220</c:v>
                </c:pt>
                <c:pt idx="379">
                  <c:v>44221</c:v>
                </c:pt>
                <c:pt idx="380">
                  <c:v>44222</c:v>
                </c:pt>
                <c:pt idx="381">
                  <c:v>44223</c:v>
                </c:pt>
                <c:pt idx="382">
                  <c:v>44224</c:v>
                </c:pt>
                <c:pt idx="383">
                  <c:v>44225</c:v>
                </c:pt>
                <c:pt idx="384">
                  <c:v>44226</c:v>
                </c:pt>
                <c:pt idx="385">
                  <c:v>44227</c:v>
                </c:pt>
                <c:pt idx="386">
                  <c:v>44228</c:v>
                </c:pt>
                <c:pt idx="387">
                  <c:v>44229</c:v>
                </c:pt>
                <c:pt idx="388">
                  <c:v>44230</c:v>
                </c:pt>
                <c:pt idx="389">
                  <c:v>44231</c:v>
                </c:pt>
                <c:pt idx="390">
                  <c:v>44232</c:v>
                </c:pt>
                <c:pt idx="391">
                  <c:v>44233</c:v>
                </c:pt>
                <c:pt idx="392">
                  <c:v>44234</c:v>
                </c:pt>
                <c:pt idx="393">
                  <c:v>44235</c:v>
                </c:pt>
                <c:pt idx="394">
                  <c:v>44236</c:v>
                </c:pt>
                <c:pt idx="395">
                  <c:v>44237</c:v>
                </c:pt>
                <c:pt idx="396">
                  <c:v>44238</c:v>
                </c:pt>
                <c:pt idx="397">
                  <c:v>44239</c:v>
                </c:pt>
                <c:pt idx="398">
                  <c:v>44240</c:v>
                </c:pt>
                <c:pt idx="399">
                  <c:v>44241</c:v>
                </c:pt>
                <c:pt idx="400">
                  <c:v>44242</c:v>
                </c:pt>
                <c:pt idx="401">
                  <c:v>44243</c:v>
                </c:pt>
                <c:pt idx="402">
                  <c:v>44244</c:v>
                </c:pt>
                <c:pt idx="403">
                  <c:v>44245</c:v>
                </c:pt>
                <c:pt idx="404">
                  <c:v>44246</c:v>
                </c:pt>
                <c:pt idx="405">
                  <c:v>44247</c:v>
                </c:pt>
                <c:pt idx="406">
                  <c:v>44248</c:v>
                </c:pt>
                <c:pt idx="407">
                  <c:v>44249</c:v>
                </c:pt>
                <c:pt idx="408">
                  <c:v>44250</c:v>
                </c:pt>
                <c:pt idx="409">
                  <c:v>44251</c:v>
                </c:pt>
                <c:pt idx="410">
                  <c:v>44252</c:v>
                </c:pt>
                <c:pt idx="411">
                  <c:v>44253</c:v>
                </c:pt>
                <c:pt idx="412">
                  <c:v>44254</c:v>
                </c:pt>
                <c:pt idx="413">
                  <c:v>44255</c:v>
                </c:pt>
                <c:pt idx="414">
                  <c:v>44256</c:v>
                </c:pt>
                <c:pt idx="415">
                  <c:v>44257</c:v>
                </c:pt>
                <c:pt idx="416">
                  <c:v>44258</c:v>
                </c:pt>
                <c:pt idx="417">
                  <c:v>44259</c:v>
                </c:pt>
                <c:pt idx="418">
                  <c:v>44260</c:v>
                </c:pt>
                <c:pt idx="419">
                  <c:v>44261</c:v>
                </c:pt>
                <c:pt idx="420">
                  <c:v>44262</c:v>
                </c:pt>
                <c:pt idx="421">
                  <c:v>44263</c:v>
                </c:pt>
                <c:pt idx="422">
                  <c:v>44264</c:v>
                </c:pt>
                <c:pt idx="423">
                  <c:v>44265</c:v>
                </c:pt>
                <c:pt idx="424">
                  <c:v>44266</c:v>
                </c:pt>
                <c:pt idx="425">
                  <c:v>44267</c:v>
                </c:pt>
                <c:pt idx="426">
                  <c:v>44268</c:v>
                </c:pt>
                <c:pt idx="427">
                  <c:v>44269</c:v>
                </c:pt>
                <c:pt idx="428">
                  <c:v>44270</c:v>
                </c:pt>
                <c:pt idx="429">
                  <c:v>44271</c:v>
                </c:pt>
                <c:pt idx="430">
                  <c:v>44272</c:v>
                </c:pt>
                <c:pt idx="431">
                  <c:v>44273</c:v>
                </c:pt>
                <c:pt idx="432">
                  <c:v>44274</c:v>
                </c:pt>
                <c:pt idx="433">
                  <c:v>44275</c:v>
                </c:pt>
                <c:pt idx="434">
                  <c:v>44276</c:v>
                </c:pt>
                <c:pt idx="435">
                  <c:v>44277</c:v>
                </c:pt>
                <c:pt idx="436">
                  <c:v>44278</c:v>
                </c:pt>
                <c:pt idx="437">
                  <c:v>44279</c:v>
                </c:pt>
                <c:pt idx="438">
                  <c:v>44280</c:v>
                </c:pt>
                <c:pt idx="439">
                  <c:v>44281</c:v>
                </c:pt>
                <c:pt idx="440">
                  <c:v>44282</c:v>
                </c:pt>
                <c:pt idx="441">
                  <c:v>44283</c:v>
                </c:pt>
                <c:pt idx="442">
                  <c:v>44284</c:v>
                </c:pt>
                <c:pt idx="443">
                  <c:v>44285</c:v>
                </c:pt>
                <c:pt idx="444">
                  <c:v>44286</c:v>
                </c:pt>
                <c:pt idx="445">
                  <c:v>44287</c:v>
                </c:pt>
                <c:pt idx="446">
                  <c:v>44288</c:v>
                </c:pt>
                <c:pt idx="447">
                  <c:v>44289</c:v>
                </c:pt>
                <c:pt idx="448">
                  <c:v>44290</c:v>
                </c:pt>
                <c:pt idx="449">
                  <c:v>44291</c:v>
                </c:pt>
                <c:pt idx="450">
                  <c:v>44292</c:v>
                </c:pt>
                <c:pt idx="451">
                  <c:v>44293</c:v>
                </c:pt>
                <c:pt idx="452">
                  <c:v>44294</c:v>
                </c:pt>
                <c:pt idx="453">
                  <c:v>44295</c:v>
                </c:pt>
                <c:pt idx="454">
                  <c:v>44296</c:v>
                </c:pt>
                <c:pt idx="455">
                  <c:v>44297</c:v>
                </c:pt>
                <c:pt idx="456">
                  <c:v>44298</c:v>
                </c:pt>
                <c:pt idx="457">
                  <c:v>44299</c:v>
                </c:pt>
                <c:pt idx="458">
                  <c:v>44300</c:v>
                </c:pt>
                <c:pt idx="459">
                  <c:v>44301</c:v>
                </c:pt>
                <c:pt idx="460">
                  <c:v>44302</c:v>
                </c:pt>
                <c:pt idx="461">
                  <c:v>44303</c:v>
                </c:pt>
                <c:pt idx="462">
                  <c:v>44304</c:v>
                </c:pt>
                <c:pt idx="463">
                  <c:v>44305</c:v>
                </c:pt>
                <c:pt idx="464">
                  <c:v>44306</c:v>
                </c:pt>
                <c:pt idx="465">
                  <c:v>44307</c:v>
                </c:pt>
                <c:pt idx="466">
                  <c:v>44308</c:v>
                </c:pt>
                <c:pt idx="467">
                  <c:v>44309</c:v>
                </c:pt>
                <c:pt idx="468">
                  <c:v>44310</c:v>
                </c:pt>
                <c:pt idx="469">
                  <c:v>44311</c:v>
                </c:pt>
                <c:pt idx="470">
                  <c:v>44312</c:v>
                </c:pt>
                <c:pt idx="471">
                  <c:v>44313</c:v>
                </c:pt>
                <c:pt idx="472">
                  <c:v>44314</c:v>
                </c:pt>
                <c:pt idx="473">
                  <c:v>44315</c:v>
                </c:pt>
                <c:pt idx="474">
                  <c:v>44316</c:v>
                </c:pt>
                <c:pt idx="475">
                  <c:v>44317</c:v>
                </c:pt>
                <c:pt idx="476">
                  <c:v>44318</c:v>
                </c:pt>
                <c:pt idx="477">
                  <c:v>44319</c:v>
                </c:pt>
                <c:pt idx="478">
                  <c:v>44320</c:v>
                </c:pt>
                <c:pt idx="479">
                  <c:v>44321</c:v>
                </c:pt>
                <c:pt idx="480">
                  <c:v>44322</c:v>
                </c:pt>
                <c:pt idx="481">
                  <c:v>44323</c:v>
                </c:pt>
                <c:pt idx="482">
                  <c:v>44324</c:v>
                </c:pt>
                <c:pt idx="483">
                  <c:v>44325</c:v>
                </c:pt>
                <c:pt idx="484">
                  <c:v>44326</c:v>
                </c:pt>
                <c:pt idx="485">
                  <c:v>44327</c:v>
                </c:pt>
                <c:pt idx="486">
                  <c:v>44328</c:v>
                </c:pt>
                <c:pt idx="487">
                  <c:v>44329</c:v>
                </c:pt>
                <c:pt idx="488">
                  <c:v>44330</c:v>
                </c:pt>
                <c:pt idx="489">
                  <c:v>44331</c:v>
                </c:pt>
                <c:pt idx="490">
                  <c:v>44332</c:v>
                </c:pt>
                <c:pt idx="491">
                  <c:v>44333</c:v>
                </c:pt>
                <c:pt idx="492">
                  <c:v>44334</c:v>
                </c:pt>
                <c:pt idx="493">
                  <c:v>44335</c:v>
                </c:pt>
                <c:pt idx="494">
                  <c:v>44336</c:v>
                </c:pt>
                <c:pt idx="495">
                  <c:v>44337</c:v>
                </c:pt>
                <c:pt idx="496">
                  <c:v>44338</c:v>
                </c:pt>
                <c:pt idx="497">
                  <c:v>44339</c:v>
                </c:pt>
                <c:pt idx="498">
                  <c:v>44340</c:v>
                </c:pt>
                <c:pt idx="499">
                  <c:v>44341</c:v>
                </c:pt>
                <c:pt idx="500">
                  <c:v>44342</c:v>
                </c:pt>
                <c:pt idx="501">
                  <c:v>44343</c:v>
                </c:pt>
                <c:pt idx="502">
                  <c:v>44344</c:v>
                </c:pt>
                <c:pt idx="503">
                  <c:v>44345</c:v>
                </c:pt>
                <c:pt idx="504">
                  <c:v>44346</c:v>
                </c:pt>
                <c:pt idx="505">
                  <c:v>44347</c:v>
                </c:pt>
                <c:pt idx="506">
                  <c:v>44348</c:v>
                </c:pt>
                <c:pt idx="507">
                  <c:v>44349</c:v>
                </c:pt>
                <c:pt idx="508">
                  <c:v>44350</c:v>
                </c:pt>
                <c:pt idx="509">
                  <c:v>44351</c:v>
                </c:pt>
                <c:pt idx="510">
                  <c:v>44352</c:v>
                </c:pt>
                <c:pt idx="511">
                  <c:v>44353</c:v>
                </c:pt>
                <c:pt idx="512">
                  <c:v>44354</c:v>
                </c:pt>
                <c:pt idx="513">
                  <c:v>44355</c:v>
                </c:pt>
                <c:pt idx="514">
                  <c:v>44356</c:v>
                </c:pt>
                <c:pt idx="515">
                  <c:v>44357</c:v>
                </c:pt>
                <c:pt idx="516">
                  <c:v>44358</c:v>
                </c:pt>
                <c:pt idx="517">
                  <c:v>44359</c:v>
                </c:pt>
                <c:pt idx="518">
                  <c:v>44360</c:v>
                </c:pt>
                <c:pt idx="519">
                  <c:v>44361</c:v>
                </c:pt>
                <c:pt idx="520">
                  <c:v>44362</c:v>
                </c:pt>
                <c:pt idx="521">
                  <c:v>44363</c:v>
                </c:pt>
                <c:pt idx="522">
                  <c:v>44364</c:v>
                </c:pt>
                <c:pt idx="523">
                  <c:v>44365</c:v>
                </c:pt>
                <c:pt idx="524">
                  <c:v>44366</c:v>
                </c:pt>
                <c:pt idx="525">
                  <c:v>44367</c:v>
                </c:pt>
                <c:pt idx="526">
                  <c:v>44368</c:v>
                </c:pt>
                <c:pt idx="527">
                  <c:v>44369</c:v>
                </c:pt>
                <c:pt idx="528">
                  <c:v>44370</c:v>
                </c:pt>
                <c:pt idx="529">
                  <c:v>44371</c:v>
                </c:pt>
                <c:pt idx="530">
                  <c:v>44372</c:v>
                </c:pt>
                <c:pt idx="531">
                  <c:v>44373</c:v>
                </c:pt>
                <c:pt idx="532">
                  <c:v>44374</c:v>
                </c:pt>
                <c:pt idx="533">
                  <c:v>44375</c:v>
                </c:pt>
                <c:pt idx="534">
                  <c:v>44376</c:v>
                </c:pt>
                <c:pt idx="535">
                  <c:v>44377</c:v>
                </c:pt>
                <c:pt idx="536">
                  <c:v>44378</c:v>
                </c:pt>
                <c:pt idx="537">
                  <c:v>44379</c:v>
                </c:pt>
                <c:pt idx="538">
                  <c:v>44380</c:v>
                </c:pt>
                <c:pt idx="539">
                  <c:v>44381</c:v>
                </c:pt>
                <c:pt idx="540">
                  <c:v>44382</c:v>
                </c:pt>
                <c:pt idx="541">
                  <c:v>44383</c:v>
                </c:pt>
                <c:pt idx="542">
                  <c:v>44384</c:v>
                </c:pt>
                <c:pt idx="543">
                  <c:v>44385</c:v>
                </c:pt>
                <c:pt idx="544">
                  <c:v>44386</c:v>
                </c:pt>
                <c:pt idx="545">
                  <c:v>44387</c:v>
                </c:pt>
                <c:pt idx="546">
                  <c:v>44388</c:v>
                </c:pt>
                <c:pt idx="547">
                  <c:v>44389</c:v>
                </c:pt>
                <c:pt idx="548">
                  <c:v>44390</c:v>
                </c:pt>
                <c:pt idx="549">
                  <c:v>44391</c:v>
                </c:pt>
                <c:pt idx="550">
                  <c:v>44392</c:v>
                </c:pt>
                <c:pt idx="551">
                  <c:v>44393</c:v>
                </c:pt>
                <c:pt idx="552">
                  <c:v>44394</c:v>
                </c:pt>
                <c:pt idx="553">
                  <c:v>44395</c:v>
                </c:pt>
                <c:pt idx="554">
                  <c:v>44396</c:v>
                </c:pt>
                <c:pt idx="555">
                  <c:v>44397</c:v>
                </c:pt>
                <c:pt idx="556">
                  <c:v>44398</c:v>
                </c:pt>
                <c:pt idx="557">
                  <c:v>44399</c:v>
                </c:pt>
                <c:pt idx="558">
                  <c:v>44400</c:v>
                </c:pt>
                <c:pt idx="559">
                  <c:v>44401</c:v>
                </c:pt>
                <c:pt idx="560">
                  <c:v>44402</c:v>
                </c:pt>
                <c:pt idx="561">
                  <c:v>44403</c:v>
                </c:pt>
                <c:pt idx="562">
                  <c:v>44404</c:v>
                </c:pt>
                <c:pt idx="563">
                  <c:v>44405</c:v>
                </c:pt>
                <c:pt idx="564">
                  <c:v>44406</c:v>
                </c:pt>
                <c:pt idx="565">
                  <c:v>44407</c:v>
                </c:pt>
                <c:pt idx="566">
                  <c:v>44408</c:v>
                </c:pt>
                <c:pt idx="567">
                  <c:v>44409</c:v>
                </c:pt>
                <c:pt idx="568">
                  <c:v>44410</c:v>
                </c:pt>
                <c:pt idx="569">
                  <c:v>44411</c:v>
                </c:pt>
                <c:pt idx="570">
                  <c:v>44412</c:v>
                </c:pt>
                <c:pt idx="571">
                  <c:v>44413</c:v>
                </c:pt>
                <c:pt idx="572">
                  <c:v>44414</c:v>
                </c:pt>
                <c:pt idx="573">
                  <c:v>44415</c:v>
                </c:pt>
                <c:pt idx="574">
                  <c:v>44416</c:v>
                </c:pt>
                <c:pt idx="575">
                  <c:v>44417</c:v>
                </c:pt>
                <c:pt idx="576">
                  <c:v>44418</c:v>
                </c:pt>
                <c:pt idx="577">
                  <c:v>44419</c:v>
                </c:pt>
                <c:pt idx="578">
                  <c:v>44420</c:v>
                </c:pt>
                <c:pt idx="579">
                  <c:v>44421</c:v>
                </c:pt>
                <c:pt idx="580">
                  <c:v>44422</c:v>
                </c:pt>
                <c:pt idx="581">
                  <c:v>44423</c:v>
                </c:pt>
                <c:pt idx="582">
                  <c:v>44424</c:v>
                </c:pt>
                <c:pt idx="583">
                  <c:v>44425</c:v>
                </c:pt>
                <c:pt idx="584">
                  <c:v>44426</c:v>
                </c:pt>
                <c:pt idx="585">
                  <c:v>44427</c:v>
                </c:pt>
                <c:pt idx="586">
                  <c:v>44428</c:v>
                </c:pt>
                <c:pt idx="587">
                  <c:v>44429</c:v>
                </c:pt>
                <c:pt idx="588">
                  <c:v>44430</c:v>
                </c:pt>
                <c:pt idx="589">
                  <c:v>44431</c:v>
                </c:pt>
                <c:pt idx="590">
                  <c:v>44432</c:v>
                </c:pt>
                <c:pt idx="591">
                  <c:v>44433</c:v>
                </c:pt>
                <c:pt idx="592">
                  <c:v>44434</c:v>
                </c:pt>
                <c:pt idx="593">
                  <c:v>44435</c:v>
                </c:pt>
                <c:pt idx="594">
                  <c:v>44436</c:v>
                </c:pt>
                <c:pt idx="595">
                  <c:v>44437</c:v>
                </c:pt>
                <c:pt idx="596">
                  <c:v>44438</c:v>
                </c:pt>
                <c:pt idx="597">
                  <c:v>44439</c:v>
                </c:pt>
                <c:pt idx="598">
                  <c:v>44440</c:v>
                </c:pt>
                <c:pt idx="599">
                  <c:v>44441</c:v>
                </c:pt>
                <c:pt idx="600">
                  <c:v>44442</c:v>
                </c:pt>
                <c:pt idx="601">
                  <c:v>44443</c:v>
                </c:pt>
                <c:pt idx="602">
                  <c:v>44444</c:v>
                </c:pt>
                <c:pt idx="603">
                  <c:v>44445</c:v>
                </c:pt>
                <c:pt idx="604">
                  <c:v>44446</c:v>
                </c:pt>
                <c:pt idx="605">
                  <c:v>44447</c:v>
                </c:pt>
                <c:pt idx="606">
                  <c:v>44448</c:v>
                </c:pt>
                <c:pt idx="607">
                  <c:v>44449</c:v>
                </c:pt>
                <c:pt idx="608">
                  <c:v>44450</c:v>
                </c:pt>
                <c:pt idx="609">
                  <c:v>44451</c:v>
                </c:pt>
                <c:pt idx="610">
                  <c:v>44452</c:v>
                </c:pt>
                <c:pt idx="611">
                  <c:v>44453</c:v>
                </c:pt>
                <c:pt idx="612">
                  <c:v>44454</c:v>
                </c:pt>
                <c:pt idx="613">
                  <c:v>44455</c:v>
                </c:pt>
                <c:pt idx="614">
                  <c:v>44456</c:v>
                </c:pt>
                <c:pt idx="615">
                  <c:v>44457</c:v>
                </c:pt>
                <c:pt idx="616">
                  <c:v>44458</c:v>
                </c:pt>
                <c:pt idx="617">
                  <c:v>44459</c:v>
                </c:pt>
                <c:pt idx="618">
                  <c:v>44460</c:v>
                </c:pt>
                <c:pt idx="619">
                  <c:v>44461</c:v>
                </c:pt>
                <c:pt idx="620">
                  <c:v>44462</c:v>
                </c:pt>
                <c:pt idx="621">
                  <c:v>44463</c:v>
                </c:pt>
                <c:pt idx="622">
                  <c:v>44464</c:v>
                </c:pt>
                <c:pt idx="623">
                  <c:v>44465</c:v>
                </c:pt>
                <c:pt idx="624">
                  <c:v>44466</c:v>
                </c:pt>
                <c:pt idx="625">
                  <c:v>44467</c:v>
                </c:pt>
                <c:pt idx="626">
                  <c:v>44468</c:v>
                </c:pt>
                <c:pt idx="627">
                  <c:v>44469</c:v>
                </c:pt>
                <c:pt idx="628">
                  <c:v>44470</c:v>
                </c:pt>
                <c:pt idx="629">
                  <c:v>44471</c:v>
                </c:pt>
                <c:pt idx="630">
                  <c:v>44472</c:v>
                </c:pt>
                <c:pt idx="631">
                  <c:v>44473</c:v>
                </c:pt>
                <c:pt idx="632">
                  <c:v>44474</c:v>
                </c:pt>
                <c:pt idx="633">
                  <c:v>44475</c:v>
                </c:pt>
                <c:pt idx="634">
                  <c:v>44476</c:v>
                </c:pt>
                <c:pt idx="635">
                  <c:v>44477</c:v>
                </c:pt>
                <c:pt idx="636">
                  <c:v>44478</c:v>
                </c:pt>
                <c:pt idx="637">
                  <c:v>44479</c:v>
                </c:pt>
                <c:pt idx="638">
                  <c:v>44480</c:v>
                </c:pt>
                <c:pt idx="639">
                  <c:v>44481</c:v>
                </c:pt>
                <c:pt idx="640">
                  <c:v>44482</c:v>
                </c:pt>
                <c:pt idx="641">
                  <c:v>44483</c:v>
                </c:pt>
                <c:pt idx="642">
                  <c:v>44484</c:v>
                </c:pt>
                <c:pt idx="643">
                  <c:v>44485</c:v>
                </c:pt>
                <c:pt idx="644">
                  <c:v>44486</c:v>
                </c:pt>
                <c:pt idx="645">
                  <c:v>44487</c:v>
                </c:pt>
                <c:pt idx="646">
                  <c:v>44488</c:v>
                </c:pt>
                <c:pt idx="647">
                  <c:v>44489</c:v>
                </c:pt>
                <c:pt idx="648">
                  <c:v>44490</c:v>
                </c:pt>
                <c:pt idx="649">
                  <c:v>44491</c:v>
                </c:pt>
                <c:pt idx="650">
                  <c:v>44492</c:v>
                </c:pt>
                <c:pt idx="651">
                  <c:v>44493</c:v>
                </c:pt>
                <c:pt idx="652">
                  <c:v>44494</c:v>
                </c:pt>
                <c:pt idx="653">
                  <c:v>44495</c:v>
                </c:pt>
                <c:pt idx="654">
                  <c:v>44496</c:v>
                </c:pt>
                <c:pt idx="655">
                  <c:v>44497</c:v>
                </c:pt>
                <c:pt idx="656">
                  <c:v>44498</c:v>
                </c:pt>
                <c:pt idx="657">
                  <c:v>44499</c:v>
                </c:pt>
                <c:pt idx="658">
                  <c:v>44500</c:v>
                </c:pt>
                <c:pt idx="659">
                  <c:v>44501</c:v>
                </c:pt>
                <c:pt idx="660">
                  <c:v>44502</c:v>
                </c:pt>
                <c:pt idx="661">
                  <c:v>44503</c:v>
                </c:pt>
                <c:pt idx="662">
                  <c:v>44504</c:v>
                </c:pt>
                <c:pt idx="663">
                  <c:v>44505</c:v>
                </c:pt>
                <c:pt idx="664">
                  <c:v>44506</c:v>
                </c:pt>
                <c:pt idx="665">
                  <c:v>44507</c:v>
                </c:pt>
                <c:pt idx="666">
                  <c:v>44508</c:v>
                </c:pt>
                <c:pt idx="667">
                  <c:v>44509</c:v>
                </c:pt>
                <c:pt idx="668">
                  <c:v>44510</c:v>
                </c:pt>
                <c:pt idx="669">
                  <c:v>44511</c:v>
                </c:pt>
                <c:pt idx="670">
                  <c:v>44512</c:v>
                </c:pt>
                <c:pt idx="671">
                  <c:v>44513</c:v>
                </c:pt>
                <c:pt idx="672">
                  <c:v>44514</c:v>
                </c:pt>
                <c:pt idx="673">
                  <c:v>44515</c:v>
                </c:pt>
                <c:pt idx="674">
                  <c:v>44516</c:v>
                </c:pt>
                <c:pt idx="675">
                  <c:v>44517</c:v>
                </c:pt>
                <c:pt idx="676">
                  <c:v>44518</c:v>
                </c:pt>
                <c:pt idx="677">
                  <c:v>44519</c:v>
                </c:pt>
                <c:pt idx="678">
                  <c:v>44520</c:v>
                </c:pt>
                <c:pt idx="679">
                  <c:v>44521</c:v>
                </c:pt>
                <c:pt idx="680">
                  <c:v>44522</c:v>
                </c:pt>
                <c:pt idx="681">
                  <c:v>44523</c:v>
                </c:pt>
                <c:pt idx="682">
                  <c:v>44524</c:v>
                </c:pt>
                <c:pt idx="683">
                  <c:v>44525</c:v>
                </c:pt>
                <c:pt idx="684">
                  <c:v>44526</c:v>
                </c:pt>
                <c:pt idx="685">
                  <c:v>44527</c:v>
                </c:pt>
                <c:pt idx="686">
                  <c:v>44528</c:v>
                </c:pt>
                <c:pt idx="687">
                  <c:v>44529</c:v>
                </c:pt>
                <c:pt idx="688">
                  <c:v>44530</c:v>
                </c:pt>
                <c:pt idx="689">
                  <c:v>44531</c:v>
                </c:pt>
                <c:pt idx="690">
                  <c:v>44532</c:v>
                </c:pt>
                <c:pt idx="691">
                  <c:v>44533</c:v>
                </c:pt>
                <c:pt idx="692">
                  <c:v>44534</c:v>
                </c:pt>
                <c:pt idx="693">
                  <c:v>44535</c:v>
                </c:pt>
                <c:pt idx="694">
                  <c:v>44536</c:v>
                </c:pt>
                <c:pt idx="695">
                  <c:v>44537</c:v>
                </c:pt>
                <c:pt idx="696">
                  <c:v>44538</c:v>
                </c:pt>
                <c:pt idx="697">
                  <c:v>44539</c:v>
                </c:pt>
                <c:pt idx="698">
                  <c:v>44540</c:v>
                </c:pt>
                <c:pt idx="699">
                  <c:v>44541</c:v>
                </c:pt>
                <c:pt idx="700">
                  <c:v>44542</c:v>
                </c:pt>
                <c:pt idx="701">
                  <c:v>44543</c:v>
                </c:pt>
                <c:pt idx="702">
                  <c:v>44544</c:v>
                </c:pt>
                <c:pt idx="703">
                  <c:v>44545</c:v>
                </c:pt>
                <c:pt idx="704">
                  <c:v>44546</c:v>
                </c:pt>
                <c:pt idx="705">
                  <c:v>44547</c:v>
                </c:pt>
                <c:pt idx="706">
                  <c:v>44548</c:v>
                </c:pt>
                <c:pt idx="707">
                  <c:v>44549</c:v>
                </c:pt>
                <c:pt idx="708">
                  <c:v>44550</c:v>
                </c:pt>
                <c:pt idx="709">
                  <c:v>44551</c:v>
                </c:pt>
                <c:pt idx="710">
                  <c:v>44552</c:v>
                </c:pt>
                <c:pt idx="711">
                  <c:v>44553</c:v>
                </c:pt>
                <c:pt idx="712">
                  <c:v>44554</c:v>
                </c:pt>
                <c:pt idx="713">
                  <c:v>44555</c:v>
                </c:pt>
                <c:pt idx="714">
                  <c:v>44556</c:v>
                </c:pt>
                <c:pt idx="715">
                  <c:v>44557</c:v>
                </c:pt>
                <c:pt idx="716">
                  <c:v>44558</c:v>
                </c:pt>
                <c:pt idx="717">
                  <c:v>44559</c:v>
                </c:pt>
                <c:pt idx="718">
                  <c:v>44560</c:v>
                </c:pt>
                <c:pt idx="719">
                  <c:v>44561</c:v>
                </c:pt>
                <c:pt idx="720">
                  <c:v>44562</c:v>
                </c:pt>
                <c:pt idx="721">
                  <c:v>44563</c:v>
                </c:pt>
                <c:pt idx="722">
                  <c:v>44564</c:v>
                </c:pt>
                <c:pt idx="723">
                  <c:v>44565</c:v>
                </c:pt>
                <c:pt idx="724">
                  <c:v>44566</c:v>
                </c:pt>
                <c:pt idx="725">
                  <c:v>44567</c:v>
                </c:pt>
                <c:pt idx="726">
                  <c:v>44568</c:v>
                </c:pt>
                <c:pt idx="727">
                  <c:v>44569</c:v>
                </c:pt>
                <c:pt idx="728">
                  <c:v>44570</c:v>
                </c:pt>
                <c:pt idx="729">
                  <c:v>44571</c:v>
                </c:pt>
                <c:pt idx="730">
                  <c:v>44572</c:v>
                </c:pt>
                <c:pt idx="731">
                  <c:v>44573</c:v>
                </c:pt>
                <c:pt idx="732">
                  <c:v>44574</c:v>
                </c:pt>
                <c:pt idx="733">
                  <c:v>44575</c:v>
                </c:pt>
                <c:pt idx="734">
                  <c:v>44576</c:v>
                </c:pt>
                <c:pt idx="735">
                  <c:v>44577</c:v>
                </c:pt>
                <c:pt idx="736">
                  <c:v>44578</c:v>
                </c:pt>
                <c:pt idx="737">
                  <c:v>44579</c:v>
                </c:pt>
                <c:pt idx="738">
                  <c:v>44580</c:v>
                </c:pt>
                <c:pt idx="739">
                  <c:v>44581</c:v>
                </c:pt>
                <c:pt idx="740">
                  <c:v>44582</c:v>
                </c:pt>
                <c:pt idx="741">
                  <c:v>44583</c:v>
                </c:pt>
                <c:pt idx="742">
                  <c:v>44584</c:v>
                </c:pt>
                <c:pt idx="743">
                  <c:v>44585</c:v>
                </c:pt>
                <c:pt idx="744">
                  <c:v>44586</c:v>
                </c:pt>
                <c:pt idx="745">
                  <c:v>44587</c:v>
                </c:pt>
                <c:pt idx="746">
                  <c:v>44588</c:v>
                </c:pt>
                <c:pt idx="747">
                  <c:v>44589</c:v>
                </c:pt>
                <c:pt idx="748">
                  <c:v>44590</c:v>
                </c:pt>
                <c:pt idx="749">
                  <c:v>44591</c:v>
                </c:pt>
                <c:pt idx="750">
                  <c:v>44592</c:v>
                </c:pt>
                <c:pt idx="751">
                  <c:v>44593</c:v>
                </c:pt>
                <c:pt idx="752">
                  <c:v>44594</c:v>
                </c:pt>
                <c:pt idx="753">
                  <c:v>44595</c:v>
                </c:pt>
                <c:pt idx="754">
                  <c:v>44596</c:v>
                </c:pt>
                <c:pt idx="755">
                  <c:v>44597</c:v>
                </c:pt>
                <c:pt idx="756">
                  <c:v>44598</c:v>
                </c:pt>
                <c:pt idx="757">
                  <c:v>44599</c:v>
                </c:pt>
                <c:pt idx="758">
                  <c:v>44600</c:v>
                </c:pt>
                <c:pt idx="759">
                  <c:v>44601</c:v>
                </c:pt>
                <c:pt idx="760">
                  <c:v>44602</c:v>
                </c:pt>
                <c:pt idx="761">
                  <c:v>44603</c:v>
                </c:pt>
                <c:pt idx="762">
                  <c:v>44604</c:v>
                </c:pt>
                <c:pt idx="763">
                  <c:v>44605</c:v>
                </c:pt>
                <c:pt idx="764">
                  <c:v>44606</c:v>
                </c:pt>
                <c:pt idx="765">
                  <c:v>44607</c:v>
                </c:pt>
                <c:pt idx="766">
                  <c:v>44608</c:v>
                </c:pt>
                <c:pt idx="767">
                  <c:v>44609</c:v>
                </c:pt>
                <c:pt idx="768">
                  <c:v>44610</c:v>
                </c:pt>
                <c:pt idx="769">
                  <c:v>44611</c:v>
                </c:pt>
                <c:pt idx="770">
                  <c:v>44612</c:v>
                </c:pt>
                <c:pt idx="771">
                  <c:v>44613</c:v>
                </c:pt>
                <c:pt idx="772">
                  <c:v>44614</c:v>
                </c:pt>
                <c:pt idx="773">
                  <c:v>44615</c:v>
                </c:pt>
                <c:pt idx="774">
                  <c:v>44616</c:v>
                </c:pt>
                <c:pt idx="775">
                  <c:v>44617</c:v>
                </c:pt>
                <c:pt idx="776">
                  <c:v>44618</c:v>
                </c:pt>
                <c:pt idx="777">
                  <c:v>44619</c:v>
                </c:pt>
                <c:pt idx="778">
                  <c:v>44620</c:v>
                </c:pt>
                <c:pt idx="779">
                  <c:v>44621</c:v>
                </c:pt>
                <c:pt idx="780">
                  <c:v>44622</c:v>
                </c:pt>
                <c:pt idx="781">
                  <c:v>44623</c:v>
                </c:pt>
                <c:pt idx="782">
                  <c:v>44624</c:v>
                </c:pt>
                <c:pt idx="783">
                  <c:v>44625</c:v>
                </c:pt>
                <c:pt idx="784">
                  <c:v>44626</c:v>
                </c:pt>
                <c:pt idx="785">
                  <c:v>44627</c:v>
                </c:pt>
                <c:pt idx="786">
                  <c:v>44628</c:v>
                </c:pt>
                <c:pt idx="787">
                  <c:v>44629</c:v>
                </c:pt>
                <c:pt idx="788">
                  <c:v>44630</c:v>
                </c:pt>
                <c:pt idx="789">
                  <c:v>44631</c:v>
                </c:pt>
                <c:pt idx="790">
                  <c:v>44632</c:v>
                </c:pt>
                <c:pt idx="791">
                  <c:v>44633</c:v>
                </c:pt>
                <c:pt idx="792">
                  <c:v>44634</c:v>
                </c:pt>
                <c:pt idx="793">
                  <c:v>44635</c:v>
                </c:pt>
                <c:pt idx="794">
                  <c:v>44636</c:v>
                </c:pt>
                <c:pt idx="795">
                  <c:v>44637</c:v>
                </c:pt>
                <c:pt idx="796">
                  <c:v>44638</c:v>
                </c:pt>
                <c:pt idx="797">
                  <c:v>44639</c:v>
                </c:pt>
                <c:pt idx="798">
                  <c:v>44640</c:v>
                </c:pt>
                <c:pt idx="799">
                  <c:v>44641</c:v>
                </c:pt>
                <c:pt idx="800">
                  <c:v>44642</c:v>
                </c:pt>
                <c:pt idx="801">
                  <c:v>44643</c:v>
                </c:pt>
                <c:pt idx="802">
                  <c:v>44644</c:v>
                </c:pt>
                <c:pt idx="803">
                  <c:v>44645</c:v>
                </c:pt>
                <c:pt idx="804">
                  <c:v>44646</c:v>
                </c:pt>
                <c:pt idx="805">
                  <c:v>44647</c:v>
                </c:pt>
                <c:pt idx="806">
                  <c:v>44648</c:v>
                </c:pt>
                <c:pt idx="807">
                  <c:v>44649</c:v>
                </c:pt>
                <c:pt idx="808">
                  <c:v>44650</c:v>
                </c:pt>
                <c:pt idx="809">
                  <c:v>44651</c:v>
                </c:pt>
                <c:pt idx="810">
                  <c:v>44652</c:v>
                </c:pt>
                <c:pt idx="811">
                  <c:v>44653</c:v>
                </c:pt>
                <c:pt idx="812">
                  <c:v>44654</c:v>
                </c:pt>
                <c:pt idx="813">
                  <c:v>44655</c:v>
                </c:pt>
                <c:pt idx="814">
                  <c:v>44656</c:v>
                </c:pt>
                <c:pt idx="815">
                  <c:v>44657</c:v>
                </c:pt>
                <c:pt idx="816">
                  <c:v>44658</c:v>
                </c:pt>
                <c:pt idx="817">
                  <c:v>44659</c:v>
                </c:pt>
                <c:pt idx="818">
                  <c:v>44660</c:v>
                </c:pt>
                <c:pt idx="819">
                  <c:v>44661</c:v>
                </c:pt>
                <c:pt idx="820">
                  <c:v>44662</c:v>
                </c:pt>
                <c:pt idx="821">
                  <c:v>44663</c:v>
                </c:pt>
                <c:pt idx="822">
                  <c:v>44664</c:v>
                </c:pt>
                <c:pt idx="823">
                  <c:v>44665</c:v>
                </c:pt>
                <c:pt idx="824">
                  <c:v>44666</c:v>
                </c:pt>
                <c:pt idx="825">
                  <c:v>44667</c:v>
                </c:pt>
                <c:pt idx="826">
                  <c:v>44668</c:v>
                </c:pt>
                <c:pt idx="827">
                  <c:v>44669</c:v>
                </c:pt>
                <c:pt idx="828">
                  <c:v>44670</c:v>
                </c:pt>
                <c:pt idx="829">
                  <c:v>44671</c:v>
                </c:pt>
                <c:pt idx="830">
                  <c:v>44672</c:v>
                </c:pt>
                <c:pt idx="831">
                  <c:v>44673</c:v>
                </c:pt>
                <c:pt idx="832">
                  <c:v>44674</c:v>
                </c:pt>
                <c:pt idx="833">
                  <c:v>44675</c:v>
                </c:pt>
                <c:pt idx="834">
                  <c:v>44676</c:v>
                </c:pt>
                <c:pt idx="835">
                  <c:v>44677</c:v>
                </c:pt>
                <c:pt idx="836">
                  <c:v>44678</c:v>
                </c:pt>
                <c:pt idx="837">
                  <c:v>44679</c:v>
                </c:pt>
                <c:pt idx="838">
                  <c:v>44680</c:v>
                </c:pt>
                <c:pt idx="839">
                  <c:v>44681</c:v>
                </c:pt>
                <c:pt idx="840">
                  <c:v>44682</c:v>
                </c:pt>
                <c:pt idx="841">
                  <c:v>44683</c:v>
                </c:pt>
                <c:pt idx="842">
                  <c:v>44684</c:v>
                </c:pt>
                <c:pt idx="843">
                  <c:v>44685</c:v>
                </c:pt>
                <c:pt idx="844">
                  <c:v>44686</c:v>
                </c:pt>
                <c:pt idx="845">
                  <c:v>44687</c:v>
                </c:pt>
                <c:pt idx="846">
                  <c:v>44688</c:v>
                </c:pt>
                <c:pt idx="847">
                  <c:v>44689</c:v>
                </c:pt>
                <c:pt idx="848">
                  <c:v>44690</c:v>
                </c:pt>
                <c:pt idx="849">
                  <c:v>44691</c:v>
                </c:pt>
                <c:pt idx="850">
                  <c:v>44692</c:v>
                </c:pt>
                <c:pt idx="851">
                  <c:v>44693</c:v>
                </c:pt>
                <c:pt idx="852">
                  <c:v>44694</c:v>
                </c:pt>
                <c:pt idx="853">
                  <c:v>44695</c:v>
                </c:pt>
                <c:pt idx="854">
                  <c:v>44696</c:v>
                </c:pt>
                <c:pt idx="855">
                  <c:v>44697</c:v>
                </c:pt>
                <c:pt idx="856">
                  <c:v>44698</c:v>
                </c:pt>
                <c:pt idx="857">
                  <c:v>44699</c:v>
                </c:pt>
                <c:pt idx="858">
                  <c:v>44700</c:v>
                </c:pt>
                <c:pt idx="859">
                  <c:v>44701</c:v>
                </c:pt>
                <c:pt idx="860">
                  <c:v>44702</c:v>
                </c:pt>
                <c:pt idx="861">
                  <c:v>44703</c:v>
                </c:pt>
                <c:pt idx="862">
                  <c:v>44704</c:v>
                </c:pt>
                <c:pt idx="863">
                  <c:v>44705</c:v>
                </c:pt>
                <c:pt idx="864">
                  <c:v>44706</c:v>
                </c:pt>
                <c:pt idx="865">
                  <c:v>44707</c:v>
                </c:pt>
                <c:pt idx="866">
                  <c:v>44708</c:v>
                </c:pt>
                <c:pt idx="867">
                  <c:v>44709</c:v>
                </c:pt>
                <c:pt idx="868">
                  <c:v>44710</c:v>
                </c:pt>
                <c:pt idx="869">
                  <c:v>44711</c:v>
                </c:pt>
                <c:pt idx="870">
                  <c:v>44712</c:v>
                </c:pt>
                <c:pt idx="871">
                  <c:v>44713</c:v>
                </c:pt>
                <c:pt idx="872">
                  <c:v>44714</c:v>
                </c:pt>
                <c:pt idx="873">
                  <c:v>44715</c:v>
                </c:pt>
                <c:pt idx="874">
                  <c:v>44716</c:v>
                </c:pt>
                <c:pt idx="875">
                  <c:v>44717</c:v>
                </c:pt>
                <c:pt idx="876">
                  <c:v>44718</c:v>
                </c:pt>
                <c:pt idx="877">
                  <c:v>44719</c:v>
                </c:pt>
                <c:pt idx="878">
                  <c:v>44720</c:v>
                </c:pt>
                <c:pt idx="879">
                  <c:v>44721</c:v>
                </c:pt>
                <c:pt idx="880">
                  <c:v>44722</c:v>
                </c:pt>
                <c:pt idx="881">
                  <c:v>44723</c:v>
                </c:pt>
                <c:pt idx="882">
                  <c:v>44724</c:v>
                </c:pt>
                <c:pt idx="883">
                  <c:v>44725</c:v>
                </c:pt>
                <c:pt idx="884">
                  <c:v>44726</c:v>
                </c:pt>
                <c:pt idx="885">
                  <c:v>44727</c:v>
                </c:pt>
                <c:pt idx="886">
                  <c:v>44728</c:v>
                </c:pt>
                <c:pt idx="887">
                  <c:v>44729</c:v>
                </c:pt>
                <c:pt idx="888">
                  <c:v>44730</c:v>
                </c:pt>
                <c:pt idx="889">
                  <c:v>44731</c:v>
                </c:pt>
                <c:pt idx="890">
                  <c:v>44732</c:v>
                </c:pt>
                <c:pt idx="891">
                  <c:v>44733</c:v>
                </c:pt>
                <c:pt idx="892">
                  <c:v>44734</c:v>
                </c:pt>
                <c:pt idx="893">
                  <c:v>44735</c:v>
                </c:pt>
                <c:pt idx="894">
                  <c:v>44736</c:v>
                </c:pt>
                <c:pt idx="895">
                  <c:v>44737</c:v>
                </c:pt>
                <c:pt idx="896">
                  <c:v>44738</c:v>
                </c:pt>
                <c:pt idx="897">
                  <c:v>44739</c:v>
                </c:pt>
                <c:pt idx="898">
                  <c:v>44740</c:v>
                </c:pt>
                <c:pt idx="899">
                  <c:v>44741</c:v>
                </c:pt>
                <c:pt idx="900">
                  <c:v>44742</c:v>
                </c:pt>
                <c:pt idx="901">
                  <c:v>44743</c:v>
                </c:pt>
                <c:pt idx="902">
                  <c:v>44744</c:v>
                </c:pt>
                <c:pt idx="903">
                  <c:v>44745</c:v>
                </c:pt>
                <c:pt idx="904">
                  <c:v>44746</c:v>
                </c:pt>
                <c:pt idx="905">
                  <c:v>44747</c:v>
                </c:pt>
                <c:pt idx="906">
                  <c:v>44748</c:v>
                </c:pt>
                <c:pt idx="907">
                  <c:v>44749</c:v>
                </c:pt>
                <c:pt idx="908">
                  <c:v>44750</c:v>
                </c:pt>
                <c:pt idx="909">
                  <c:v>44751</c:v>
                </c:pt>
                <c:pt idx="910">
                  <c:v>44752</c:v>
                </c:pt>
                <c:pt idx="911">
                  <c:v>44753</c:v>
                </c:pt>
                <c:pt idx="912">
                  <c:v>44754</c:v>
                </c:pt>
                <c:pt idx="913">
                  <c:v>44755</c:v>
                </c:pt>
                <c:pt idx="914">
                  <c:v>44756</c:v>
                </c:pt>
                <c:pt idx="915">
                  <c:v>44757</c:v>
                </c:pt>
                <c:pt idx="916">
                  <c:v>44758</c:v>
                </c:pt>
                <c:pt idx="917">
                  <c:v>44759</c:v>
                </c:pt>
                <c:pt idx="918">
                  <c:v>44760</c:v>
                </c:pt>
                <c:pt idx="919">
                  <c:v>44761</c:v>
                </c:pt>
                <c:pt idx="920">
                  <c:v>44762</c:v>
                </c:pt>
                <c:pt idx="921">
                  <c:v>44763</c:v>
                </c:pt>
                <c:pt idx="922">
                  <c:v>44764</c:v>
                </c:pt>
                <c:pt idx="923">
                  <c:v>44765</c:v>
                </c:pt>
                <c:pt idx="924">
                  <c:v>44766</c:v>
                </c:pt>
                <c:pt idx="925">
                  <c:v>44767</c:v>
                </c:pt>
                <c:pt idx="926">
                  <c:v>44768</c:v>
                </c:pt>
                <c:pt idx="927">
                  <c:v>44769</c:v>
                </c:pt>
                <c:pt idx="928">
                  <c:v>44770</c:v>
                </c:pt>
                <c:pt idx="929">
                  <c:v>44771</c:v>
                </c:pt>
                <c:pt idx="930">
                  <c:v>44772</c:v>
                </c:pt>
                <c:pt idx="931">
                  <c:v>44773</c:v>
                </c:pt>
                <c:pt idx="932">
                  <c:v>44774</c:v>
                </c:pt>
                <c:pt idx="933">
                  <c:v>44775</c:v>
                </c:pt>
                <c:pt idx="934">
                  <c:v>44776</c:v>
                </c:pt>
                <c:pt idx="935">
                  <c:v>44777</c:v>
                </c:pt>
                <c:pt idx="936">
                  <c:v>44778</c:v>
                </c:pt>
                <c:pt idx="937">
                  <c:v>44779</c:v>
                </c:pt>
                <c:pt idx="938">
                  <c:v>44780</c:v>
                </c:pt>
                <c:pt idx="939">
                  <c:v>44781</c:v>
                </c:pt>
                <c:pt idx="940">
                  <c:v>44782</c:v>
                </c:pt>
                <c:pt idx="941">
                  <c:v>44783</c:v>
                </c:pt>
                <c:pt idx="942">
                  <c:v>44784</c:v>
                </c:pt>
                <c:pt idx="943">
                  <c:v>44785</c:v>
                </c:pt>
                <c:pt idx="944">
                  <c:v>44786</c:v>
                </c:pt>
                <c:pt idx="945">
                  <c:v>44787</c:v>
                </c:pt>
                <c:pt idx="946">
                  <c:v>44788</c:v>
                </c:pt>
                <c:pt idx="947">
                  <c:v>44789</c:v>
                </c:pt>
                <c:pt idx="948">
                  <c:v>44790</c:v>
                </c:pt>
                <c:pt idx="949">
                  <c:v>44791</c:v>
                </c:pt>
                <c:pt idx="950">
                  <c:v>44792</c:v>
                </c:pt>
                <c:pt idx="951">
                  <c:v>44793</c:v>
                </c:pt>
                <c:pt idx="952">
                  <c:v>44794</c:v>
                </c:pt>
                <c:pt idx="953">
                  <c:v>44795</c:v>
                </c:pt>
                <c:pt idx="954">
                  <c:v>44796</c:v>
                </c:pt>
                <c:pt idx="955">
                  <c:v>44797</c:v>
                </c:pt>
                <c:pt idx="956">
                  <c:v>44798</c:v>
                </c:pt>
                <c:pt idx="957">
                  <c:v>44799</c:v>
                </c:pt>
                <c:pt idx="958">
                  <c:v>44800</c:v>
                </c:pt>
                <c:pt idx="959">
                  <c:v>44801</c:v>
                </c:pt>
                <c:pt idx="960">
                  <c:v>44802</c:v>
                </c:pt>
                <c:pt idx="961">
                  <c:v>44803</c:v>
                </c:pt>
                <c:pt idx="962">
                  <c:v>44804</c:v>
                </c:pt>
                <c:pt idx="963">
                  <c:v>44805</c:v>
                </c:pt>
                <c:pt idx="964">
                  <c:v>44806</c:v>
                </c:pt>
                <c:pt idx="965">
                  <c:v>44807</c:v>
                </c:pt>
                <c:pt idx="966">
                  <c:v>44808</c:v>
                </c:pt>
                <c:pt idx="967">
                  <c:v>44809</c:v>
                </c:pt>
                <c:pt idx="968">
                  <c:v>44810</c:v>
                </c:pt>
                <c:pt idx="969">
                  <c:v>44811</c:v>
                </c:pt>
                <c:pt idx="970">
                  <c:v>44812</c:v>
                </c:pt>
                <c:pt idx="971">
                  <c:v>44813</c:v>
                </c:pt>
                <c:pt idx="972">
                  <c:v>44814</c:v>
                </c:pt>
                <c:pt idx="973">
                  <c:v>44815</c:v>
                </c:pt>
                <c:pt idx="974">
                  <c:v>44816</c:v>
                </c:pt>
                <c:pt idx="975">
                  <c:v>44817</c:v>
                </c:pt>
                <c:pt idx="976">
                  <c:v>44818</c:v>
                </c:pt>
                <c:pt idx="977">
                  <c:v>44819</c:v>
                </c:pt>
                <c:pt idx="978">
                  <c:v>44820</c:v>
                </c:pt>
                <c:pt idx="979">
                  <c:v>44821</c:v>
                </c:pt>
                <c:pt idx="980">
                  <c:v>44822</c:v>
                </c:pt>
                <c:pt idx="981">
                  <c:v>44823</c:v>
                </c:pt>
                <c:pt idx="982">
                  <c:v>44824</c:v>
                </c:pt>
                <c:pt idx="983">
                  <c:v>44825</c:v>
                </c:pt>
                <c:pt idx="984">
                  <c:v>44826</c:v>
                </c:pt>
                <c:pt idx="985">
                  <c:v>44827</c:v>
                </c:pt>
                <c:pt idx="986">
                  <c:v>44828</c:v>
                </c:pt>
                <c:pt idx="987">
                  <c:v>44829</c:v>
                </c:pt>
                <c:pt idx="988">
                  <c:v>44830</c:v>
                </c:pt>
                <c:pt idx="989">
                  <c:v>44831</c:v>
                </c:pt>
                <c:pt idx="990">
                  <c:v>44832</c:v>
                </c:pt>
                <c:pt idx="991">
                  <c:v>44833</c:v>
                </c:pt>
                <c:pt idx="992">
                  <c:v>44834</c:v>
                </c:pt>
                <c:pt idx="993">
                  <c:v>44835</c:v>
                </c:pt>
                <c:pt idx="994">
                  <c:v>44836</c:v>
                </c:pt>
                <c:pt idx="995">
                  <c:v>44837</c:v>
                </c:pt>
                <c:pt idx="996">
                  <c:v>44838</c:v>
                </c:pt>
                <c:pt idx="997">
                  <c:v>44839</c:v>
                </c:pt>
                <c:pt idx="998">
                  <c:v>44840</c:v>
                </c:pt>
                <c:pt idx="999">
                  <c:v>44841</c:v>
                </c:pt>
                <c:pt idx="1000">
                  <c:v>44842</c:v>
                </c:pt>
                <c:pt idx="1001">
                  <c:v>44843</c:v>
                </c:pt>
                <c:pt idx="1002">
                  <c:v>44844</c:v>
                </c:pt>
                <c:pt idx="1003">
                  <c:v>44845</c:v>
                </c:pt>
                <c:pt idx="1004">
                  <c:v>44846</c:v>
                </c:pt>
                <c:pt idx="1005">
                  <c:v>44847</c:v>
                </c:pt>
                <c:pt idx="1006">
                  <c:v>44848</c:v>
                </c:pt>
                <c:pt idx="1007">
                  <c:v>44849</c:v>
                </c:pt>
                <c:pt idx="1008">
                  <c:v>44850</c:v>
                </c:pt>
                <c:pt idx="1009">
                  <c:v>44851</c:v>
                </c:pt>
                <c:pt idx="1010">
                  <c:v>44852</c:v>
                </c:pt>
                <c:pt idx="1011">
                  <c:v>44853</c:v>
                </c:pt>
                <c:pt idx="1012">
                  <c:v>44854</c:v>
                </c:pt>
                <c:pt idx="1013">
                  <c:v>44855</c:v>
                </c:pt>
                <c:pt idx="1014">
                  <c:v>44856</c:v>
                </c:pt>
                <c:pt idx="1015">
                  <c:v>44857</c:v>
                </c:pt>
                <c:pt idx="1016">
                  <c:v>44858</c:v>
                </c:pt>
                <c:pt idx="1017">
                  <c:v>44859</c:v>
                </c:pt>
                <c:pt idx="1018">
                  <c:v>44860</c:v>
                </c:pt>
                <c:pt idx="1019">
                  <c:v>44861</c:v>
                </c:pt>
                <c:pt idx="1020">
                  <c:v>44862</c:v>
                </c:pt>
                <c:pt idx="1021">
                  <c:v>44863</c:v>
                </c:pt>
                <c:pt idx="1022">
                  <c:v>44864</c:v>
                </c:pt>
                <c:pt idx="1023">
                  <c:v>44865</c:v>
                </c:pt>
                <c:pt idx="1024">
                  <c:v>44866</c:v>
                </c:pt>
                <c:pt idx="1025">
                  <c:v>44867</c:v>
                </c:pt>
                <c:pt idx="1026">
                  <c:v>44868</c:v>
                </c:pt>
                <c:pt idx="1027">
                  <c:v>44869</c:v>
                </c:pt>
                <c:pt idx="1028">
                  <c:v>44870</c:v>
                </c:pt>
                <c:pt idx="1029">
                  <c:v>44871</c:v>
                </c:pt>
                <c:pt idx="1030">
                  <c:v>44872</c:v>
                </c:pt>
                <c:pt idx="1031">
                  <c:v>44873</c:v>
                </c:pt>
                <c:pt idx="1032">
                  <c:v>44874</c:v>
                </c:pt>
                <c:pt idx="1033">
                  <c:v>44875</c:v>
                </c:pt>
                <c:pt idx="1034">
                  <c:v>44876</c:v>
                </c:pt>
                <c:pt idx="1035">
                  <c:v>44877</c:v>
                </c:pt>
                <c:pt idx="1036">
                  <c:v>44878</c:v>
                </c:pt>
                <c:pt idx="1037">
                  <c:v>44879</c:v>
                </c:pt>
                <c:pt idx="1038">
                  <c:v>44880</c:v>
                </c:pt>
                <c:pt idx="1039">
                  <c:v>44881</c:v>
                </c:pt>
                <c:pt idx="1040">
                  <c:v>44882</c:v>
                </c:pt>
                <c:pt idx="1041">
                  <c:v>44883</c:v>
                </c:pt>
                <c:pt idx="1042">
                  <c:v>44884</c:v>
                </c:pt>
                <c:pt idx="1043">
                  <c:v>44885</c:v>
                </c:pt>
                <c:pt idx="1044">
                  <c:v>44886</c:v>
                </c:pt>
                <c:pt idx="1045">
                  <c:v>44887</c:v>
                </c:pt>
                <c:pt idx="1046">
                  <c:v>44888</c:v>
                </c:pt>
                <c:pt idx="1047">
                  <c:v>44889</c:v>
                </c:pt>
                <c:pt idx="1048">
                  <c:v>44890</c:v>
                </c:pt>
                <c:pt idx="1049">
                  <c:v>44891</c:v>
                </c:pt>
                <c:pt idx="1050">
                  <c:v>44892</c:v>
                </c:pt>
                <c:pt idx="1051">
                  <c:v>44893</c:v>
                </c:pt>
                <c:pt idx="1052">
                  <c:v>44894</c:v>
                </c:pt>
                <c:pt idx="1053">
                  <c:v>44895</c:v>
                </c:pt>
                <c:pt idx="1054">
                  <c:v>44896</c:v>
                </c:pt>
                <c:pt idx="1055">
                  <c:v>44897</c:v>
                </c:pt>
                <c:pt idx="1056">
                  <c:v>44898</c:v>
                </c:pt>
                <c:pt idx="1057">
                  <c:v>44899</c:v>
                </c:pt>
                <c:pt idx="1058">
                  <c:v>44900</c:v>
                </c:pt>
                <c:pt idx="1059">
                  <c:v>44901</c:v>
                </c:pt>
                <c:pt idx="1060">
                  <c:v>44902</c:v>
                </c:pt>
                <c:pt idx="1061">
                  <c:v>44903</c:v>
                </c:pt>
                <c:pt idx="1062">
                  <c:v>44904</c:v>
                </c:pt>
                <c:pt idx="1063">
                  <c:v>44905</c:v>
                </c:pt>
                <c:pt idx="1064">
                  <c:v>44906</c:v>
                </c:pt>
                <c:pt idx="1065">
                  <c:v>44907</c:v>
                </c:pt>
                <c:pt idx="1066">
                  <c:v>44908</c:v>
                </c:pt>
                <c:pt idx="1067">
                  <c:v>44909</c:v>
                </c:pt>
                <c:pt idx="1068">
                  <c:v>44910</c:v>
                </c:pt>
                <c:pt idx="1069">
                  <c:v>44911</c:v>
                </c:pt>
                <c:pt idx="1070">
                  <c:v>44912</c:v>
                </c:pt>
                <c:pt idx="1071">
                  <c:v>44913</c:v>
                </c:pt>
                <c:pt idx="1072">
                  <c:v>44914</c:v>
                </c:pt>
                <c:pt idx="1073">
                  <c:v>44915</c:v>
                </c:pt>
                <c:pt idx="1074">
                  <c:v>44916</c:v>
                </c:pt>
                <c:pt idx="1075">
                  <c:v>44917</c:v>
                </c:pt>
                <c:pt idx="1076">
                  <c:v>44918</c:v>
                </c:pt>
                <c:pt idx="1077">
                  <c:v>44919</c:v>
                </c:pt>
                <c:pt idx="1078">
                  <c:v>44920</c:v>
                </c:pt>
                <c:pt idx="1079">
                  <c:v>44921</c:v>
                </c:pt>
                <c:pt idx="1080">
                  <c:v>44922</c:v>
                </c:pt>
                <c:pt idx="1081">
                  <c:v>44923</c:v>
                </c:pt>
                <c:pt idx="1082">
                  <c:v>44924</c:v>
                </c:pt>
                <c:pt idx="1083">
                  <c:v>44925</c:v>
                </c:pt>
                <c:pt idx="1084">
                  <c:v>44926</c:v>
                </c:pt>
                <c:pt idx="1085">
                  <c:v>44927</c:v>
                </c:pt>
                <c:pt idx="1086">
                  <c:v>44928</c:v>
                </c:pt>
                <c:pt idx="1087">
                  <c:v>44929</c:v>
                </c:pt>
                <c:pt idx="1088">
                  <c:v>44930</c:v>
                </c:pt>
                <c:pt idx="1089">
                  <c:v>44931</c:v>
                </c:pt>
                <c:pt idx="1090">
                  <c:v>44932</c:v>
                </c:pt>
                <c:pt idx="1091">
                  <c:v>44933</c:v>
                </c:pt>
                <c:pt idx="1092">
                  <c:v>44934</c:v>
                </c:pt>
                <c:pt idx="1093">
                  <c:v>44935</c:v>
                </c:pt>
                <c:pt idx="1094">
                  <c:v>44936</c:v>
                </c:pt>
                <c:pt idx="1095">
                  <c:v>44937</c:v>
                </c:pt>
                <c:pt idx="1096">
                  <c:v>44938</c:v>
                </c:pt>
                <c:pt idx="1097">
                  <c:v>44939</c:v>
                </c:pt>
                <c:pt idx="1098">
                  <c:v>44940</c:v>
                </c:pt>
                <c:pt idx="1099">
                  <c:v>44941</c:v>
                </c:pt>
                <c:pt idx="1100">
                  <c:v>44942</c:v>
                </c:pt>
                <c:pt idx="1101">
                  <c:v>44943</c:v>
                </c:pt>
                <c:pt idx="1102">
                  <c:v>44944</c:v>
                </c:pt>
                <c:pt idx="1103">
                  <c:v>44945</c:v>
                </c:pt>
                <c:pt idx="1104">
                  <c:v>44946</c:v>
                </c:pt>
                <c:pt idx="1105">
                  <c:v>44947</c:v>
                </c:pt>
                <c:pt idx="1106">
                  <c:v>44948</c:v>
                </c:pt>
                <c:pt idx="1107">
                  <c:v>44949</c:v>
                </c:pt>
                <c:pt idx="1108">
                  <c:v>44950</c:v>
                </c:pt>
                <c:pt idx="1109">
                  <c:v>44951</c:v>
                </c:pt>
                <c:pt idx="1110">
                  <c:v>44952</c:v>
                </c:pt>
                <c:pt idx="1111">
                  <c:v>44953</c:v>
                </c:pt>
                <c:pt idx="1112">
                  <c:v>44954</c:v>
                </c:pt>
                <c:pt idx="1113">
                  <c:v>44955</c:v>
                </c:pt>
                <c:pt idx="1114">
                  <c:v>44956</c:v>
                </c:pt>
                <c:pt idx="1115">
                  <c:v>44957</c:v>
                </c:pt>
                <c:pt idx="1116">
                  <c:v>44958</c:v>
                </c:pt>
                <c:pt idx="1117">
                  <c:v>44959</c:v>
                </c:pt>
                <c:pt idx="1118">
                  <c:v>44960</c:v>
                </c:pt>
                <c:pt idx="1119">
                  <c:v>44961</c:v>
                </c:pt>
                <c:pt idx="1120">
                  <c:v>44962</c:v>
                </c:pt>
                <c:pt idx="1121">
                  <c:v>44963</c:v>
                </c:pt>
                <c:pt idx="1122">
                  <c:v>44964</c:v>
                </c:pt>
                <c:pt idx="1123">
                  <c:v>44965</c:v>
                </c:pt>
                <c:pt idx="1124">
                  <c:v>44966</c:v>
                </c:pt>
                <c:pt idx="1125">
                  <c:v>44967</c:v>
                </c:pt>
                <c:pt idx="1126">
                  <c:v>44968</c:v>
                </c:pt>
                <c:pt idx="1127">
                  <c:v>44969</c:v>
                </c:pt>
                <c:pt idx="1128">
                  <c:v>44970</c:v>
                </c:pt>
                <c:pt idx="1129">
                  <c:v>44971</c:v>
                </c:pt>
                <c:pt idx="1130">
                  <c:v>44972</c:v>
                </c:pt>
                <c:pt idx="1131">
                  <c:v>44973</c:v>
                </c:pt>
                <c:pt idx="1132">
                  <c:v>44974</c:v>
                </c:pt>
                <c:pt idx="1133">
                  <c:v>44975</c:v>
                </c:pt>
                <c:pt idx="1134">
                  <c:v>44976</c:v>
                </c:pt>
                <c:pt idx="1135">
                  <c:v>44977</c:v>
                </c:pt>
                <c:pt idx="1136">
                  <c:v>44978</c:v>
                </c:pt>
                <c:pt idx="1137">
                  <c:v>44979</c:v>
                </c:pt>
                <c:pt idx="1138">
                  <c:v>44980</c:v>
                </c:pt>
                <c:pt idx="1139">
                  <c:v>44981</c:v>
                </c:pt>
                <c:pt idx="1140">
                  <c:v>44982</c:v>
                </c:pt>
                <c:pt idx="1141">
                  <c:v>44983</c:v>
                </c:pt>
                <c:pt idx="1142">
                  <c:v>44984</c:v>
                </c:pt>
                <c:pt idx="1143">
                  <c:v>44985</c:v>
                </c:pt>
                <c:pt idx="1144">
                  <c:v>44986</c:v>
                </c:pt>
                <c:pt idx="1145">
                  <c:v>44987</c:v>
                </c:pt>
                <c:pt idx="1146">
                  <c:v>44988</c:v>
                </c:pt>
                <c:pt idx="1147">
                  <c:v>44989</c:v>
                </c:pt>
                <c:pt idx="1148">
                  <c:v>44990</c:v>
                </c:pt>
                <c:pt idx="1149">
                  <c:v>44991</c:v>
                </c:pt>
                <c:pt idx="1150">
                  <c:v>44992</c:v>
                </c:pt>
                <c:pt idx="1151">
                  <c:v>44993</c:v>
                </c:pt>
                <c:pt idx="1152">
                  <c:v>44994</c:v>
                </c:pt>
                <c:pt idx="1153">
                  <c:v>44995</c:v>
                </c:pt>
                <c:pt idx="1154">
                  <c:v>44996</c:v>
                </c:pt>
                <c:pt idx="1155">
                  <c:v>44997</c:v>
                </c:pt>
                <c:pt idx="1156">
                  <c:v>44998</c:v>
                </c:pt>
                <c:pt idx="1157">
                  <c:v>44999</c:v>
                </c:pt>
                <c:pt idx="1158">
                  <c:v>45000</c:v>
                </c:pt>
                <c:pt idx="1159">
                  <c:v>45001</c:v>
                </c:pt>
                <c:pt idx="1160">
                  <c:v>45002</c:v>
                </c:pt>
                <c:pt idx="1161">
                  <c:v>45003</c:v>
                </c:pt>
                <c:pt idx="1162">
                  <c:v>45004</c:v>
                </c:pt>
                <c:pt idx="1163">
                  <c:v>45005</c:v>
                </c:pt>
                <c:pt idx="1164">
                  <c:v>45006</c:v>
                </c:pt>
                <c:pt idx="1165">
                  <c:v>45007</c:v>
                </c:pt>
                <c:pt idx="1166">
                  <c:v>45008</c:v>
                </c:pt>
                <c:pt idx="1167">
                  <c:v>45009</c:v>
                </c:pt>
                <c:pt idx="1168">
                  <c:v>45010</c:v>
                </c:pt>
                <c:pt idx="1169">
                  <c:v>45011</c:v>
                </c:pt>
                <c:pt idx="1170">
                  <c:v>45012</c:v>
                </c:pt>
                <c:pt idx="1171">
                  <c:v>45013</c:v>
                </c:pt>
                <c:pt idx="1172">
                  <c:v>45014</c:v>
                </c:pt>
                <c:pt idx="1173">
                  <c:v>45015</c:v>
                </c:pt>
                <c:pt idx="1174">
                  <c:v>45016</c:v>
                </c:pt>
                <c:pt idx="1175">
                  <c:v>45017</c:v>
                </c:pt>
                <c:pt idx="1176">
                  <c:v>45018</c:v>
                </c:pt>
                <c:pt idx="1177">
                  <c:v>45019</c:v>
                </c:pt>
                <c:pt idx="1178">
                  <c:v>45020</c:v>
                </c:pt>
                <c:pt idx="1179">
                  <c:v>45021</c:v>
                </c:pt>
                <c:pt idx="1180">
                  <c:v>45022</c:v>
                </c:pt>
                <c:pt idx="1181">
                  <c:v>45023</c:v>
                </c:pt>
                <c:pt idx="1182">
                  <c:v>45024</c:v>
                </c:pt>
                <c:pt idx="1183">
                  <c:v>45025</c:v>
                </c:pt>
                <c:pt idx="1184">
                  <c:v>45026</c:v>
                </c:pt>
                <c:pt idx="1185">
                  <c:v>45027</c:v>
                </c:pt>
                <c:pt idx="1186">
                  <c:v>45028</c:v>
                </c:pt>
                <c:pt idx="1187">
                  <c:v>45029</c:v>
                </c:pt>
                <c:pt idx="1188">
                  <c:v>45030</c:v>
                </c:pt>
                <c:pt idx="1189">
                  <c:v>45031</c:v>
                </c:pt>
                <c:pt idx="1190">
                  <c:v>45032</c:v>
                </c:pt>
                <c:pt idx="1191">
                  <c:v>45033</c:v>
                </c:pt>
                <c:pt idx="1192">
                  <c:v>45034</c:v>
                </c:pt>
                <c:pt idx="1193">
                  <c:v>45035</c:v>
                </c:pt>
                <c:pt idx="1194">
                  <c:v>45036</c:v>
                </c:pt>
                <c:pt idx="1195">
                  <c:v>45037</c:v>
                </c:pt>
                <c:pt idx="1196">
                  <c:v>45038</c:v>
                </c:pt>
                <c:pt idx="1197">
                  <c:v>45039</c:v>
                </c:pt>
                <c:pt idx="1198">
                  <c:v>45040</c:v>
                </c:pt>
                <c:pt idx="1199">
                  <c:v>45041</c:v>
                </c:pt>
                <c:pt idx="1200">
                  <c:v>45042</c:v>
                </c:pt>
                <c:pt idx="1201">
                  <c:v>45043</c:v>
                </c:pt>
                <c:pt idx="1202">
                  <c:v>45044</c:v>
                </c:pt>
                <c:pt idx="1203">
                  <c:v>45045</c:v>
                </c:pt>
                <c:pt idx="1204">
                  <c:v>45046</c:v>
                </c:pt>
                <c:pt idx="1205">
                  <c:v>45047</c:v>
                </c:pt>
                <c:pt idx="1206">
                  <c:v>45048</c:v>
                </c:pt>
                <c:pt idx="1207">
                  <c:v>45049</c:v>
                </c:pt>
                <c:pt idx="1208">
                  <c:v>45050</c:v>
                </c:pt>
                <c:pt idx="1209">
                  <c:v>45051</c:v>
                </c:pt>
                <c:pt idx="1210">
                  <c:v>45052</c:v>
                </c:pt>
                <c:pt idx="1211">
                  <c:v>45053</c:v>
                </c:pt>
                <c:pt idx="1212">
                  <c:v>45054</c:v>
                </c:pt>
                <c:pt idx="1213">
                  <c:v>45055</c:v>
                </c:pt>
                <c:pt idx="1214">
                  <c:v>45056</c:v>
                </c:pt>
                <c:pt idx="1215">
                  <c:v>45057</c:v>
                </c:pt>
                <c:pt idx="1216">
                  <c:v>45058</c:v>
                </c:pt>
                <c:pt idx="1217">
                  <c:v>45059</c:v>
                </c:pt>
                <c:pt idx="1218">
                  <c:v>45060</c:v>
                </c:pt>
                <c:pt idx="1219">
                  <c:v>45061</c:v>
                </c:pt>
                <c:pt idx="1220">
                  <c:v>45062</c:v>
                </c:pt>
                <c:pt idx="1221">
                  <c:v>45063</c:v>
                </c:pt>
                <c:pt idx="1222">
                  <c:v>45064</c:v>
                </c:pt>
                <c:pt idx="1223">
                  <c:v>45065</c:v>
                </c:pt>
                <c:pt idx="1224">
                  <c:v>45066</c:v>
                </c:pt>
                <c:pt idx="1225">
                  <c:v>45067</c:v>
                </c:pt>
                <c:pt idx="1226">
                  <c:v>45068</c:v>
                </c:pt>
                <c:pt idx="1227">
                  <c:v>45069</c:v>
                </c:pt>
                <c:pt idx="1228">
                  <c:v>45070</c:v>
                </c:pt>
                <c:pt idx="1229">
                  <c:v>45071</c:v>
                </c:pt>
                <c:pt idx="1230">
                  <c:v>45072</c:v>
                </c:pt>
                <c:pt idx="1231">
                  <c:v>45073</c:v>
                </c:pt>
                <c:pt idx="1232">
                  <c:v>45074</c:v>
                </c:pt>
                <c:pt idx="1233">
                  <c:v>45075</c:v>
                </c:pt>
                <c:pt idx="1234">
                  <c:v>45076</c:v>
                </c:pt>
                <c:pt idx="1235">
                  <c:v>45077</c:v>
                </c:pt>
                <c:pt idx="1236">
                  <c:v>45078</c:v>
                </c:pt>
                <c:pt idx="1237">
                  <c:v>45079</c:v>
                </c:pt>
                <c:pt idx="1238">
                  <c:v>45080</c:v>
                </c:pt>
                <c:pt idx="1239">
                  <c:v>45081</c:v>
                </c:pt>
                <c:pt idx="1240">
                  <c:v>45082</c:v>
                </c:pt>
                <c:pt idx="1241">
                  <c:v>45083</c:v>
                </c:pt>
                <c:pt idx="1242">
                  <c:v>45084</c:v>
                </c:pt>
                <c:pt idx="1243">
                  <c:v>45085</c:v>
                </c:pt>
                <c:pt idx="1244">
                  <c:v>45086</c:v>
                </c:pt>
                <c:pt idx="1245">
                  <c:v>45087</c:v>
                </c:pt>
                <c:pt idx="1246">
                  <c:v>45088</c:v>
                </c:pt>
                <c:pt idx="1247">
                  <c:v>45089</c:v>
                </c:pt>
                <c:pt idx="1248">
                  <c:v>45090</c:v>
                </c:pt>
                <c:pt idx="1249">
                  <c:v>45091</c:v>
                </c:pt>
                <c:pt idx="1250">
                  <c:v>45092</c:v>
                </c:pt>
                <c:pt idx="1251">
                  <c:v>45093</c:v>
                </c:pt>
                <c:pt idx="1252">
                  <c:v>45094</c:v>
                </c:pt>
                <c:pt idx="1253">
                  <c:v>45095</c:v>
                </c:pt>
                <c:pt idx="1254">
                  <c:v>45096</c:v>
                </c:pt>
                <c:pt idx="1255">
                  <c:v>45097</c:v>
                </c:pt>
                <c:pt idx="1256">
                  <c:v>45098</c:v>
                </c:pt>
                <c:pt idx="1257">
                  <c:v>45099</c:v>
                </c:pt>
                <c:pt idx="1258">
                  <c:v>45100</c:v>
                </c:pt>
                <c:pt idx="1259">
                  <c:v>45101</c:v>
                </c:pt>
                <c:pt idx="1260">
                  <c:v>45102</c:v>
                </c:pt>
                <c:pt idx="1261">
                  <c:v>45103</c:v>
                </c:pt>
                <c:pt idx="1262">
                  <c:v>45104</c:v>
                </c:pt>
                <c:pt idx="1263">
                  <c:v>45105</c:v>
                </c:pt>
                <c:pt idx="1264">
                  <c:v>45106</c:v>
                </c:pt>
                <c:pt idx="1265">
                  <c:v>45107</c:v>
                </c:pt>
                <c:pt idx="1266">
                  <c:v>45108</c:v>
                </c:pt>
                <c:pt idx="1267">
                  <c:v>45109</c:v>
                </c:pt>
                <c:pt idx="1268">
                  <c:v>45110</c:v>
                </c:pt>
                <c:pt idx="1269">
                  <c:v>45111</c:v>
                </c:pt>
                <c:pt idx="1270">
                  <c:v>45112</c:v>
                </c:pt>
                <c:pt idx="1271">
                  <c:v>45113</c:v>
                </c:pt>
                <c:pt idx="1272">
                  <c:v>45114</c:v>
                </c:pt>
                <c:pt idx="1273">
                  <c:v>45115</c:v>
                </c:pt>
                <c:pt idx="1274">
                  <c:v>45116</c:v>
                </c:pt>
                <c:pt idx="1275">
                  <c:v>45117</c:v>
                </c:pt>
                <c:pt idx="1276">
                  <c:v>45118</c:v>
                </c:pt>
                <c:pt idx="1277">
                  <c:v>45119</c:v>
                </c:pt>
                <c:pt idx="1278">
                  <c:v>45120</c:v>
                </c:pt>
                <c:pt idx="1279">
                  <c:v>45121</c:v>
                </c:pt>
                <c:pt idx="1280">
                  <c:v>45122</c:v>
                </c:pt>
                <c:pt idx="1281">
                  <c:v>45123</c:v>
                </c:pt>
                <c:pt idx="1282">
                  <c:v>45124</c:v>
                </c:pt>
                <c:pt idx="1283">
                  <c:v>45125</c:v>
                </c:pt>
                <c:pt idx="1284">
                  <c:v>45126</c:v>
                </c:pt>
                <c:pt idx="1285">
                  <c:v>45127</c:v>
                </c:pt>
                <c:pt idx="1286">
                  <c:v>45128</c:v>
                </c:pt>
                <c:pt idx="1287">
                  <c:v>45129</c:v>
                </c:pt>
                <c:pt idx="1288">
                  <c:v>45130</c:v>
                </c:pt>
                <c:pt idx="1289">
                  <c:v>45131</c:v>
                </c:pt>
                <c:pt idx="1290">
                  <c:v>45132</c:v>
                </c:pt>
                <c:pt idx="1291">
                  <c:v>45133</c:v>
                </c:pt>
                <c:pt idx="1292">
                  <c:v>45134</c:v>
                </c:pt>
                <c:pt idx="1293">
                  <c:v>45135</c:v>
                </c:pt>
                <c:pt idx="1294">
                  <c:v>45136</c:v>
                </c:pt>
                <c:pt idx="1295">
                  <c:v>45137</c:v>
                </c:pt>
                <c:pt idx="1296">
                  <c:v>45138</c:v>
                </c:pt>
                <c:pt idx="1297">
                  <c:v>45139</c:v>
                </c:pt>
                <c:pt idx="1298">
                  <c:v>45140</c:v>
                </c:pt>
                <c:pt idx="1299">
                  <c:v>45141</c:v>
                </c:pt>
                <c:pt idx="1300">
                  <c:v>45142</c:v>
                </c:pt>
                <c:pt idx="1301">
                  <c:v>45143</c:v>
                </c:pt>
                <c:pt idx="1302">
                  <c:v>45144</c:v>
                </c:pt>
                <c:pt idx="1303">
                  <c:v>45145</c:v>
                </c:pt>
                <c:pt idx="1304">
                  <c:v>45146</c:v>
                </c:pt>
                <c:pt idx="1305">
                  <c:v>45147</c:v>
                </c:pt>
                <c:pt idx="1306">
                  <c:v>45148</c:v>
                </c:pt>
                <c:pt idx="1307">
                  <c:v>45149</c:v>
                </c:pt>
                <c:pt idx="1308">
                  <c:v>45150</c:v>
                </c:pt>
                <c:pt idx="1309">
                  <c:v>45151</c:v>
                </c:pt>
                <c:pt idx="1310">
                  <c:v>45152</c:v>
                </c:pt>
                <c:pt idx="1311">
                  <c:v>45153</c:v>
                </c:pt>
                <c:pt idx="1312">
                  <c:v>45154</c:v>
                </c:pt>
                <c:pt idx="1313">
                  <c:v>45155</c:v>
                </c:pt>
                <c:pt idx="1314">
                  <c:v>45156</c:v>
                </c:pt>
                <c:pt idx="1315">
                  <c:v>45157</c:v>
                </c:pt>
                <c:pt idx="1316">
                  <c:v>45158</c:v>
                </c:pt>
                <c:pt idx="1317">
                  <c:v>45159</c:v>
                </c:pt>
                <c:pt idx="1318">
                  <c:v>45160</c:v>
                </c:pt>
                <c:pt idx="1319">
                  <c:v>45161</c:v>
                </c:pt>
                <c:pt idx="1320">
                  <c:v>45162</c:v>
                </c:pt>
                <c:pt idx="1321">
                  <c:v>45163</c:v>
                </c:pt>
                <c:pt idx="1322">
                  <c:v>45164</c:v>
                </c:pt>
                <c:pt idx="1323">
                  <c:v>45165</c:v>
                </c:pt>
                <c:pt idx="1324">
                  <c:v>45166</c:v>
                </c:pt>
                <c:pt idx="1325">
                  <c:v>45167</c:v>
                </c:pt>
                <c:pt idx="1326">
                  <c:v>45168</c:v>
                </c:pt>
                <c:pt idx="1327">
                  <c:v>45169</c:v>
                </c:pt>
                <c:pt idx="1328">
                  <c:v>45170</c:v>
                </c:pt>
                <c:pt idx="1329">
                  <c:v>45171</c:v>
                </c:pt>
                <c:pt idx="1330">
                  <c:v>45172</c:v>
                </c:pt>
                <c:pt idx="1331">
                  <c:v>45173</c:v>
                </c:pt>
                <c:pt idx="1332">
                  <c:v>45174</c:v>
                </c:pt>
                <c:pt idx="1333">
                  <c:v>45175</c:v>
                </c:pt>
                <c:pt idx="1334">
                  <c:v>45176</c:v>
                </c:pt>
                <c:pt idx="1335">
                  <c:v>45177</c:v>
                </c:pt>
                <c:pt idx="1336">
                  <c:v>45178</c:v>
                </c:pt>
                <c:pt idx="1337">
                  <c:v>45179</c:v>
                </c:pt>
                <c:pt idx="1338">
                  <c:v>45180</c:v>
                </c:pt>
                <c:pt idx="1339">
                  <c:v>45181</c:v>
                </c:pt>
                <c:pt idx="1340">
                  <c:v>45182</c:v>
                </c:pt>
                <c:pt idx="1341">
                  <c:v>45183</c:v>
                </c:pt>
                <c:pt idx="1342">
                  <c:v>45184</c:v>
                </c:pt>
                <c:pt idx="1343">
                  <c:v>45185</c:v>
                </c:pt>
                <c:pt idx="1344">
                  <c:v>45186</c:v>
                </c:pt>
                <c:pt idx="1345">
                  <c:v>45187</c:v>
                </c:pt>
                <c:pt idx="1346">
                  <c:v>45188</c:v>
                </c:pt>
                <c:pt idx="1347">
                  <c:v>45189</c:v>
                </c:pt>
                <c:pt idx="1348">
                  <c:v>45190</c:v>
                </c:pt>
                <c:pt idx="1349">
                  <c:v>45191</c:v>
                </c:pt>
                <c:pt idx="1350">
                  <c:v>45192</c:v>
                </c:pt>
                <c:pt idx="1351">
                  <c:v>45193</c:v>
                </c:pt>
                <c:pt idx="1352">
                  <c:v>45194</c:v>
                </c:pt>
                <c:pt idx="1353">
                  <c:v>45195</c:v>
                </c:pt>
                <c:pt idx="1354">
                  <c:v>45196</c:v>
                </c:pt>
                <c:pt idx="1355">
                  <c:v>45197</c:v>
                </c:pt>
                <c:pt idx="1356">
                  <c:v>45198</c:v>
                </c:pt>
                <c:pt idx="1357">
                  <c:v>45199</c:v>
                </c:pt>
                <c:pt idx="1358">
                  <c:v>45200</c:v>
                </c:pt>
                <c:pt idx="1359">
                  <c:v>45201</c:v>
                </c:pt>
                <c:pt idx="1360">
                  <c:v>45202</c:v>
                </c:pt>
                <c:pt idx="1361">
                  <c:v>45203</c:v>
                </c:pt>
                <c:pt idx="1362">
                  <c:v>45204</c:v>
                </c:pt>
                <c:pt idx="1363">
                  <c:v>45205</c:v>
                </c:pt>
                <c:pt idx="1364">
                  <c:v>45206</c:v>
                </c:pt>
                <c:pt idx="1365">
                  <c:v>45207</c:v>
                </c:pt>
                <c:pt idx="1366">
                  <c:v>45208</c:v>
                </c:pt>
                <c:pt idx="1367">
                  <c:v>45209</c:v>
                </c:pt>
                <c:pt idx="1368">
                  <c:v>45210</c:v>
                </c:pt>
                <c:pt idx="1369">
                  <c:v>45211</c:v>
                </c:pt>
                <c:pt idx="1370">
                  <c:v>45212</c:v>
                </c:pt>
                <c:pt idx="1371">
                  <c:v>45213</c:v>
                </c:pt>
                <c:pt idx="1372">
                  <c:v>45214</c:v>
                </c:pt>
                <c:pt idx="1373">
                  <c:v>45215</c:v>
                </c:pt>
                <c:pt idx="1374">
                  <c:v>45216</c:v>
                </c:pt>
                <c:pt idx="1375">
                  <c:v>45217</c:v>
                </c:pt>
                <c:pt idx="1376">
                  <c:v>45218</c:v>
                </c:pt>
                <c:pt idx="1377">
                  <c:v>45219</c:v>
                </c:pt>
                <c:pt idx="1378">
                  <c:v>45220</c:v>
                </c:pt>
                <c:pt idx="1379">
                  <c:v>45221</c:v>
                </c:pt>
                <c:pt idx="1380">
                  <c:v>45222</c:v>
                </c:pt>
                <c:pt idx="1381">
                  <c:v>45223</c:v>
                </c:pt>
                <c:pt idx="1382">
                  <c:v>45224</c:v>
                </c:pt>
                <c:pt idx="1383">
                  <c:v>45225</c:v>
                </c:pt>
                <c:pt idx="1384">
                  <c:v>45226</c:v>
                </c:pt>
                <c:pt idx="1385">
                  <c:v>45227</c:v>
                </c:pt>
                <c:pt idx="1386">
                  <c:v>45228</c:v>
                </c:pt>
                <c:pt idx="1387">
                  <c:v>45229</c:v>
                </c:pt>
                <c:pt idx="1388">
                  <c:v>45230</c:v>
                </c:pt>
                <c:pt idx="1389">
                  <c:v>45231</c:v>
                </c:pt>
                <c:pt idx="1390">
                  <c:v>45232</c:v>
                </c:pt>
                <c:pt idx="1391">
                  <c:v>45233</c:v>
                </c:pt>
                <c:pt idx="1392">
                  <c:v>45234</c:v>
                </c:pt>
                <c:pt idx="1393">
                  <c:v>45235</c:v>
                </c:pt>
                <c:pt idx="1394">
                  <c:v>45236</c:v>
                </c:pt>
                <c:pt idx="1395">
                  <c:v>45237</c:v>
                </c:pt>
                <c:pt idx="1396">
                  <c:v>45238</c:v>
                </c:pt>
                <c:pt idx="1397">
                  <c:v>45239</c:v>
                </c:pt>
                <c:pt idx="1398">
                  <c:v>45240</c:v>
                </c:pt>
                <c:pt idx="1399">
                  <c:v>45241</c:v>
                </c:pt>
                <c:pt idx="1400">
                  <c:v>45242</c:v>
                </c:pt>
                <c:pt idx="1401">
                  <c:v>45243</c:v>
                </c:pt>
                <c:pt idx="1402">
                  <c:v>45244</c:v>
                </c:pt>
                <c:pt idx="1403">
                  <c:v>45245</c:v>
                </c:pt>
                <c:pt idx="1404">
                  <c:v>45246</c:v>
                </c:pt>
                <c:pt idx="1405">
                  <c:v>45247</c:v>
                </c:pt>
                <c:pt idx="1406">
                  <c:v>45248</c:v>
                </c:pt>
                <c:pt idx="1407">
                  <c:v>45249</c:v>
                </c:pt>
                <c:pt idx="1408">
                  <c:v>45250</c:v>
                </c:pt>
                <c:pt idx="1409">
                  <c:v>45251</c:v>
                </c:pt>
                <c:pt idx="1410">
                  <c:v>45252</c:v>
                </c:pt>
                <c:pt idx="1411">
                  <c:v>45253</c:v>
                </c:pt>
                <c:pt idx="1412">
                  <c:v>45254</c:v>
                </c:pt>
                <c:pt idx="1413">
                  <c:v>45255</c:v>
                </c:pt>
                <c:pt idx="1414">
                  <c:v>45256</c:v>
                </c:pt>
                <c:pt idx="1415">
                  <c:v>45257</c:v>
                </c:pt>
                <c:pt idx="1416">
                  <c:v>45258</c:v>
                </c:pt>
                <c:pt idx="1417">
                  <c:v>45259</c:v>
                </c:pt>
                <c:pt idx="1418">
                  <c:v>45260</c:v>
                </c:pt>
                <c:pt idx="1419">
                  <c:v>45261</c:v>
                </c:pt>
                <c:pt idx="1420">
                  <c:v>45262</c:v>
                </c:pt>
                <c:pt idx="1421">
                  <c:v>45263</c:v>
                </c:pt>
                <c:pt idx="1422">
                  <c:v>45264</c:v>
                </c:pt>
                <c:pt idx="1423">
                  <c:v>45265</c:v>
                </c:pt>
                <c:pt idx="1424">
                  <c:v>45266</c:v>
                </c:pt>
                <c:pt idx="1425">
                  <c:v>45267</c:v>
                </c:pt>
                <c:pt idx="1426">
                  <c:v>45268</c:v>
                </c:pt>
                <c:pt idx="1427">
                  <c:v>45269</c:v>
                </c:pt>
                <c:pt idx="1428">
                  <c:v>45270</c:v>
                </c:pt>
                <c:pt idx="1429">
                  <c:v>45271</c:v>
                </c:pt>
                <c:pt idx="1430">
                  <c:v>45272</c:v>
                </c:pt>
                <c:pt idx="1431">
                  <c:v>45273</c:v>
                </c:pt>
                <c:pt idx="1432">
                  <c:v>45274</c:v>
                </c:pt>
                <c:pt idx="1433">
                  <c:v>45275</c:v>
                </c:pt>
                <c:pt idx="1434">
                  <c:v>45276</c:v>
                </c:pt>
                <c:pt idx="1435">
                  <c:v>45277</c:v>
                </c:pt>
                <c:pt idx="1436">
                  <c:v>45278</c:v>
                </c:pt>
                <c:pt idx="1437">
                  <c:v>45279</c:v>
                </c:pt>
                <c:pt idx="1438">
                  <c:v>45280</c:v>
                </c:pt>
                <c:pt idx="1439">
                  <c:v>45281</c:v>
                </c:pt>
                <c:pt idx="1440">
                  <c:v>45282</c:v>
                </c:pt>
                <c:pt idx="1441">
                  <c:v>45283</c:v>
                </c:pt>
                <c:pt idx="1442">
                  <c:v>45284</c:v>
                </c:pt>
                <c:pt idx="1443">
                  <c:v>45285</c:v>
                </c:pt>
                <c:pt idx="1444">
                  <c:v>45286</c:v>
                </c:pt>
                <c:pt idx="1445">
                  <c:v>45287</c:v>
                </c:pt>
                <c:pt idx="1446">
                  <c:v>45288</c:v>
                </c:pt>
                <c:pt idx="1447">
                  <c:v>45289</c:v>
                </c:pt>
                <c:pt idx="1448">
                  <c:v>45290</c:v>
                </c:pt>
                <c:pt idx="1449">
                  <c:v>45291</c:v>
                </c:pt>
                <c:pt idx="1450">
                  <c:v>45292</c:v>
                </c:pt>
                <c:pt idx="1451">
                  <c:v>45293</c:v>
                </c:pt>
                <c:pt idx="1452">
                  <c:v>45294</c:v>
                </c:pt>
                <c:pt idx="1453">
                  <c:v>45295</c:v>
                </c:pt>
                <c:pt idx="1454">
                  <c:v>45296</c:v>
                </c:pt>
                <c:pt idx="1455">
                  <c:v>45297</c:v>
                </c:pt>
                <c:pt idx="1456">
                  <c:v>45298</c:v>
                </c:pt>
                <c:pt idx="1457">
                  <c:v>45299</c:v>
                </c:pt>
                <c:pt idx="1458">
                  <c:v>45300</c:v>
                </c:pt>
                <c:pt idx="1459">
                  <c:v>45301</c:v>
                </c:pt>
                <c:pt idx="1460">
                  <c:v>45302</c:v>
                </c:pt>
                <c:pt idx="1461">
                  <c:v>45303</c:v>
                </c:pt>
                <c:pt idx="1462">
                  <c:v>45304</c:v>
                </c:pt>
                <c:pt idx="1463">
                  <c:v>45305</c:v>
                </c:pt>
                <c:pt idx="1464">
                  <c:v>45306</c:v>
                </c:pt>
                <c:pt idx="1465">
                  <c:v>45307</c:v>
                </c:pt>
                <c:pt idx="1466">
                  <c:v>45308</c:v>
                </c:pt>
                <c:pt idx="1467">
                  <c:v>45309</c:v>
                </c:pt>
                <c:pt idx="1468">
                  <c:v>45310</c:v>
                </c:pt>
                <c:pt idx="1469">
                  <c:v>45311</c:v>
                </c:pt>
                <c:pt idx="1470">
                  <c:v>45312</c:v>
                </c:pt>
                <c:pt idx="1471">
                  <c:v>45313</c:v>
                </c:pt>
                <c:pt idx="1472">
                  <c:v>45314</c:v>
                </c:pt>
                <c:pt idx="1473">
                  <c:v>45315</c:v>
                </c:pt>
                <c:pt idx="1474">
                  <c:v>45316</c:v>
                </c:pt>
                <c:pt idx="1475">
                  <c:v>45317</c:v>
                </c:pt>
                <c:pt idx="1476">
                  <c:v>45318</c:v>
                </c:pt>
                <c:pt idx="1477">
                  <c:v>45319</c:v>
                </c:pt>
                <c:pt idx="1478">
                  <c:v>45320</c:v>
                </c:pt>
                <c:pt idx="1479">
                  <c:v>45321</c:v>
                </c:pt>
                <c:pt idx="1480">
                  <c:v>45322</c:v>
                </c:pt>
                <c:pt idx="1481">
                  <c:v>45323</c:v>
                </c:pt>
                <c:pt idx="1482">
                  <c:v>45324</c:v>
                </c:pt>
                <c:pt idx="1483">
                  <c:v>45325</c:v>
                </c:pt>
                <c:pt idx="1484">
                  <c:v>45326</c:v>
                </c:pt>
                <c:pt idx="1485">
                  <c:v>45327</c:v>
                </c:pt>
                <c:pt idx="1486">
                  <c:v>45328</c:v>
                </c:pt>
                <c:pt idx="1487">
                  <c:v>45329</c:v>
                </c:pt>
                <c:pt idx="1488">
                  <c:v>45330</c:v>
                </c:pt>
                <c:pt idx="1489">
                  <c:v>45331</c:v>
                </c:pt>
                <c:pt idx="1490">
                  <c:v>45332</c:v>
                </c:pt>
                <c:pt idx="1491">
                  <c:v>45333</c:v>
                </c:pt>
                <c:pt idx="1492">
                  <c:v>45334</c:v>
                </c:pt>
                <c:pt idx="1493">
                  <c:v>45335</c:v>
                </c:pt>
                <c:pt idx="1494">
                  <c:v>45336</c:v>
                </c:pt>
                <c:pt idx="1495">
                  <c:v>45337</c:v>
                </c:pt>
                <c:pt idx="1496">
                  <c:v>45338</c:v>
                </c:pt>
                <c:pt idx="1497">
                  <c:v>45339</c:v>
                </c:pt>
                <c:pt idx="1498">
                  <c:v>45340</c:v>
                </c:pt>
                <c:pt idx="1499">
                  <c:v>45341</c:v>
                </c:pt>
                <c:pt idx="1500">
                  <c:v>45342</c:v>
                </c:pt>
                <c:pt idx="1501">
                  <c:v>45343</c:v>
                </c:pt>
                <c:pt idx="1502">
                  <c:v>45344</c:v>
                </c:pt>
                <c:pt idx="1503">
                  <c:v>45345</c:v>
                </c:pt>
                <c:pt idx="1504">
                  <c:v>45346</c:v>
                </c:pt>
                <c:pt idx="1505">
                  <c:v>45347</c:v>
                </c:pt>
                <c:pt idx="1506">
                  <c:v>45348</c:v>
                </c:pt>
                <c:pt idx="1507">
                  <c:v>45349</c:v>
                </c:pt>
                <c:pt idx="1508">
                  <c:v>45350</c:v>
                </c:pt>
                <c:pt idx="1509">
                  <c:v>45351</c:v>
                </c:pt>
                <c:pt idx="1510">
                  <c:v>45352</c:v>
                </c:pt>
                <c:pt idx="1511">
                  <c:v>45353</c:v>
                </c:pt>
                <c:pt idx="1512">
                  <c:v>45354</c:v>
                </c:pt>
                <c:pt idx="1513">
                  <c:v>45355</c:v>
                </c:pt>
                <c:pt idx="1514">
                  <c:v>45356</c:v>
                </c:pt>
                <c:pt idx="1515">
                  <c:v>45357</c:v>
                </c:pt>
                <c:pt idx="1516">
                  <c:v>45358</c:v>
                </c:pt>
                <c:pt idx="1517">
                  <c:v>45359</c:v>
                </c:pt>
                <c:pt idx="1518">
                  <c:v>45360</c:v>
                </c:pt>
                <c:pt idx="1519">
                  <c:v>45361</c:v>
                </c:pt>
                <c:pt idx="1520">
                  <c:v>45362</c:v>
                </c:pt>
                <c:pt idx="1521">
                  <c:v>45363</c:v>
                </c:pt>
                <c:pt idx="1522">
                  <c:v>45364</c:v>
                </c:pt>
                <c:pt idx="1523">
                  <c:v>45365</c:v>
                </c:pt>
                <c:pt idx="1524">
                  <c:v>45366</c:v>
                </c:pt>
                <c:pt idx="1525">
                  <c:v>45367</c:v>
                </c:pt>
                <c:pt idx="1526">
                  <c:v>45368</c:v>
                </c:pt>
                <c:pt idx="1527">
                  <c:v>45369</c:v>
                </c:pt>
                <c:pt idx="1528">
                  <c:v>45370</c:v>
                </c:pt>
                <c:pt idx="1529">
                  <c:v>45371</c:v>
                </c:pt>
                <c:pt idx="1530">
                  <c:v>45372</c:v>
                </c:pt>
                <c:pt idx="1531">
                  <c:v>45373</c:v>
                </c:pt>
                <c:pt idx="1532">
                  <c:v>45374</c:v>
                </c:pt>
                <c:pt idx="1533">
                  <c:v>45375</c:v>
                </c:pt>
                <c:pt idx="1534">
                  <c:v>45376</c:v>
                </c:pt>
                <c:pt idx="1535">
                  <c:v>45377</c:v>
                </c:pt>
                <c:pt idx="1536">
                  <c:v>45378</c:v>
                </c:pt>
                <c:pt idx="1537">
                  <c:v>45379</c:v>
                </c:pt>
                <c:pt idx="1538">
                  <c:v>45380</c:v>
                </c:pt>
                <c:pt idx="1539">
                  <c:v>45381</c:v>
                </c:pt>
                <c:pt idx="1540">
                  <c:v>45382</c:v>
                </c:pt>
                <c:pt idx="1541">
                  <c:v>45383</c:v>
                </c:pt>
                <c:pt idx="1542">
                  <c:v>45384</c:v>
                </c:pt>
                <c:pt idx="1543">
                  <c:v>45385</c:v>
                </c:pt>
                <c:pt idx="1544">
                  <c:v>45386</c:v>
                </c:pt>
                <c:pt idx="1545">
                  <c:v>45387</c:v>
                </c:pt>
                <c:pt idx="1546">
                  <c:v>45388</c:v>
                </c:pt>
                <c:pt idx="1547">
                  <c:v>45389</c:v>
                </c:pt>
                <c:pt idx="1548">
                  <c:v>45390</c:v>
                </c:pt>
                <c:pt idx="1549">
                  <c:v>45391</c:v>
                </c:pt>
                <c:pt idx="1550">
                  <c:v>45392</c:v>
                </c:pt>
                <c:pt idx="1551">
                  <c:v>45393</c:v>
                </c:pt>
                <c:pt idx="1552">
                  <c:v>45394</c:v>
                </c:pt>
                <c:pt idx="1553">
                  <c:v>45395</c:v>
                </c:pt>
                <c:pt idx="1554">
                  <c:v>45396</c:v>
                </c:pt>
                <c:pt idx="1555">
                  <c:v>45397</c:v>
                </c:pt>
                <c:pt idx="1556">
                  <c:v>45398</c:v>
                </c:pt>
                <c:pt idx="1557">
                  <c:v>45399</c:v>
                </c:pt>
                <c:pt idx="1558">
                  <c:v>45400</c:v>
                </c:pt>
                <c:pt idx="1559">
                  <c:v>45401</c:v>
                </c:pt>
                <c:pt idx="1560">
                  <c:v>45402</c:v>
                </c:pt>
                <c:pt idx="1561">
                  <c:v>45403</c:v>
                </c:pt>
                <c:pt idx="1562">
                  <c:v>45404</c:v>
                </c:pt>
                <c:pt idx="1563">
                  <c:v>45405</c:v>
                </c:pt>
                <c:pt idx="1564">
                  <c:v>45406</c:v>
                </c:pt>
                <c:pt idx="1565">
                  <c:v>45407</c:v>
                </c:pt>
                <c:pt idx="1566">
                  <c:v>45408</c:v>
                </c:pt>
                <c:pt idx="1567">
                  <c:v>45409</c:v>
                </c:pt>
                <c:pt idx="1568">
                  <c:v>45410</c:v>
                </c:pt>
                <c:pt idx="1569">
                  <c:v>45411</c:v>
                </c:pt>
                <c:pt idx="1570">
                  <c:v>45412</c:v>
                </c:pt>
                <c:pt idx="1571">
                  <c:v>45413</c:v>
                </c:pt>
                <c:pt idx="1572">
                  <c:v>45414</c:v>
                </c:pt>
                <c:pt idx="1573">
                  <c:v>45415</c:v>
                </c:pt>
                <c:pt idx="1574">
                  <c:v>45416</c:v>
                </c:pt>
                <c:pt idx="1575">
                  <c:v>45417</c:v>
                </c:pt>
                <c:pt idx="1576">
                  <c:v>45418</c:v>
                </c:pt>
                <c:pt idx="1577">
                  <c:v>45419</c:v>
                </c:pt>
                <c:pt idx="1578">
                  <c:v>45420</c:v>
                </c:pt>
                <c:pt idx="1579">
                  <c:v>45421</c:v>
                </c:pt>
                <c:pt idx="1580">
                  <c:v>45422</c:v>
                </c:pt>
                <c:pt idx="1581">
                  <c:v>45423</c:v>
                </c:pt>
                <c:pt idx="1582">
                  <c:v>45424</c:v>
                </c:pt>
                <c:pt idx="1583">
                  <c:v>45425</c:v>
                </c:pt>
                <c:pt idx="1584">
                  <c:v>45426</c:v>
                </c:pt>
                <c:pt idx="1585">
                  <c:v>45427</c:v>
                </c:pt>
                <c:pt idx="1586">
                  <c:v>45428</c:v>
                </c:pt>
                <c:pt idx="1587">
                  <c:v>45429</c:v>
                </c:pt>
                <c:pt idx="1588">
                  <c:v>45430</c:v>
                </c:pt>
                <c:pt idx="1589">
                  <c:v>45431</c:v>
                </c:pt>
                <c:pt idx="1590">
                  <c:v>45432</c:v>
                </c:pt>
                <c:pt idx="1591">
                  <c:v>45433</c:v>
                </c:pt>
                <c:pt idx="1592">
                  <c:v>45434</c:v>
                </c:pt>
                <c:pt idx="1593">
                  <c:v>45435</c:v>
                </c:pt>
                <c:pt idx="1594">
                  <c:v>45436</c:v>
                </c:pt>
                <c:pt idx="1595">
                  <c:v>45437</c:v>
                </c:pt>
                <c:pt idx="1596">
                  <c:v>45438</c:v>
                </c:pt>
                <c:pt idx="1597">
                  <c:v>45439</c:v>
                </c:pt>
                <c:pt idx="1598">
                  <c:v>45440</c:v>
                </c:pt>
                <c:pt idx="1599">
                  <c:v>45441</c:v>
                </c:pt>
                <c:pt idx="1600">
                  <c:v>45442</c:v>
                </c:pt>
                <c:pt idx="1601">
                  <c:v>45443</c:v>
                </c:pt>
                <c:pt idx="1602">
                  <c:v>45444</c:v>
                </c:pt>
                <c:pt idx="1603">
                  <c:v>45445</c:v>
                </c:pt>
                <c:pt idx="1604">
                  <c:v>45446</c:v>
                </c:pt>
                <c:pt idx="1605">
                  <c:v>45447</c:v>
                </c:pt>
                <c:pt idx="1606">
                  <c:v>45448</c:v>
                </c:pt>
                <c:pt idx="1607">
                  <c:v>45449</c:v>
                </c:pt>
                <c:pt idx="1608">
                  <c:v>45450</c:v>
                </c:pt>
                <c:pt idx="1609">
                  <c:v>45451</c:v>
                </c:pt>
                <c:pt idx="1610">
                  <c:v>45452</c:v>
                </c:pt>
                <c:pt idx="1611">
                  <c:v>45453</c:v>
                </c:pt>
                <c:pt idx="1612">
                  <c:v>45454</c:v>
                </c:pt>
                <c:pt idx="1613">
                  <c:v>45455</c:v>
                </c:pt>
                <c:pt idx="1614">
                  <c:v>45456</c:v>
                </c:pt>
                <c:pt idx="1615">
                  <c:v>45457</c:v>
                </c:pt>
                <c:pt idx="1616">
                  <c:v>45458</c:v>
                </c:pt>
                <c:pt idx="1617">
                  <c:v>45459</c:v>
                </c:pt>
                <c:pt idx="1618">
                  <c:v>45460</c:v>
                </c:pt>
                <c:pt idx="1619">
                  <c:v>45461</c:v>
                </c:pt>
                <c:pt idx="1620">
                  <c:v>45462</c:v>
                </c:pt>
                <c:pt idx="1621">
                  <c:v>45463</c:v>
                </c:pt>
                <c:pt idx="1622">
                  <c:v>45464</c:v>
                </c:pt>
                <c:pt idx="1623">
                  <c:v>45465</c:v>
                </c:pt>
                <c:pt idx="1624">
                  <c:v>45466</c:v>
                </c:pt>
                <c:pt idx="1625">
                  <c:v>45467</c:v>
                </c:pt>
                <c:pt idx="1626">
                  <c:v>45468</c:v>
                </c:pt>
                <c:pt idx="1627">
                  <c:v>45469</c:v>
                </c:pt>
                <c:pt idx="1628">
                  <c:v>45470</c:v>
                </c:pt>
                <c:pt idx="1629">
                  <c:v>45471</c:v>
                </c:pt>
                <c:pt idx="1630">
                  <c:v>45472</c:v>
                </c:pt>
                <c:pt idx="1631">
                  <c:v>45473</c:v>
                </c:pt>
                <c:pt idx="1632">
                  <c:v>45474</c:v>
                </c:pt>
                <c:pt idx="1633">
                  <c:v>45475</c:v>
                </c:pt>
                <c:pt idx="1634">
                  <c:v>45476</c:v>
                </c:pt>
                <c:pt idx="1635">
                  <c:v>45477</c:v>
                </c:pt>
                <c:pt idx="1636">
                  <c:v>45478</c:v>
                </c:pt>
                <c:pt idx="1637">
                  <c:v>45479</c:v>
                </c:pt>
                <c:pt idx="1638">
                  <c:v>45480</c:v>
                </c:pt>
                <c:pt idx="1639">
                  <c:v>45481</c:v>
                </c:pt>
                <c:pt idx="1640">
                  <c:v>45482</c:v>
                </c:pt>
                <c:pt idx="1641">
                  <c:v>45483</c:v>
                </c:pt>
                <c:pt idx="1642">
                  <c:v>45484</c:v>
                </c:pt>
                <c:pt idx="1643">
                  <c:v>45485</c:v>
                </c:pt>
                <c:pt idx="1644">
                  <c:v>45486</c:v>
                </c:pt>
                <c:pt idx="1645">
                  <c:v>45487</c:v>
                </c:pt>
                <c:pt idx="1646">
                  <c:v>45488</c:v>
                </c:pt>
                <c:pt idx="1647">
                  <c:v>45489</c:v>
                </c:pt>
                <c:pt idx="1648">
                  <c:v>45490</c:v>
                </c:pt>
                <c:pt idx="1649">
                  <c:v>45491</c:v>
                </c:pt>
                <c:pt idx="1650">
                  <c:v>45492</c:v>
                </c:pt>
                <c:pt idx="1651">
                  <c:v>45493</c:v>
                </c:pt>
                <c:pt idx="1652">
                  <c:v>45494</c:v>
                </c:pt>
                <c:pt idx="1653">
                  <c:v>45495</c:v>
                </c:pt>
                <c:pt idx="1654">
                  <c:v>45496</c:v>
                </c:pt>
                <c:pt idx="1655">
                  <c:v>45497</c:v>
                </c:pt>
                <c:pt idx="1656">
                  <c:v>45498</c:v>
                </c:pt>
                <c:pt idx="1657">
                  <c:v>45499</c:v>
                </c:pt>
                <c:pt idx="1658">
                  <c:v>45500</c:v>
                </c:pt>
                <c:pt idx="1659">
                  <c:v>45501</c:v>
                </c:pt>
                <c:pt idx="1660">
                  <c:v>45502</c:v>
                </c:pt>
                <c:pt idx="1661">
                  <c:v>45503</c:v>
                </c:pt>
                <c:pt idx="1662">
                  <c:v>45504</c:v>
                </c:pt>
                <c:pt idx="1663">
                  <c:v>45505</c:v>
                </c:pt>
                <c:pt idx="1664">
                  <c:v>45506</c:v>
                </c:pt>
                <c:pt idx="1665">
                  <c:v>45507</c:v>
                </c:pt>
                <c:pt idx="1666">
                  <c:v>45508</c:v>
                </c:pt>
                <c:pt idx="1667">
                  <c:v>45509</c:v>
                </c:pt>
                <c:pt idx="1668">
                  <c:v>45510</c:v>
                </c:pt>
                <c:pt idx="1669">
                  <c:v>45511</c:v>
                </c:pt>
                <c:pt idx="1670">
                  <c:v>45512</c:v>
                </c:pt>
                <c:pt idx="1671">
                  <c:v>45513</c:v>
                </c:pt>
                <c:pt idx="1672">
                  <c:v>45514</c:v>
                </c:pt>
                <c:pt idx="1673">
                  <c:v>45515</c:v>
                </c:pt>
                <c:pt idx="1674">
                  <c:v>45516</c:v>
                </c:pt>
                <c:pt idx="1675">
                  <c:v>45517</c:v>
                </c:pt>
                <c:pt idx="1676">
                  <c:v>45518</c:v>
                </c:pt>
                <c:pt idx="1677">
                  <c:v>45519</c:v>
                </c:pt>
                <c:pt idx="1678">
                  <c:v>45520</c:v>
                </c:pt>
                <c:pt idx="1679">
                  <c:v>45521</c:v>
                </c:pt>
                <c:pt idx="1680">
                  <c:v>45522</c:v>
                </c:pt>
                <c:pt idx="1681">
                  <c:v>45523</c:v>
                </c:pt>
                <c:pt idx="1682">
                  <c:v>45524</c:v>
                </c:pt>
                <c:pt idx="1683">
                  <c:v>45525</c:v>
                </c:pt>
                <c:pt idx="1684">
                  <c:v>45526</c:v>
                </c:pt>
                <c:pt idx="1685">
                  <c:v>45527</c:v>
                </c:pt>
                <c:pt idx="1686">
                  <c:v>45528</c:v>
                </c:pt>
                <c:pt idx="1687">
                  <c:v>45529</c:v>
                </c:pt>
                <c:pt idx="1688">
                  <c:v>45530</c:v>
                </c:pt>
                <c:pt idx="1689">
                  <c:v>45531</c:v>
                </c:pt>
                <c:pt idx="1690">
                  <c:v>45532</c:v>
                </c:pt>
                <c:pt idx="1691">
                  <c:v>45533</c:v>
                </c:pt>
                <c:pt idx="1692">
                  <c:v>45534</c:v>
                </c:pt>
                <c:pt idx="1693">
                  <c:v>45535</c:v>
                </c:pt>
                <c:pt idx="1694">
                  <c:v>45536</c:v>
                </c:pt>
                <c:pt idx="1695">
                  <c:v>45537</c:v>
                </c:pt>
                <c:pt idx="1696">
                  <c:v>45538</c:v>
                </c:pt>
                <c:pt idx="1697">
                  <c:v>45539</c:v>
                </c:pt>
                <c:pt idx="1698">
                  <c:v>45540</c:v>
                </c:pt>
                <c:pt idx="1699">
                  <c:v>45541</c:v>
                </c:pt>
                <c:pt idx="1700">
                  <c:v>45542</c:v>
                </c:pt>
                <c:pt idx="1701">
                  <c:v>45543</c:v>
                </c:pt>
                <c:pt idx="1702">
                  <c:v>45544</c:v>
                </c:pt>
                <c:pt idx="1703">
                  <c:v>45545</c:v>
                </c:pt>
                <c:pt idx="1704">
                  <c:v>45546</c:v>
                </c:pt>
                <c:pt idx="1705">
                  <c:v>45547</c:v>
                </c:pt>
                <c:pt idx="1706">
                  <c:v>45548</c:v>
                </c:pt>
                <c:pt idx="1707">
                  <c:v>45549</c:v>
                </c:pt>
                <c:pt idx="1708">
                  <c:v>45550</c:v>
                </c:pt>
                <c:pt idx="1709">
                  <c:v>45551</c:v>
                </c:pt>
                <c:pt idx="1710">
                  <c:v>45552</c:v>
                </c:pt>
                <c:pt idx="1711">
                  <c:v>45553</c:v>
                </c:pt>
                <c:pt idx="1712">
                  <c:v>45554</c:v>
                </c:pt>
                <c:pt idx="1713">
                  <c:v>45555</c:v>
                </c:pt>
                <c:pt idx="1714">
                  <c:v>45556</c:v>
                </c:pt>
                <c:pt idx="1715">
                  <c:v>45557</c:v>
                </c:pt>
                <c:pt idx="1716">
                  <c:v>45558</c:v>
                </c:pt>
                <c:pt idx="1717">
                  <c:v>45559</c:v>
                </c:pt>
                <c:pt idx="1718">
                  <c:v>45560</c:v>
                </c:pt>
                <c:pt idx="1719">
                  <c:v>45561</c:v>
                </c:pt>
                <c:pt idx="1720">
                  <c:v>45562</c:v>
                </c:pt>
                <c:pt idx="1721">
                  <c:v>45563</c:v>
                </c:pt>
                <c:pt idx="1722">
                  <c:v>45564</c:v>
                </c:pt>
                <c:pt idx="1723">
                  <c:v>45565</c:v>
                </c:pt>
                <c:pt idx="1724">
                  <c:v>45566</c:v>
                </c:pt>
                <c:pt idx="1725">
                  <c:v>45567</c:v>
                </c:pt>
                <c:pt idx="1726">
                  <c:v>45568</c:v>
                </c:pt>
                <c:pt idx="1727">
                  <c:v>45569</c:v>
                </c:pt>
                <c:pt idx="1728">
                  <c:v>45570</c:v>
                </c:pt>
                <c:pt idx="1729">
                  <c:v>45571</c:v>
                </c:pt>
                <c:pt idx="1730">
                  <c:v>45572</c:v>
                </c:pt>
                <c:pt idx="1731">
                  <c:v>45573</c:v>
                </c:pt>
                <c:pt idx="1732">
                  <c:v>45574</c:v>
                </c:pt>
                <c:pt idx="1733">
                  <c:v>45575</c:v>
                </c:pt>
                <c:pt idx="1734">
                  <c:v>45576</c:v>
                </c:pt>
                <c:pt idx="1735">
                  <c:v>45577</c:v>
                </c:pt>
                <c:pt idx="1736">
                  <c:v>45578</c:v>
                </c:pt>
                <c:pt idx="1737">
                  <c:v>45579</c:v>
                </c:pt>
                <c:pt idx="1738">
                  <c:v>45580</c:v>
                </c:pt>
                <c:pt idx="1739">
                  <c:v>45581</c:v>
                </c:pt>
                <c:pt idx="1740">
                  <c:v>45582</c:v>
                </c:pt>
                <c:pt idx="1741">
                  <c:v>45583</c:v>
                </c:pt>
                <c:pt idx="1742">
                  <c:v>45584</c:v>
                </c:pt>
                <c:pt idx="1743">
                  <c:v>45585</c:v>
                </c:pt>
                <c:pt idx="1744">
                  <c:v>45586</c:v>
                </c:pt>
                <c:pt idx="1745">
                  <c:v>45587</c:v>
                </c:pt>
                <c:pt idx="1746">
                  <c:v>45588</c:v>
                </c:pt>
                <c:pt idx="1747">
                  <c:v>45589</c:v>
                </c:pt>
                <c:pt idx="1748">
                  <c:v>45590</c:v>
                </c:pt>
                <c:pt idx="1749">
                  <c:v>45591</c:v>
                </c:pt>
                <c:pt idx="1750">
                  <c:v>45592</c:v>
                </c:pt>
                <c:pt idx="1751">
                  <c:v>45593</c:v>
                </c:pt>
                <c:pt idx="1752">
                  <c:v>45594</c:v>
                </c:pt>
                <c:pt idx="1753">
                  <c:v>45595</c:v>
                </c:pt>
                <c:pt idx="1754">
                  <c:v>45596</c:v>
                </c:pt>
                <c:pt idx="1755">
                  <c:v>45597</c:v>
                </c:pt>
                <c:pt idx="1756">
                  <c:v>45598</c:v>
                </c:pt>
                <c:pt idx="1757">
                  <c:v>45599</c:v>
                </c:pt>
                <c:pt idx="1758">
                  <c:v>45600</c:v>
                </c:pt>
                <c:pt idx="1759">
                  <c:v>45601</c:v>
                </c:pt>
                <c:pt idx="1760">
                  <c:v>45602</c:v>
                </c:pt>
                <c:pt idx="1761">
                  <c:v>45603</c:v>
                </c:pt>
                <c:pt idx="1762">
                  <c:v>45604</c:v>
                </c:pt>
                <c:pt idx="1763">
                  <c:v>45605</c:v>
                </c:pt>
                <c:pt idx="1764">
                  <c:v>45606</c:v>
                </c:pt>
                <c:pt idx="1765">
                  <c:v>45607</c:v>
                </c:pt>
                <c:pt idx="1766">
                  <c:v>45608</c:v>
                </c:pt>
                <c:pt idx="1767">
                  <c:v>45609</c:v>
                </c:pt>
                <c:pt idx="1768">
                  <c:v>45610</c:v>
                </c:pt>
                <c:pt idx="1769">
                  <c:v>45611</c:v>
                </c:pt>
                <c:pt idx="1770">
                  <c:v>45612</c:v>
                </c:pt>
                <c:pt idx="1771">
                  <c:v>45613</c:v>
                </c:pt>
                <c:pt idx="1772">
                  <c:v>45614</c:v>
                </c:pt>
                <c:pt idx="1773">
                  <c:v>45615</c:v>
                </c:pt>
                <c:pt idx="1774">
                  <c:v>45616</c:v>
                </c:pt>
                <c:pt idx="1775">
                  <c:v>45617</c:v>
                </c:pt>
                <c:pt idx="1776">
                  <c:v>45618</c:v>
                </c:pt>
                <c:pt idx="1777">
                  <c:v>45619</c:v>
                </c:pt>
                <c:pt idx="1778">
                  <c:v>45620</c:v>
                </c:pt>
                <c:pt idx="1779">
                  <c:v>45621</c:v>
                </c:pt>
                <c:pt idx="1780">
                  <c:v>45622</c:v>
                </c:pt>
                <c:pt idx="1781">
                  <c:v>45623</c:v>
                </c:pt>
                <c:pt idx="1782">
                  <c:v>45624</c:v>
                </c:pt>
                <c:pt idx="1783">
                  <c:v>45625</c:v>
                </c:pt>
                <c:pt idx="1784">
                  <c:v>45626</c:v>
                </c:pt>
                <c:pt idx="1785">
                  <c:v>45627</c:v>
                </c:pt>
                <c:pt idx="1786">
                  <c:v>45628</c:v>
                </c:pt>
                <c:pt idx="1787">
                  <c:v>45629</c:v>
                </c:pt>
                <c:pt idx="1788">
                  <c:v>45630</c:v>
                </c:pt>
                <c:pt idx="1789">
                  <c:v>45631</c:v>
                </c:pt>
                <c:pt idx="1790">
                  <c:v>45632</c:v>
                </c:pt>
                <c:pt idx="1791">
                  <c:v>45633</c:v>
                </c:pt>
                <c:pt idx="1792">
                  <c:v>45634</c:v>
                </c:pt>
                <c:pt idx="1793">
                  <c:v>45635</c:v>
                </c:pt>
                <c:pt idx="1794">
                  <c:v>45636</c:v>
                </c:pt>
                <c:pt idx="1795">
                  <c:v>45637</c:v>
                </c:pt>
                <c:pt idx="1796">
                  <c:v>45638</c:v>
                </c:pt>
                <c:pt idx="1797">
                  <c:v>45639</c:v>
                </c:pt>
                <c:pt idx="1798">
                  <c:v>45640</c:v>
                </c:pt>
                <c:pt idx="1799">
                  <c:v>45641</c:v>
                </c:pt>
                <c:pt idx="1800">
                  <c:v>45642</c:v>
                </c:pt>
                <c:pt idx="1801">
                  <c:v>45643</c:v>
                </c:pt>
                <c:pt idx="1802">
                  <c:v>45644</c:v>
                </c:pt>
                <c:pt idx="1803">
                  <c:v>45645</c:v>
                </c:pt>
                <c:pt idx="1804">
                  <c:v>45646</c:v>
                </c:pt>
                <c:pt idx="1805">
                  <c:v>45647</c:v>
                </c:pt>
                <c:pt idx="1806">
                  <c:v>45648</c:v>
                </c:pt>
                <c:pt idx="1807">
                  <c:v>45649</c:v>
                </c:pt>
                <c:pt idx="1808">
                  <c:v>45650</c:v>
                </c:pt>
                <c:pt idx="1809">
                  <c:v>45651</c:v>
                </c:pt>
                <c:pt idx="1810">
                  <c:v>45652</c:v>
                </c:pt>
                <c:pt idx="1811">
                  <c:v>45653</c:v>
                </c:pt>
                <c:pt idx="1812">
                  <c:v>45654</c:v>
                </c:pt>
                <c:pt idx="1813">
                  <c:v>45655</c:v>
                </c:pt>
                <c:pt idx="1814">
                  <c:v>45656</c:v>
                </c:pt>
                <c:pt idx="1815">
                  <c:v>45657</c:v>
                </c:pt>
                <c:pt idx="1816">
                  <c:v>45658</c:v>
                </c:pt>
                <c:pt idx="1817">
                  <c:v>45659</c:v>
                </c:pt>
                <c:pt idx="1818">
                  <c:v>45660</c:v>
                </c:pt>
                <c:pt idx="1819">
                  <c:v>45661</c:v>
                </c:pt>
                <c:pt idx="1820">
                  <c:v>45662</c:v>
                </c:pt>
                <c:pt idx="1821">
                  <c:v>45663</c:v>
                </c:pt>
                <c:pt idx="1822">
                  <c:v>45664</c:v>
                </c:pt>
                <c:pt idx="1823">
                  <c:v>45665</c:v>
                </c:pt>
                <c:pt idx="1824">
                  <c:v>45666</c:v>
                </c:pt>
                <c:pt idx="1825">
                  <c:v>45667</c:v>
                </c:pt>
                <c:pt idx="1826">
                  <c:v>45668</c:v>
                </c:pt>
                <c:pt idx="1827">
                  <c:v>45669</c:v>
                </c:pt>
                <c:pt idx="1828">
                  <c:v>45670</c:v>
                </c:pt>
                <c:pt idx="1829">
                  <c:v>45671</c:v>
                </c:pt>
                <c:pt idx="1830">
                  <c:v>45672</c:v>
                </c:pt>
                <c:pt idx="1831">
                  <c:v>45673</c:v>
                </c:pt>
                <c:pt idx="1832">
                  <c:v>45674</c:v>
                </c:pt>
                <c:pt idx="1833">
                  <c:v>45675</c:v>
                </c:pt>
                <c:pt idx="1834">
                  <c:v>45676</c:v>
                </c:pt>
                <c:pt idx="1835">
                  <c:v>45677</c:v>
                </c:pt>
                <c:pt idx="1836">
                  <c:v>45678</c:v>
                </c:pt>
                <c:pt idx="1837">
                  <c:v>45679</c:v>
                </c:pt>
                <c:pt idx="1838">
                  <c:v>45680</c:v>
                </c:pt>
                <c:pt idx="1839">
                  <c:v>45681</c:v>
                </c:pt>
                <c:pt idx="1840">
                  <c:v>45682</c:v>
                </c:pt>
                <c:pt idx="1841">
                  <c:v>45683</c:v>
                </c:pt>
                <c:pt idx="1842">
                  <c:v>45684</c:v>
                </c:pt>
                <c:pt idx="1843">
                  <c:v>45685</c:v>
                </c:pt>
                <c:pt idx="1844">
                  <c:v>45686</c:v>
                </c:pt>
                <c:pt idx="1845">
                  <c:v>45687</c:v>
                </c:pt>
                <c:pt idx="1846">
                  <c:v>45688</c:v>
                </c:pt>
                <c:pt idx="1847">
                  <c:v>45689</c:v>
                </c:pt>
                <c:pt idx="1848">
                  <c:v>45690</c:v>
                </c:pt>
                <c:pt idx="1849">
                  <c:v>45691</c:v>
                </c:pt>
                <c:pt idx="1850">
                  <c:v>45692</c:v>
                </c:pt>
                <c:pt idx="1851">
                  <c:v>45693</c:v>
                </c:pt>
                <c:pt idx="1852">
                  <c:v>45694</c:v>
                </c:pt>
                <c:pt idx="1853">
                  <c:v>45695</c:v>
                </c:pt>
                <c:pt idx="1854">
                  <c:v>45696</c:v>
                </c:pt>
                <c:pt idx="1855">
                  <c:v>45697</c:v>
                </c:pt>
                <c:pt idx="1856">
                  <c:v>45698</c:v>
                </c:pt>
                <c:pt idx="1857">
                  <c:v>45699</c:v>
                </c:pt>
                <c:pt idx="1858">
                  <c:v>45700</c:v>
                </c:pt>
                <c:pt idx="1859">
                  <c:v>45701</c:v>
                </c:pt>
                <c:pt idx="1860">
                  <c:v>45702</c:v>
                </c:pt>
                <c:pt idx="1861">
                  <c:v>45703</c:v>
                </c:pt>
                <c:pt idx="1862">
                  <c:v>45704</c:v>
                </c:pt>
                <c:pt idx="1863">
                  <c:v>45705</c:v>
                </c:pt>
                <c:pt idx="1864">
                  <c:v>45706</c:v>
                </c:pt>
                <c:pt idx="1865">
                  <c:v>45707</c:v>
                </c:pt>
                <c:pt idx="1866">
                  <c:v>45708</c:v>
                </c:pt>
                <c:pt idx="1867">
                  <c:v>45709</c:v>
                </c:pt>
                <c:pt idx="1868">
                  <c:v>45710</c:v>
                </c:pt>
                <c:pt idx="1869">
                  <c:v>45711</c:v>
                </c:pt>
                <c:pt idx="1870">
                  <c:v>45712</c:v>
                </c:pt>
                <c:pt idx="1871">
                  <c:v>45713</c:v>
                </c:pt>
                <c:pt idx="1872">
                  <c:v>45714</c:v>
                </c:pt>
                <c:pt idx="1873">
                  <c:v>45715</c:v>
                </c:pt>
                <c:pt idx="1874">
                  <c:v>45716</c:v>
                </c:pt>
                <c:pt idx="1875">
                  <c:v>45717</c:v>
                </c:pt>
                <c:pt idx="1876">
                  <c:v>45718</c:v>
                </c:pt>
                <c:pt idx="1877">
                  <c:v>45719</c:v>
                </c:pt>
                <c:pt idx="1878">
                  <c:v>45720</c:v>
                </c:pt>
                <c:pt idx="1879">
                  <c:v>45721</c:v>
                </c:pt>
                <c:pt idx="1880">
                  <c:v>45722</c:v>
                </c:pt>
                <c:pt idx="1881">
                  <c:v>45723</c:v>
                </c:pt>
                <c:pt idx="1882">
                  <c:v>45724</c:v>
                </c:pt>
                <c:pt idx="1883">
                  <c:v>45725</c:v>
                </c:pt>
                <c:pt idx="1884">
                  <c:v>45726</c:v>
                </c:pt>
                <c:pt idx="1885">
                  <c:v>45727</c:v>
                </c:pt>
                <c:pt idx="1886">
                  <c:v>45728</c:v>
                </c:pt>
                <c:pt idx="1887">
                  <c:v>45729</c:v>
                </c:pt>
                <c:pt idx="1888">
                  <c:v>45730</c:v>
                </c:pt>
                <c:pt idx="1889">
                  <c:v>45731</c:v>
                </c:pt>
                <c:pt idx="1890">
                  <c:v>45732</c:v>
                </c:pt>
                <c:pt idx="1891">
                  <c:v>45733</c:v>
                </c:pt>
                <c:pt idx="1892">
                  <c:v>45734</c:v>
                </c:pt>
                <c:pt idx="1893">
                  <c:v>45735</c:v>
                </c:pt>
                <c:pt idx="1894">
                  <c:v>45736</c:v>
                </c:pt>
                <c:pt idx="1895">
                  <c:v>45737</c:v>
                </c:pt>
                <c:pt idx="1896">
                  <c:v>45738</c:v>
                </c:pt>
                <c:pt idx="1897">
                  <c:v>45739</c:v>
                </c:pt>
                <c:pt idx="1898">
                  <c:v>45740</c:v>
                </c:pt>
                <c:pt idx="1899">
                  <c:v>45741</c:v>
                </c:pt>
                <c:pt idx="1900">
                  <c:v>45742</c:v>
                </c:pt>
                <c:pt idx="1901">
                  <c:v>45743</c:v>
                </c:pt>
                <c:pt idx="1902">
                  <c:v>45744</c:v>
                </c:pt>
                <c:pt idx="1903">
                  <c:v>45745</c:v>
                </c:pt>
                <c:pt idx="1904">
                  <c:v>45746</c:v>
                </c:pt>
                <c:pt idx="1905">
                  <c:v>45747</c:v>
                </c:pt>
                <c:pt idx="1906">
                  <c:v>45748</c:v>
                </c:pt>
                <c:pt idx="1907">
                  <c:v>45749</c:v>
                </c:pt>
                <c:pt idx="1908">
                  <c:v>45750</c:v>
                </c:pt>
                <c:pt idx="1909">
                  <c:v>45751</c:v>
                </c:pt>
                <c:pt idx="1910">
                  <c:v>45752</c:v>
                </c:pt>
                <c:pt idx="1911">
                  <c:v>45753</c:v>
                </c:pt>
                <c:pt idx="1912">
                  <c:v>45754</c:v>
                </c:pt>
                <c:pt idx="1913">
                  <c:v>45755</c:v>
                </c:pt>
                <c:pt idx="1914">
                  <c:v>45756</c:v>
                </c:pt>
                <c:pt idx="1915">
                  <c:v>45757</c:v>
                </c:pt>
                <c:pt idx="1916">
                  <c:v>45758</c:v>
                </c:pt>
                <c:pt idx="1917">
                  <c:v>45759</c:v>
                </c:pt>
                <c:pt idx="1918">
                  <c:v>45760</c:v>
                </c:pt>
                <c:pt idx="1919">
                  <c:v>45761</c:v>
                </c:pt>
                <c:pt idx="1920">
                  <c:v>45762</c:v>
                </c:pt>
                <c:pt idx="1921">
                  <c:v>45763</c:v>
                </c:pt>
                <c:pt idx="1922">
                  <c:v>45764</c:v>
                </c:pt>
                <c:pt idx="1923">
                  <c:v>45765</c:v>
                </c:pt>
                <c:pt idx="1924">
                  <c:v>45766</c:v>
                </c:pt>
                <c:pt idx="1925">
                  <c:v>45767</c:v>
                </c:pt>
                <c:pt idx="1926">
                  <c:v>45768</c:v>
                </c:pt>
                <c:pt idx="1927">
                  <c:v>45769</c:v>
                </c:pt>
                <c:pt idx="1928">
                  <c:v>45770</c:v>
                </c:pt>
                <c:pt idx="1929">
                  <c:v>45771</c:v>
                </c:pt>
                <c:pt idx="1930">
                  <c:v>45772</c:v>
                </c:pt>
                <c:pt idx="1931">
                  <c:v>45773</c:v>
                </c:pt>
                <c:pt idx="1932">
                  <c:v>45774</c:v>
                </c:pt>
                <c:pt idx="1933">
                  <c:v>45775</c:v>
                </c:pt>
                <c:pt idx="1934">
                  <c:v>45776</c:v>
                </c:pt>
                <c:pt idx="1935">
                  <c:v>45777</c:v>
                </c:pt>
                <c:pt idx="1936">
                  <c:v>45778</c:v>
                </c:pt>
                <c:pt idx="1937">
                  <c:v>45779</c:v>
                </c:pt>
                <c:pt idx="1938">
                  <c:v>45780</c:v>
                </c:pt>
                <c:pt idx="1939">
                  <c:v>45781</c:v>
                </c:pt>
                <c:pt idx="1940">
                  <c:v>45782</c:v>
                </c:pt>
                <c:pt idx="1941">
                  <c:v>45783</c:v>
                </c:pt>
                <c:pt idx="1942">
                  <c:v>45784</c:v>
                </c:pt>
                <c:pt idx="1943">
                  <c:v>45785</c:v>
                </c:pt>
                <c:pt idx="1944">
                  <c:v>45786</c:v>
                </c:pt>
                <c:pt idx="1945">
                  <c:v>45787</c:v>
                </c:pt>
                <c:pt idx="1946">
                  <c:v>45788</c:v>
                </c:pt>
                <c:pt idx="1947">
                  <c:v>45789</c:v>
                </c:pt>
                <c:pt idx="1948">
                  <c:v>45790</c:v>
                </c:pt>
                <c:pt idx="1949">
                  <c:v>45791</c:v>
                </c:pt>
                <c:pt idx="1950">
                  <c:v>45792</c:v>
                </c:pt>
                <c:pt idx="1951">
                  <c:v>45793</c:v>
                </c:pt>
                <c:pt idx="1952">
                  <c:v>45794</c:v>
                </c:pt>
                <c:pt idx="1953">
                  <c:v>45795</c:v>
                </c:pt>
                <c:pt idx="1954">
                  <c:v>45796</c:v>
                </c:pt>
                <c:pt idx="1955">
                  <c:v>45797</c:v>
                </c:pt>
                <c:pt idx="1956">
                  <c:v>45798</c:v>
                </c:pt>
                <c:pt idx="1957">
                  <c:v>45799</c:v>
                </c:pt>
                <c:pt idx="1958">
                  <c:v>45800</c:v>
                </c:pt>
                <c:pt idx="1959">
                  <c:v>45801</c:v>
                </c:pt>
                <c:pt idx="1960">
                  <c:v>45802</c:v>
                </c:pt>
                <c:pt idx="1961">
                  <c:v>45803</c:v>
                </c:pt>
                <c:pt idx="1962">
                  <c:v>45804</c:v>
                </c:pt>
                <c:pt idx="1963">
                  <c:v>45805</c:v>
                </c:pt>
                <c:pt idx="1964">
                  <c:v>45806</c:v>
                </c:pt>
                <c:pt idx="1965">
                  <c:v>45807</c:v>
                </c:pt>
                <c:pt idx="1966">
                  <c:v>45808</c:v>
                </c:pt>
                <c:pt idx="1967">
                  <c:v>45809</c:v>
                </c:pt>
                <c:pt idx="1968">
                  <c:v>45810</c:v>
                </c:pt>
                <c:pt idx="1969">
                  <c:v>45811</c:v>
                </c:pt>
                <c:pt idx="1970">
                  <c:v>45812</c:v>
                </c:pt>
                <c:pt idx="1971">
                  <c:v>45813</c:v>
                </c:pt>
                <c:pt idx="1972">
                  <c:v>45814</c:v>
                </c:pt>
                <c:pt idx="1973">
                  <c:v>45815</c:v>
                </c:pt>
                <c:pt idx="1974">
                  <c:v>45816</c:v>
                </c:pt>
                <c:pt idx="1975">
                  <c:v>45817</c:v>
                </c:pt>
                <c:pt idx="1976">
                  <c:v>45818</c:v>
                </c:pt>
                <c:pt idx="1977">
                  <c:v>45819</c:v>
                </c:pt>
                <c:pt idx="1978">
                  <c:v>45820</c:v>
                </c:pt>
                <c:pt idx="1979">
                  <c:v>45821</c:v>
                </c:pt>
                <c:pt idx="1980">
                  <c:v>45822</c:v>
                </c:pt>
                <c:pt idx="1981">
                  <c:v>45823</c:v>
                </c:pt>
                <c:pt idx="1982">
                  <c:v>45824</c:v>
                </c:pt>
                <c:pt idx="1983">
                  <c:v>45825</c:v>
                </c:pt>
                <c:pt idx="1984">
                  <c:v>45826</c:v>
                </c:pt>
                <c:pt idx="1985">
                  <c:v>45827</c:v>
                </c:pt>
                <c:pt idx="1986">
                  <c:v>45828</c:v>
                </c:pt>
                <c:pt idx="1987">
                  <c:v>45829</c:v>
                </c:pt>
                <c:pt idx="1988">
                  <c:v>45830</c:v>
                </c:pt>
                <c:pt idx="1989">
                  <c:v>45831</c:v>
                </c:pt>
                <c:pt idx="1990">
                  <c:v>45832</c:v>
                </c:pt>
                <c:pt idx="1991">
                  <c:v>45833</c:v>
                </c:pt>
                <c:pt idx="1992">
                  <c:v>45834</c:v>
                </c:pt>
                <c:pt idx="1993">
                  <c:v>45835</c:v>
                </c:pt>
                <c:pt idx="1994">
                  <c:v>45836</c:v>
                </c:pt>
                <c:pt idx="1995">
                  <c:v>45837</c:v>
                </c:pt>
                <c:pt idx="1996">
                  <c:v>45838</c:v>
                </c:pt>
                <c:pt idx="1997">
                  <c:v>45839</c:v>
                </c:pt>
                <c:pt idx="1998">
                  <c:v>45840</c:v>
                </c:pt>
                <c:pt idx="1999">
                  <c:v>45841</c:v>
                </c:pt>
                <c:pt idx="2000">
                  <c:v>45842</c:v>
                </c:pt>
                <c:pt idx="2001">
                  <c:v>45843</c:v>
                </c:pt>
                <c:pt idx="2002">
                  <c:v>45844</c:v>
                </c:pt>
                <c:pt idx="2003">
                  <c:v>45845</c:v>
                </c:pt>
                <c:pt idx="2004">
                  <c:v>45846</c:v>
                </c:pt>
                <c:pt idx="2005">
                  <c:v>45847</c:v>
                </c:pt>
                <c:pt idx="2006">
                  <c:v>45848</c:v>
                </c:pt>
                <c:pt idx="2007">
                  <c:v>45849</c:v>
                </c:pt>
                <c:pt idx="2008">
                  <c:v>45850</c:v>
                </c:pt>
                <c:pt idx="2009">
                  <c:v>45851</c:v>
                </c:pt>
                <c:pt idx="2010">
                  <c:v>45852</c:v>
                </c:pt>
                <c:pt idx="2011">
                  <c:v>45853</c:v>
                </c:pt>
                <c:pt idx="2012">
                  <c:v>45854</c:v>
                </c:pt>
                <c:pt idx="2013">
                  <c:v>45855</c:v>
                </c:pt>
                <c:pt idx="2014">
                  <c:v>45856</c:v>
                </c:pt>
                <c:pt idx="2015">
                  <c:v>45857</c:v>
                </c:pt>
                <c:pt idx="2016">
                  <c:v>45858</c:v>
                </c:pt>
                <c:pt idx="2017">
                  <c:v>45859</c:v>
                </c:pt>
                <c:pt idx="2018">
                  <c:v>45860</c:v>
                </c:pt>
                <c:pt idx="2019">
                  <c:v>45861</c:v>
                </c:pt>
                <c:pt idx="2020">
                  <c:v>45862</c:v>
                </c:pt>
                <c:pt idx="2021">
                  <c:v>45863</c:v>
                </c:pt>
                <c:pt idx="2022">
                  <c:v>45864</c:v>
                </c:pt>
                <c:pt idx="2023">
                  <c:v>45865</c:v>
                </c:pt>
                <c:pt idx="2024">
                  <c:v>45866</c:v>
                </c:pt>
                <c:pt idx="2025">
                  <c:v>45867</c:v>
                </c:pt>
                <c:pt idx="2026">
                  <c:v>45868</c:v>
                </c:pt>
                <c:pt idx="2027">
                  <c:v>45869</c:v>
                </c:pt>
                <c:pt idx="2028">
                  <c:v>45870</c:v>
                </c:pt>
                <c:pt idx="2029">
                  <c:v>45871</c:v>
                </c:pt>
                <c:pt idx="2030">
                  <c:v>45872</c:v>
                </c:pt>
                <c:pt idx="2031">
                  <c:v>45873</c:v>
                </c:pt>
                <c:pt idx="2032">
                  <c:v>45874</c:v>
                </c:pt>
                <c:pt idx="2033">
                  <c:v>45875</c:v>
                </c:pt>
                <c:pt idx="2034">
                  <c:v>45876</c:v>
                </c:pt>
                <c:pt idx="2035">
                  <c:v>45877</c:v>
                </c:pt>
                <c:pt idx="2036">
                  <c:v>45878</c:v>
                </c:pt>
                <c:pt idx="2037">
                  <c:v>45879</c:v>
                </c:pt>
                <c:pt idx="2038">
                  <c:v>45880</c:v>
                </c:pt>
                <c:pt idx="2039">
                  <c:v>45881</c:v>
                </c:pt>
                <c:pt idx="2040">
                  <c:v>45882</c:v>
                </c:pt>
                <c:pt idx="2041">
                  <c:v>45883</c:v>
                </c:pt>
                <c:pt idx="2042">
                  <c:v>45884</c:v>
                </c:pt>
                <c:pt idx="2043">
                  <c:v>45885</c:v>
                </c:pt>
                <c:pt idx="2044">
                  <c:v>45886</c:v>
                </c:pt>
                <c:pt idx="2045">
                  <c:v>45887</c:v>
                </c:pt>
                <c:pt idx="2046">
                  <c:v>45888</c:v>
                </c:pt>
                <c:pt idx="2047">
                  <c:v>45889</c:v>
                </c:pt>
                <c:pt idx="2048">
                  <c:v>45890</c:v>
                </c:pt>
                <c:pt idx="2049">
                  <c:v>45891</c:v>
                </c:pt>
                <c:pt idx="2050">
                  <c:v>45892</c:v>
                </c:pt>
                <c:pt idx="2051">
                  <c:v>45893</c:v>
                </c:pt>
                <c:pt idx="2052">
                  <c:v>45894</c:v>
                </c:pt>
                <c:pt idx="2053">
                  <c:v>45895</c:v>
                </c:pt>
                <c:pt idx="2054">
                  <c:v>45896</c:v>
                </c:pt>
                <c:pt idx="2055">
                  <c:v>45897</c:v>
                </c:pt>
                <c:pt idx="2056">
                  <c:v>45898</c:v>
                </c:pt>
                <c:pt idx="2057">
                  <c:v>45899</c:v>
                </c:pt>
                <c:pt idx="2058">
                  <c:v>45900</c:v>
                </c:pt>
                <c:pt idx="2059">
                  <c:v>45901</c:v>
                </c:pt>
                <c:pt idx="2060">
                  <c:v>45902</c:v>
                </c:pt>
                <c:pt idx="2061">
                  <c:v>45903</c:v>
                </c:pt>
                <c:pt idx="2062">
                  <c:v>45904</c:v>
                </c:pt>
                <c:pt idx="2063">
                  <c:v>45905</c:v>
                </c:pt>
                <c:pt idx="2064">
                  <c:v>45906</c:v>
                </c:pt>
                <c:pt idx="2065">
                  <c:v>45907</c:v>
                </c:pt>
                <c:pt idx="2066">
                  <c:v>45908</c:v>
                </c:pt>
                <c:pt idx="2067">
                  <c:v>45909</c:v>
                </c:pt>
                <c:pt idx="2068">
                  <c:v>45910</c:v>
                </c:pt>
                <c:pt idx="2069">
                  <c:v>45911</c:v>
                </c:pt>
                <c:pt idx="2070">
                  <c:v>45912</c:v>
                </c:pt>
                <c:pt idx="2071">
                  <c:v>45913</c:v>
                </c:pt>
                <c:pt idx="2072">
                  <c:v>45914</c:v>
                </c:pt>
                <c:pt idx="2073">
                  <c:v>45915</c:v>
                </c:pt>
                <c:pt idx="2074">
                  <c:v>45916</c:v>
                </c:pt>
                <c:pt idx="2075">
                  <c:v>45917</c:v>
                </c:pt>
                <c:pt idx="2076">
                  <c:v>45918</c:v>
                </c:pt>
                <c:pt idx="2077">
                  <c:v>45919</c:v>
                </c:pt>
                <c:pt idx="2078">
                  <c:v>45920</c:v>
                </c:pt>
                <c:pt idx="2079">
                  <c:v>45921</c:v>
                </c:pt>
                <c:pt idx="2080">
                  <c:v>45922</c:v>
                </c:pt>
                <c:pt idx="2081">
                  <c:v>45923</c:v>
                </c:pt>
                <c:pt idx="2082">
                  <c:v>45924</c:v>
                </c:pt>
                <c:pt idx="2083">
                  <c:v>45925</c:v>
                </c:pt>
                <c:pt idx="2084">
                  <c:v>45926</c:v>
                </c:pt>
                <c:pt idx="2085">
                  <c:v>45927</c:v>
                </c:pt>
                <c:pt idx="2086">
                  <c:v>45928</c:v>
                </c:pt>
                <c:pt idx="2087">
                  <c:v>45929</c:v>
                </c:pt>
                <c:pt idx="2088">
                  <c:v>45930</c:v>
                </c:pt>
                <c:pt idx="2089">
                  <c:v>45931</c:v>
                </c:pt>
                <c:pt idx="2090">
                  <c:v>45932</c:v>
                </c:pt>
                <c:pt idx="2091">
                  <c:v>45933</c:v>
                </c:pt>
                <c:pt idx="2092">
                  <c:v>45934</c:v>
                </c:pt>
                <c:pt idx="2093">
                  <c:v>45935</c:v>
                </c:pt>
                <c:pt idx="2094">
                  <c:v>45936</c:v>
                </c:pt>
                <c:pt idx="2095">
                  <c:v>45937</c:v>
                </c:pt>
                <c:pt idx="2096">
                  <c:v>45938</c:v>
                </c:pt>
                <c:pt idx="2097">
                  <c:v>45939</c:v>
                </c:pt>
                <c:pt idx="2098">
                  <c:v>45940</c:v>
                </c:pt>
                <c:pt idx="2099">
                  <c:v>45941</c:v>
                </c:pt>
                <c:pt idx="2100">
                  <c:v>45942</c:v>
                </c:pt>
                <c:pt idx="2101">
                  <c:v>45943</c:v>
                </c:pt>
                <c:pt idx="2102">
                  <c:v>45944</c:v>
                </c:pt>
                <c:pt idx="2103">
                  <c:v>45945</c:v>
                </c:pt>
                <c:pt idx="2104">
                  <c:v>45946</c:v>
                </c:pt>
                <c:pt idx="2105">
                  <c:v>45947</c:v>
                </c:pt>
                <c:pt idx="2106">
                  <c:v>45948</c:v>
                </c:pt>
                <c:pt idx="2107">
                  <c:v>45949</c:v>
                </c:pt>
                <c:pt idx="2108">
                  <c:v>45950</c:v>
                </c:pt>
                <c:pt idx="2109">
                  <c:v>45951</c:v>
                </c:pt>
                <c:pt idx="2110">
                  <c:v>45952</c:v>
                </c:pt>
                <c:pt idx="2111">
                  <c:v>45953</c:v>
                </c:pt>
                <c:pt idx="2112">
                  <c:v>45954</c:v>
                </c:pt>
                <c:pt idx="2113">
                  <c:v>45955</c:v>
                </c:pt>
                <c:pt idx="2114">
                  <c:v>45956</c:v>
                </c:pt>
                <c:pt idx="2115">
                  <c:v>45957</c:v>
                </c:pt>
                <c:pt idx="2116">
                  <c:v>45958</c:v>
                </c:pt>
                <c:pt idx="2117">
                  <c:v>45959</c:v>
                </c:pt>
                <c:pt idx="2118">
                  <c:v>45960</c:v>
                </c:pt>
                <c:pt idx="2119">
                  <c:v>45961</c:v>
                </c:pt>
                <c:pt idx="2120">
                  <c:v>45962</c:v>
                </c:pt>
                <c:pt idx="2121">
                  <c:v>45963</c:v>
                </c:pt>
                <c:pt idx="2122">
                  <c:v>45964</c:v>
                </c:pt>
                <c:pt idx="2123">
                  <c:v>45965</c:v>
                </c:pt>
                <c:pt idx="2124">
                  <c:v>45966</c:v>
                </c:pt>
                <c:pt idx="2125">
                  <c:v>45967</c:v>
                </c:pt>
                <c:pt idx="2126">
                  <c:v>45968</c:v>
                </c:pt>
                <c:pt idx="2127">
                  <c:v>45969</c:v>
                </c:pt>
                <c:pt idx="2128">
                  <c:v>45970</c:v>
                </c:pt>
                <c:pt idx="2129">
                  <c:v>45971</c:v>
                </c:pt>
                <c:pt idx="2130">
                  <c:v>45972</c:v>
                </c:pt>
                <c:pt idx="2131">
                  <c:v>45973</c:v>
                </c:pt>
                <c:pt idx="2132">
                  <c:v>45974</c:v>
                </c:pt>
                <c:pt idx="2133">
                  <c:v>45975</c:v>
                </c:pt>
                <c:pt idx="2134">
                  <c:v>45976</c:v>
                </c:pt>
                <c:pt idx="2135">
                  <c:v>45977</c:v>
                </c:pt>
                <c:pt idx="2136">
                  <c:v>45978</c:v>
                </c:pt>
                <c:pt idx="2137">
                  <c:v>45979</c:v>
                </c:pt>
                <c:pt idx="2138">
                  <c:v>45980</c:v>
                </c:pt>
                <c:pt idx="2139">
                  <c:v>45981</c:v>
                </c:pt>
                <c:pt idx="2140">
                  <c:v>45982</c:v>
                </c:pt>
                <c:pt idx="2141">
                  <c:v>45983</c:v>
                </c:pt>
                <c:pt idx="2142">
                  <c:v>45984</c:v>
                </c:pt>
                <c:pt idx="2143">
                  <c:v>45985</c:v>
                </c:pt>
                <c:pt idx="2144">
                  <c:v>45986</c:v>
                </c:pt>
                <c:pt idx="2145">
                  <c:v>45987</c:v>
                </c:pt>
                <c:pt idx="2146">
                  <c:v>45988</c:v>
                </c:pt>
                <c:pt idx="2147">
                  <c:v>45989</c:v>
                </c:pt>
                <c:pt idx="2148">
                  <c:v>45990</c:v>
                </c:pt>
                <c:pt idx="2149">
                  <c:v>45991</c:v>
                </c:pt>
                <c:pt idx="2150">
                  <c:v>45992</c:v>
                </c:pt>
                <c:pt idx="2151">
                  <c:v>45993</c:v>
                </c:pt>
                <c:pt idx="2152">
                  <c:v>45994</c:v>
                </c:pt>
                <c:pt idx="2153">
                  <c:v>45995</c:v>
                </c:pt>
                <c:pt idx="2154">
                  <c:v>45996</c:v>
                </c:pt>
                <c:pt idx="2155">
                  <c:v>45997</c:v>
                </c:pt>
                <c:pt idx="2156">
                  <c:v>45998</c:v>
                </c:pt>
                <c:pt idx="2157">
                  <c:v>45999</c:v>
                </c:pt>
                <c:pt idx="2158">
                  <c:v>46000</c:v>
                </c:pt>
                <c:pt idx="2159">
                  <c:v>46001</c:v>
                </c:pt>
                <c:pt idx="2160">
                  <c:v>46002</c:v>
                </c:pt>
                <c:pt idx="2161">
                  <c:v>46003</c:v>
                </c:pt>
                <c:pt idx="2162">
                  <c:v>46004</c:v>
                </c:pt>
                <c:pt idx="2163">
                  <c:v>46005</c:v>
                </c:pt>
                <c:pt idx="2164">
                  <c:v>46006</c:v>
                </c:pt>
                <c:pt idx="2165">
                  <c:v>46007</c:v>
                </c:pt>
                <c:pt idx="2166">
                  <c:v>46008</c:v>
                </c:pt>
                <c:pt idx="2167">
                  <c:v>46009</c:v>
                </c:pt>
                <c:pt idx="2168">
                  <c:v>46010</c:v>
                </c:pt>
                <c:pt idx="2169">
                  <c:v>46011</c:v>
                </c:pt>
                <c:pt idx="2170">
                  <c:v>46012</c:v>
                </c:pt>
                <c:pt idx="2171">
                  <c:v>46013</c:v>
                </c:pt>
                <c:pt idx="2172">
                  <c:v>46014</c:v>
                </c:pt>
                <c:pt idx="2173">
                  <c:v>46015</c:v>
                </c:pt>
                <c:pt idx="2174">
                  <c:v>46016</c:v>
                </c:pt>
                <c:pt idx="2175">
                  <c:v>46017</c:v>
                </c:pt>
                <c:pt idx="2176">
                  <c:v>46018</c:v>
                </c:pt>
                <c:pt idx="2177">
                  <c:v>46019</c:v>
                </c:pt>
                <c:pt idx="2178">
                  <c:v>46020</c:v>
                </c:pt>
                <c:pt idx="2179">
                  <c:v>46021</c:v>
                </c:pt>
                <c:pt idx="2180">
                  <c:v>46022</c:v>
                </c:pt>
                <c:pt idx="2181">
                  <c:v>46023</c:v>
                </c:pt>
                <c:pt idx="2182">
                  <c:v>46024</c:v>
                </c:pt>
                <c:pt idx="2183">
                  <c:v>46025</c:v>
                </c:pt>
                <c:pt idx="2184">
                  <c:v>46026</c:v>
                </c:pt>
                <c:pt idx="2185">
                  <c:v>46027</c:v>
                </c:pt>
                <c:pt idx="2186">
                  <c:v>46028</c:v>
                </c:pt>
                <c:pt idx="2187">
                  <c:v>46029</c:v>
                </c:pt>
                <c:pt idx="2188">
                  <c:v>46030</c:v>
                </c:pt>
                <c:pt idx="2189">
                  <c:v>46031</c:v>
                </c:pt>
                <c:pt idx="2190">
                  <c:v>46032</c:v>
                </c:pt>
                <c:pt idx="2191">
                  <c:v>46033</c:v>
                </c:pt>
                <c:pt idx="2192">
                  <c:v>46034</c:v>
                </c:pt>
                <c:pt idx="2193">
                  <c:v>46035</c:v>
                </c:pt>
                <c:pt idx="2194">
                  <c:v>46036</c:v>
                </c:pt>
                <c:pt idx="2195">
                  <c:v>46037</c:v>
                </c:pt>
                <c:pt idx="2196">
                  <c:v>46038</c:v>
                </c:pt>
                <c:pt idx="2197">
                  <c:v>46039</c:v>
                </c:pt>
                <c:pt idx="2198">
                  <c:v>46040</c:v>
                </c:pt>
                <c:pt idx="2199">
                  <c:v>46041</c:v>
                </c:pt>
                <c:pt idx="2200">
                  <c:v>46042</c:v>
                </c:pt>
                <c:pt idx="2201">
                  <c:v>46043</c:v>
                </c:pt>
                <c:pt idx="2202">
                  <c:v>46044</c:v>
                </c:pt>
                <c:pt idx="2203">
                  <c:v>46045</c:v>
                </c:pt>
                <c:pt idx="2204">
                  <c:v>46046</c:v>
                </c:pt>
                <c:pt idx="2205">
                  <c:v>46047</c:v>
                </c:pt>
                <c:pt idx="2206">
                  <c:v>46048</c:v>
                </c:pt>
                <c:pt idx="2207">
                  <c:v>46049</c:v>
                </c:pt>
                <c:pt idx="2208">
                  <c:v>46050</c:v>
                </c:pt>
                <c:pt idx="2209">
                  <c:v>46051</c:v>
                </c:pt>
                <c:pt idx="2210">
                  <c:v>46052</c:v>
                </c:pt>
                <c:pt idx="2211">
                  <c:v>46053</c:v>
                </c:pt>
                <c:pt idx="2212">
                  <c:v>46054</c:v>
                </c:pt>
                <c:pt idx="2213">
                  <c:v>46055</c:v>
                </c:pt>
                <c:pt idx="2214">
                  <c:v>46056</c:v>
                </c:pt>
                <c:pt idx="2215">
                  <c:v>46057</c:v>
                </c:pt>
                <c:pt idx="2216">
                  <c:v>46058</c:v>
                </c:pt>
                <c:pt idx="2217">
                  <c:v>46059</c:v>
                </c:pt>
                <c:pt idx="2218">
                  <c:v>46060</c:v>
                </c:pt>
                <c:pt idx="2219">
                  <c:v>46061</c:v>
                </c:pt>
                <c:pt idx="2220">
                  <c:v>46062</c:v>
                </c:pt>
                <c:pt idx="2221">
                  <c:v>46063</c:v>
                </c:pt>
                <c:pt idx="2222">
                  <c:v>46064</c:v>
                </c:pt>
                <c:pt idx="2223">
                  <c:v>46065</c:v>
                </c:pt>
                <c:pt idx="2224">
                  <c:v>46066</c:v>
                </c:pt>
                <c:pt idx="2225">
                  <c:v>46067</c:v>
                </c:pt>
                <c:pt idx="2226">
                  <c:v>46068</c:v>
                </c:pt>
                <c:pt idx="2227">
                  <c:v>46069</c:v>
                </c:pt>
                <c:pt idx="2228">
                  <c:v>46070</c:v>
                </c:pt>
                <c:pt idx="2229">
                  <c:v>46071</c:v>
                </c:pt>
                <c:pt idx="2230">
                  <c:v>46072</c:v>
                </c:pt>
                <c:pt idx="2231">
                  <c:v>46073</c:v>
                </c:pt>
                <c:pt idx="2232">
                  <c:v>46074</c:v>
                </c:pt>
                <c:pt idx="2233">
                  <c:v>46075</c:v>
                </c:pt>
                <c:pt idx="2234">
                  <c:v>46076</c:v>
                </c:pt>
                <c:pt idx="2235">
                  <c:v>46077</c:v>
                </c:pt>
                <c:pt idx="2236">
                  <c:v>46078</c:v>
                </c:pt>
                <c:pt idx="2237">
                  <c:v>46079</c:v>
                </c:pt>
                <c:pt idx="2238">
                  <c:v>46080</c:v>
                </c:pt>
                <c:pt idx="2239">
                  <c:v>46081</c:v>
                </c:pt>
                <c:pt idx="2240">
                  <c:v>46082</c:v>
                </c:pt>
                <c:pt idx="2241">
                  <c:v>46083</c:v>
                </c:pt>
                <c:pt idx="2242">
                  <c:v>46084</c:v>
                </c:pt>
                <c:pt idx="2243">
                  <c:v>46085</c:v>
                </c:pt>
                <c:pt idx="2244">
                  <c:v>46086</c:v>
                </c:pt>
                <c:pt idx="2245">
                  <c:v>46087</c:v>
                </c:pt>
                <c:pt idx="2246">
                  <c:v>46088</c:v>
                </c:pt>
                <c:pt idx="2247">
                  <c:v>46089</c:v>
                </c:pt>
                <c:pt idx="2248">
                  <c:v>46090</c:v>
                </c:pt>
                <c:pt idx="2249">
                  <c:v>46091</c:v>
                </c:pt>
                <c:pt idx="2250">
                  <c:v>46092</c:v>
                </c:pt>
                <c:pt idx="2251">
                  <c:v>46093</c:v>
                </c:pt>
                <c:pt idx="2252">
                  <c:v>46094</c:v>
                </c:pt>
                <c:pt idx="2253">
                  <c:v>46095</c:v>
                </c:pt>
                <c:pt idx="2254">
                  <c:v>46096</c:v>
                </c:pt>
                <c:pt idx="2255">
                  <c:v>46097</c:v>
                </c:pt>
                <c:pt idx="2256">
                  <c:v>46098</c:v>
                </c:pt>
                <c:pt idx="2257">
                  <c:v>46099</c:v>
                </c:pt>
                <c:pt idx="2258">
                  <c:v>46100</c:v>
                </c:pt>
                <c:pt idx="2259">
                  <c:v>46101</c:v>
                </c:pt>
                <c:pt idx="2260">
                  <c:v>46102</c:v>
                </c:pt>
                <c:pt idx="2261">
                  <c:v>46103</c:v>
                </c:pt>
                <c:pt idx="2262">
                  <c:v>46104</c:v>
                </c:pt>
                <c:pt idx="2263">
                  <c:v>46105</c:v>
                </c:pt>
                <c:pt idx="2264">
                  <c:v>46106</c:v>
                </c:pt>
                <c:pt idx="2265">
                  <c:v>46107</c:v>
                </c:pt>
                <c:pt idx="2266">
                  <c:v>46108</c:v>
                </c:pt>
                <c:pt idx="2267">
                  <c:v>46109</c:v>
                </c:pt>
                <c:pt idx="2268">
                  <c:v>46110</c:v>
                </c:pt>
                <c:pt idx="2269">
                  <c:v>46111</c:v>
                </c:pt>
                <c:pt idx="2270">
                  <c:v>46112</c:v>
                </c:pt>
                <c:pt idx="2271">
                  <c:v>46113</c:v>
                </c:pt>
                <c:pt idx="2272">
                  <c:v>46114</c:v>
                </c:pt>
                <c:pt idx="2273">
                  <c:v>46115</c:v>
                </c:pt>
                <c:pt idx="2274">
                  <c:v>46116</c:v>
                </c:pt>
                <c:pt idx="2275">
                  <c:v>46117</c:v>
                </c:pt>
                <c:pt idx="2276">
                  <c:v>46118</c:v>
                </c:pt>
                <c:pt idx="2277">
                  <c:v>46119</c:v>
                </c:pt>
                <c:pt idx="2278">
                  <c:v>46120</c:v>
                </c:pt>
                <c:pt idx="2279">
                  <c:v>46121</c:v>
                </c:pt>
                <c:pt idx="2280">
                  <c:v>46122</c:v>
                </c:pt>
                <c:pt idx="2281">
                  <c:v>46123</c:v>
                </c:pt>
                <c:pt idx="2282">
                  <c:v>46124</c:v>
                </c:pt>
                <c:pt idx="2283">
                  <c:v>46125</c:v>
                </c:pt>
                <c:pt idx="2284">
                  <c:v>46126</c:v>
                </c:pt>
                <c:pt idx="2285">
                  <c:v>46127</c:v>
                </c:pt>
                <c:pt idx="2286">
                  <c:v>46128</c:v>
                </c:pt>
                <c:pt idx="2287">
                  <c:v>46129</c:v>
                </c:pt>
                <c:pt idx="2288">
                  <c:v>46130</c:v>
                </c:pt>
                <c:pt idx="2289">
                  <c:v>46131</c:v>
                </c:pt>
                <c:pt idx="2290">
                  <c:v>46132</c:v>
                </c:pt>
                <c:pt idx="2291">
                  <c:v>46133</c:v>
                </c:pt>
                <c:pt idx="2292">
                  <c:v>46134</c:v>
                </c:pt>
                <c:pt idx="2293">
                  <c:v>46135</c:v>
                </c:pt>
                <c:pt idx="2294">
                  <c:v>46136</c:v>
                </c:pt>
                <c:pt idx="2295">
                  <c:v>46137</c:v>
                </c:pt>
                <c:pt idx="2296">
                  <c:v>46138</c:v>
                </c:pt>
                <c:pt idx="2297">
                  <c:v>46139</c:v>
                </c:pt>
                <c:pt idx="2298">
                  <c:v>46140</c:v>
                </c:pt>
                <c:pt idx="2299">
                  <c:v>46141</c:v>
                </c:pt>
                <c:pt idx="2300">
                  <c:v>46142</c:v>
                </c:pt>
                <c:pt idx="2301">
                  <c:v>46143</c:v>
                </c:pt>
                <c:pt idx="2302">
                  <c:v>46144</c:v>
                </c:pt>
                <c:pt idx="2303">
                  <c:v>46145</c:v>
                </c:pt>
                <c:pt idx="2304">
                  <c:v>46146</c:v>
                </c:pt>
                <c:pt idx="2305">
                  <c:v>46147</c:v>
                </c:pt>
                <c:pt idx="2306">
                  <c:v>46148</c:v>
                </c:pt>
                <c:pt idx="2307">
                  <c:v>46149</c:v>
                </c:pt>
                <c:pt idx="2308">
                  <c:v>46150</c:v>
                </c:pt>
                <c:pt idx="2309">
                  <c:v>46151</c:v>
                </c:pt>
                <c:pt idx="2310">
                  <c:v>46152</c:v>
                </c:pt>
                <c:pt idx="2311">
                  <c:v>46153</c:v>
                </c:pt>
                <c:pt idx="2312">
                  <c:v>46154</c:v>
                </c:pt>
                <c:pt idx="2313">
                  <c:v>46155</c:v>
                </c:pt>
                <c:pt idx="2314">
                  <c:v>46156</c:v>
                </c:pt>
                <c:pt idx="2315">
                  <c:v>46157</c:v>
                </c:pt>
                <c:pt idx="2316">
                  <c:v>46158</c:v>
                </c:pt>
                <c:pt idx="2317">
                  <c:v>46159</c:v>
                </c:pt>
                <c:pt idx="2318">
                  <c:v>46160</c:v>
                </c:pt>
                <c:pt idx="2319">
                  <c:v>46161</c:v>
                </c:pt>
                <c:pt idx="2320">
                  <c:v>46162</c:v>
                </c:pt>
                <c:pt idx="2321">
                  <c:v>46163</c:v>
                </c:pt>
                <c:pt idx="2322">
                  <c:v>46164</c:v>
                </c:pt>
                <c:pt idx="2323">
                  <c:v>46165</c:v>
                </c:pt>
                <c:pt idx="2324">
                  <c:v>46166</c:v>
                </c:pt>
                <c:pt idx="2325">
                  <c:v>46167</c:v>
                </c:pt>
                <c:pt idx="2326">
                  <c:v>46168</c:v>
                </c:pt>
                <c:pt idx="2327">
                  <c:v>46169</c:v>
                </c:pt>
                <c:pt idx="2328">
                  <c:v>46170</c:v>
                </c:pt>
                <c:pt idx="2329">
                  <c:v>46171</c:v>
                </c:pt>
                <c:pt idx="2330">
                  <c:v>46172</c:v>
                </c:pt>
                <c:pt idx="2331">
                  <c:v>46173</c:v>
                </c:pt>
                <c:pt idx="2332">
                  <c:v>46174</c:v>
                </c:pt>
                <c:pt idx="2333">
                  <c:v>46175</c:v>
                </c:pt>
                <c:pt idx="2334">
                  <c:v>46176</c:v>
                </c:pt>
                <c:pt idx="2335">
                  <c:v>46177</c:v>
                </c:pt>
                <c:pt idx="2336">
                  <c:v>46178</c:v>
                </c:pt>
                <c:pt idx="2337">
                  <c:v>46179</c:v>
                </c:pt>
                <c:pt idx="2338">
                  <c:v>46180</c:v>
                </c:pt>
                <c:pt idx="2339">
                  <c:v>46181</c:v>
                </c:pt>
                <c:pt idx="2340">
                  <c:v>46182</c:v>
                </c:pt>
                <c:pt idx="2341">
                  <c:v>46183</c:v>
                </c:pt>
                <c:pt idx="2342">
                  <c:v>46184</c:v>
                </c:pt>
                <c:pt idx="2343">
                  <c:v>46185</c:v>
                </c:pt>
                <c:pt idx="2344">
                  <c:v>46186</c:v>
                </c:pt>
                <c:pt idx="2345">
                  <c:v>46187</c:v>
                </c:pt>
                <c:pt idx="2346">
                  <c:v>46188</c:v>
                </c:pt>
                <c:pt idx="2347">
                  <c:v>46189</c:v>
                </c:pt>
                <c:pt idx="2348">
                  <c:v>46190</c:v>
                </c:pt>
                <c:pt idx="2349">
                  <c:v>46191</c:v>
                </c:pt>
                <c:pt idx="2350">
                  <c:v>46192</c:v>
                </c:pt>
                <c:pt idx="2351">
                  <c:v>46193</c:v>
                </c:pt>
                <c:pt idx="2352">
                  <c:v>46194</c:v>
                </c:pt>
                <c:pt idx="2353">
                  <c:v>46195</c:v>
                </c:pt>
                <c:pt idx="2354">
                  <c:v>46196</c:v>
                </c:pt>
                <c:pt idx="2355">
                  <c:v>46197</c:v>
                </c:pt>
                <c:pt idx="2356">
                  <c:v>46198</c:v>
                </c:pt>
                <c:pt idx="2357">
                  <c:v>46199</c:v>
                </c:pt>
                <c:pt idx="2358">
                  <c:v>46200</c:v>
                </c:pt>
                <c:pt idx="2359">
                  <c:v>46201</c:v>
                </c:pt>
                <c:pt idx="2360">
                  <c:v>46202</c:v>
                </c:pt>
                <c:pt idx="2361">
                  <c:v>46203</c:v>
                </c:pt>
                <c:pt idx="2362">
                  <c:v>46204</c:v>
                </c:pt>
                <c:pt idx="2363">
                  <c:v>46205</c:v>
                </c:pt>
                <c:pt idx="2364">
                  <c:v>46206</c:v>
                </c:pt>
                <c:pt idx="2365">
                  <c:v>46207</c:v>
                </c:pt>
              </c:numCache>
            </c:numRef>
          </c:cat>
          <c:val>
            <c:numRef>
              <c:f>AI_Forecast!$C$2:$C$2367</c:f>
              <c:numCache>
                <c:formatCode>General</c:formatCode>
                <c:ptCount val="2366"/>
                <c:pt idx="1999" formatCode="0">
                  <c:v>10400</c:v>
                </c:pt>
                <c:pt idx="2000" formatCode="0">
                  <c:v>7895.2901343681078</c:v>
                </c:pt>
                <c:pt idx="2001" formatCode="0">
                  <c:v>7948.2504016698067</c:v>
                </c:pt>
                <c:pt idx="2002" formatCode="0">
                  <c:v>8095.3811500078027</c:v>
                </c:pt>
                <c:pt idx="2003" formatCode="0">
                  <c:v>7869.8757958111819</c:v>
                </c:pt>
                <c:pt idx="2004" formatCode="0">
                  <c:v>6190.0071219857036</c:v>
                </c:pt>
                <c:pt idx="2005" formatCode="0">
                  <c:v>6023.5747391067907</c:v>
                </c:pt>
                <c:pt idx="2006" formatCode="0">
                  <c:v>9810.0175755317905</c:v>
                </c:pt>
                <c:pt idx="2007" formatCode="0">
                  <c:v>8783.9897414786465</c:v>
                </c:pt>
                <c:pt idx="2008" formatCode="0">
                  <c:v>7900.7720171695437</c:v>
                </c:pt>
                <c:pt idx="2009" formatCode="0">
                  <c:v>7372.1945991349248</c:v>
                </c:pt>
                <c:pt idx="2010" formatCode="0">
                  <c:v>8733.9496946917279</c:v>
                </c:pt>
                <c:pt idx="2011" formatCode="0">
                  <c:v>10399.32055536764</c:v>
                </c:pt>
                <c:pt idx="2012" formatCode="0">
                  <c:v>7894.6106897357477</c:v>
                </c:pt>
                <c:pt idx="2013" formatCode="0">
                  <c:v>7947.5709570374456</c:v>
                </c:pt>
                <c:pt idx="2014" formatCode="0">
                  <c:v>8094.7017053754425</c:v>
                </c:pt>
                <c:pt idx="2015" formatCode="0">
                  <c:v>7869.1963511788217</c:v>
                </c:pt>
                <c:pt idx="2016" formatCode="0">
                  <c:v>6189.3276773533435</c:v>
                </c:pt>
                <c:pt idx="2017" formatCode="0">
                  <c:v>6022.8952944744306</c:v>
                </c:pt>
                <c:pt idx="2018" formatCode="0">
                  <c:v>9809.3381308994285</c:v>
                </c:pt>
                <c:pt idx="2019" formatCode="0">
                  <c:v>8783.3102968462881</c:v>
                </c:pt>
                <c:pt idx="2020" formatCode="0">
                  <c:v>7900.0925725371835</c:v>
                </c:pt>
                <c:pt idx="2021" formatCode="0">
                  <c:v>7371.5151545025647</c:v>
                </c:pt>
                <c:pt idx="2022" formatCode="0">
                  <c:v>8733.2702500593678</c:v>
                </c:pt>
                <c:pt idx="2023" formatCode="0">
                  <c:v>10398.64111073528</c:v>
                </c:pt>
                <c:pt idx="2024" formatCode="0">
                  <c:v>7893.9312451033866</c:v>
                </c:pt>
                <c:pt idx="2025" formatCode="0">
                  <c:v>7946.8915124050855</c:v>
                </c:pt>
                <c:pt idx="2026" formatCode="0">
                  <c:v>8094.0222607430824</c:v>
                </c:pt>
                <c:pt idx="2027" formatCode="0">
                  <c:v>7868.5169065464615</c:v>
                </c:pt>
                <c:pt idx="2028" formatCode="0">
                  <c:v>6188.6482327209824</c:v>
                </c:pt>
                <c:pt idx="2029" formatCode="0">
                  <c:v>6022.2158498420695</c:v>
                </c:pt>
                <c:pt idx="2030" formatCode="0">
                  <c:v>9808.6586862670702</c:v>
                </c:pt>
                <c:pt idx="2031" formatCode="0">
                  <c:v>8782.6308522139261</c:v>
                </c:pt>
                <c:pt idx="2032" formatCode="0">
                  <c:v>7899.4131279048233</c:v>
                </c:pt>
                <c:pt idx="2033" formatCode="0">
                  <c:v>7370.8357098702045</c:v>
                </c:pt>
                <c:pt idx="2034" formatCode="0">
                  <c:v>8732.5908054270076</c:v>
                </c:pt>
                <c:pt idx="2035" formatCode="0">
                  <c:v>10397.961666102918</c:v>
                </c:pt>
                <c:pt idx="2036" formatCode="0">
                  <c:v>7893.2518004710264</c:v>
                </c:pt>
                <c:pt idx="2037" formatCode="0">
                  <c:v>7946.2120677727253</c:v>
                </c:pt>
                <c:pt idx="2038" formatCode="0">
                  <c:v>8093.3428161107222</c:v>
                </c:pt>
                <c:pt idx="2039" formatCode="0">
                  <c:v>7867.8374619141005</c:v>
                </c:pt>
                <c:pt idx="2040" formatCode="0">
                  <c:v>6187.9687880886222</c:v>
                </c:pt>
                <c:pt idx="2041" formatCode="0">
                  <c:v>6021.5364052097093</c:v>
                </c:pt>
                <c:pt idx="2042" formatCode="0">
                  <c:v>9807.9792416347082</c:v>
                </c:pt>
                <c:pt idx="2043" formatCode="0">
                  <c:v>8781.9514075815678</c:v>
                </c:pt>
                <c:pt idx="2044" formatCode="0">
                  <c:v>7898.7336832724623</c:v>
                </c:pt>
                <c:pt idx="2045" formatCode="0">
                  <c:v>7370.1562652378434</c:v>
                </c:pt>
                <c:pt idx="2046" formatCode="0">
                  <c:v>8731.9113607946474</c:v>
                </c:pt>
                <c:pt idx="2047" formatCode="0">
                  <c:v>10397.282221470559</c:v>
                </c:pt>
                <c:pt idx="2048" formatCode="0">
                  <c:v>7892.5723558386662</c:v>
                </c:pt>
                <c:pt idx="2049" formatCode="0">
                  <c:v>7945.5326231403642</c:v>
                </c:pt>
                <c:pt idx="2050" formatCode="0">
                  <c:v>8092.6633714783611</c:v>
                </c:pt>
                <c:pt idx="2051" formatCode="0">
                  <c:v>7867.1580172817403</c:v>
                </c:pt>
                <c:pt idx="2052" formatCode="0">
                  <c:v>6187.289343456262</c:v>
                </c:pt>
                <c:pt idx="2053" formatCode="0">
                  <c:v>6020.8569605773491</c:v>
                </c:pt>
                <c:pt idx="2054" formatCode="0">
                  <c:v>9807.2997970023498</c:v>
                </c:pt>
                <c:pt idx="2055" formatCode="0">
                  <c:v>8781.2719629492058</c:v>
                </c:pt>
                <c:pt idx="2056" formatCode="0">
                  <c:v>7898.0542386401021</c:v>
                </c:pt>
                <c:pt idx="2057" formatCode="0">
                  <c:v>7369.4768206054832</c:v>
                </c:pt>
                <c:pt idx="2058" formatCode="0">
                  <c:v>8731.2319161622872</c:v>
                </c:pt>
                <c:pt idx="2059" formatCode="0">
                  <c:v>10396.602776838197</c:v>
                </c:pt>
                <c:pt idx="2060" formatCode="0">
                  <c:v>7891.8929112063051</c:v>
                </c:pt>
                <c:pt idx="2061" formatCode="0">
                  <c:v>7944.853178508004</c:v>
                </c:pt>
                <c:pt idx="2062" formatCode="0">
                  <c:v>8091.9839268460009</c:v>
                </c:pt>
                <c:pt idx="2063" formatCode="0">
                  <c:v>7866.4785726493801</c:v>
                </c:pt>
                <c:pt idx="2064" formatCode="0">
                  <c:v>6186.6098988239019</c:v>
                </c:pt>
                <c:pt idx="2065" formatCode="0">
                  <c:v>6020.177515944988</c:v>
                </c:pt>
                <c:pt idx="2066" formatCode="0">
                  <c:v>9806.6203523699878</c:v>
                </c:pt>
                <c:pt idx="2067" formatCode="0">
                  <c:v>8780.5925183168456</c:v>
                </c:pt>
                <c:pt idx="2068" formatCode="0">
                  <c:v>7897.3747940077419</c:v>
                </c:pt>
                <c:pt idx="2069" formatCode="0">
                  <c:v>7368.7973759731231</c:v>
                </c:pt>
                <c:pt idx="2070" formatCode="0">
                  <c:v>8730.5524715299252</c:v>
                </c:pt>
                <c:pt idx="2071" formatCode="0">
                  <c:v>10395.923332205837</c:v>
                </c:pt>
                <c:pt idx="2072" formatCode="0">
                  <c:v>7891.213466573945</c:v>
                </c:pt>
                <c:pt idx="2073" formatCode="0">
                  <c:v>7944.1737338756438</c:v>
                </c:pt>
                <c:pt idx="2074" formatCode="0">
                  <c:v>8091.3044822136408</c:v>
                </c:pt>
                <c:pt idx="2075" formatCode="0">
                  <c:v>7865.7991280170199</c:v>
                </c:pt>
                <c:pt idx="2076" formatCode="0">
                  <c:v>6185.9304541915408</c:v>
                </c:pt>
                <c:pt idx="2077" formatCode="0">
                  <c:v>6019.4980713126279</c:v>
                </c:pt>
                <c:pt idx="2078" formatCode="0">
                  <c:v>9805.9409077376276</c:v>
                </c:pt>
                <c:pt idx="2079" formatCode="0">
                  <c:v>8779.9130736844854</c:v>
                </c:pt>
                <c:pt idx="2080" formatCode="0">
                  <c:v>7896.6953493753817</c:v>
                </c:pt>
                <c:pt idx="2081" formatCode="0">
                  <c:v>7368.117931340762</c:v>
                </c:pt>
                <c:pt idx="2082" formatCode="0">
                  <c:v>8729.8730268975651</c:v>
                </c:pt>
                <c:pt idx="2083" formatCode="0">
                  <c:v>10395.243887573477</c:v>
                </c:pt>
                <c:pt idx="2084" formatCode="0">
                  <c:v>7890.5340219415848</c:v>
                </c:pt>
                <c:pt idx="2085" formatCode="0">
                  <c:v>7943.4942892432837</c:v>
                </c:pt>
                <c:pt idx="2086" formatCode="0">
                  <c:v>8090.6250375812797</c:v>
                </c:pt>
                <c:pt idx="2087" formatCode="0">
                  <c:v>7865.1196833846589</c:v>
                </c:pt>
                <c:pt idx="2088" formatCode="0">
                  <c:v>6185.2510095591806</c:v>
                </c:pt>
                <c:pt idx="2089" formatCode="0">
                  <c:v>6018.8186266802677</c:v>
                </c:pt>
                <c:pt idx="2090" formatCode="0">
                  <c:v>9805.2614631052675</c:v>
                </c:pt>
                <c:pt idx="2091" formatCode="0">
                  <c:v>8779.2336290521234</c:v>
                </c:pt>
                <c:pt idx="2092" formatCode="0">
                  <c:v>7896.0159047430207</c:v>
                </c:pt>
                <c:pt idx="2093" formatCode="0">
                  <c:v>7367.4384867084018</c:v>
                </c:pt>
                <c:pt idx="2094" formatCode="0">
                  <c:v>8729.1935822652049</c:v>
                </c:pt>
                <c:pt idx="2095" formatCode="0">
                  <c:v>10394.564442941117</c:v>
                </c:pt>
                <c:pt idx="2096" formatCode="0">
                  <c:v>7889.8545773092246</c:v>
                </c:pt>
                <c:pt idx="2097" formatCode="0">
                  <c:v>7942.8148446109226</c:v>
                </c:pt>
                <c:pt idx="2098" formatCode="0">
                  <c:v>8089.9455929489195</c:v>
                </c:pt>
                <c:pt idx="2099" formatCode="0">
                  <c:v>7864.4402387522987</c:v>
                </c:pt>
                <c:pt idx="2100" formatCode="0">
                  <c:v>6184.5715649268204</c:v>
                </c:pt>
                <c:pt idx="2101" formatCode="0">
                  <c:v>6018.1391820479075</c:v>
                </c:pt>
                <c:pt idx="2102" formatCode="0">
                  <c:v>9804.5820184729055</c:v>
                </c:pt>
                <c:pt idx="2103" formatCode="0">
                  <c:v>8778.5541844197651</c:v>
                </c:pt>
                <c:pt idx="2104" formatCode="0">
                  <c:v>7895.3364601106605</c:v>
                </c:pt>
                <c:pt idx="2105" formatCode="0">
                  <c:v>7366.7590420760416</c:v>
                </c:pt>
                <c:pt idx="2106" formatCode="0">
                  <c:v>8728.5141376328447</c:v>
                </c:pt>
                <c:pt idx="2107" formatCode="0">
                  <c:v>10393.884998308757</c:v>
                </c:pt>
                <c:pt idx="2108" formatCode="0">
                  <c:v>7889.1751326768635</c:v>
                </c:pt>
                <c:pt idx="2109" formatCode="0">
                  <c:v>7942.1353999785624</c:v>
                </c:pt>
                <c:pt idx="2110" formatCode="0">
                  <c:v>8089.2661483165593</c:v>
                </c:pt>
                <c:pt idx="2111" formatCode="0">
                  <c:v>7863.7607941199385</c:v>
                </c:pt>
                <c:pt idx="2112" formatCode="0">
                  <c:v>6183.8921202944593</c:v>
                </c:pt>
                <c:pt idx="2113" formatCode="0">
                  <c:v>6017.4597374155464</c:v>
                </c:pt>
                <c:pt idx="2114" formatCode="0">
                  <c:v>9803.9025738405471</c:v>
                </c:pt>
                <c:pt idx="2115" formatCode="0">
                  <c:v>8777.8747397874031</c:v>
                </c:pt>
                <c:pt idx="2116" formatCode="0">
                  <c:v>7894.6570154783003</c:v>
                </c:pt>
                <c:pt idx="2117" formatCode="0">
                  <c:v>7366.0795974436815</c:v>
                </c:pt>
                <c:pt idx="2118" formatCode="0">
                  <c:v>8727.8346930004845</c:v>
                </c:pt>
                <c:pt idx="2119" formatCode="0">
                  <c:v>10393.205553676395</c:v>
                </c:pt>
                <c:pt idx="2120" formatCode="0">
                  <c:v>7888.4956880445034</c:v>
                </c:pt>
                <c:pt idx="2121" formatCode="0">
                  <c:v>7941.4559553462022</c:v>
                </c:pt>
                <c:pt idx="2122" formatCode="0">
                  <c:v>8088.5867036841992</c:v>
                </c:pt>
                <c:pt idx="2123" formatCode="0">
                  <c:v>7863.0813494875774</c:v>
                </c:pt>
                <c:pt idx="2124" formatCode="0">
                  <c:v>6183.2126756620992</c:v>
                </c:pt>
                <c:pt idx="2125" formatCode="0">
                  <c:v>6016.7802927831863</c:v>
                </c:pt>
                <c:pt idx="2126" formatCode="0">
                  <c:v>9803.2231292081851</c:v>
                </c:pt>
                <c:pt idx="2127" formatCode="0">
                  <c:v>8777.1952951550447</c:v>
                </c:pt>
                <c:pt idx="2128" formatCode="0">
                  <c:v>7893.9775708459392</c:v>
                </c:pt>
                <c:pt idx="2129" formatCode="0">
                  <c:v>7365.4001528113204</c:v>
                </c:pt>
                <c:pt idx="2130" formatCode="0">
                  <c:v>8727.1552483681244</c:v>
                </c:pt>
                <c:pt idx="2131" formatCode="0">
                  <c:v>10392.526109044036</c:v>
                </c:pt>
                <c:pt idx="2132" formatCode="0">
                  <c:v>7887.8162434121432</c:v>
                </c:pt>
                <c:pt idx="2133" formatCode="0">
                  <c:v>7940.7765107138412</c:v>
                </c:pt>
                <c:pt idx="2134" formatCode="0">
                  <c:v>8087.9072590518381</c:v>
                </c:pt>
                <c:pt idx="2135" formatCode="0">
                  <c:v>7862.4019048552173</c:v>
                </c:pt>
                <c:pt idx="2136" formatCode="0">
                  <c:v>6182.533231029739</c:v>
                </c:pt>
                <c:pt idx="2137" formatCode="0">
                  <c:v>6016.1008481508261</c:v>
                </c:pt>
                <c:pt idx="2138" formatCode="0">
                  <c:v>9802.5436845758268</c:v>
                </c:pt>
                <c:pt idx="2139" formatCode="0">
                  <c:v>8776.5158505226827</c:v>
                </c:pt>
                <c:pt idx="2140" formatCode="0">
                  <c:v>7893.2981262135791</c:v>
                </c:pt>
                <c:pt idx="2141" formatCode="0">
                  <c:v>7364.7207081789602</c:v>
                </c:pt>
                <c:pt idx="2142" formatCode="0">
                  <c:v>8726.4758037357642</c:v>
                </c:pt>
                <c:pt idx="2143" formatCode="0">
                  <c:v>10391.846664411674</c:v>
                </c:pt>
                <c:pt idx="2144" formatCode="0">
                  <c:v>7887.1367987797821</c:v>
                </c:pt>
                <c:pt idx="2145" formatCode="0">
                  <c:v>7940.097066081481</c:v>
                </c:pt>
                <c:pt idx="2146" formatCode="0">
                  <c:v>8087.2278144194779</c:v>
                </c:pt>
                <c:pt idx="2147" formatCode="0">
                  <c:v>7861.7224602228571</c:v>
                </c:pt>
                <c:pt idx="2148" formatCode="0">
                  <c:v>6181.8537863973788</c:v>
                </c:pt>
                <c:pt idx="2149" formatCode="0">
                  <c:v>6015.421403518465</c:v>
                </c:pt>
                <c:pt idx="2150" formatCode="0">
                  <c:v>9801.8642399434648</c:v>
                </c:pt>
                <c:pt idx="2151" formatCode="0">
                  <c:v>8775.8364058903226</c:v>
                </c:pt>
                <c:pt idx="2152" formatCode="0">
                  <c:v>7892.6186815812189</c:v>
                </c:pt>
                <c:pt idx="2153" formatCode="0">
                  <c:v>7364.0412635466</c:v>
                </c:pt>
                <c:pt idx="2154" formatCode="0">
                  <c:v>8725.7963591034022</c:v>
                </c:pt>
                <c:pt idx="2155" formatCode="0">
                  <c:v>10391.167219779314</c:v>
                </c:pt>
                <c:pt idx="2156" formatCode="0">
                  <c:v>7886.4573541474219</c:v>
                </c:pt>
                <c:pt idx="2157" formatCode="0">
                  <c:v>7939.4176214491208</c:v>
                </c:pt>
                <c:pt idx="2158" formatCode="0">
                  <c:v>8086.5483697871177</c:v>
                </c:pt>
                <c:pt idx="2159" formatCode="0">
                  <c:v>7861.0430155904969</c:v>
                </c:pt>
                <c:pt idx="2160" formatCode="0">
                  <c:v>6181.1743417650177</c:v>
                </c:pt>
                <c:pt idx="2161" formatCode="0">
                  <c:v>6014.7419588861048</c:v>
                </c:pt>
                <c:pt idx="2162" formatCode="0">
                  <c:v>9801.1847953111046</c:v>
                </c:pt>
                <c:pt idx="2163" formatCode="0">
                  <c:v>8775.1569612579624</c:v>
                </c:pt>
                <c:pt idx="2164" formatCode="0">
                  <c:v>7891.9392369488587</c:v>
                </c:pt>
                <c:pt idx="2165" formatCode="0">
                  <c:v>7363.3618189142389</c:v>
                </c:pt>
                <c:pt idx="2166" formatCode="0">
                  <c:v>8725.116914471042</c:v>
                </c:pt>
                <c:pt idx="2167" formatCode="0">
                  <c:v>10390.487775146954</c:v>
                </c:pt>
                <c:pt idx="2168" formatCode="0">
                  <c:v>7885.7779095150618</c:v>
                </c:pt>
                <c:pt idx="2169" formatCode="0">
                  <c:v>7938.7381768167606</c:v>
                </c:pt>
                <c:pt idx="2170" formatCode="0">
                  <c:v>8085.8689251547567</c:v>
                </c:pt>
                <c:pt idx="2171" formatCode="0">
                  <c:v>7860.3635709581358</c:v>
                </c:pt>
                <c:pt idx="2172" formatCode="0">
                  <c:v>6180.4948971326576</c:v>
                </c:pt>
                <c:pt idx="2173" formatCode="0">
                  <c:v>6014.0625142537447</c:v>
                </c:pt>
                <c:pt idx="2174" formatCode="0">
                  <c:v>9800.5053506787444</c:v>
                </c:pt>
                <c:pt idx="2175" formatCode="0">
                  <c:v>8774.4775166256022</c:v>
                </c:pt>
                <c:pt idx="2176" formatCode="0">
                  <c:v>7891.2597923164976</c:v>
                </c:pt>
                <c:pt idx="2177" formatCode="0">
                  <c:v>7362.6823742818788</c:v>
                </c:pt>
                <c:pt idx="2178" formatCode="0">
                  <c:v>8724.4374698386819</c:v>
                </c:pt>
                <c:pt idx="2179" formatCode="0">
                  <c:v>10389.808330514594</c:v>
                </c:pt>
                <c:pt idx="2180" formatCode="0">
                  <c:v>7885.0984648827016</c:v>
                </c:pt>
                <c:pt idx="2181" formatCode="0">
                  <c:v>7938.0587321843996</c:v>
                </c:pt>
                <c:pt idx="2182" formatCode="0">
                  <c:v>8085.1894805223965</c:v>
                </c:pt>
                <c:pt idx="2183" formatCode="0">
                  <c:v>7859.6841263257757</c:v>
                </c:pt>
                <c:pt idx="2184" formatCode="0">
                  <c:v>6179.8154525002974</c:v>
                </c:pt>
                <c:pt idx="2185" formatCode="0">
                  <c:v>6013.3830696213845</c:v>
                </c:pt>
                <c:pt idx="2186" formatCode="0">
                  <c:v>9799.8259060463824</c:v>
                </c:pt>
                <c:pt idx="2187" formatCode="0">
                  <c:v>8773.798071993242</c:v>
                </c:pt>
                <c:pt idx="2188" formatCode="0">
                  <c:v>7890.5803476841375</c:v>
                </c:pt>
                <c:pt idx="2189" formatCode="0">
                  <c:v>7362.0029296495186</c:v>
                </c:pt>
                <c:pt idx="2190" formatCode="0">
                  <c:v>8723.7580252063217</c:v>
                </c:pt>
                <c:pt idx="2191" formatCode="0">
                  <c:v>10389.128885882234</c:v>
                </c:pt>
                <c:pt idx="2192" formatCode="0">
                  <c:v>7884.4190202503405</c:v>
                </c:pt>
                <c:pt idx="2193" formatCode="0">
                  <c:v>7937.3792875520394</c:v>
                </c:pt>
                <c:pt idx="2194" formatCode="0">
                  <c:v>8084.5100358900363</c:v>
                </c:pt>
                <c:pt idx="2195" formatCode="0">
                  <c:v>7859.0046816934155</c:v>
                </c:pt>
                <c:pt idx="2196" formatCode="0">
                  <c:v>6179.1360078679372</c:v>
                </c:pt>
                <c:pt idx="2197" formatCode="0">
                  <c:v>6012.7036249890234</c:v>
                </c:pt>
                <c:pt idx="2198" formatCode="0">
                  <c:v>9799.1464614140241</c:v>
                </c:pt>
                <c:pt idx="2199" formatCode="0">
                  <c:v>8773.1186273608801</c:v>
                </c:pt>
                <c:pt idx="2200" formatCode="0">
                  <c:v>7889.9009030517773</c:v>
                </c:pt>
                <c:pt idx="2201" formatCode="0">
                  <c:v>7361.3234850171584</c:v>
                </c:pt>
                <c:pt idx="2202" formatCode="0">
                  <c:v>8723.0785805739615</c:v>
                </c:pt>
                <c:pt idx="2203" formatCode="0">
                  <c:v>10388.449441249872</c:v>
                </c:pt>
                <c:pt idx="2204" formatCode="0">
                  <c:v>7883.7395756179803</c:v>
                </c:pt>
                <c:pt idx="2205" formatCode="0">
                  <c:v>7936.6998429196792</c:v>
                </c:pt>
                <c:pt idx="2206" formatCode="0">
                  <c:v>8083.8305912576761</c:v>
                </c:pt>
                <c:pt idx="2207" formatCode="0">
                  <c:v>7858.3252370610544</c:v>
                </c:pt>
                <c:pt idx="2208" formatCode="0">
                  <c:v>6178.4565632355761</c:v>
                </c:pt>
                <c:pt idx="2209" formatCode="0">
                  <c:v>6012.0241803566632</c:v>
                </c:pt>
                <c:pt idx="2210" formatCode="0">
                  <c:v>9798.4670167816621</c:v>
                </c:pt>
                <c:pt idx="2211" formatCode="0">
                  <c:v>8772.4391827285217</c:v>
                </c:pt>
                <c:pt idx="2212" formatCode="0">
                  <c:v>7889.2214584194162</c:v>
                </c:pt>
                <c:pt idx="2213" formatCode="0">
                  <c:v>7360.6440403847973</c:v>
                </c:pt>
                <c:pt idx="2214" formatCode="0">
                  <c:v>8722.3991359416013</c:v>
                </c:pt>
                <c:pt idx="2215" formatCode="0">
                  <c:v>10387.769996617513</c:v>
                </c:pt>
                <c:pt idx="2216" formatCode="0">
                  <c:v>7883.0601309856202</c:v>
                </c:pt>
                <c:pt idx="2217" formatCode="0">
                  <c:v>7936.020398287319</c:v>
                </c:pt>
                <c:pt idx="2218" formatCode="0">
                  <c:v>8083.1511466253151</c:v>
                </c:pt>
                <c:pt idx="2219" formatCode="0">
                  <c:v>7857.6457924286942</c:v>
                </c:pt>
                <c:pt idx="2220" formatCode="0">
                  <c:v>6177.777118603216</c:v>
                </c:pt>
                <c:pt idx="2221" formatCode="0">
                  <c:v>6011.3447357243031</c:v>
                </c:pt>
                <c:pt idx="2222" formatCode="0">
                  <c:v>9797.7875721493037</c:v>
                </c:pt>
                <c:pt idx="2223" formatCode="0">
                  <c:v>8771.7597380961597</c:v>
                </c:pt>
                <c:pt idx="2224" formatCode="0">
                  <c:v>7888.542013787056</c:v>
                </c:pt>
                <c:pt idx="2225" formatCode="0">
                  <c:v>7359.9645957524372</c:v>
                </c:pt>
                <c:pt idx="2226" formatCode="0">
                  <c:v>8721.7196913092412</c:v>
                </c:pt>
                <c:pt idx="2227" formatCode="0">
                  <c:v>10387.090551985151</c:v>
                </c:pt>
                <c:pt idx="2228" formatCode="0">
                  <c:v>7882.3806863532591</c:v>
                </c:pt>
                <c:pt idx="2229" formatCode="0">
                  <c:v>7935.340953654958</c:v>
                </c:pt>
                <c:pt idx="2230" formatCode="0">
                  <c:v>8082.4717019929549</c:v>
                </c:pt>
                <c:pt idx="2231" formatCode="0">
                  <c:v>7856.966347796334</c:v>
                </c:pt>
                <c:pt idx="2232" formatCode="0">
                  <c:v>6177.0976739708558</c:v>
                </c:pt>
                <c:pt idx="2233" formatCode="0">
                  <c:v>6010.665291091942</c:v>
                </c:pt>
                <c:pt idx="2234" formatCode="0">
                  <c:v>9797.1081275169417</c:v>
                </c:pt>
                <c:pt idx="2235" formatCode="0">
                  <c:v>8771.0802934637995</c:v>
                </c:pt>
                <c:pt idx="2236" formatCode="0">
                  <c:v>7887.8625691546958</c:v>
                </c:pt>
                <c:pt idx="2237" formatCode="0">
                  <c:v>7359.285151120077</c:v>
                </c:pt>
                <c:pt idx="2238" formatCode="0">
                  <c:v>8721.040246676881</c:v>
                </c:pt>
                <c:pt idx="2239" formatCode="0">
                  <c:v>10386.411107352791</c:v>
                </c:pt>
                <c:pt idx="2240" formatCode="0">
                  <c:v>7881.7012417208989</c:v>
                </c:pt>
                <c:pt idx="2241" formatCode="0">
                  <c:v>7934.6615090225978</c:v>
                </c:pt>
                <c:pt idx="2242" formatCode="0">
                  <c:v>8081.7922573605947</c:v>
                </c:pt>
                <c:pt idx="2243" formatCode="0">
                  <c:v>7856.2869031639739</c:v>
                </c:pt>
                <c:pt idx="2244" formatCode="0">
                  <c:v>6176.4182293384947</c:v>
                </c:pt>
                <c:pt idx="2245" formatCode="0">
                  <c:v>6009.9858464595818</c:v>
                </c:pt>
                <c:pt idx="2246" formatCode="0">
                  <c:v>9796.4286828845816</c:v>
                </c:pt>
                <c:pt idx="2247" formatCode="0">
                  <c:v>8770.4008488314394</c:v>
                </c:pt>
                <c:pt idx="2248" formatCode="0">
                  <c:v>7887.1831245223357</c:v>
                </c:pt>
                <c:pt idx="2249" formatCode="0">
                  <c:v>7358.6057064877159</c:v>
                </c:pt>
                <c:pt idx="2250" formatCode="0">
                  <c:v>8720.360802044519</c:v>
                </c:pt>
                <c:pt idx="2251" formatCode="0">
                  <c:v>10385.731662720431</c:v>
                </c:pt>
                <c:pt idx="2252" formatCode="0">
                  <c:v>7881.0217970885387</c:v>
                </c:pt>
                <c:pt idx="2253" formatCode="0">
                  <c:v>7933.9820643902376</c:v>
                </c:pt>
                <c:pt idx="2254" formatCode="0">
                  <c:v>8081.1128127282336</c:v>
                </c:pt>
                <c:pt idx="2255" formatCode="0">
                  <c:v>7855.6074585316128</c:v>
                </c:pt>
                <c:pt idx="2256" formatCode="0">
                  <c:v>6175.7387847061345</c:v>
                </c:pt>
                <c:pt idx="2257" formatCode="0">
                  <c:v>6009.3064018272216</c:v>
                </c:pt>
                <c:pt idx="2258" formatCode="0">
                  <c:v>9795.7492382522214</c:v>
                </c:pt>
                <c:pt idx="2259" formatCode="0">
                  <c:v>8769.7214041990792</c:v>
                </c:pt>
                <c:pt idx="2260" formatCode="0">
                  <c:v>7886.5036798899746</c:v>
                </c:pt>
                <c:pt idx="2261" formatCode="0">
                  <c:v>7357.9262618553557</c:v>
                </c:pt>
                <c:pt idx="2262" formatCode="0">
                  <c:v>8719.6813574121588</c:v>
                </c:pt>
                <c:pt idx="2263" formatCode="0">
                  <c:v>10385.052218088071</c:v>
                </c:pt>
                <c:pt idx="2264" formatCode="0">
                  <c:v>7880.3423524561786</c:v>
                </c:pt>
                <c:pt idx="2265" formatCode="0">
                  <c:v>7933.3026197578765</c:v>
                </c:pt>
                <c:pt idx="2266" formatCode="0">
                  <c:v>8080.4333680958734</c:v>
                </c:pt>
                <c:pt idx="2267" formatCode="0">
                  <c:v>7854.9280138992526</c:v>
                </c:pt>
                <c:pt idx="2268" formatCode="0">
                  <c:v>6175.0593400737744</c:v>
                </c:pt>
                <c:pt idx="2269" formatCode="0">
                  <c:v>6008.6269571948615</c:v>
                </c:pt>
                <c:pt idx="2270" formatCode="0">
                  <c:v>9795.0697936198594</c:v>
                </c:pt>
                <c:pt idx="2271" formatCode="0">
                  <c:v>8769.041959566719</c:v>
                </c:pt>
                <c:pt idx="2272" formatCode="0">
                  <c:v>7885.8242352576144</c:v>
                </c:pt>
                <c:pt idx="2273" formatCode="0">
                  <c:v>7357.2468172229956</c:v>
                </c:pt>
                <c:pt idx="2274" formatCode="0">
                  <c:v>8719.0019127797987</c:v>
                </c:pt>
                <c:pt idx="2275" formatCode="0">
                  <c:v>10384.372773455711</c:v>
                </c:pt>
                <c:pt idx="2276" formatCode="0">
                  <c:v>7879.6629078238175</c:v>
                </c:pt>
                <c:pt idx="2277" formatCode="0">
                  <c:v>7932.6231751255164</c:v>
                </c:pt>
                <c:pt idx="2278" formatCode="0">
                  <c:v>8079.7539234635133</c:v>
                </c:pt>
                <c:pt idx="2279" formatCode="0">
                  <c:v>7854.2485692668924</c:v>
                </c:pt>
                <c:pt idx="2280" formatCode="0">
                  <c:v>6174.3798954414142</c:v>
                </c:pt>
                <c:pt idx="2281" formatCode="0">
                  <c:v>6007.9475125625004</c:v>
                </c:pt>
                <c:pt idx="2282" formatCode="0">
                  <c:v>9794.3903489875011</c:v>
                </c:pt>
                <c:pt idx="2283" formatCode="0">
                  <c:v>8768.362514934357</c:v>
                </c:pt>
                <c:pt idx="2284" formatCode="0">
                  <c:v>7885.1447906252542</c:v>
                </c:pt>
                <c:pt idx="2285" formatCode="0">
                  <c:v>7356.5673725906354</c:v>
                </c:pt>
                <c:pt idx="2286" formatCode="0">
                  <c:v>8718.3224681474385</c:v>
                </c:pt>
                <c:pt idx="2287" formatCode="0">
                  <c:v>10383.693328823349</c:v>
                </c:pt>
                <c:pt idx="2288" formatCode="0">
                  <c:v>7878.9834631914573</c:v>
                </c:pt>
                <c:pt idx="2289" formatCode="0">
                  <c:v>7931.9437304931562</c:v>
                </c:pt>
                <c:pt idx="2290" formatCode="0">
                  <c:v>8079.0744788311531</c:v>
                </c:pt>
                <c:pt idx="2291" formatCode="0">
                  <c:v>7853.5691246345314</c:v>
                </c:pt>
                <c:pt idx="2292" formatCode="0">
                  <c:v>6173.7004508090531</c:v>
                </c:pt>
                <c:pt idx="2293" formatCode="0">
                  <c:v>6007.2680679301402</c:v>
                </c:pt>
                <c:pt idx="2294" formatCode="0">
                  <c:v>9793.7109043551391</c:v>
                </c:pt>
                <c:pt idx="2295" formatCode="0">
                  <c:v>8767.6830703019987</c:v>
                </c:pt>
                <c:pt idx="2296" formatCode="0">
                  <c:v>7884.4653459928932</c:v>
                </c:pt>
                <c:pt idx="2297" formatCode="0">
                  <c:v>7355.8879279582743</c:v>
                </c:pt>
                <c:pt idx="2298" formatCode="0">
                  <c:v>8717.6430235150783</c:v>
                </c:pt>
                <c:pt idx="2299" formatCode="0">
                  <c:v>10383.01388419099</c:v>
                </c:pt>
                <c:pt idx="2300" formatCode="0">
                  <c:v>7878.3040185590971</c:v>
                </c:pt>
                <c:pt idx="2301" formatCode="0">
                  <c:v>7931.264285860796</c:v>
                </c:pt>
                <c:pt idx="2302" formatCode="0">
                  <c:v>8078.395034198792</c:v>
                </c:pt>
                <c:pt idx="2303" formatCode="0">
                  <c:v>7852.8896800021712</c:v>
                </c:pt>
                <c:pt idx="2304" formatCode="0">
                  <c:v>6173.0210061766929</c:v>
                </c:pt>
                <c:pt idx="2305" formatCode="0">
                  <c:v>6006.58862329778</c:v>
                </c:pt>
                <c:pt idx="2306" formatCode="0">
                  <c:v>9793.0314597227807</c:v>
                </c:pt>
                <c:pt idx="2307" formatCode="0">
                  <c:v>8767.0036256696367</c:v>
                </c:pt>
                <c:pt idx="2308" formatCode="0">
                  <c:v>7883.785901360533</c:v>
                </c:pt>
                <c:pt idx="2309" formatCode="0">
                  <c:v>7355.2084833259141</c:v>
                </c:pt>
                <c:pt idx="2310" formatCode="0">
                  <c:v>8716.9635788827181</c:v>
                </c:pt>
                <c:pt idx="2311" formatCode="0">
                  <c:v>10382.334439558628</c:v>
                </c:pt>
                <c:pt idx="2312" formatCode="0">
                  <c:v>7877.624573926736</c:v>
                </c:pt>
                <c:pt idx="2313" formatCode="0">
                  <c:v>7930.5848412284349</c:v>
                </c:pt>
                <c:pt idx="2314" formatCode="0">
                  <c:v>8077.7155895664318</c:v>
                </c:pt>
                <c:pt idx="2315" formatCode="0">
                  <c:v>7852.210235369811</c:v>
                </c:pt>
                <c:pt idx="2316" formatCode="0">
                  <c:v>6172.3415615443328</c:v>
                </c:pt>
                <c:pt idx="2317" formatCode="0">
                  <c:v>6005.9091786654189</c:v>
                </c:pt>
                <c:pt idx="2318" formatCode="0">
                  <c:v>9792.3520150904187</c:v>
                </c:pt>
                <c:pt idx="2319" formatCode="0">
                  <c:v>8766.3241810372765</c:v>
                </c:pt>
                <c:pt idx="2320" formatCode="0">
                  <c:v>7883.1064567281728</c:v>
                </c:pt>
                <c:pt idx="2321" formatCode="0">
                  <c:v>7354.529038693554</c:v>
                </c:pt>
                <c:pt idx="2322" formatCode="0">
                  <c:v>8716.284134250358</c:v>
                </c:pt>
                <c:pt idx="2323" formatCode="0">
                  <c:v>10381.654994926268</c:v>
                </c:pt>
                <c:pt idx="2324" formatCode="0">
                  <c:v>7876.9451292943759</c:v>
                </c:pt>
                <c:pt idx="2325" formatCode="0">
                  <c:v>7929.9053965960748</c:v>
                </c:pt>
                <c:pt idx="2326" formatCode="0">
                  <c:v>8077.0361449340717</c:v>
                </c:pt>
                <c:pt idx="2327" formatCode="0">
                  <c:v>7851.5307907374508</c:v>
                </c:pt>
                <c:pt idx="2328" formatCode="0">
                  <c:v>6171.6621169119717</c:v>
                </c:pt>
                <c:pt idx="2329" formatCode="0">
                  <c:v>6005.2297340330588</c:v>
                </c:pt>
                <c:pt idx="2330" formatCode="0">
                  <c:v>9791.6725704580585</c:v>
                </c:pt>
                <c:pt idx="2331" formatCode="0">
                  <c:v>8765.6447364049163</c:v>
                </c:pt>
                <c:pt idx="2332" formatCode="0">
                  <c:v>7882.4270120958126</c:v>
                </c:pt>
                <c:pt idx="2333" formatCode="0">
                  <c:v>7353.8495940611929</c:v>
                </c:pt>
                <c:pt idx="2334" formatCode="0">
                  <c:v>8715.604689617996</c:v>
                </c:pt>
                <c:pt idx="2335" formatCode="0">
                  <c:v>10380.975550293908</c:v>
                </c:pt>
                <c:pt idx="2336" formatCode="0">
                  <c:v>7876.2656846620157</c:v>
                </c:pt>
                <c:pt idx="2337" formatCode="0">
                  <c:v>7929.2259519637146</c:v>
                </c:pt>
                <c:pt idx="2338" formatCode="0">
                  <c:v>8076.3567003017106</c:v>
                </c:pt>
                <c:pt idx="2339" formatCode="0">
                  <c:v>7850.8513461050898</c:v>
                </c:pt>
                <c:pt idx="2340" formatCode="0">
                  <c:v>6170.9826722796115</c:v>
                </c:pt>
                <c:pt idx="2341" formatCode="0">
                  <c:v>6004.5502894006986</c:v>
                </c:pt>
                <c:pt idx="2342" formatCode="0">
                  <c:v>9790.9931258256984</c:v>
                </c:pt>
                <c:pt idx="2343" formatCode="0">
                  <c:v>8764.9652917725562</c:v>
                </c:pt>
                <c:pt idx="2344" formatCode="0">
                  <c:v>7881.7475674634516</c:v>
                </c:pt>
                <c:pt idx="2345" formatCode="0">
                  <c:v>7353.1701494288327</c:v>
                </c:pt>
                <c:pt idx="2346" formatCode="0">
                  <c:v>8714.9252449856358</c:v>
                </c:pt>
                <c:pt idx="2347" formatCode="0">
                  <c:v>10380.296105661548</c:v>
                </c:pt>
                <c:pt idx="2348" formatCode="0">
                  <c:v>7875.5862400296555</c:v>
                </c:pt>
                <c:pt idx="2349" formatCode="0">
                  <c:v>7928.5465073313535</c:v>
                </c:pt>
                <c:pt idx="2350" formatCode="0">
                  <c:v>8075.6772556693504</c:v>
                </c:pt>
                <c:pt idx="2351" formatCode="0">
                  <c:v>7850.1719014727296</c:v>
                </c:pt>
                <c:pt idx="2352" formatCode="0">
                  <c:v>6170.3032276472513</c:v>
                </c:pt>
                <c:pt idx="2353" formatCode="0">
                  <c:v>6003.8708447683384</c:v>
                </c:pt>
                <c:pt idx="2354" formatCode="0">
                  <c:v>9790.3136811933364</c:v>
                </c:pt>
                <c:pt idx="2355" formatCode="0">
                  <c:v>8764.285847140196</c:v>
                </c:pt>
                <c:pt idx="2356" formatCode="0">
                  <c:v>7881.0681228310914</c:v>
                </c:pt>
                <c:pt idx="2357" formatCode="0">
                  <c:v>7352.4907047964725</c:v>
                </c:pt>
                <c:pt idx="2358" formatCode="0">
                  <c:v>8714.2458003532756</c:v>
                </c:pt>
                <c:pt idx="2359" formatCode="0">
                  <c:v>10379.616661029188</c:v>
                </c:pt>
                <c:pt idx="2360" formatCode="0">
                  <c:v>7874.9067953972944</c:v>
                </c:pt>
                <c:pt idx="2361" formatCode="0">
                  <c:v>7927.8670626989933</c:v>
                </c:pt>
                <c:pt idx="2362" formatCode="0">
                  <c:v>8074.9978110369902</c:v>
                </c:pt>
                <c:pt idx="2363" formatCode="0">
                  <c:v>7849.4924568403694</c:v>
                </c:pt>
                <c:pt idx="2364" formatCode="0">
                  <c:v>6169.6237830148912</c:v>
                </c:pt>
                <c:pt idx="2365" formatCode="0">
                  <c:v>6003.1914001359773</c:v>
                </c:pt>
              </c:numCache>
            </c:numRef>
          </c:val>
          <c:smooth val="0"/>
          <c:extLst>
            <c:ext xmlns:c16="http://schemas.microsoft.com/office/drawing/2014/chart" uri="{C3380CC4-5D6E-409C-BE32-E72D297353CC}">
              <c16:uniqueId val="{00000001-C968-4BB3-B137-74F6DE229CE4}"/>
            </c:ext>
          </c:extLst>
        </c:ser>
        <c:ser>
          <c:idx val="2"/>
          <c:order val="2"/>
          <c:tx>
            <c:strRef>
              <c:f>AI_Forecast!$D$1</c:f>
              <c:strCache>
                <c:ptCount val="1"/>
                <c:pt idx="0">
                  <c:v>Lower Confidence Bound(Forecast_Sales)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AI_Forecast!$A$2:$A$2367</c:f>
              <c:numCache>
                <c:formatCode>m/d/yyyy</c:formatCode>
                <c:ptCount val="2366"/>
                <c:pt idx="0">
                  <c:v>43842</c:v>
                </c:pt>
                <c:pt idx="1">
                  <c:v>43843</c:v>
                </c:pt>
                <c:pt idx="2">
                  <c:v>43844</c:v>
                </c:pt>
                <c:pt idx="3">
                  <c:v>43845</c:v>
                </c:pt>
                <c:pt idx="4">
                  <c:v>43846</c:v>
                </c:pt>
                <c:pt idx="5">
                  <c:v>43847</c:v>
                </c:pt>
                <c:pt idx="6">
                  <c:v>43848</c:v>
                </c:pt>
                <c:pt idx="7">
                  <c:v>43849</c:v>
                </c:pt>
                <c:pt idx="8">
                  <c:v>43850</c:v>
                </c:pt>
                <c:pt idx="9">
                  <c:v>43851</c:v>
                </c:pt>
                <c:pt idx="10">
                  <c:v>43852</c:v>
                </c:pt>
                <c:pt idx="11">
                  <c:v>43853</c:v>
                </c:pt>
                <c:pt idx="12">
                  <c:v>43854</c:v>
                </c:pt>
                <c:pt idx="13">
                  <c:v>43855</c:v>
                </c:pt>
                <c:pt idx="14">
                  <c:v>43856</c:v>
                </c:pt>
                <c:pt idx="15">
                  <c:v>43857</c:v>
                </c:pt>
                <c:pt idx="16">
                  <c:v>43858</c:v>
                </c:pt>
                <c:pt idx="17">
                  <c:v>43859</c:v>
                </c:pt>
                <c:pt idx="18">
                  <c:v>43860</c:v>
                </c:pt>
                <c:pt idx="19">
                  <c:v>43861</c:v>
                </c:pt>
                <c:pt idx="20">
                  <c:v>43862</c:v>
                </c:pt>
                <c:pt idx="21">
                  <c:v>43863</c:v>
                </c:pt>
                <c:pt idx="22">
                  <c:v>43864</c:v>
                </c:pt>
                <c:pt idx="23">
                  <c:v>43865</c:v>
                </c:pt>
                <c:pt idx="24">
                  <c:v>43866</c:v>
                </c:pt>
                <c:pt idx="25">
                  <c:v>43867</c:v>
                </c:pt>
                <c:pt idx="26">
                  <c:v>43868</c:v>
                </c:pt>
                <c:pt idx="27">
                  <c:v>43869</c:v>
                </c:pt>
                <c:pt idx="28">
                  <c:v>43870</c:v>
                </c:pt>
                <c:pt idx="29">
                  <c:v>43871</c:v>
                </c:pt>
                <c:pt idx="30">
                  <c:v>43872</c:v>
                </c:pt>
                <c:pt idx="31">
                  <c:v>43873</c:v>
                </c:pt>
                <c:pt idx="32">
                  <c:v>43874</c:v>
                </c:pt>
                <c:pt idx="33">
                  <c:v>43875</c:v>
                </c:pt>
                <c:pt idx="34">
                  <c:v>43876</c:v>
                </c:pt>
                <c:pt idx="35">
                  <c:v>43877</c:v>
                </c:pt>
                <c:pt idx="36">
                  <c:v>43878</c:v>
                </c:pt>
                <c:pt idx="37">
                  <c:v>43879</c:v>
                </c:pt>
                <c:pt idx="38">
                  <c:v>43880</c:v>
                </c:pt>
                <c:pt idx="39">
                  <c:v>43881</c:v>
                </c:pt>
                <c:pt idx="40">
                  <c:v>43882</c:v>
                </c:pt>
                <c:pt idx="41">
                  <c:v>43883</c:v>
                </c:pt>
                <c:pt idx="42">
                  <c:v>43884</c:v>
                </c:pt>
                <c:pt idx="43">
                  <c:v>43885</c:v>
                </c:pt>
                <c:pt idx="44">
                  <c:v>43886</c:v>
                </c:pt>
                <c:pt idx="45">
                  <c:v>43887</c:v>
                </c:pt>
                <c:pt idx="46">
                  <c:v>43888</c:v>
                </c:pt>
                <c:pt idx="47">
                  <c:v>43889</c:v>
                </c:pt>
                <c:pt idx="48">
                  <c:v>43890</c:v>
                </c:pt>
                <c:pt idx="49">
                  <c:v>43891</c:v>
                </c:pt>
                <c:pt idx="50">
                  <c:v>43892</c:v>
                </c:pt>
                <c:pt idx="51">
                  <c:v>43893</c:v>
                </c:pt>
                <c:pt idx="52">
                  <c:v>43894</c:v>
                </c:pt>
                <c:pt idx="53">
                  <c:v>43895</c:v>
                </c:pt>
                <c:pt idx="54">
                  <c:v>43896</c:v>
                </c:pt>
                <c:pt idx="55">
                  <c:v>43897</c:v>
                </c:pt>
                <c:pt idx="56">
                  <c:v>43898</c:v>
                </c:pt>
                <c:pt idx="57">
                  <c:v>43899</c:v>
                </c:pt>
                <c:pt idx="58">
                  <c:v>43900</c:v>
                </c:pt>
                <c:pt idx="59">
                  <c:v>43901</c:v>
                </c:pt>
                <c:pt idx="60">
                  <c:v>43902</c:v>
                </c:pt>
                <c:pt idx="61">
                  <c:v>43903</c:v>
                </c:pt>
                <c:pt idx="62">
                  <c:v>43904</c:v>
                </c:pt>
                <c:pt idx="63">
                  <c:v>43905</c:v>
                </c:pt>
                <c:pt idx="64">
                  <c:v>43906</c:v>
                </c:pt>
                <c:pt idx="65">
                  <c:v>43907</c:v>
                </c:pt>
                <c:pt idx="66">
                  <c:v>43908</c:v>
                </c:pt>
                <c:pt idx="67">
                  <c:v>43909</c:v>
                </c:pt>
                <c:pt idx="68">
                  <c:v>43910</c:v>
                </c:pt>
                <c:pt idx="69">
                  <c:v>43911</c:v>
                </c:pt>
                <c:pt idx="70">
                  <c:v>43912</c:v>
                </c:pt>
                <c:pt idx="71">
                  <c:v>43913</c:v>
                </c:pt>
                <c:pt idx="72">
                  <c:v>43914</c:v>
                </c:pt>
                <c:pt idx="73">
                  <c:v>43915</c:v>
                </c:pt>
                <c:pt idx="74">
                  <c:v>43916</c:v>
                </c:pt>
                <c:pt idx="75">
                  <c:v>43917</c:v>
                </c:pt>
                <c:pt idx="76">
                  <c:v>43918</c:v>
                </c:pt>
                <c:pt idx="77">
                  <c:v>43919</c:v>
                </c:pt>
                <c:pt idx="78">
                  <c:v>43920</c:v>
                </c:pt>
                <c:pt idx="79">
                  <c:v>43921</c:v>
                </c:pt>
                <c:pt idx="80">
                  <c:v>43922</c:v>
                </c:pt>
                <c:pt idx="81">
                  <c:v>43923</c:v>
                </c:pt>
                <c:pt idx="82">
                  <c:v>43924</c:v>
                </c:pt>
                <c:pt idx="83">
                  <c:v>43925</c:v>
                </c:pt>
                <c:pt idx="84">
                  <c:v>43926</c:v>
                </c:pt>
                <c:pt idx="85">
                  <c:v>43927</c:v>
                </c:pt>
                <c:pt idx="86">
                  <c:v>43928</c:v>
                </c:pt>
                <c:pt idx="87">
                  <c:v>43929</c:v>
                </c:pt>
                <c:pt idx="88">
                  <c:v>43930</c:v>
                </c:pt>
                <c:pt idx="89">
                  <c:v>43931</c:v>
                </c:pt>
                <c:pt idx="90">
                  <c:v>43932</c:v>
                </c:pt>
                <c:pt idx="91">
                  <c:v>43933</c:v>
                </c:pt>
                <c:pt idx="92">
                  <c:v>43934</c:v>
                </c:pt>
                <c:pt idx="93">
                  <c:v>43935</c:v>
                </c:pt>
                <c:pt idx="94">
                  <c:v>43936</c:v>
                </c:pt>
                <c:pt idx="95">
                  <c:v>43937</c:v>
                </c:pt>
                <c:pt idx="96">
                  <c:v>43938</c:v>
                </c:pt>
                <c:pt idx="97">
                  <c:v>43939</c:v>
                </c:pt>
                <c:pt idx="98">
                  <c:v>43940</c:v>
                </c:pt>
                <c:pt idx="99">
                  <c:v>43941</c:v>
                </c:pt>
                <c:pt idx="100">
                  <c:v>43942</c:v>
                </c:pt>
                <c:pt idx="101">
                  <c:v>43943</c:v>
                </c:pt>
                <c:pt idx="102">
                  <c:v>43944</c:v>
                </c:pt>
                <c:pt idx="103">
                  <c:v>43945</c:v>
                </c:pt>
                <c:pt idx="104">
                  <c:v>43946</c:v>
                </c:pt>
                <c:pt idx="105">
                  <c:v>43947</c:v>
                </c:pt>
                <c:pt idx="106">
                  <c:v>43948</c:v>
                </c:pt>
                <c:pt idx="107">
                  <c:v>43949</c:v>
                </c:pt>
                <c:pt idx="108">
                  <c:v>43950</c:v>
                </c:pt>
                <c:pt idx="109">
                  <c:v>43951</c:v>
                </c:pt>
                <c:pt idx="110">
                  <c:v>43952</c:v>
                </c:pt>
                <c:pt idx="111">
                  <c:v>43953</c:v>
                </c:pt>
                <c:pt idx="112">
                  <c:v>43954</c:v>
                </c:pt>
                <c:pt idx="113">
                  <c:v>43955</c:v>
                </c:pt>
                <c:pt idx="114">
                  <c:v>43956</c:v>
                </c:pt>
                <c:pt idx="115">
                  <c:v>43957</c:v>
                </c:pt>
                <c:pt idx="116">
                  <c:v>43958</c:v>
                </c:pt>
                <c:pt idx="117">
                  <c:v>43959</c:v>
                </c:pt>
                <c:pt idx="118">
                  <c:v>43960</c:v>
                </c:pt>
                <c:pt idx="119">
                  <c:v>43961</c:v>
                </c:pt>
                <c:pt idx="120">
                  <c:v>43962</c:v>
                </c:pt>
                <c:pt idx="121">
                  <c:v>43963</c:v>
                </c:pt>
                <c:pt idx="122">
                  <c:v>43964</c:v>
                </c:pt>
                <c:pt idx="123">
                  <c:v>43965</c:v>
                </c:pt>
                <c:pt idx="124">
                  <c:v>43966</c:v>
                </c:pt>
                <c:pt idx="125">
                  <c:v>43967</c:v>
                </c:pt>
                <c:pt idx="126">
                  <c:v>43968</c:v>
                </c:pt>
                <c:pt idx="127">
                  <c:v>43969</c:v>
                </c:pt>
                <c:pt idx="128">
                  <c:v>43970</c:v>
                </c:pt>
                <c:pt idx="129">
                  <c:v>43971</c:v>
                </c:pt>
                <c:pt idx="130">
                  <c:v>43972</c:v>
                </c:pt>
                <c:pt idx="131">
                  <c:v>43973</c:v>
                </c:pt>
                <c:pt idx="132">
                  <c:v>43974</c:v>
                </c:pt>
                <c:pt idx="133">
                  <c:v>43975</c:v>
                </c:pt>
                <c:pt idx="134">
                  <c:v>43976</c:v>
                </c:pt>
                <c:pt idx="135">
                  <c:v>43977</c:v>
                </c:pt>
                <c:pt idx="136">
                  <c:v>43978</c:v>
                </c:pt>
                <c:pt idx="137">
                  <c:v>43979</c:v>
                </c:pt>
                <c:pt idx="138">
                  <c:v>43980</c:v>
                </c:pt>
                <c:pt idx="139">
                  <c:v>43981</c:v>
                </c:pt>
                <c:pt idx="140">
                  <c:v>43982</c:v>
                </c:pt>
                <c:pt idx="141">
                  <c:v>43983</c:v>
                </c:pt>
                <c:pt idx="142">
                  <c:v>43984</c:v>
                </c:pt>
                <c:pt idx="143">
                  <c:v>43985</c:v>
                </c:pt>
                <c:pt idx="144">
                  <c:v>43986</c:v>
                </c:pt>
                <c:pt idx="145">
                  <c:v>43987</c:v>
                </c:pt>
                <c:pt idx="146">
                  <c:v>43988</c:v>
                </c:pt>
                <c:pt idx="147">
                  <c:v>43989</c:v>
                </c:pt>
                <c:pt idx="148">
                  <c:v>43990</c:v>
                </c:pt>
                <c:pt idx="149">
                  <c:v>43991</c:v>
                </c:pt>
                <c:pt idx="150">
                  <c:v>43992</c:v>
                </c:pt>
                <c:pt idx="151">
                  <c:v>43993</c:v>
                </c:pt>
                <c:pt idx="152">
                  <c:v>43994</c:v>
                </c:pt>
                <c:pt idx="153">
                  <c:v>43995</c:v>
                </c:pt>
                <c:pt idx="154">
                  <c:v>43996</c:v>
                </c:pt>
                <c:pt idx="155">
                  <c:v>43997</c:v>
                </c:pt>
                <c:pt idx="156">
                  <c:v>43998</c:v>
                </c:pt>
                <c:pt idx="157">
                  <c:v>43999</c:v>
                </c:pt>
                <c:pt idx="158">
                  <c:v>44000</c:v>
                </c:pt>
                <c:pt idx="159">
                  <c:v>44001</c:v>
                </c:pt>
                <c:pt idx="160">
                  <c:v>44002</c:v>
                </c:pt>
                <c:pt idx="161">
                  <c:v>44003</c:v>
                </c:pt>
                <c:pt idx="162">
                  <c:v>44004</c:v>
                </c:pt>
                <c:pt idx="163">
                  <c:v>44005</c:v>
                </c:pt>
                <c:pt idx="164">
                  <c:v>44006</c:v>
                </c:pt>
                <c:pt idx="165">
                  <c:v>44007</c:v>
                </c:pt>
                <c:pt idx="166">
                  <c:v>44008</c:v>
                </c:pt>
                <c:pt idx="167">
                  <c:v>44009</c:v>
                </c:pt>
                <c:pt idx="168">
                  <c:v>44010</c:v>
                </c:pt>
                <c:pt idx="169">
                  <c:v>44011</c:v>
                </c:pt>
                <c:pt idx="170">
                  <c:v>44012</c:v>
                </c:pt>
                <c:pt idx="171">
                  <c:v>44013</c:v>
                </c:pt>
                <c:pt idx="172">
                  <c:v>44014</c:v>
                </c:pt>
                <c:pt idx="173">
                  <c:v>44015</c:v>
                </c:pt>
                <c:pt idx="174">
                  <c:v>44016</c:v>
                </c:pt>
                <c:pt idx="175">
                  <c:v>44017</c:v>
                </c:pt>
                <c:pt idx="176">
                  <c:v>44018</c:v>
                </c:pt>
                <c:pt idx="177">
                  <c:v>44019</c:v>
                </c:pt>
                <c:pt idx="178">
                  <c:v>44020</c:v>
                </c:pt>
                <c:pt idx="179">
                  <c:v>44021</c:v>
                </c:pt>
                <c:pt idx="180">
                  <c:v>44022</c:v>
                </c:pt>
                <c:pt idx="181">
                  <c:v>44023</c:v>
                </c:pt>
                <c:pt idx="182">
                  <c:v>44024</c:v>
                </c:pt>
                <c:pt idx="183">
                  <c:v>44025</c:v>
                </c:pt>
                <c:pt idx="184">
                  <c:v>44026</c:v>
                </c:pt>
                <c:pt idx="185">
                  <c:v>44027</c:v>
                </c:pt>
                <c:pt idx="186">
                  <c:v>44028</c:v>
                </c:pt>
                <c:pt idx="187">
                  <c:v>44029</c:v>
                </c:pt>
                <c:pt idx="188">
                  <c:v>44030</c:v>
                </c:pt>
                <c:pt idx="189">
                  <c:v>44031</c:v>
                </c:pt>
                <c:pt idx="190">
                  <c:v>44032</c:v>
                </c:pt>
                <c:pt idx="191">
                  <c:v>44033</c:v>
                </c:pt>
                <c:pt idx="192">
                  <c:v>44034</c:v>
                </c:pt>
                <c:pt idx="193">
                  <c:v>44035</c:v>
                </c:pt>
                <c:pt idx="194">
                  <c:v>44036</c:v>
                </c:pt>
                <c:pt idx="195">
                  <c:v>44037</c:v>
                </c:pt>
                <c:pt idx="196">
                  <c:v>44038</c:v>
                </c:pt>
                <c:pt idx="197">
                  <c:v>44039</c:v>
                </c:pt>
                <c:pt idx="198">
                  <c:v>44040</c:v>
                </c:pt>
                <c:pt idx="199">
                  <c:v>44041</c:v>
                </c:pt>
                <c:pt idx="200">
                  <c:v>44042</c:v>
                </c:pt>
                <c:pt idx="201">
                  <c:v>44043</c:v>
                </c:pt>
                <c:pt idx="202">
                  <c:v>44044</c:v>
                </c:pt>
                <c:pt idx="203">
                  <c:v>44045</c:v>
                </c:pt>
                <c:pt idx="204">
                  <c:v>44046</c:v>
                </c:pt>
                <c:pt idx="205">
                  <c:v>44047</c:v>
                </c:pt>
                <c:pt idx="206">
                  <c:v>44048</c:v>
                </c:pt>
                <c:pt idx="207">
                  <c:v>44049</c:v>
                </c:pt>
                <c:pt idx="208">
                  <c:v>44050</c:v>
                </c:pt>
                <c:pt idx="209">
                  <c:v>44051</c:v>
                </c:pt>
                <c:pt idx="210">
                  <c:v>44052</c:v>
                </c:pt>
                <c:pt idx="211">
                  <c:v>44053</c:v>
                </c:pt>
                <c:pt idx="212">
                  <c:v>44054</c:v>
                </c:pt>
                <c:pt idx="213">
                  <c:v>44055</c:v>
                </c:pt>
                <c:pt idx="214">
                  <c:v>44056</c:v>
                </c:pt>
                <c:pt idx="215">
                  <c:v>44057</c:v>
                </c:pt>
                <c:pt idx="216">
                  <c:v>44058</c:v>
                </c:pt>
                <c:pt idx="217">
                  <c:v>44059</c:v>
                </c:pt>
                <c:pt idx="218">
                  <c:v>44060</c:v>
                </c:pt>
                <c:pt idx="219">
                  <c:v>44061</c:v>
                </c:pt>
                <c:pt idx="220">
                  <c:v>44062</c:v>
                </c:pt>
                <c:pt idx="221">
                  <c:v>44063</c:v>
                </c:pt>
                <c:pt idx="222">
                  <c:v>44064</c:v>
                </c:pt>
                <c:pt idx="223">
                  <c:v>44065</c:v>
                </c:pt>
                <c:pt idx="224">
                  <c:v>44066</c:v>
                </c:pt>
                <c:pt idx="225">
                  <c:v>44067</c:v>
                </c:pt>
                <c:pt idx="226">
                  <c:v>44068</c:v>
                </c:pt>
                <c:pt idx="227">
                  <c:v>44069</c:v>
                </c:pt>
                <c:pt idx="228">
                  <c:v>44070</c:v>
                </c:pt>
                <c:pt idx="229">
                  <c:v>44071</c:v>
                </c:pt>
                <c:pt idx="230">
                  <c:v>44072</c:v>
                </c:pt>
                <c:pt idx="231">
                  <c:v>44073</c:v>
                </c:pt>
                <c:pt idx="232">
                  <c:v>44074</c:v>
                </c:pt>
                <c:pt idx="233">
                  <c:v>44075</c:v>
                </c:pt>
                <c:pt idx="234">
                  <c:v>44076</c:v>
                </c:pt>
                <c:pt idx="235">
                  <c:v>44077</c:v>
                </c:pt>
                <c:pt idx="236">
                  <c:v>44078</c:v>
                </c:pt>
                <c:pt idx="237">
                  <c:v>44079</c:v>
                </c:pt>
                <c:pt idx="238">
                  <c:v>44080</c:v>
                </c:pt>
                <c:pt idx="239">
                  <c:v>44081</c:v>
                </c:pt>
                <c:pt idx="240">
                  <c:v>44082</c:v>
                </c:pt>
                <c:pt idx="241">
                  <c:v>44083</c:v>
                </c:pt>
                <c:pt idx="242">
                  <c:v>44084</c:v>
                </c:pt>
                <c:pt idx="243">
                  <c:v>44085</c:v>
                </c:pt>
                <c:pt idx="244">
                  <c:v>44086</c:v>
                </c:pt>
                <c:pt idx="245">
                  <c:v>44087</c:v>
                </c:pt>
                <c:pt idx="246">
                  <c:v>44088</c:v>
                </c:pt>
                <c:pt idx="247">
                  <c:v>44089</c:v>
                </c:pt>
                <c:pt idx="248">
                  <c:v>44090</c:v>
                </c:pt>
                <c:pt idx="249">
                  <c:v>44091</c:v>
                </c:pt>
                <c:pt idx="250">
                  <c:v>44092</c:v>
                </c:pt>
                <c:pt idx="251">
                  <c:v>44093</c:v>
                </c:pt>
                <c:pt idx="252">
                  <c:v>44094</c:v>
                </c:pt>
                <c:pt idx="253">
                  <c:v>44095</c:v>
                </c:pt>
                <c:pt idx="254">
                  <c:v>44096</c:v>
                </c:pt>
                <c:pt idx="255">
                  <c:v>44097</c:v>
                </c:pt>
                <c:pt idx="256">
                  <c:v>44098</c:v>
                </c:pt>
                <c:pt idx="257">
                  <c:v>44099</c:v>
                </c:pt>
                <c:pt idx="258">
                  <c:v>44100</c:v>
                </c:pt>
                <c:pt idx="259">
                  <c:v>44101</c:v>
                </c:pt>
                <c:pt idx="260">
                  <c:v>44102</c:v>
                </c:pt>
                <c:pt idx="261">
                  <c:v>44103</c:v>
                </c:pt>
                <c:pt idx="262">
                  <c:v>44104</c:v>
                </c:pt>
                <c:pt idx="263">
                  <c:v>44105</c:v>
                </c:pt>
                <c:pt idx="264">
                  <c:v>44106</c:v>
                </c:pt>
                <c:pt idx="265">
                  <c:v>44107</c:v>
                </c:pt>
                <c:pt idx="266">
                  <c:v>44108</c:v>
                </c:pt>
                <c:pt idx="267">
                  <c:v>44109</c:v>
                </c:pt>
                <c:pt idx="268">
                  <c:v>44110</c:v>
                </c:pt>
                <c:pt idx="269">
                  <c:v>44111</c:v>
                </c:pt>
                <c:pt idx="270">
                  <c:v>44112</c:v>
                </c:pt>
                <c:pt idx="271">
                  <c:v>44113</c:v>
                </c:pt>
                <c:pt idx="272">
                  <c:v>44114</c:v>
                </c:pt>
                <c:pt idx="273">
                  <c:v>44115</c:v>
                </c:pt>
                <c:pt idx="274">
                  <c:v>44116</c:v>
                </c:pt>
                <c:pt idx="275">
                  <c:v>44117</c:v>
                </c:pt>
                <c:pt idx="276">
                  <c:v>44118</c:v>
                </c:pt>
                <c:pt idx="277">
                  <c:v>44119</c:v>
                </c:pt>
                <c:pt idx="278">
                  <c:v>44120</c:v>
                </c:pt>
                <c:pt idx="279">
                  <c:v>44121</c:v>
                </c:pt>
                <c:pt idx="280">
                  <c:v>44122</c:v>
                </c:pt>
                <c:pt idx="281">
                  <c:v>44123</c:v>
                </c:pt>
                <c:pt idx="282">
                  <c:v>44124</c:v>
                </c:pt>
                <c:pt idx="283">
                  <c:v>44125</c:v>
                </c:pt>
                <c:pt idx="284">
                  <c:v>44126</c:v>
                </c:pt>
                <c:pt idx="285">
                  <c:v>44127</c:v>
                </c:pt>
                <c:pt idx="286">
                  <c:v>44128</c:v>
                </c:pt>
                <c:pt idx="287">
                  <c:v>44129</c:v>
                </c:pt>
                <c:pt idx="288">
                  <c:v>44130</c:v>
                </c:pt>
                <c:pt idx="289">
                  <c:v>44131</c:v>
                </c:pt>
                <c:pt idx="290">
                  <c:v>44132</c:v>
                </c:pt>
                <c:pt idx="291">
                  <c:v>44133</c:v>
                </c:pt>
                <c:pt idx="292">
                  <c:v>44134</c:v>
                </c:pt>
                <c:pt idx="293">
                  <c:v>44135</c:v>
                </c:pt>
                <c:pt idx="294">
                  <c:v>44136</c:v>
                </c:pt>
                <c:pt idx="295">
                  <c:v>44137</c:v>
                </c:pt>
                <c:pt idx="296">
                  <c:v>44138</c:v>
                </c:pt>
                <c:pt idx="297">
                  <c:v>44139</c:v>
                </c:pt>
                <c:pt idx="298">
                  <c:v>44140</c:v>
                </c:pt>
                <c:pt idx="299">
                  <c:v>44141</c:v>
                </c:pt>
                <c:pt idx="300">
                  <c:v>44142</c:v>
                </c:pt>
                <c:pt idx="301">
                  <c:v>44143</c:v>
                </c:pt>
                <c:pt idx="302">
                  <c:v>44144</c:v>
                </c:pt>
                <c:pt idx="303">
                  <c:v>44145</c:v>
                </c:pt>
                <c:pt idx="304">
                  <c:v>44146</c:v>
                </c:pt>
                <c:pt idx="305">
                  <c:v>44147</c:v>
                </c:pt>
                <c:pt idx="306">
                  <c:v>44148</c:v>
                </c:pt>
                <c:pt idx="307">
                  <c:v>44149</c:v>
                </c:pt>
                <c:pt idx="308">
                  <c:v>44150</c:v>
                </c:pt>
                <c:pt idx="309">
                  <c:v>44151</c:v>
                </c:pt>
                <c:pt idx="310">
                  <c:v>44152</c:v>
                </c:pt>
                <c:pt idx="311">
                  <c:v>44153</c:v>
                </c:pt>
                <c:pt idx="312">
                  <c:v>44154</c:v>
                </c:pt>
                <c:pt idx="313">
                  <c:v>44155</c:v>
                </c:pt>
                <c:pt idx="314">
                  <c:v>44156</c:v>
                </c:pt>
                <c:pt idx="315">
                  <c:v>44157</c:v>
                </c:pt>
                <c:pt idx="316">
                  <c:v>44158</c:v>
                </c:pt>
                <c:pt idx="317">
                  <c:v>44159</c:v>
                </c:pt>
                <c:pt idx="318">
                  <c:v>44160</c:v>
                </c:pt>
                <c:pt idx="319">
                  <c:v>44161</c:v>
                </c:pt>
                <c:pt idx="320">
                  <c:v>44162</c:v>
                </c:pt>
                <c:pt idx="321">
                  <c:v>44163</c:v>
                </c:pt>
                <c:pt idx="322">
                  <c:v>44164</c:v>
                </c:pt>
                <c:pt idx="323">
                  <c:v>44165</c:v>
                </c:pt>
                <c:pt idx="324">
                  <c:v>44166</c:v>
                </c:pt>
                <c:pt idx="325">
                  <c:v>44167</c:v>
                </c:pt>
                <c:pt idx="326">
                  <c:v>44168</c:v>
                </c:pt>
                <c:pt idx="327">
                  <c:v>44169</c:v>
                </c:pt>
                <c:pt idx="328">
                  <c:v>44170</c:v>
                </c:pt>
                <c:pt idx="329">
                  <c:v>44171</c:v>
                </c:pt>
                <c:pt idx="330">
                  <c:v>44172</c:v>
                </c:pt>
                <c:pt idx="331">
                  <c:v>44173</c:v>
                </c:pt>
                <c:pt idx="332">
                  <c:v>44174</c:v>
                </c:pt>
                <c:pt idx="333">
                  <c:v>44175</c:v>
                </c:pt>
                <c:pt idx="334">
                  <c:v>44176</c:v>
                </c:pt>
                <c:pt idx="335">
                  <c:v>44177</c:v>
                </c:pt>
                <c:pt idx="336">
                  <c:v>44178</c:v>
                </c:pt>
                <c:pt idx="337">
                  <c:v>44179</c:v>
                </c:pt>
                <c:pt idx="338">
                  <c:v>44180</c:v>
                </c:pt>
                <c:pt idx="339">
                  <c:v>44181</c:v>
                </c:pt>
                <c:pt idx="340">
                  <c:v>44182</c:v>
                </c:pt>
                <c:pt idx="341">
                  <c:v>44183</c:v>
                </c:pt>
                <c:pt idx="342">
                  <c:v>44184</c:v>
                </c:pt>
                <c:pt idx="343">
                  <c:v>44185</c:v>
                </c:pt>
                <c:pt idx="344">
                  <c:v>44186</c:v>
                </c:pt>
                <c:pt idx="345">
                  <c:v>44187</c:v>
                </c:pt>
                <c:pt idx="346">
                  <c:v>44188</c:v>
                </c:pt>
                <c:pt idx="347">
                  <c:v>44189</c:v>
                </c:pt>
                <c:pt idx="348">
                  <c:v>44190</c:v>
                </c:pt>
                <c:pt idx="349">
                  <c:v>44191</c:v>
                </c:pt>
                <c:pt idx="350">
                  <c:v>44192</c:v>
                </c:pt>
                <c:pt idx="351">
                  <c:v>44193</c:v>
                </c:pt>
                <c:pt idx="352">
                  <c:v>44194</c:v>
                </c:pt>
                <c:pt idx="353">
                  <c:v>44195</c:v>
                </c:pt>
                <c:pt idx="354">
                  <c:v>44196</c:v>
                </c:pt>
                <c:pt idx="355">
                  <c:v>44197</c:v>
                </c:pt>
                <c:pt idx="356">
                  <c:v>44198</c:v>
                </c:pt>
                <c:pt idx="357">
                  <c:v>44199</c:v>
                </c:pt>
                <c:pt idx="358">
                  <c:v>44200</c:v>
                </c:pt>
                <c:pt idx="359">
                  <c:v>44201</c:v>
                </c:pt>
                <c:pt idx="360">
                  <c:v>44202</c:v>
                </c:pt>
                <c:pt idx="361">
                  <c:v>44203</c:v>
                </c:pt>
                <c:pt idx="362">
                  <c:v>44204</c:v>
                </c:pt>
                <c:pt idx="363">
                  <c:v>44205</c:v>
                </c:pt>
                <c:pt idx="364">
                  <c:v>44206</c:v>
                </c:pt>
                <c:pt idx="365">
                  <c:v>44207</c:v>
                </c:pt>
                <c:pt idx="366">
                  <c:v>44208</c:v>
                </c:pt>
                <c:pt idx="367">
                  <c:v>44209</c:v>
                </c:pt>
                <c:pt idx="368">
                  <c:v>44210</c:v>
                </c:pt>
                <c:pt idx="369">
                  <c:v>44211</c:v>
                </c:pt>
                <c:pt idx="370">
                  <c:v>44212</c:v>
                </c:pt>
                <c:pt idx="371">
                  <c:v>44213</c:v>
                </c:pt>
                <c:pt idx="372">
                  <c:v>44214</c:v>
                </c:pt>
                <c:pt idx="373">
                  <c:v>44215</c:v>
                </c:pt>
                <c:pt idx="374">
                  <c:v>44216</c:v>
                </c:pt>
                <c:pt idx="375">
                  <c:v>44217</c:v>
                </c:pt>
                <c:pt idx="376">
                  <c:v>44218</c:v>
                </c:pt>
                <c:pt idx="377">
                  <c:v>44219</c:v>
                </c:pt>
                <c:pt idx="378">
                  <c:v>44220</c:v>
                </c:pt>
                <c:pt idx="379">
                  <c:v>44221</c:v>
                </c:pt>
                <c:pt idx="380">
                  <c:v>44222</c:v>
                </c:pt>
                <c:pt idx="381">
                  <c:v>44223</c:v>
                </c:pt>
                <c:pt idx="382">
                  <c:v>44224</c:v>
                </c:pt>
                <c:pt idx="383">
                  <c:v>44225</c:v>
                </c:pt>
                <c:pt idx="384">
                  <c:v>44226</c:v>
                </c:pt>
                <c:pt idx="385">
                  <c:v>44227</c:v>
                </c:pt>
                <c:pt idx="386">
                  <c:v>44228</c:v>
                </c:pt>
                <c:pt idx="387">
                  <c:v>44229</c:v>
                </c:pt>
                <c:pt idx="388">
                  <c:v>44230</c:v>
                </c:pt>
                <c:pt idx="389">
                  <c:v>44231</c:v>
                </c:pt>
                <c:pt idx="390">
                  <c:v>44232</c:v>
                </c:pt>
                <c:pt idx="391">
                  <c:v>44233</c:v>
                </c:pt>
                <c:pt idx="392">
                  <c:v>44234</c:v>
                </c:pt>
                <c:pt idx="393">
                  <c:v>44235</c:v>
                </c:pt>
                <c:pt idx="394">
                  <c:v>44236</c:v>
                </c:pt>
                <c:pt idx="395">
                  <c:v>44237</c:v>
                </c:pt>
                <c:pt idx="396">
                  <c:v>44238</c:v>
                </c:pt>
                <c:pt idx="397">
                  <c:v>44239</c:v>
                </c:pt>
                <c:pt idx="398">
                  <c:v>44240</c:v>
                </c:pt>
                <c:pt idx="399">
                  <c:v>44241</c:v>
                </c:pt>
                <c:pt idx="400">
                  <c:v>44242</c:v>
                </c:pt>
                <c:pt idx="401">
                  <c:v>44243</c:v>
                </c:pt>
                <c:pt idx="402">
                  <c:v>44244</c:v>
                </c:pt>
                <c:pt idx="403">
                  <c:v>44245</c:v>
                </c:pt>
                <c:pt idx="404">
                  <c:v>44246</c:v>
                </c:pt>
                <c:pt idx="405">
                  <c:v>44247</c:v>
                </c:pt>
                <c:pt idx="406">
                  <c:v>44248</c:v>
                </c:pt>
                <c:pt idx="407">
                  <c:v>44249</c:v>
                </c:pt>
                <c:pt idx="408">
                  <c:v>44250</c:v>
                </c:pt>
                <c:pt idx="409">
                  <c:v>44251</c:v>
                </c:pt>
                <c:pt idx="410">
                  <c:v>44252</c:v>
                </c:pt>
                <c:pt idx="411">
                  <c:v>44253</c:v>
                </c:pt>
                <c:pt idx="412">
                  <c:v>44254</c:v>
                </c:pt>
                <c:pt idx="413">
                  <c:v>44255</c:v>
                </c:pt>
                <c:pt idx="414">
                  <c:v>44256</c:v>
                </c:pt>
                <c:pt idx="415">
                  <c:v>44257</c:v>
                </c:pt>
                <c:pt idx="416">
                  <c:v>44258</c:v>
                </c:pt>
                <c:pt idx="417">
                  <c:v>44259</c:v>
                </c:pt>
                <c:pt idx="418">
                  <c:v>44260</c:v>
                </c:pt>
                <c:pt idx="419">
                  <c:v>44261</c:v>
                </c:pt>
                <c:pt idx="420">
                  <c:v>44262</c:v>
                </c:pt>
                <c:pt idx="421">
                  <c:v>44263</c:v>
                </c:pt>
                <c:pt idx="422">
                  <c:v>44264</c:v>
                </c:pt>
                <c:pt idx="423">
                  <c:v>44265</c:v>
                </c:pt>
                <c:pt idx="424">
                  <c:v>44266</c:v>
                </c:pt>
                <c:pt idx="425">
                  <c:v>44267</c:v>
                </c:pt>
                <c:pt idx="426">
                  <c:v>44268</c:v>
                </c:pt>
                <c:pt idx="427">
                  <c:v>44269</c:v>
                </c:pt>
                <c:pt idx="428">
                  <c:v>44270</c:v>
                </c:pt>
                <c:pt idx="429">
                  <c:v>44271</c:v>
                </c:pt>
                <c:pt idx="430">
                  <c:v>44272</c:v>
                </c:pt>
                <c:pt idx="431">
                  <c:v>44273</c:v>
                </c:pt>
                <c:pt idx="432">
                  <c:v>44274</c:v>
                </c:pt>
                <c:pt idx="433">
                  <c:v>44275</c:v>
                </c:pt>
                <c:pt idx="434">
                  <c:v>44276</c:v>
                </c:pt>
                <c:pt idx="435">
                  <c:v>44277</c:v>
                </c:pt>
                <c:pt idx="436">
                  <c:v>44278</c:v>
                </c:pt>
                <c:pt idx="437">
                  <c:v>44279</c:v>
                </c:pt>
                <c:pt idx="438">
                  <c:v>44280</c:v>
                </c:pt>
                <c:pt idx="439">
                  <c:v>44281</c:v>
                </c:pt>
                <c:pt idx="440">
                  <c:v>44282</c:v>
                </c:pt>
                <c:pt idx="441">
                  <c:v>44283</c:v>
                </c:pt>
                <c:pt idx="442">
                  <c:v>44284</c:v>
                </c:pt>
                <c:pt idx="443">
                  <c:v>44285</c:v>
                </c:pt>
                <c:pt idx="444">
                  <c:v>44286</c:v>
                </c:pt>
                <c:pt idx="445">
                  <c:v>44287</c:v>
                </c:pt>
                <c:pt idx="446">
                  <c:v>44288</c:v>
                </c:pt>
                <c:pt idx="447">
                  <c:v>44289</c:v>
                </c:pt>
                <c:pt idx="448">
                  <c:v>44290</c:v>
                </c:pt>
                <c:pt idx="449">
                  <c:v>44291</c:v>
                </c:pt>
                <c:pt idx="450">
                  <c:v>44292</c:v>
                </c:pt>
                <c:pt idx="451">
                  <c:v>44293</c:v>
                </c:pt>
                <c:pt idx="452">
                  <c:v>44294</c:v>
                </c:pt>
                <c:pt idx="453">
                  <c:v>44295</c:v>
                </c:pt>
                <c:pt idx="454">
                  <c:v>44296</c:v>
                </c:pt>
                <c:pt idx="455">
                  <c:v>44297</c:v>
                </c:pt>
                <c:pt idx="456">
                  <c:v>44298</c:v>
                </c:pt>
                <c:pt idx="457">
                  <c:v>44299</c:v>
                </c:pt>
                <c:pt idx="458">
                  <c:v>44300</c:v>
                </c:pt>
                <c:pt idx="459">
                  <c:v>44301</c:v>
                </c:pt>
                <c:pt idx="460">
                  <c:v>44302</c:v>
                </c:pt>
                <c:pt idx="461">
                  <c:v>44303</c:v>
                </c:pt>
                <c:pt idx="462">
                  <c:v>44304</c:v>
                </c:pt>
                <c:pt idx="463">
                  <c:v>44305</c:v>
                </c:pt>
                <c:pt idx="464">
                  <c:v>44306</c:v>
                </c:pt>
                <c:pt idx="465">
                  <c:v>44307</c:v>
                </c:pt>
                <c:pt idx="466">
                  <c:v>44308</c:v>
                </c:pt>
                <c:pt idx="467">
                  <c:v>44309</c:v>
                </c:pt>
                <c:pt idx="468">
                  <c:v>44310</c:v>
                </c:pt>
                <c:pt idx="469">
                  <c:v>44311</c:v>
                </c:pt>
                <c:pt idx="470">
                  <c:v>44312</c:v>
                </c:pt>
                <c:pt idx="471">
                  <c:v>44313</c:v>
                </c:pt>
                <c:pt idx="472">
                  <c:v>44314</c:v>
                </c:pt>
                <c:pt idx="473">
                  <c:v>44315</c:v>
                </c:pt>
                <c:pt idx="474">
                  <c:v>44316</c:v>
                </c:pt>
                <c:pt idx="475">
                  <c:v>44317</c:v>
                </c:pt>
                <c:pt idx="476">
                  <c:v>44318</c:v>
                </c:pt>
                <c:pt idx="477">
                  <c:v>44319</c:v>
                </c:pt>
                <c:pt idx="478">
                  <c:v>44320</c:v>
                </c:pt>
                <c:pt idx="479">
                  <c:v>44321</c:v>
                </c:pt>
                <c:pt idx="480">
                  <c:v>44322</c:v>
                </c:pt>
                <c:pt idx="481">
                  <c:v>44323</c:v>
                </c:pt>
                <c:pt idx="482">
                  <c:v>44324</c:v>
                </c:pt>
                <c:pt idx="483">
                  <c:v>44325</c:v>
                </c:pt>
                <c:pt idx="484">
                  <c:v>44326</c:v>
                </c:pt>
                <c:pt idx="485">
                  <c:v>44327</c:v>
                </c:pt>
                <c:pt idx="486">
                  <c:v>44328</c:v>
                </c:pt>
                <c:pt idx="487">
                  <c:v>44329</c:v>
                </c:pt>
                <c:pt idx="488">
                  <c:v>44330</c:v>
                </c:pt>
                <c:pt idx="489">
                  <c:v>44331</c:v>
                </c:pt>
                <c:pt idx="490">
                  <c:v>44332</c:v>
                </c:pt>
                <c:pt idx="491">
                  <c:v>44333</c:v>
                </c:pt>
                <c:pt idx="492">
                  <c:v>44334</c:v>
                </c:pt>
                <c:pt idx="493">
                  <c:v>44335</c:v>
                </c:pt>
                <c:pt idx="494">
                  <c:v>44336</c:v>
                </c:pt>
                <c:pt idx="495">
                  <c:v>44337</c:v>
                </c:pt>
                <c:pt idx="496">
                  <c:v>44338</c:v>
                </c:pt>
                <c:pt idx="497">
                  <c:v>44339</c:v>
                </c:pt>
                <c:pt idx="498">
                  <c:v>44340</c:v>
                </c:pt>
                <c:pt idx="499">
                  <c:v>44341</c:v>
                </c:pt>
                <c:pt idx="500">
                  <c:v>44342</c:v>
                </c:pt>
                <c:pt idx="501">
                  <c:v>44343</c:v>
                </c:pt>
                <c:pt idx="502">
                  <c:v>44344</c:v>
                </c:pt>
                <c:pt idx="503">
                  <c:v>44345</c:v>
                </c:pt>
                <c:pt idx="504">
                  <c:v>44346</c:v>
                </c:pt>
                <c:pt idx="505">
                  <c:v>44347</c:v>
                </c:pt>
                <c:pt idx="506">
                  <c:v>44348</c:v>
                </c:pt>
                <c:pt idx="507">
                  <c:v>44349</c:v>
                </c:pt>
                <c:pt idx="508">
                  <c:v>44350</c:v>
                </c:pt>
                <c:pt idx="509">
                  <c:v>44351</c:v>
                </c:pt>
                <c:pt idx="510">
                  <c:v>44352</c:v>
                </c:pt>
                <c:pt idx="511">
                  <c:v>44353</c:v>
                </c:pt>
                <c:pt idx="512">
                  <c:v>44354</c:v>
                </c:pt>
                <c:pt idx="513">
                  <c:v>44355</c:v>
                </c:pt>
                <c:pt idx="514">
                  <c:v>44356</c:v>
                </c:pt>
                <c:pt idx="515">
                  <c:v>44357</c:v>
                </c:pt>
                <c:pt idx="516">
                  <c:v>44358</c:v>
                </c:pt>
                <c:pt idx="517">
                  <c:v>44359</c:v>
                </c:pt>
                <c:pt idx="518">
                  <c:v>44360</c:v>
                </c:pt>
                <c:pt idx="519">
                  <c:v>44361</c:v>
                </c:pt>
                <c:pt idx="520">
                  <c:v>44362</c:v>
                </c:pt>
                <c:pt idx="521">
                  <c:v>44363</c:v>
                </c:pt>
                <c:pt idx="522">
                  <c:v>44364</c:v>
                </c:pt>
                <c:pt idx="523">
                  <c:v>44365</c:v>
                </c:pt>
                <c:pt idx="524">
                  <c:v>44366</c:v>
                </c:pt>
                <c:pt idx="525">
                  <c:v>44367</c:v>
                </c:pt>
                <c:pt idx="526">
                  <c:v>44368</c:v>
                </c:pt>
                <c:pt idx="527">
                  <c:v>44369</c:v>
                </c:pt>
                <c:pt idx="528">
                  <c:v>44370</c:v>
                </c:pt>
                <c:pt idx="529">
                  <c:v>44371</c:v>
                </c:pt>
                <c:pt idx="530">
                  <c:v>44372</c:v>
                </c:pt>
                <c:pt idx="531">
                  <c:v>44373</c:v>
                </c:pt>
                <c:pt idx="532">
                  <c:v>44374</c:v>
                </c:pt>
                <c:pt idx="533">
                  <c:v>44375</c:v>
                </c:pt>
                <c:pt idx="534">
                  <c:v>44376</c:v>
                </c:pt>
                <c:pt idx="535">
                  <c:v>44377</c:v>
                </c:pt>
                <c:pt idx="536">
                  <c:v>44378</c:v>
                </c:pt>
                <c:pt idx="537">
                  <c:v>44379</c:v>
                </c:pt>
                <c:pt idx="538">
                  <c:v>44380</c:v>
                </c:pt>
                <c:pt idx="539">
                  <c:v>44381</c:v>
                </c:pt>
                <c:pt idx="540">
                  <c:v>44382</c:v>
                </c:pt>
                <c:pt idx="541">
                  <c:v>44383</c:v>
                </c:pt>
                <c:pt idx="542">
                  <c:v>44384</c:v>
                </c:pt>
                <c:pt idx="543">
                  <c:v>44385</c:v>
                </c:pt>
                <c:pt idx="544">
                  <c:v>44386</c:v>
                </c:pt>
                <c:pt idx="545">
                  <c:v>44387</c:v>
                </c:pt>
                <c:pt idx="546">
                  <c:v>44388</c:v>
                </c:pt>
                <c:pt idx="547">
                  <c:v>44389</c:v>
                </c:pt>
                <c:pt idx="548">
                  <c:v>44390</c:v>
                </c:pt>
                <c:pt idx="549">
                  <c:v>44391</c:v>
                </c:pt>
                <c:pt idx="550">
                  <c:v>44392</c:v>
                </c:pt>
                <c:pt idx="551">
                  <c:v>44393</c:v>
                </c:pt>
                <c:pt idx="552">
                  <c:v>44394</c:v>
                </c:pt>
                <c:pt idx="553">
                  <c:v>44395</c:v>
                </c:pt>
                <c:pt idx="554">
                  <c:v>44396</c:v>
                </c:pt>
                <c:pt idx="555">
                  <c:v>44397</c:v>
                </c:pt>
                <c:pt idx="556">
                  <c:v>44398</c:v>
                </c:pt>
                <c:pt idx="557">
                  <c:v>44399</c:v>
                </c:pt>
                <c:pt idx="558">
                  <c:v>44400</c:v>
                </c:pt>
                <c:pt idx="559">
                  <c:v>44401</c:v>
                </c:pt>
                <c:pt idx="560">
                  <c:v>44402</c:v>
                </c:pt>
                <c:pt idx="561">
                  <c:v>44403</c:v>
                </c:pt>
                <c:pt idx="562">
                  <c:v>44404</c:v>
                </c:pt>
                <c:pt idx="563">
                  <c:v>44405</c:v>
                </c:pt>
                <c:pt idx="564">
                  <c:v>44406</c:v>
                </c:pt>
                <c:pt idx="565">
                  <c:v>44407</c:v>
                </c:pt>
                <c:pt idx="566">
                  <c:v>44408</c:v>
                </c:pt>
                <c:pt idx="567">
                  <c:v>44409</c:v>
                </c:pt>
                <c:pt idx="568">
                  <c:v>44410</c:v>
                </c:pt>
                <c:pt idx="569">
                  <c:v>44411</c:v>
                </c:pt>
                <c:pt idx="570">
                  <c:v>44412</c:v>
                </c:pt>
                <c:pt idx="571">
                  <c:v>44413</c:v>
                </c:pt>
                <c:pt idx="572">
                  <c:v>44414</c:v>
                </c:pt>
                <c:pt idx="573">
                  <c:v>44415</c:v>
                </c:pt>
                <c:pt idx="574">
                  <c:v>44416</c:v>
                </c:pt>
                <c:pt idx="575">
                  <c:v>44417</c:v>
                </c:pt>
                <c:pt idx="576">
                  <c:v>44418</c:v>
                </c:pt>
                <c:pt idx="577">
                  <c:v>44419</c:v>
                </c:pt>
                <c:pt idx="578">
                  <c:v>44420</c:v>
                </c:pt>
                <c:pt idx="579">
                  <c:v>44421</c:v>
                </c:pt>
                <c:pt idx="580">
                  <c:v>44422</c:v>
                </c:pt>
                <c:pt idx="581">
                  <c:v>44423</c:v>
                </c:pt>
                <c:pt idx="582">
                  <c:v>44424</c:v>
                </c:pt>
                <c:pt idx="583">
                  <c:v>44425</c:v>
                </c:pt>
                <c:pt idx="584">
                  <c:v>44426</c:v>
                </c:pt>
                <c:pt idx="585">
                  <c:v>44427</c:v>
                </c:pt>
                <c:pt idx="586">
                  <c:v>44428</c:v>
                </c:pt>
                <c:pt idx="587">
                  <c:v>44429</c:v>
                </c:pt>
                <c:pt idx="588">
                  <c:v>44430</c:v>
                </c:pt>
                <c:pt idx="589">
                  <c:v>44431</c:v>
                </c:pt>
                <c:pt idx="590">
                  <c:v>44432</c:v>
                </c:pt>
                <c:pt idx="591">
                  <c:v>44433</c:v>
                </c:pt>
                <c:pt idx="592">
                  <c:v>44434</c:v>
                </c:pt>
                <c:pt idx="593">
                  <c:v>44435</c:v>
                </c:pt>
                <c:pt idx="594">
                  <c:v>44436</c:v>
                </c:pt>
                <c:pt idx="595">
                  <c:v>44437</c:v>
                </c:pt>
                <c:pt idx="596">
                  <c:v>44438</c:v>
                </c:pt>
                <c:pt idx="597">
                  <c:v>44439</c:v>
                </c:pt>
                <c:pt idx="598">
                  <c:v>44440</c:v>
                </c:pt>
                <c:pt idx="599">
                  <c:v>44441</c:v>
                </c:pt>
                <c:pt idx="600">
                  <c:v>44442</c:v>
                </c:pt>
                <c:pt idx="601">
                  <c:v>44443</c:v>
                </c:pt>
                <c:pt idx="602">
                  <c:v>44444</c:v>
                </c:pt>
                <c:pt idx="603">
                  <c:v>44445</c:v>
                </c:pt>
                <c:pt idx="604">
                  <c:v>44446</c:v>
                </c:pt>
                <c:pt idx="605">
                  <c:v>44447</c:v>
                </c:pt>
                <c:pt idx="606">
                  <c:v>44448</c:v>
                </c:pt>
                <c:pt idx="607">
                  <c:v>44449</c:v>
                </c:pt>
                <c:pt idx="608">
                  <c:v>44450</c:v>
                </c:pt>
                <c:pt idx="609">
                  <c:v>44451</c:v>
                </c:pt>
                <c:pt idx="610">
                  <c:v>44452</c:v>
                </c:pt>
                <c:pt idx="611">
                  <c:v>44453</c:v>
                </c:pt>
                <c:pt idx="612">
                  <c:v>44454</c:v>
                </c:pt>
                <c:pt idx="613">
                  <c:v>44455</c:v>
                </c:pt>
                <c:pt idx="614">
                  <c:v>44456</c:v>
                </c:pt>
                <c:pt idx="615">
                  <c:v>44457</c:v>
                </c:pt>
                <c:pt idx="616">
                  <c:v>44458</c:v>
                </c:pt>
                <c:pt idx="617">
                  <c:v>44459</c:v>
                </c:pt>
                <c:pt idx="618">
                  <c:v>44460</c:v>
                </c:pt>
                <c:pt idx="619">
                  <c:v>44461</c:v>
                </c:pt>
                <c:pt idx="620">
                  <c:v>44462</c:v>
                </c:pt>
                <c:pt idx="621">
                  <c:v>44463</c:v>
                </c:pt>
                <c:pt idx="622">
                  <c:v>44464</c:v>
                </c:pt>
                <c:pt idx="623">
                  <c:v>44465</c:v>
                </c:pt>
                <c:pt idx="624">
                  <c:v>44466</c:v>
                </c:pt>
                <c:pt idx="625">
                  <c:v>44467</c:v>
                </c:pt>
                <c:pt idx="626">
                  <c:v>44468</c:v>
                </c:pt>
                <c:pt idx="627">
                  <c:v>44469</c:v>
                </c:pt>
                <c:pt idx="628">
                  <c:v>44470</c:v>
                </c:pt>
                <c:pt idx="629">
                  <c:v>44471</c:v>
                </c:pt>
                <c:pt idx="630">
                  <c:v>44472</c:v>
                </c:pt>
                <c:pt idx="631">
                  <c:v>44473</c:v>
                </c:pt>
                <c:pt idx="632">
                  <c:v>44474</c:v>
                </c:pt>
                <c:pt idx="633">
                  <c:v>44475</c:v>
                </c:pt>
                <c:pt idx="634">
                  <c:v>44476</c:v>
                </c:pt>
                <c:pt idx="635">
                  <c:v>44477</c:v>
                </c:pt>
                <c:pt idx="636">
                  <c:v>44478</c:v>
                </c:pt>
                <c:pt idx="637">
                  <c:v>44479</c:v>
                </c:pt>
                <c:pt idx="638">
                  <c:v>44480</c:v>
                </c:pt>
                <c:pt idx="639">
                  <c:v>44481</c:v>
                </c:pt>
                <c:pt idx="640">
                  <c:v>44482</c:v>
                </c:pt>
                <c:pt idx="641">
                  <c:v>44483</c:v>
                </c:pt>
                <c:pt idx="642">
                  <c:v>44484</c:v>
                </c:pt>
                <c:pt idx="643">
                  <c:v>44485</c:v>
                </c:pt>
                <c:pt idx="644">
                  <c:v>44486</c:v>
                </c:pt>
                <c:pt idx="645">
                  <c:v>44487</c:v>
                </c:pt>
                <c:pt idx="646">
                  <c:v>44488</c:v>
                </c:pt>
                <c:pt idx="647">
                  <c:v>44489</c:v>
                </c:pt>
                <c:pt idx="648">
                  <c:v>44490</c:v>
                </c:pt>
                <c:pt idx="649">
                  <c:v>44491</c:v>
                </c:pt>
                <c:pt idx="650">
                  <c:v>44492</c:v>
                </c:pt>
                <c:pt idx="651">
                  <c:v>44493</c:v>
                </c:pt>
                <c:pt idx="652">
                  <c:v>44494</c:v>
                </c:pt>
                <c:pt idx="653">
                  <c:v>44495</c:v>
                </c:pt>
                <c:pt idx="654">
                  <c:v>44496</c:v>
                </c:pt>
                <c:pt idx="655">
                  <c:v>44497</c:v>
                </c:pt>
                <c:pt idx="656">
                  <c:v>44498</c:v>
                </c:pt>
                <c:pt idx="657">
                  <c:v>44499</c:v>
                </c:pt>
                <c:pt idx="658">
                  <c:v>44500</c:v>
                </c:pt>
                <c:pt idx="659">
                  <c:v>44501</c:v>
                </c:pt>
                <c:pt idx="660">
                  <c:v>44502</c:v>
                </c:pt>
                <c:pt idx="661">
                  <c:v>44503</c:v>
                </c:pt>
                <c:pt idx="662">
                  <c:v>44504</c:v>
                </c:pt>
                <c:pt idx="663">
                  <c:v>44505</c:v>
                </c:pt>
                <c:pt idx="664">
                  <c:v>44506</c:v>
                </c:pt>
                <c:pt idx="665">
                  <c:v>44507</c:v>
                </c:pt>
                <c:pt idx="666">
                  <c:v>44508</c:v>
                </c:pt>
                <c:pt idx="667">
                  <c:v>44509</c:v>
                </c:pt>
                <c:pt idx="668">
                  <c:v>44510</c:v>
                </c:pt>
                <c:pt idx="669">
                  <c:v>44511</c:v>
                </c:pt>
                <c:pt idx="670">
                  <c:v>44512</c:v>
                </c:pt>
                <c:pt idx="671">
                  <c:v>44513</c:v>
                </c:pt>
                <c:pt idx="672">
                  <c:v>44514</c:v>
                </c:pt>
                <c:pt idx="673">
                  <c:v>44515</c:v>
                </c:pt>
                <c:pt idx="674">
                  <c:v>44516</c:v>
                </c:pt>
                <c:pt idx="675">
                  <c:v>44517</c:v>
                </c:pt>
                <c:pt idx="676">
                  <c:v>44518</c:v>
                </c:pt>
                <c:pt idx="677">
                  <c:v>44519</c:v>
                </c:pt>
                <c:pt idx="678">
                  <c:v>44520</c:v>
                </c:pt>
                <c:pt idx="679">
                  <c:v>44521</c:v>
                </c:pt>
                <c:pt idx="680">
                  <c:v>44522</c:v>
                </c:pt>
                <c:pt idx="681">
                  <c:v>44523</c:v>
                </c:pt>
                <c:pt idx="682">
                  <c:v>44524</c:v>
                </c:pt>
                <c:pt idx="683">
                  <c:v>44525</c:v>
                </c:pt>
                <c:pt idx="684">
                  <c:v>44526</c:v>
                </c:pt>
                <c:pt idx="685">
                  <c:v>44527</c:v>
                </c:pt>
                <c:pt idx="686">
                  <c:v>44528</c:v>
                </c:pt>
                <c:pt idx="687">
                  <c:v>44529</c:v>
                </c:pt>
                <c:pt idx="688">
                  <c:v>44530</c:v>
                </c:pt>
                <c:pt idx="689">
                  <c:v>44531</c:v>
                </c:pt>
                <c:pt idx="690">
                  <c:v>44532</c:v>
                </c:pt>
                <c:pt idx="691">
                  <c:v>44533</c:v>
                </c:pt>
                <c:pt idx="692">
                  <c:v>44534</c:v>
                </c:pt>
                <c:pt idx="693">
                  <c:v>44535</c:v>
                </c:pt>
                <c:pt idx="694">
                  <c:v>44536</c:v>
                </c:pt>
                <c:pt idx="695">
                  <c:v>44537</c:v>
                </c:pt>
                <c:pt idx="696">
                  <c:v>44538</c:v>
                </c:pt>
                <c:pt idx="697">
                  <c:v>44539</c:v>
                </c:pt>
                <c:pt idx="698">
                  <c:v>44540</c:v>
                </c:pt>
                <c:pt idx="699">
                  <c:v>44541</c:v>
                </c:pt>
                <c:pt idx="700">
                  <c:v>44542</c:v>
                </c:pt>
                <c:pt idx="701">
                  <c:v>44543</c:v>
                </c:pt>
                <c:pt idx="702">
                  <c:v>44544</c:v>
                </c:pt>
                <c:pt idx="703">
                  <c:v>44545</c:v>
                </c:pt>
                <c:pt idx="704">
                  <c:v>44546</c:v>
                </c:pt>
                <c:pt idx="705">
                  <c:v>44547</c:v>
                </c:pt>
                <c:pt idx="706">
                  <c:v>44548</c:v>
                </c:pt>
                <c:pt idx="707">
                  <c:v>44549</c:v>
                </c:pt>
                <c:pt idx="708">
                  <c:v>44550</c:v>
                </c:pt>
                <c:pt idx="709">
                  <c:v>44551</c:v>
                </c:pt>
                <c:pt idx="710">
                  <c:v>44552</c:v>
                </c:pt>
                <c:pt idx="711">
                  <c:v>44553</c:v>
                </c:pt>
                <c:pt idx="712">
                  <c:v>44554</c:v>
                </c:pt>
                <c:pt idx="713">
                  <c:v>44555</c:v>
                </c:pt>
                <c:pt idx="714">
                  <c:v>44556</c:v>
                </c:pt>
                <c:pt idx="715">
                  <c:v>44557</c:v>
                </c:pt>
                <c:pt idx="716">
                  <c:v>44558</c:v>
                </c:pt>
                <c:pt idx="717">
                  <c:v>44559</c:v>
                </c:pt>
                <c:pt idx="718">
                  <c:v>44560</c:v>
                </c:pt>
                <c:pt idx="719">
                  <c:v>44561</c:v>
                </c:pt>
                <c:pt idx="720">
                  <c:v>44562</c:v>
                </c:pt>
                <c:pt idx="721">
                  <c:v>44563</c:v>
                </c:pt>
                <c:pt idx="722">
                  <c:v>44564</c:v>
                </c:pt>
                <c:pt idx="723">
                  <c:v>44565</c:v>
                </c:pt>
                <c:pt idx="724">
                  <c:v>44566</c:v>
                </c:pt>
                <c:pt idx="725">
                  <c:v>44567</c:v>
                </c:pt>
                <c:pt idx="726">
                  <c:v>44568</c:v>
                </c:pt>
                <c:pt idx="727">
                  <c:v>44569</c:v>
                </c:pt>
                <c:pt idx="728">
                  <c:v>44570</c:v>
                </c:pt>
                <c:pt idx="729">
                  <c:v>44571</c:v>
                </c:pt>
                <c:pt idx="730">
                  <c:v>44572</c:v>
                </c:pt>
                <c:pt idx="731">
                  <c:v>44573</c:v>
                </c:pt>
                <c:pt idx="732">
                  <c:v>44574</c:v>
                </c:pt>
                <c:pt idx="733">
                  <c:v>44575</c:v>
                </c:pt>
                <c:pt idx="734">
                  <c:v>44576</c:v>
                </c:pt>
                <c:pt idx="735">
                  <c:v>44577</c:v>
                </c:pt>
                <c:pt idx="736">
                  <c:v>44578</c:v>
                </c:pt>
                <c:pt idx="737">
                  <c:v>44579</c:v>
                </c:pt>
                <c:pt idx="738">
                  <c:v>44580</c:v>
                </c:pt>
                <c:pt idx="739">
                  <c:v>44581</c:v>
                </c:pt>
                <c:pt idx="740">
                  <c:v>44582</c:v>
                </c:pt>
                <c:pt idx="741">
                  <c:v>44583</c:v>
                </c:pt>
                <c:pt idx="742">
                  <c:v>44584</c:v>
                </c:pt>
                <c:pt idx="743">
                  <c:v>44585</c:v>
                </c:pt>
                <c:pt idx="744">
                  <c:v>44586</c:v>
                </c:pt>
                <c:pt idx="745">
                  <c:v>44587</c:v>
                </c:pt>
                <c:pt idx="746">
                  <c:v>44588</c:v>
                </c:pt>
                <c:pt idx="747">
                  <c:v>44589</c:v>
                </c:pt>
                <c:pt idx="748">
                  <c:v>44590</c:v>
                </c:pt>
                <c:pt idx="749">
                  <c:v>44591</c:v>
                </c:pt>
                <c:pt idx="750">
                  <c:v>44592</c:v>
                </c:pt>
                <c:pt idx="751">
                  <c:v>44593</c:v>
                </c:pt>
                <c:pt idx="752">
                  <c:v>44594</c:v>
                </c:pt>
                <c:pt idx="753">
                  <c:v>44595</c:v>
                </c:pt>
                <c:pt idx="754">
                  <c:v>44596</c:v>
                </c:pt>
                <c:pt idx="755">
                  <c:v>44597</c:v>
                </c:pt>
                <c:pt idx="756">
                  <c:v>44598</c:v>
                </c:pt>
                <c:pt idx="757">
                  <c:v>44599</c:v>
                </c:pt>
                <c:pt idx="758">
                  <c:v>44600</c:v>
                </c:pt>
                <c:pt idx="759">
                  <c:v>44601</c:v>
                </c:pt>
                <c:pt idx="760">
                  <c:v>44602</c:v>
                </c:pt>
                <c:pt idx="761">
                  <c:v>44603</c:v>
                </c:pt>
                <c:pt idx="762">
                  <c:v>44604</c:v>
                </c:pt>
                <c:pt idx="763">
                  <c:v>44605</c:v>
                </c:pt>
                <c:pt idx="764">
                  <c:v>44606</c:v>
                </c:pt>
                <c:pt idx="765">
                  <c:v>44607</c:v>
                </c:pt>
                <c:pt idx="766">
                  <c:v>44608</c:v>
                </c:pt>
                <c:pt idx="767">
                  <c:v>44609</c:v>
                </c:pt>
                <c:pt idx="768">
                  <c:v>44610</c:v>
                </c:pt>
                <c:pt idx="769">
                  <c:v>44611</c:v>
                </c:pt>
                <c:pt idx="770">
                  <c:v>44612</c:v>
                </c:pt>
                <c:pt idx="771">
                  <c:v>44613</c:v>
                </c:pt>
                <c:pt idx="772">
                  <c:v>44614</c:v>
                </c:pt>
                <c:pt idx="773">
                  <c:v>44615</c:v>
                </c:pt>
                <c:pt idx="774">
                  <c:v>44616</c:v>
                </c:pt>
                <c:pt idx="775">
                  <c:v>44617</c:v>
                </c:pt>
                <c:pt idx="776">
                  <c:v>44618</c:v>
                </c:pt>
                <c:pt idx="777">
                  <c:v>44619</c:v>
                </c:pt>
                <c:pt idx="778">
                  <c:v>44620</c:v>
                </c:pt>
                <c:pt idx="779">
                  <c:v>44621</c:v>
                </c:pt>
                <c:pt idx="780">
                  <c:v>44622</c:v>
                </c:pt>
                <c:pt idx="781">
                  <c:v>44623</c:v>
                </c:pt>
                <c:pt idx="782">
                  <c:v>44624</c:v>
                </c:pt>
                <c:pt idx="783">
                  <c:v>44625</c:v>
                </c:pt>
                <c:pt idx="784">
                  <c:v>44626</c:v>
                </c:pt>
                <c:pt idx="785">
                  <c:v>44627</c:v>
                </c:pt>
                <c:pt idx="786">
                  <c:v>44628</c:v>
                </c:pt>
                <c:pt idx="787">
                  <c:v>44629</c:v>
                </c:pt>
                <c:pt idx="788">
                  <c:v>44630</c:v>
                </c:pt>
                <c:pt idx="789">
                  <c:v>44631</c:v>
                </c:pt>
                <c:pt idx="790">
                  <c:v>44632</c:v>
                </c:pt>
                <c:pt idx="791">
                  <c:v>44633</c:v>
                </c:pt>
                <c:pt idx="792">
                  <c:v>44634</c:v>
                </c:pt>
                <c:pt idx="793">
                  <c:v>44635</c:v>
                </c:pt>
                <c:pt idx="794">
                  <c:v>44636</c:v>
                </c:pt>
                <c:pt idx="795">
                  <c:v>44637</c:v>
                </c:pt>
                <c:pt idx="796">
                  <c:v>44638</c:v>
                </c:pt>
                <c:pt idx="797">
                  <c:v>44639</c:v>
                </c:pt>
                <c:pt idx="798">
                  <c:v>44640</c:v>
                </c:pt>
                <c:pt idx="799">
                  <c:v>44641</c:v>
                </c:pt>
                <c:pt idx="800">
                  <c:v>44642</c:v>
                </c:pt>
                <c:pt idx="801">
                  <c:v>44643</c:v>
                </c:pt>
                <c:pt idx="802">
                  <c:v>44644</c:v>
                </c:pt>
                <c:pt idx="803">
                  <c:v>44645</c:v>
                </c:pt>
                <c:pt idx="804">
                  <c:v>44646</c:v>
                </c:pt>
                <c:pt idx="805">
                  <c:v>44647</c:v>
                </c:pt>
                <c:pt idx="806">
                  <c:v>44648</c:v>
                </c:pt>
                <c:pt idx="807">
                  <c:v>44649</c:v>
                </c:pt>
                <c:pt idx="808">
                  <c:v>44650</c:v>
                </c:pt>
                <c:pt idx="809">
                  <c:v>44651</c:v>
                </c:pt>
                <c:pt idx="810">
                  <c:v>44652</c:v>
                </c:pt>
                <c:pt idx="811">
                  <c:v>44653</c:v>
                </c:pt>
                <c:pt idx="812">
                  <c:v>44654</c:v>
                </c:pt>
                <c:pt idx="813">
                  <c:v>44655</c:v>
                </c:pt>
                <c:pt idx="814">
                  <c:v>44656</c:v>
                </c:pt>
                <c:pt idx="815">
                  <c:v>44657</c:v>
                </c:pt>
                <c:pt idx="816">
                  <c:v>44658</c:v>
                </c:pt>
                <c:pt idx="817">
                  <c:v>44659</c:v>
                </c:pt>
                <c:pt idx="818">
                  <c:v>44660</c:v>
                </c:pt>
                <c:pt idx="819">
                  <c:v>44661</c:v>
                </c:pt>
                <c:pt idx="820">
                  <c:v>44662</c:v>
                </c:pt>
                <c:pt idx="821">
                  <c:v>44663</c:v>
                </c:pt>
                <c:pt idx="822">
                  <c:v>44664</c:v>
                </c:pt>
                <c:pt idx="823">
                  <c:v>44665</c:v>
                </c:pt>
                <c:pt idx="824">
                  <c:v>44666</c:v>
                </c:pt>
                <c:pt idx="825">
                  <c:v>44667</c:v>
                </c:pt>
                <c:pt idx="826">
                  <c:v>44668</c:v>
                </c:pt>
                <c:pt idx="827">
                  <c:v>44669</c:v>
                </c:pt>
                <c:pt idx="828">
                  <c:v>44670</c:v>
                </c:pt>
                <c:pt idx="829">
                  <c:v>44671</c:v>
                </c:pt>
                <c:pt idx="830">
                  <c:v>44672</c:v>
                </c:pt>
                <c:pt idx="831">
                  <c:v>44673</c:v>
                </c:pt>
                <c:pt idx="832">
                  <c:v>44674</c:v>
                </c:pt>
                <c:pt idx="833">
                  <c:v>44675</c:v>
                </c:pt>
                <c:pt idx="834">
                  <c:v>44676</c:v>
                </c:pt>
                <c:pt idx="835">
                  <c:v>44677</c:v>
                </c:pt>
                <c:pt idx="836">
                  <c:v>44678</c:v>
                </c:pt>
                <c:pt idx="837">
                  <c:v>44679</c:v>
                </c:pt>
                <c:pt idx="838">
                  <c:v>44680</c:v>
                </c:pt>
                <c:pt idx="839">
                  <c:v>44681</c:v>
                </c:pt>
                <c:pt idx="840">
                  <c:v>44682</c:v>
                </c:pt>
                <c:pt idx="841">
                  <c:v>44683</c:v>
                </c:pt>
                <c:pt idx="842">
                  <c:v>44684</c:v>
                </c:pt>
                <c:pt idx="843">
                  <c:v>44685</c:v>
                </c:pt>
                <c:pt idx="844">
                  <c:v>44686</c:v>
                </c:pt>
                <c:pt idx="845">
                  <c:v>44687</c:v>
                </c:pt>
                <c:pt idx="846">
                  <c:v>44688</c:v>
                </c:pt>
                <c:pt idx="847">
                  <c:v>44689</c:v>
                </c:pt>
                <c:pt idx="848">
                  <c:v>44690</c:v>
                </c:pt>
                <c:pt idx="849">
                  <c:v>44691</c:v>
                </c:pt>
                <c:pt idx="850">
                  <c:v>44692</c:v>
                </c:pt>
                <c:pt idx="851">
                  <c:v>44693</c:v>
                </c:pt>
                <c:pt idx="852">
                  <c:v>44694</c:v>
                </c:pt>
                <c:pt idx="853">
                  <c:v>44695</c:v>
                </c:pt>
                <c:pt idx="854">
                  <c:v>44696</c:v>
                </c:pt>
                <c:pt idx="855">
                  <c:v>44697</c:v>
                </c:pt>
                <c:pt idx="856">
                  <c:v>44698</c:v>
                </c:pt>
                <c:pt idx="857">
                  <c:v>44699</c:v>
                </c:pt>
                <c:pt idx="858">
                  <c:v>44700</c:v>
                </c:pt>
                <c:pt idx="859">
                  <c:v>44701</c:v>
                </c:pt>
                <c:pt idx="860">
                  <c:v>44702</c:v>
                </c:pt>
                <c:pt idx="861">
                  <c:v>44703</c:v>
                </c:pt>
                <c:pt idx="862">
                  <c:v>44704</c:v>
                </c:pt>
                <c:pt idx="863">
                  <c:v>44705</c:v>
                </c:pt>
                <c:pt idx="864">
                  <c:v>44706</c:v>
                </c:pt>
                <c:pt idx="865">
                  <c:v>44707</c:v>
                </c:pt>
                <c:pt idx="866">
                  <c:v>44708</c:v>
                </c:pt>
                <c:pt idx="867">
                  <c:v>44709</c:v>
                </c:pt>
                <c:pt idx="868">
                  <c:v>44710</c:v>
                </c:pt>
                <c:pt idx="869">
                  <c:v>44711</c:v>
                </c:pt>
                <c:pt idx="870">
                  <c:v>44712</c:v>
                </c:pt>
                <c:pt idx="871">
                  <c:v>44713</c:v>
                </c:pt>
                <c:pt idx="872">
                  <c:v>44714</c:v>
                </c:pt>
                <c:pt idx="873">
                  <c:v>44715</c:v>
                </c:pt>
                <c:pt idx="874">
                  <c:v>44716</c:v>
                </c:pt>
                <c:pt idx="875">
                  <c:v>44717</c:v>
                </c:pt>
                <c:pt idx="876">
                  <c:v>44718</c:v>
                </c:pt>
                <c:pt idx="877">
                  <c:v>44719</c:v>
                </c:pt>
                <c:pt idx="878">
                  <c:v>44720</c:v>
                </c:pt>
                <c:pt idx="879">
                  <c:v>44721</c:v>
                </c:pt>
                <c:pt idx="880">
                  <c:v>44722</c:v>
                </c:pt>
                <c:pt idx="881">
                  <c:v>44723</c:v>
                </c:pt>
                <c:pt idx="882">
                  <c:v>44724</c:v>
                </c:pt>
                <c:pt idx="883">
                  <c:v>44725</c:v>
                </c:pt>
                <c:pt idx="884">
                  <c:v>44726</c:v>
                </c:pt>
                <c:pt idx="885">
                  <c:v>44727</c:v>
                </c:pt>
                <c:pt idx="886">
                  <c:v>44728</c:v>
                </c:pt>
                <c:pt idx="887">
                  <c:v>44729</c:v>
                </c:pt>
                <c:pt idx="888">
                  <c:v>44730</c:v>
                </c:pt>
                <c:pt idx="889">
                  <c:v>44731</c:v>
                </c:pt>
                <c:pt idx="890">
                  <c:v>44732</c:v>
                </c:pt>
                <c:pt idx="891">
                  <c:v>44733</c:v>
                </c:pt>
                <c:pt idx="892">
                  <c:v>44734</c:v>
                </c:pt>
                <c:pt idx="893">
                  <c:v>44735</c:v>
                </c:pt>
                <c:pt idx="894">
                  <c:v>44736</c:v>
                </c:pt>
                <c:pt idx="895">
                  <c:v>44737</c:v>
                </c:pt>
                <c:pt idx="896">
                  <c:v>44738</c:v>
                </c:pt>
                <c:pt idx="897">
                  <c:v>44739</c:v>
                </c:pt>
                <c:pt idx="898">
                  <c:v>44740</c:v>
                </c:pt>
                <c:pt idx="899">
                  <c:v>44741</c:v>
                </c:pt>
                <c:pt idx="900">
                  <c:v>44742</c:v>
                </c:pt>
                <c:pt idx="901">
                  <c:v>44743</c:v>
                </c:pt>
                <c:pt idx="902">
                  <c:v>44744</c:v>
                </c:pt>
                <c:pt idx="903">
                  <c:v>44745</c:v>
                </c:pt>
                <c:pt idx="904">
                  <c:v>44746</c:v>
                </c:pt>
                <c:pt idx="905">
                  <c:v>44747</c:v>
                </c:pt>
                <c:pt idx="906">
                  <c:v>44748</c:v>
                </c:pt>
                <c:pt idx="907">
                  <c:v>44749</c:v>
                </c:pt>
                <c:pt idx="908">
                  <c:v>44750</c:v>
                </c:pt>
                <c:pt idx="909">
                  <c:v>44751</c:v>
                </c:pt>
                <c:pt idx="910">
                  <c:v>44752</c:v>
                </c:pt>
                <c:pt idx="911">
                  <c:v>44753</c:v>
                </c:pt>
                <c:pt idx="912">
                  <c:v>44754</c:v>
                </c:pt>
                <c:pt idx="913">
                  <c:v>44755</c:v>
                </c:pt>
                <c:pt idx="914">
                  <c:v>44756</c:v>
                </c:pt>
                <c:pt idx="915">
                  <c:v>44757</c:v>
                </c:pt>
                <c:pt idx="916">
                  <c:v>44758</c:v>
                </c:pt>
                <c:pt idx="917">
                  <c:v>44759</c:v>
                </c:pt>
                <c:pt idx="918">
                  <c:v>44760</c:v>
                </c:pt>
                <c:pt idx="919">
                  <c:v>44761</c:v>
                </c:pt>
                <c:pt idx="920">
                  <c:v>44762</c:v>
                </c:pt>
                <c:pt idx="921">
                  <c:v>44763</c:v>
                </c:pt>
                <c:pt idx="922">
                  <c:v>44764</c:v>
                </c:pt>
                <c:pt idx="923">
                  <c:v>44765</c:v>
                </c:pt>
                <c:pt idx="924">
                  <c:v>44766</c:v>
                </c:pt>
                <c:pt idx="925">
                  <c:v>44767</c:v>
                </c:pt>
                <c:pt idx="926">
                  <c:v>44768</c:v>
                </c:pt>
                <c:pt idx="927">
                  <c:v>44769</c:v>
                </c:pt>
                <c:pt idx="928">
                  <c:v>44770</c:v>
                </c:pt>
                <c:pt idx="929">
                  <c:v>44771</c:v>
                </c:pt>
                <c:pt idx="930">
                  <c:v>44772</c:v>
                </c:pt>
                <c:pt idx="931">
                  <c:v>44773</c:v>
                </c:pt>
                <c:pt idx="932">
                  <c:v>44774</c:v>
                </c:pt>
                <c:pt idx="933">
                  <c:v>44775</c:v>
                </c:pt>
                <c:pt idx="934">
                  <c:v>44776</c:v>
                </c:pt>
                <c:pt idx="935">
                  <c:v>44777</c:v>
                </c:pt>
                <c:pt idx="936">
                  <c:v>44778</c:v>
                </c:pt>
                <c:pt idx="937">
                  <c:v>44779</c:v>
                </c:pt>
                <c:pt idx="938">
                  <c:v>44780</c:v>
                </c:pt>
                <c:pt idx="939">
                  <c:v>44781</c:v>
                </c:pt>
                <c:pt idx="940">
                  <c:v>44782</c:v>
                </c:pt>
                <c:pt idx="941">
                  <c:v>44783</c:v>
                </c:pt>
                <c:pt idx="942">
                  <c:v>44784</c:v>
                </c:pt>
                <c:pt idx="943">
                  <c:v>44785</c:v>
                </c:pt>
                <c:pt idx="944">
                  <c:v>44786</c:v>
                </c:pt>
                <c:pt idx="945">
                  <c:v>44787</c:v>
                </c:pt>
                <c:pt idx="946">
                  <c:v>44788</c:v>
                </c:pt>
                <c:pt idx="947">
                  <c:v>44789</c:v>
                </c:pt>
                <c:pt idx="948">
                  <c:v>44790</c:v>
                </c:pt>
                <c:pt idx="949">
                  <c:v>44791</c:v>
                </c:pt>
                <c:pt idx="950">
                  <c:v>44792</c:v>
                </c:pt>
                <c:pt idx="951">
                  <c:v>44793</c:v>
                </c:pt>
                <c:pt idx="952">
                  <c:v>44794</c:v>
                </c:pt>
                <c:pt idx="953">
                  <c:v>44795</c:v>
                </c:pt>
                <c:pt idx="954">
                  <c:v>44796</c:v>
                </c:pt>
                <c:pt idx="955">
                  <c:v>44797</c:v>
                </c:pt>
                <c:pt idx="956">
                  <c:v>44798</c:v>
                </c:pt>
                <c:pt idx="957">
                  <c:v>44799</c:v>
                </c:pt>
                <c:pt idx="958">
                  <c:v>44800</c:v>
                </c:pt>
                <c:pt idx="959">
                  <c:v>44801</c:v>
                </c:pt>
                <c:pt idx="960">
                  <c:v>44802</c:v>
                </c:pt>
                <c:pt idx="961">
                  <c:v>44803</c:v>
                </c:pt>
                <c:pt idx="962">
                  <c:v>44804</c:v>
                </c:pt>
                <c:pt idx="963">
                  <c:v>44805</c:v>
                </c:pt>
                <c:pt idx="964">
                  <c:v>44806</c:v>
                </c:pt>
                <c:pt idx="965">
                  <c:v>44807</c:v>
                </c:pt>
                <c:pt idx="966">
                  <c:v>44808</c:v>
                </c:pt>
                <c:pt idx="967">
                  <c:v>44809</c:v>
                </c:pt>
                <c:pt idx="968">
                  <c:v>44810</c:v>
                </c:pt>
                <c:pt idx="969">
                  <c:v>44811</c:v>
                </c:pt>
                <c:pt idx="970">
                  <c:v>44812</c:v>
                </c:pt>
                <c:pt idx="971">
                  <c:v>44813</c:v>
                </c:pt>
                <c:pt idx="972">
                  <c:v>44814</c:v>
                </c:pt>
                <c:pt idx="973">
                  <c:v>44815</c:v>
                </c:pt>
                <c:pt idx="974">
                  <c:v>44816</c:v>
                </c:pt>
                <c:pt idx="975">
                  <c:v>44817</c:v>
                </c:pt>
                <c:pt idx="976">
                  <c:v>44818</c:v>
                </c:pt>
                <c:pt idx="977">
                  <c:v>44819</c:v>
                </c:pt>
                <c:pt idx="978">
                  <c:v>44820</c:v>
                </c:pt>
                <c:pt idx="979">
                  <c:v>44821</c:v>
                </c:pt>
                <c:pt idx="980">
                  <c:v>44822</c:v>
                </c:pt>
                <c:pt idx="981">
                  <c:v>44823</c:v>
                </c:pt>
                <c:pt idx="982">
                  <c:v>44824</c:v>
                </c:pt>
                <c:pt idx="983">
                  <c:v>44825</c:v>
                </c:pt>
                <c:pt idx="984">
                  <c:v>44826</c:v>
                </c:pt>
                <c:pt idx="985">
                  <c:v>44827</c:v>
                </c:pt>
                <c:pt idx="986">
                  <c:v>44828</c:v>
                </c:pt>
                <c:pt idx="987">
                  <c:v>44829</c:v>
                </c:pt>
                <c:pt idx="988">
                  <c:v>44830</c:v>
                </c:pt>
                <c:pt idx="989">
                  <c:v>44831</c:v>
                </c:pt>
                <c:pt idx="990">
                  <c:v>44832</c:v>
                </c:pt>
                <c:pt idx="991">
                  <c:v>44833</c:v>
                </c:pt>
                <c:pt idx="992">
                  <c:v>44834</c:v>
                </c:pt>
                <c:pt idx="993">
                  <c:v>44835</c:v>
                </c:pt>
                <c:pt idx="994">
                  <c:v>44836</c:v>
                </c:pt>
                <c:pt idx="995">
                  <c:v>44837</c:v>
                </c:pt>
                <c:pt idx="996">
                  <c:v>44838</c:v>
                </c:pt>
                <c:pt idx="997">
                  <c:v>44839</c:v>
                </c:pt>
                <c:pt idx="998">
                  <c:v>44840</c:v>
                </c:pt>
                <c:pt idx="999">
                  <c:v>44841</c:v>
                </c:pt>
                <c:pt idx="1000">
                  <c:v>44842</c:v>
                </c:pt>
                <c:pt idx="1001">
                  <c:v>44843</c:v>
                </c:pt>
                <c:pt idx="1002">
                  <c:v>44844</c:v>
                </c:pt>
                <c:pt idx="1003">
                  <c:v>44845</c:v>
                </c:pt>
                <c:pt idx="1004">
                  <c:v>44846</c:v>
                </c:pt>
                <c:pt idx="1005">
                  <c:v>44847</c:v>
                </c:pt>
                <c:pt idx="1006">
                  <c:v>44848</c:v>
                </c:pt>
                <c:pt idx="1007">
                  <c:v>44849</c:v>
                </c:pt>
                <c:pt idx="1008">
                  <c:v>44850</c:v>
                </c:pt>
                <c:pt idx="1009">
                  <c:v>44851</c:v>
                </c:pt>
                <c:pt idx="1010">
                  <c:v>44852</c:v>
                </c:pt>
                <c:pt idx="1011">
                  <c:v>44853</c:v>
                </c:pt>
                <c:pt idx="1012">
                  <c:v>44854</c:v>
                </c:pt>
                <c:pt idx="1013">
                  <c:v>44855</c:v>
                </c:pt>
                <c:pt idx="1014">
                  <c:v>44856</c:v>
                </c:pt>
                <c:pt idx="1015">
                  <c:v>44857</c:v>
                </c:pt>
                <c:pt idx="1016">
                  <c:v>44858</c:v>
                </c:pt>
                <c:pt idx="1017">
                  <c:v>44859</c:v>
                </c:pt>
                <c:pt idx="1018">
                  <c:v>44860</c:v>
                </c:pt>
                <c:pt idx="1019">
                  <c:v>44861</c:v>
                </c:pt>
                <c:pt idx="1020">
                  <c:v>44862</c:v>
                </c:pt>
                <c:pt idx="1021">
                  <c:v>44863</c:v>
                </c:pt>
                <c:pt idx="1022">
                  <c:v>44864</c:v>
                </c:pt>
                <c:pt idx="1023">
                  <c:v>44865</c:v>
                </c:pt>
                <c:pt idx="1024">
                  <c:v>44866</c:v>
                </c:pt>
                <c:pt idx="1025">
                  <c:v>44867</c:v>
                </c:pt>
                <c:pt idx="1026">
                  <c:v>44868</c:v>
                </c:pt>
                <c:pt idx="1027">
                  <c:v>44869</c:v>
                </c:pt>
                <c:pt idx="1028">
                  <c:v>44870</c:v>
                </c:pt>
                <c:pt idx="1029">
                  <c:v>44871</c:v>
                </c:pt>
                <c:pt idx="1030">
                  <c:v>44872</c:v>
                </c:pt>
                <c:pt idx="1031">
                  <c:v>44873</c:v>
                </c:pt>
                <c:pt idx="1032">
                  <c:v>44874</c:v>
                </c:pt>
                <c:pt idx="1033">
                  <c:v>44875</c:v>
                </c:pt>
                <c:pt idx="1034">
                  <c:v>44876</c:v>
                </c:pt>
                <c:pt idx="1035">
                  <c:v>44877</c:v>
                </c:pt>
                <c:pt idx="1036">
                  <c:v>44878</c:v>
                </c:pt>
                <c:pt idx="1037">
                  <c:v>44879</c:v>
                </c:pt>
                <c:pt idx="1038">
                  <c:v>44880</c:v>
                </c:pt>
                <c:pt idx="1039">
                  <c:v>44881</c:v>
                </c:pt>
                <c:pt idx="1040">
                  <c:v>44882</c:v>
                </c:pt>
                <c:pt idx="1041">
                  <c:v>44883</c:v>
                </c:pt>
                <c:pt idx="1042">
                  <c:v>44884</c:v>
                </c:pt>
                <c:pt idx="1043">
                  <c:v>44885</c:v>
                </c:pt>
                <c:pt idx="1044">
                  <c:v>44886</c:v>
                </c:pt>
                <c:pt idx="1045">
                  <c:v>44887</c:v>
                </c:pt>
                <c:pt idx="1046">
                  <c:v>44888</c:v>
                </c:pt>
                <c:pt idx="1047">
                  <c:v>44889</c:v>
                </c:pt>
                <c:pt idx="1048">
                  <c:v>44890</c:v>
                </c:pt>
                <c:pt idx="1049">
                  <c:v>44891</c:v>
                </c:pt>
                <c:pt idx="1050">
                  <c:v>44892</c:v>
                </c:pt>
                <c:pt idx="1051">
                  <c:v>44893</c:v>
                </c:pt>
                <c:pt idx="1052">
                  <c:v>44894</c:v>
                </c:pt>
                <c:pt idx="1053">
                  <c:v>44895</c:v>
                </c:pt>
                <c:pt idx="1054">
                  <c:v>44896</c:v>
                </c:pt>
                <c:pt idx="1055">
                  <c:v>44897</c:v>
                </c:pt>
                <c:pt idx="1056">
                  <c:v>44898</c:v>
                </c:pt>
                <c:pt idx="1057">
                  <c:v>44899</c:v>
                </c:pt>
                <c:pt idx="1058">
                  <c:v>44900</c:v>
                </c:pt>
                <c:pt idx="1059">
                  <c:v>44901</c:v>
                </c:pt>
                <c:pt idx="1060">
                  <c:v>44902</c:v>
                </c:pt>
                <c:pt idx="1061">
                  <c:v>44903</c:v>
                </c:pt>
                <c:pt idx="1062">
                  <c:v>44904</c:v>
                </c:pt>
                <c:pt idx="1063">
                  <c:v>44905</c:v>
                </c:pt>
                <c:pt idx="1064">
                  <c:v>44906</c:v>
                </c:pt>
                <c:pt idx="1065">
                  <c:v>44907</c:v>
                </c:pt>
                <c:pt idx="1066">
                  <c:v>44908</c:v>
                </c:pt>
                <c:pt idx="1067">
                  <c:v>44909</c:v>
                </c:pt>
                <c:pt idx="1068">
                  <c:v>44910</c:v>
                </c:pt>
                <c:pt idx="1069">
                  <c:v>44911</c:v>
                </c:pt>
                <c:pt idx="1070">
                  <c:v>44912</c:v>
                </c:pt>
                <c:pt idx="1071">
                  <c:v>44913</c:v>
                </c:pt>
                <c:pt idx="1072">
                  <c:v>44914</c:v>
                </c:pt>
                <c:pt idx="1073">
                  <c:v>44915</c:v>
                </c:pt>
                <c:pt idx="1074">
                  <c:v>44916</c:v>
                </c:pt>
                <c:pt idx="1075">
                  <c:v>44917</c:v>
                </c:pt>
                <c:pt idx="1076">
                  <c:v>44918</c:v>
                </c:pt>
                <c:pt idx="1077">
                  <c:v>44919</c:v>
                </c:pt>
                <c:pt idx="1078">
                  <c:v>44920</c:v>
                </c:pt>
                <c:pt idx="1079">
                  <c:v>44921</c:v>
                </c:pt>
                <c:pt idx="1080">
                  <c:v>44922</c:v>
                </c:pt>
                <c:pt idx="1081">
                  <c:v>44923</c:v>
                </c:pt>
                <c:pt idx="1082">
                  <c:v>44924</c:v>
                </c:pt>
                <c:pt idx="1083">
                  <c:v>44925</c:v>
                </c:pt>
                <c:pt idx="1084">
                  <c:v>44926</c:v>
                </c:pt>
                <c:pt idx="1085">
                  <c:v>44927</c:v>
                </c:pt>
                <c:pt idx="1086">
                  <c:v>44928</c:v>
                </c:pt>
                <c:pt idx="1087">
                  <c:v>44929</c:v>
                </c:pt>
                <c:pt idx="1088">
                  <c:v>44930</c:v>
                </c:pt>
                <c:pt idx="1089">
                  <c:v>44931</c:v>
                </c:pt>
                <c:pt idx="1090">
                  <c:v>44932</c:v>
                </c:pt>
                <c:pt idx="1091">
                  <c:v>44933</c:v>
                </c:pt>
                <c:pt idx="1092">
                  <c:v>44934</c:v>
                </c:pt>
                <c:pt idx="1093">
                  <c:v>44935</c:v>
                </c:pt>
                <c:pt idx="1094">
                  <c:v>44936</c:v>
                </c:pt>
                <c:pt idx="1095">
                  <c:v>44937</c:v>
                </c:pt>
                <c:pt idx="1096">
                  <c:v>44938</c:v>
                </c:pt>
                <c:pt idx="1097">
                  <c:v>44939</c:v>
                </c:pt>
                <c:pt idx="1098">
                  <c:v>44940</c:v>
                </c:pt>
                <c:pt idx="1099">
                  <c:v>44941</c:v>
                </c:pt>
                <c:pt idx="1100">
                  <c:v>44942</c:v>
                </c:pt>
                <c:pt idx="1101">
                  <c:v>44943</c:v>
                </c:pt>
                <c:pt idx="1102">
                  <c:v>44944</c:v>
                </c:pt>
                <c:pt idx="1103">
                  <c:v>44945</c:v>
                </c:pt>
                <c:pt idx="1104">
                  <c:v>44946</c:v>
                </c:pt>
                <c:pt idx="1105">
                  <c:v>44947</c:v>
                </c:pt>
                <c:pt idx="1106">
                  <c:v>44948</c:v>
                </c:pt>
                <c:pt idx="1107">
                  <c:v>44949</c:v>
                </c:pt>
                <c:pt idx="1108">
                  <c:v>44950</c:v>
                </c:pt>
                <c:pt idx="1109">
                  <c:v>44951</c:v>
                </c:pt>
                <c:pt idx="1110">
                  <c:v>44952</c:v>
                </c:pt>
                <c:pt idx="1111">
                  <c:v>44953</c:v>
                </c:pt>
                <c:pt idx="1112">
                  <c:v>44954</c:v>
                </c:pt>
                <c:pt idx="1113">
                  <c:v>44955</c:v>
                </c:pt>
                <c:pt idx="1114">
                  <c:v>44956</c:v>
                </c:pt>
                <c:pt idx="1115">
                  <c:v>44957</c:v>
                </c:pt>
                <c:pt idx="1116">
                  <c:v>44958</c:v>
                </c:pt>
                <c:pt idx="1117">
                  <c:v>44959</c:v>
                </c:pt>
                <c:pt idx="1118">
                  <c:v>44960</c:v>
                </c:pt>
                <c:pt idx="1119">
                  <c:v>44961</c:v>
                </c:pt>
                <c:pt idx="1120">
                  <c:v>44962</c:v>
                </c:pt>
                <c:pt idx="1121">
                  <c:v>44963</c:v>
                </c:pt>
                <c:pt idx="1122">
                  <c:v>44964</c:v>
                </c:pt>
                <c:pt idx="1123">
                  <c:v>44965</c:v>
                </c:pt>
                <c:pt idx="1124">
                  <c:v>44966</c:v>
                </c:pt>
                <c:pt idx="1125">
                  <c:v>44967</c:v>
                </c:pt>
                <c:pt idx="1126">
                  <c:v>44968</c:v>
                </c:pt>
                <c:pt idx="1127">
                  <c:v>44969</c:v>
                </c:pt>
                <c:pt idx="1128">
                  <c:v>44970</c:v>
                </c:pt>
                <c:pt idx="1129">
                  <c:v>44971</c:v>
                </c:pt>
                <c:pt idx="1130">
                  <c:v>44972</c:v>
                </c:pt>
                <c:pt idx="1131">
                  <c:v>44973</c:v>
                </c:pt>
                <c:pt idx="1132">
                  <c:v>44974</c:v>
                </c:pt>
                <c:pt idx="1133">
                  <c:v>44975</c:v>
                </c:pt>
                <c:pt idx="1134">
                  <c:v>44976</c:v>
                </c:pt>
                <c:pt idx="1135">
                  <c:v>44977</c:v>
                </c:pt>
                <c:pt idx="1136">
                  <c:v>44978</c:v>
                </c:pt>
                <c:pt idx="1137">
                  <c:v>44979</c:v>
                </c:pt>
                <c:pt idx="1138">
                  <c:v>44980</c:v>
                </c:pt>
                <c:pt idx="1139">
                  <c:v>44981</c:v>
                </c:pt>
                <c:pt idx="1140">
                  <c:v>44982</c:v>
                </c:pt>
                <c:pt idx="1141">
                  <c:v>44983</c:v>
                </c:pt>
                <c:pt idx="1142">
                  <c:v>44984</c:v>
                </c:pt>
                <c:pt idx="1143">
                  <c:v>44985</c:v>
                </c:pt>
                <c:pt idx="1144">
                  <c:v>44986</c:v>
                </c:pt>
                <c:pt idx="1145">
                  <c:v>44987</c:v>
                </c:pt>
                <c:pt idx="1146">
                  <c:v>44988</c:v>
                </c:pt>
                <c:pt idx="1147">
                  <c:v>44989</c:v>
                </c:pt>
                <c:pt idx="1148">
                  <c:v>44990</c:v>
                </c:pt>
                <c:pt idx="1149">
                  <c:v>44991</c:v>
                </c:pt>
                <c:pt idx="1150">
                  <c:v>44992</c:v>
                </c:pt>
                <c:pt idx="1151">
                  <c:v>44993</c:v>
                </c:pt>
                <c:pt idx="1152">
                  <c:v>44994</c:v>
                </c:pt>
                <c:pt idx="1153">
                  <c:v>44995</c:v>
                </c:pt>
                <c:pt idx="1154">
                  <c:v>44996</c:v>
                </c:pt>
                <c:pt idx="1155">
                  <c:v>44997</c:v>
                </c:pt>
                <c:pt idx="1156">
                  <c:v>44998</c:v>
                </c:pt>
                <c:pt idx="1157">
                  <c:v>44999</c:v>
                </c:pt>
                <c:pt idx="1158">
                  <c:v>45000</c:v>
                </c:pt>
                <c:pt idx="1159">
                  <c:v>45001</c:v>
                </c:pt>
                <c:pt idx="1160">
                  <c:v>45002</c:v>
                </c:pt>
                <c:pt idx="1161">
                  <c:v>45003</c:v>
                </c:pt>
                <c:pt idx="1162">
                  <c:v>45004</c:v>
                </c:pt>
                <c:pt idx="1163">
                  <c:v>45005</c:v>
                </c:pt>
                <c:pt idx="1164">
                  <c:v>45006</c:v>
                </c:pt>
                <c:pt idx="1165">
                  <c:v>45007</c:v>
                </c:pt>
                <c:pt idx="1166">
                  <c:v>45008</c:v>
                </c:pt>
                <c:pt idx="1167">
                  <c:v>45009</c:v>
                </c:pt>
                <c:pt idx="1168">
                  <c:v>45010</c:v>
                </c:pt>
                <c:pt idx="1169">
                  <c:v>45011</c:v>
                </c:pt>
                <c:pt idx="1170">
                  <c:v>45012</c:v>
                </c:pt>
                <c:pt idx="1171">
                  <c:v>45013</c:v>
                </c:pt>
                <c:pt idx="1172">
                  <c:v>45014</c:v>
                </c:pt>
                <c:pt idx="1173">
                  <c:v>45015</c:v>
                </c:pt>
                <c:pt idx="1174">
                  <c:v>45016</c:v>
                </c:pt>
                <c:pt idx="1175">
                  <c:v>45017</c:v>
                </c:pt>
                <c:pt idx="1176">
                  <c:v>45018</c:v>
                </c:pt>
                <c:pt idx="1177">
                  <c:v>45019</c:v>
                </c:pt>
                <c:pt idx="1178">
                  <c:v>45020</c:v>
                </c:pt>
                <c:pt idx="1179">
                  <c:v>45021</c:v>
                </c:pt>
                <c:pt idx="1180">
                  <c:v>45022</c:v>
                </c:pt>
                <c:pt idx="1181">
                  <c:v>45023</c:v>
                </c:pt>
                <c:pt idx="1182">
                  <c:v>45024</c:v>
                </c:pt>
                <c:pt idx="1183">
                  <c:v>45025</c:v>
                </c:pt>
                <c:pt idx="1184">
                  <c:v>45026</c:v>
                </c:pt>
                <c:pt idx="1185">
                  <c:v>45027</c:v>
                </c:pt>
                <c:pt idx="1186">
                  <c:v>45028</c:v>
                </c:pt>
                <c:pt idx="1187">
                  <c:v>45029</c:v>
                </c:pt>
                <c:pt idx="1188">
                  <c:v>45030</c:v>
                </c:pt>
                <c:pt idx="1189">
                  <c:v>45031</c:v>
                </c:pt>
                <c:pt idx="1190">
                  <c:v>45032</c:v>
                </c:pt>
                <c:pt idx="1191">
                  <c:v>45033</c:v>
                </c:pt>
                <c:pt idx="1192">
                  <c:v>45034</c:v>
                </c:pt>
                <c:pt idx="1193">
                  <c:v>45035</c:v>
                </c:pt>
                <c:pt idx="1194">
                  <c:v>45036</c:v>
                </c:pt>
                <c:pt idx="1195">
                  <c:v>45037</c:v>
                </c:pt>
                <c:pt idx="1196">
                  <c:v>45038</c:v>
                </c:pt>
                <c:pt idx="1197">
                  <c:v>45039</c:v>
                </c:pt>
                <c:pt idx="1198">
                  <c:v>45040</c:v>
                </c:pt>
                <c:pt idx="1199">
                  <c:v>45041</c:v>
                </c:pt>
                <c:pt idx="1200">
                  <c:v>45042</c:v>
                </c:pt>
                <c:pt idx="1201">
                  <c:v>45043</c:v>
                </c:pt>
                <c:pt idx="1202">
                  <c:v>45044</c:v>
                </c:pt>
                <c:pt idx="1203">
                  <c:v>45045</c:v>
                </c:pt>
                <c:pt idx="1204">
                  <c:v>45046</c:v>
                </c:pt>
                <c:pt idx="1205">
                  <c:v>45047</c:v>
                </c:pt>
                <c:pt idx="1206">
                  <c:v>45048</c:v>
                </c:pt>
                <c:pt idx="1207">
                  <c:v>45049</c:v>
                </c:pt>
                <c:pt idx="1208">
                  <c:v>45050</c:v>
                </c:pt>
                <c:pt idx="1209">
                  <c:v>45051</c:v>
                </c:pt>
                <c:pt idx="1210">
                  <c:v>45052</c:v>
                </c:pt>
                <c:pt idx="1211">
                  <c:v>45053</c:v>
                </c:pt>
                <c:pt idx="1212">
                  <c:v>45054</c:v>
                </c:pt>
                <c:pt idx="1213">
                  <c:v>45055</c:v>
                </c:pt>
                <c:pt idx="1214">
                  <c:v>45056</c:v>
                </c:pt>
                <c:pt idx="1215">
                  <c:v>45057</c:v>
                </c:pt>
                <c:pt idx="1216">
                  <c:v>45058</c:v>
                </c:pt>
                <c:pt idx="1217">
                  <c:v>45059</c:v>
                </c:pt>
                <c:pt idx="1218">
                  <c:v>45060</c:v>
                </c:pt>
                <c:pt idx="1219">
                  <c:v>45061</c:v>
                </c:pt>
                <c:pt idx="1220">
                  <c:v>45062</c:v>
                </c:pt>
                <c:pt idx="1221">
                  <c:v>45063</c:v>
                </c:pt>
                <c:pt idx="1222">
                  <c:v>45064</c:v>
                </c:pt>
                <c:pt idx="1223">
                  <c:v>45065</c:v>
                </c:pt>
                <c:pt idx="1224">
                  <c:v>45066</c:v>
                </c:pt>
                <c:pt idx="1225">
                  <c:v>45067</c:v>
                </c:pt>
                <c:pt idx="1226">
                  <c:v>45068</c:v>
                </c:pt>
                <c:pt idx="1227">
                  <c:v>45069</c:v>
                </c:pt>
                <c:pt idx="1228">
                  <c:v>45070</c:v>
                </c:pt>
                <c:pt idx="1229">
                  <c:v>45071</c:v>
                </c:pt>
                <c:pt idx="1230">
                  <c:v>45072</c:v>
                </c:pt>
                <c:pt idx="1231">
                  <c:v>45073</c:v>
                </c:pt>
                <c:pt idx="1232">
                  <c:v>45074</c:v>
                </c:pt>
                <c:pt idx="1233">
                  <c:v>45075</c:v>
                </c:pt>
                <c:pt idx="1234">
                  <c:v>45076</c:v>
                </c:pt>
                <c:pt idx="1235">
                  <c:v>45077</c:v>
                </c:pt>
                <c:pt idx="1236">
                  <c:v>45078</c:v>
                </c:pt>
                <c:pt idx="1237">
                  <c:v>45079</c:v>
                </c:pt>
                <c:pt idx="1238">
                  <c:v>45080</c:v>
                </c:pt>
                <c:pt idx="1239">
                  <c:v>45081</c:v>
                </c:pt>
                <c:pt idx="1240">
                  <c:v>45082</c:v>
                </c:pt>
                <c:pt idx="1241">
                  <c:v>45083</c:v>
                </c:pt>
                <c:pt idx="1242">
                  <c:v>45084</c:v>
                </c:pt>
                <c:pt idx="1243">
                  <c:v>45085</c:v>
                </c:pt>
                <c:pt idx="1244">
                  <c:v>45086</c:v>
                </c:pt>
                <c:pt idx="1245">
                  <c:v>45087</c:v>
                </c:pt>
                <c:pt idx="1246">
                  <c:v>45088</c:v>
                </c:pt>
                <c:pt idx="1247">
                  <c:v>45089</c:v>
                </c:pt>
                <c:pt idx="1248">
                  <c:v>45090</c:v>
                </c:pt>
                <c:pt idx="1249">
                  <c:v>45091</c:v>
                </c:pt>
                <c:pt idx="1250">
                  <c:v>45092</c:v>
                </c:pt>
                <c:pt idx="1251">
                  <c:v>45093</c:v>
                </c:pt>
                <c:pt idx="1252">
                  <c:v>45094</c:v>
                </c:pt>
                <c:pt idx="1253">
                  <c:v>45095</c:v>
                </c:pt>
                <c:pt idx="1254">
                  <c:v>45096</c:v>
                </c:pt>
                <c:pt idx="1255">
                  <c:v>45097</c:v>
                </c:pt>
                <c:pt idx="1256">
                  <c:v>45098</c:v>
                </c:pt>
                <c:pt idx="1257">
                  <c:v>45099</c:v>
                </c:pt>
                <c:pt idx="1258">
                  <c:v>45100</c:v>
                </c:pt>
                <c:pt idx="1259">
                  <c:v>45101</c:v>
                </c:pt>
                <c:pt idx="1260">
                  <c:v>45102</c:v>
                </c:pt>
                <c:pt idx="1261">
                  <c:v>45103</c:v>
                </c:pt>
                <c:pt idx="1262">
                  <c:v>45104</c:v>
                </c:pt>
                <c:pt idx="1263">
                  <c:v>45105</c:v>
                </c:pt>
                <c:pt idx="1264">
                  <c:v>45106</c:v>
                </c:pt>
                <c:pt idx="1265">
                  <c:v>45107</c:v>
                </c:pt>
                <c:pt idx="1266">
                  <c:v>45108</c:v>
                </c:pt>
                <c:pt idx="1267">
                  <c:v>45109</c:v>
                </c:pt>
                <c:pt idx="1268">
                  <c:v>45110</c:v>
                </c:pt>
                <c:pt idx="1269">
                  <c:v>45111</c:v>
                </c:pt>
                <c:pt idx="1270">
                  <c:v>45112</c:v>
                </c:pt>
                <c:pt idx="1271">
                  <c:v>45113</c:v>
                </c:pt>
                <c:pt idx="1272">
                  <c:v>45114</c:v>
                </c:pt>
                <c:pt idx="1273">
                  <c:v>45115</c:v>
                </c:pt>
                <c:pt idx="1274">
                  <c:v>45116</c:v>
                </c:pt>
                <c:pt idx="1275">
                  <c:v>45117</c:v>
                </c:pt>
                <c:pt idx="1276">
                  <c:v>45118</c:v>
                </c:pt>
                <c:pt idx="1277">
                  <c:v>45119</c:v>
                </c:pt>
                <c:pt idx="1278">
                  <c:v>45120</c:v>
                </c:pt>
                <c:pt idx="1279">
                  <c:v>45121</c:v>
                </c:pt>
                <c:pt idx="1280">
                  <c:v>45122</c:v>
                </c:pt>
                <c:pt idx="1281">
                  <c:v>45123</c:v>
                </c:pt>
                <c:pt idx="1282">
                  <c:v>45124</c:v>
                </c:pt>
                <c:pt idx="1283">
                  <c:v>45125</c:v>
                </c:pt>
                <c:pt idx="1284">
                  <c:v>45126</c:v>
                </c:pt>
                <c:pt idx="1285">
                  <c:v>45127</c:v>
                </c:pt>
                <c:pt idx="1286">
                  <c:v>45128</c:v>
                </c:pt>
                <c:pt idx="1287">
                  <c:v>45129</c:v>
                </c:pt>
                <c:pt idx="1288">
                  <c:v>45130</c:v>
                </c:pt>
                <c:pt idx="1289">
                  <c:v>45131</c:v>
                </c:pt>
                <c:pt idx="1290">
                  <c:v>45132</c:v>
                </c:pt>
                <c:pt idx="1291">
                  <c:v>45133</c:v>
                </c:pt>
                <c:pt idx="1292">
                  <c:v>45134</c:v>
                </c:pt>
                <c:pt idx="1293">
                  <c:v>45135</c:v>
                </c:pt>
                <c:pt idx="1294">
                  <c:v>45136</c:v>
                </c:pt>
                <c:pt idx="1295">
                  <c:v>45137</c:v>
                </c:pt>
                <c:pt idx="1296">
                  <c:v>45138</c:v>
                </c:pt>
                <c:pt idx="1297">
                  <c:v>45139</c:v>
                </c:pt>
                <c:pt idx="1298">
                  <c:v>45140</c:v>
                </c:pt>
                <c:pt idx="1299">
                  <c:v>45141</c:v>
                </c:pt>
                <c:pt idx="1300">
                  <c:v>45142</c:v>
                </c:pt>
                <c:pt idx="1301">
                  <c:v>45143</c:v>
                </c:pt>
                <c:pt idx="1302">
                  <c:v>45144</c:v>
                </c:pt>
                <c:pt idx="1303">
                  <c:v>45145</c:v>
                </c:pt>
                <c:pt idx="1304">
                  <c:v>45146</c:v>
                </c:pt>
                <c:pt idx="1305">
                  <c:v>45147</c:v>
                </c:pt>
                <c:pt idx="1306">
                  <c:v>45148</c:v>
                </c:pt>
                <c:pt idx="1307">
                  <c:v>45149</c:v>
                </c:pt>
                <c:pt idx="1308">
                  <c:v>45150</c:v>
                </c:pt>
                <c:pt idx="1309">
                  <c:v>45151</c:v>
                </c:pt>
                <c:pt idx="1310">
                  <c:v>45152</c:v>
                </c:pt>
                <c:pt idx="1311">
                  <c:v>45153</c:v>
                </c:pt>
                <c:pt idx="1312">
                  <c:v>45154</c:v>
                </c:pt>
                <c:pt idx="1313">
                  <c:v>45155</c:v>
                </c:pt>
                <c:pt idx="1314">
                  <c:v>45156</c:v>
                </c:pt>
                <c:pt idx="1315">
                  <c:v>45157</c:v>
                </c:pt>
                <c:pt idx="1316">
                  <c:v>45158</c:v>
                </c:pt>
                <c:pt idx="1317">
                  <c:v>45159</c:v>
                </c:pt>
                <c:pt idx="1318">
                  <c:v>45160</c:v>
                </c:pt>
                <c:pt idx="1319">
                  <c:v>45161</c:v>
                </c:pt>
                <c:pt idx="1320">
                  <c:v>45162</c:v>
                </c:pt>
                <c:pt idx="1321">
                  <c:v>45163</c:v>
                </c:pt>
                <c:pt idx="1322">
                  <c:v>45164</c:v>
                </c:pt>
                <c:pt idx="1323">
                  <c:v>45165</c:v>
                </c:pt>
                <c:pt idx="1324">
                  <c:v>45166</c:v>
                </c:pt>
                <c:pt idx="1325">
                  <c:v>45167</c:v>
                </c:pt>
                <c:pt idx="1326">
                  <c:v>45168</c:v>
                </c:pt>
                <c:pt idx="1327">
                  <c:v>45169</c:v>
                </c:pt>
                <c:pt idx="1328">
                  <c:v>45170</c:v>
                </c:pt>
                <c:pt idx="1329">
                  <c:v>45171</c:v>
                </c:pt>
                <c:pt idx="1330">
                  <c:v>45172</c:v>
                </c:pt>
                <c:pt idx="1331">
                  <c:v>45173</c:v>
                </c:pt>
                <c:pt idx="1332">
                  <c:v>45174</c:v>
                </c:pt>
                <c:pt idx="1333">
                  <c:v>45175</c:v>
                </c:pt>
                <c:pt idx="1334">
                  <c:v>45176</c:v>
                </c:pt>
                <c:pt idx="1335">
                  <c:v>45177</c:v>
                </c:pt>
                <c:pt idx="1336">
                  <c:v>45178</c:v>
                </c:pt>
                <c:pt idx="1337">
                  <c:v>45179</c:v>
                </c:pt>
                <c:pt idx="1338">
                  <c:v>45180</c:v>
                </c:pt>
                <c:pt idx="1339">
                  <c:v>45181</c:v>
                </c:pt>
                <c:pt idx="1340">
                  <c:v>45182</c:v>
                </c:pt>
                <c:pt idx="1341">
                  <c:v>45183</c:v>
                </c:pt>
                <c:pt idx="1342">
                  <c:v>45184</c:v>
                </c:pt>
                <c:pt idx="1343">
                  <c:v>45185</c:v>
                </c:pt>
                <c:pt idx="1344">
                  <c:v>45186</c:v>
                </c:pt>
                <c:pt idx="1345">
                  <c:v>45187</c:v>
                </c:pt>
                <c:pt idx="1346">
                  <c:v>45188</c:v>
                </c:pt>
                <c:pt idx="1347">
                  <c:v>45189</c:v>
                </c:pt>
                <c:pt idx="1348">
                  <c:v>45190</c:v>
                </c:pt>
                <c:pt idx="1349">
                  <c:v>45191</c:v>
                </c:pt>
                <c:pt idx="1350">
                  <c:v>45192</c:v>
                </c:pt>
                <c:pt idx="1351">
                  <c:v>45193</c:v>
                </c:pt>
                <c:pt idx="1352">
                  <c:v>45194</c:v>
                </c:pt>
                <c:pt idx="1353">
                  <c:v>45195</c:v>
                </c:pt>
                <c:pt idx="1354">
                  <c:v>45196</c:v>
                </c:pt>
                <c:pt idx="1355">
                  <c:v>45197</c:v>
                </c:pt>
                <c:pt idx="1356">
                  <c:v>45198</c:v>
                </c:pt>
                <c:pt idx="1357">
                  <c:v>45199</c:v>
                </c:pt>
                <c:pt idx="1358">
                  <c:v>45200</c:v>
                </c:pt>
                <c:pt idx="1359">
                  <c:v>45201</c:v>
                </c:pt>
                <c:pt idx="1360">
                  <c:v>45202</c:v>
                </c:pt>
                <c:pt idx="1361">
                  <c:v>45203</c:v>
                </c:pt>
                <c:pt idx="1362">
                  <c:v>45204</c:v>
                </c:pt>
                <c:pt idx="1363">
                  <c:v>45205</c:v>
                </c:pt>
                <c:pt idx="1364">
                  <c:v>45206</c:v>
                </c:pt>
                <c:pt idx="1365">
                  <c:v>45207</c:v>
                </c:pt>
                <c:pt idx="1366">
                  <c:v>45208</c:v>
                </c:pt>
                <c:pt idx="1367">
                  <c:v>45209</c:v>
                </c:pt>
                <c:pt idx="1368">
                  <c:v>45210</c:v>
                </c:pt>
                <c:pt idx="1369">
                  <c:v>45211</c:v>
                </c:pt>
                <c:pt idx="1370">
                  <c:v>45212</c:v>
                </c:pt>
                <c:pt idx="1371">
                  <c:v>45213</c:v>
                </c:pt>
                <c:pt idx="1372">
                  <c:v>45214</c:v>
                </c:pt>
                <c:pt idx="1373">
                  <c:v>45215</c:v>
                </c:pt>
                <c:pt idx="1374">
                  <c:v>45216</c:v>
                </c:pt>
                <c:pt idx="1375">
                  <c:v>45217</c:v>
                </c:pt>
                <c:pt idx="1376">
                  <c:v>45218</c:v>
                </c:pt>
                <c:pt idx="1377">
                  <c:v>45219</c:v>
                </c:pt>
                <c:pt idx="1378">
                  <c:v>45220</c:v>
                </c:pt>
                <c:pt idx="1379">
                  <c:v>45221</c:v>
                </c:pt>
                <c:pt idx="1380">
                  <c:v>45222</c:v>
                </c:pt>
                <c:pt idx="1381">
                  <c:v>45223</c:v>
                </c:pt>
                <c:pt idx="1382">
                  <c:v>45224</c:v>
                </c:pt>
                <c:pt idx="1383">
                  <c:v>45225</c:v>
                </c:pt>
                <c:pt idx="1384">
                  <c:v>45226</c:v>
                </c:pt>
                <c:pt idx="1385">
                  <c:v>45227</c:v>
                </c:pt>
                <c:pt idx="1386">
                  <c:v>45228</c:v>
                </c:pt>
                <c:pt idx="1387">
                  <c:v>45229</c:v>
                </c:pt>
                <c:pt idx="1388">
                  <c:v>45230</c:v>
                </c:pt>
                <c:pt idx="1389">
                  <c:v>45231</c:v>
                </c:pt>
                <c:pt idx="1390">
                  <c:v>45232</c:v>
                </c:pt>
                <c:pt idx="1391">
                  <c:v>45233</c:v>
                </c:pt>
                <c:pt idx="1392">
                  <c:v>45234</c:v>
                </c:pt>
                <c:pt idx="1393">
                  <c:v>45235</c:v>
                </c:pt>
                <c:pt idx="1394">
                  <c:v>45236</c:v>
                </c:pt>
                <c:pt idx="1395">
                  <c:v>45237</c:v>
                </c:pt>
                <c:pt idx="1396">
                  <c:v>45238</c:v>
                </c:pt>
                <c:pt idx="1397">
                  <c:v>45239</c:v>
                </c:pt>
                <c:pt idx="1398">
                  <c:v>45240</c:v>
                </c:pt>
                <c:pt idx="1399">
                  <c:v>45241</c:v>
                </c:pt>
                <c:pt idx="1400">
                  <c:v>45242</c:v>
                </c:pt>
                <c:pt idx="1401">
                  <c:v>45243</c:v>
                </c:pt>
                <c:pt idx="1402">
                  <c:v>45244</c:v>
                </c:pt>
                <c:pt idx="1403">
                  <c:v>45245</c:v>
                </c:pt>
                <c:pt idx="1404">
                  <c:v>45246</c:v>
                </c:pt>
                <c:pt idx="1405">
                  <c:v>45247</c:v>
                </c:pt>
                <c:pt idx="1406">
                  <c:v>45248</c:v>
                </c:pt>
                <c:pt idx="1407">
                  <c:v>45249</c:v>
                </c:pt>
                <c:pt idx="1408">
                  <c:v>45250</c:v>
                </c:pt>
                <c:pt idx="1409">
                  <c:v>45251</c:v>
                </c:pt>
                <c:pt idx="1410">
                  <c:v>45252</c:v>
                </c:pt>
                <c:pt idx="1411">
                  <c:v>45253</c:v>
                </c:pt>
                <c:pt idx="1412">
                  <c:v>45254</c:v>
                </c:pt>
                <c:pt idx="1413">
                  <c:v>45255</c:v>
                </c:pt>
                <c:pt idx="1414">
                  <c:v>45256</c:v>
                </c:pt>
                <c:pt idx="1415">
                  <c:v>45257</c:v>
                </c:pt>
                <c:pt idx="1416">
                  <c:v>45258</c:v>
                </c:pt>
                <c:pt idx="1417">
                  <c:v>45259</c:v>
                </c:pt>
                <c:pt idx="1418">
                  <c:v>45260</c:v>
                </c:pt>
                <c:pt idx="1419">
                  <c:v>45261</c:v>
                </c:pt>
                <c:pt idx="1420">
                  <c:v>45262</c:v>
                </c:pt>
                <c:pt idx="1421">
                  <c:v>45263</c:v>
                </c:pt>
                <c:pt idx="1422">
                  <c:v>45264</c:v>
                </c:pt>
                <c:pt idx="1423">
                  <c:v>45265</c:v>
                </c:pt>
                <c:pt idx="1424">
                  <c:v>45266</c:v>
                </c:pt>
                <c:pt idx="1425">
                  <c:v>45267</c:v>
                </c:pt>
                <c:pt idx="1426">
                  <c:v>45268</c:v>
                </c:pt>
                <c:pt idx="1427">
                  <c:v>45269</c:v>
                </c:pt>
                <c:pt idx="1428">
                  <c:v>45270</c:v>
                </c:pt>
                <c:pt idx="1429">
                  <c:v>45271</c:v>
                </c:pt>
                <c:pt idx="1430">
                  <c:v>45272</c:v>
                </c:pt>
                <c:pt idx="1431">
                  <c:v>45273</c:v>
                </c:pt>
                <c:pt idx="1432">
                  <c:v>45274</c:v>
                </c:pt>
                <c:pt idx="1433">
                  <c:v>45275</c:v>
                </c:pt>
                <c:pt idx="1434">
                  <c:v>45276</c:v>
                </c:pt>
                <c:pt idx="1435">
                  <c:v>45277</c:v>
                </c:pt>
                <c:pt idx="1436">
                  <c:v>45278</c:v>
                </c:pt>
                <c:pt idx="1437">
                  <c:v>45279</c:v>
                </c:pt>
                <c:pt idx="1438">
                  <c:v>45280</c:v>
                </c:pt>
                <c:pt idx="1439">
                  <c:v>45281</c:v>
                </c:pt>
                <c:pt idx="1440">
                  <c:v>45282</c:v>
                </c:pt>
                <c:pt idx="1441">
                  <c:v>45283</c:v>
                </c:pt>
                <c:pt idx="1442">
                  <c:v>45284</c:v>
                </c:pt>
                <c:pt idx="1443">
                  <c:v>45285</c:v>
                </c:pt>
                <c:pt idx="1444">
                  <c:v>45286</c:v>
                </c:pt>
                <c:pt idx="1445">
                  <c:v>45287</c:v>
                </c:pt>
                <c:pt idx="1446">
                  <c:v>45288</c:v>
                </c:pt>
                <c:pt idx="1447">
                  <c:v>45289</c:v>
                </c:pt>
                <c:pt idx="1448">
                  <c:v>45290</c:v>
                </c:pt>
                <c:pt idx="1449">
                  <c:v>45291</c:v>
                </c:pt>
                <c:pt idx="1450">
                  <c:v>45292</c:v>
                </c:pt>
                <c:pt idx="1451">
                  <c:v>45293</c:v>
                </c:pt>
                <c:pt idx="1452">
                  <c:v>45294</c:v>
                </c:pt>
                <c:pt idx="1453">
                  <c:v>45295</c:v>
                </c:pt>
                <c:pt idx="1454">
                  <c:v>45296</c:v>
                </c:pt>
                <c:pt idx="1455">
                  <c:v>45297</c:v>
                </c:pt>
                <c:pt idx="1456">
                  <c:v>45298</c:v>
                </c:pt>
                <c:pt idx="1457">
                  <c:v>45299</c:v>
                </c:pt>
                <c:pt idx="1458">
                  <c:v>45300</c:v>
                </c:pt>
                <c:pt idx="1459">
                  <c:v>45301</c:v>
                </c:pt>
                <c:pt idx="1460">
                  <c:v>45302</c:v>
                </c:pt>
                <c:pt idx="1461">
                  <c:v>45303</c:v>
                </c:pt>
                <c:pt idx="1462">
                  <c:v>45304</c:v>
                </c:pt>
                <c:pt idx="1463">
                  <c:v>45305</c:v>
                </c:pt>
                <c:pt idx="1464">
                  <c:v>45306</c:v>
                </c:pt>
                <c:pt idx="1465">
                  <c:v>45307</c:v>
                </c:pt>
                <c:pt idx="1466">
                  <c:v>45308</c:v>
                </c:pt>
                <c:pt idx="1467">
                  <c:v>45309</c:v>
                </c:pt>
                <c:pt idx="1468">
                  <c:v>45310</c:v>
                </c:pt>
                <c:pt idx="1469">
                  <c:v>45311</c:v>
                </c:pt>
                <c:pt idx="1470">
                  <c:v>45312</c:v>
                </c:pt>
                <c:pt idx="1471">
                  <c:v>45313</c:v>
                </c:pt>
                <c:pt idx="1472">
                  <c:v>45314</c:v>
                </c:pt>
                <c:pt idx="1473">
                  <c:v>45315</c:v>
                </c:pt>
                <c:pt idx="1474">
                  <c:v>45316</c:v>
                </c:pt>
                <c:pt idx="1475">
                  <c:v>45317</c:v>
                </c:pt>
                <c:pt idx="1476">
                  <c:v>45318</c:v>
                </c:pt>
                <c:pt idx="1477">
                  <c:v>45319</c:v>
                </c:pt>
                <c:pt idx="1478">
                  <c:v>45320</c:v>
                </c:pt>
                <c:pt idx="1479">
                  <c:v>45321</c:v>
                </c:pt>
                <c:pt idx="1480">
                  <c:v>45322</c:v>
                </c:pt>
                <c:pt idx="1481">
                  <c:v>45323</c:v>
                </c:pt>
                <c:pt idx="1482">
                  <c:v>45324</c:v>
                </c:pt>
                <c:pt idx="1483">
                  <c:v>45325</c:v>
                </c:pt>
                <c:pt idx="1484">
                  <c:v>45326</c:v>
                </c:pt>
                <c:pt idx="1485">
                  <c:v>45327</c:v>
                </c:pt>
                <c:pt idx="1486">
                  <c:v>45328</c:v>
                </c:pt>
                <c:pt idx="1487">
                  <c:v>45329</c:v>
                </c:pt>
                <c:pt idx="1488">
                  <c:v>45330</c:v>
                </c:pt>
                <c:pt idx="1489">
                  <c:v>45331</c:v>
                </c:pt>
                <c:pt idx="1490">
                  <c:v>45332</c:v>
                </c:pt>
                <c:pt idx="1491">
                  <c:v>45333</c:v>
                </c:pt>
                <c:pt idx="1492">
                  <c:v>45334</c:v>
                </c:pt>
                <c:pt idx="1493">
                  <c:v>45335</c:v>
                </c:pt>
                <c:pt idx="1494">
                  <c:v>45336</c:v>
                </c:pt>
                <c:pt idx="1495">
                  <c:v>45337</c:v>
                </c:pt>
                <c:pt idx="1496">
                  <c:v>45338</c:v>
                </c:pt>
                <c:pt idx="1497">
                  <c:v>45339</c:v>
                </c:pt>
                <c:pt idx="1498">
                  <c:v>45340</c:v>
                </c:pt>
                <c:pt idx="1499">
                  <c:v>45341</c:v>
                </c:pt>
                <c:pt idx="1500">
                  <c:v>45342</c:v>
                </c:pt>
                <c:pt idx="1501">
                  <c:v>45343</c:v>
                </c:pt>
                <c:pt idx="1502">
                  <c:v>45344</c:v>
                </c:pt>
                <c:pt idx="1503">
                  <c:v>45345</c:v>
                </c:pt>
                <c:pt idx="1504">
                  <c:v>45346</c:v>
                </c:pt>
                <c:pt idx="1505">
                  <c:v>45347</c:v>
                </c:pt>
                <c:pt idx="1506">
                  <c:v>45348</c:v>
                </c:pt>
                <c:pt idx="1507">
                  <c:v>45349</c:v>
                </c:pt>
                <c:pt idx="1508">
                  <c:v>45350</c:v>
                </c:pt>
                <c:pt idx="1509">
                  <c:v>45351</c:v>
                </c:pt>
                <c:pt idx="1510">
                  <c:v>45352</c:v>
                </c:pt>
                <c:pt idx="1511">
                  <c:v>45353</c:v>
                </c:pt>
                <c:pt idx="1512">
                  <c:v>45354</c:v>
                </c:pt>
                <c:pt idx="1513">
                  <c:v>45355</c:v>
                </c:pt>
                <c:pt idx="1514">
                  <c:v>45356</c:v>
                </c:pt>
                <c:pt idx="1515">
                  <c:v>45357</c:v>
                </c:pt>
                <c:pt idx="1516">
                  <c:v>45358</c:v>
                </c:pt>
                <c:pt idx="1517">
                  <c:v>45359</c:v>
                </c:pt>
                <c:pt idx="1518">
                  <c:v>45360</c:v>
                </c:pt>
                <c:pt idx="1519">
                  <c:v>45361</c:v>
                </c:pt>
                <c:pt idx="1520">
                  <c:v>45362</c:v>
                </c:pt>
                <c:pt idx="1521">
                  <c:v>45363</c:v>
                </c:pt>
                <c:pt idx="1522">
                  <c:v>45364</c:v>
                </c:pt>
                <c:pt idx="1523">
                  <c:v>45365</c:v>
                </c:pt>
                <c:pt idx="1524">
                  <c:v>45366</c:v>
                </c:pt>
                <c:pt idx="1525">
                  <c:v>45367</c:v>
                </c:pt>
                <c:pt idx="1526">
                  <c:v>45368</c:v>
                </c:pt>
                <c:pt idx="1527">
                  <c:v>45369</c:v>
                </c:pt>
                <c:pt idx="1528">
                  <c:v>45370</c:v>
                </c:pt>
                <c:pt idx="1529">
                  <c:v>45371</c:v>
                </c:pt>
                <c:pt idx="1530">
                  <c:v>45372</c:v>
                </c:pt>
                <c:pt idx="1531">
                  <c:v>45373</c:v>
                </c:pt>
                <c:pt idx="1532">
                  <c:v>45374</c:v>
                </c:pt>
                <c:pt idx="1533">
                  <c:v>45375</c:v>
                </c:pt>
                <c:pt idx="1534">
                  <c:v>45376</c:v>
                </c:pt>
                <c:pt idx="1535">
                  <c:v>45377</c:v>
                </c:pt>
                <c:pt idx="1536">
                  <c:v>45378</c:v>
                </c:pt>
                <c:pt idx="1537">
                  <c:v>45379</c:v>
                </c:pt>
                <c:pt idx="1538">
                  <c:v>45380</c:v>
                </c:pt>
                <c:pt idx="1539">
                  <c:v>45381</c:v>
                </c:pt>
                <c:pt idx="1540">
                  <c:v>45382</c:v>
                </c:pt>
                <c:pt idx="1541">
                  <c:v>45383</c:v>
                </c:pt>
                <c:pt idx="1542">
                  <c:v>45384</c:v>
                </c:pt>
                <c:pt idx="1543">
                  <c:v>45385</c:v>
                </c:pt>
                <c:pt idx="1544">
                  <c:v>45386</c:v>
                </c:pt>
                <c:pt idx="1545">
                  <c:v>45387</c:v>
                </c:pt>
                <c:pt idx="1546">
                  <c:v>45388</c:v>
                </c:pt>
                <c:pt idx="1547">
                  <c:v>45389</c:v>
                </c:pt>
                <c:pt idx="1548">
                  <c:v>45390</c:v>
                </c:pt>
                <c:pt idx="1549">
                  <c:v>45391</c:v>
                </c:pt>
                <c:pt idx="1550">
                  <c:v>45392</c:v>
                </c:pt>
                <c:pt idx="1551">
                  <c:v>45393</c:v>
                </c:pt>
                <c:pt idx="1552">
                  <c:v>45394</c:v>
                </c:pt>
                <c:pt idx="1553">
                  <c:v>45395</c:v>
                </c:pt>
                <c:pt idx="1554">
                  <c:v>45396</c:v>
                </c:pt>
                <c:pt idx="1555">
                  <c:v>45397</c:v>
                </c:pt>
                <c:pt idx="1556">
                  <c:v>45398</c:v>
                </c:pt>
                <c:pt idx="1557">
                  <c:v>45399</c:v>
                </c:pt>
                <c:pt idx="1558">
                  <c:v>45400</c:v>
                </c:pt>
                <c:pt idx="1559">
                  <c:v>45401</c:v>
                </c:pt>
                <c:pt idx="1560">
                  <c:v>45402</c:v>
                </c:pt>
                <c:pt idx="1561">
                  <c:v>45403</c:v>
                </c:pt>
                <c:pt idx="1562">
                  <c:v>45404</c:v>
                </c:pt>
                <c:pt idx="1563">
                  <c:v>45405</c:v>
                </c:pt>
                <c:pt idx="1564">
                  <c:v>45406</c:v>
                </c:pt>
                <c:pt idx="1565">
                  <c:v>45407</c:v>
                </c:pt>
                <c:pt idx="1566">
                  <c:v>45408</c:v>
                </c:pt>
                <c:pt idx="1567">
                  <c:v>45409</c:v>
                </c:pt>
                <c:pt idx="1568">
                  <c:v>45410</c:v>
                </c:pt>
                <c:pt idx="1569">
                  <c:v>45411</c:v>
                </c:pt>
                <c:pt idx="1570">
                  <c:v>45412</c:v>
                </c:pt>
                <c:pt idx="1571">
                  <c:v>45413</c:v>
                </c:pt>
                <c:pt idx="1572">
                  <c:v>45414</c:v>
                </c:pt>
                <c:pt idx="1573">
                  <c:v>45415</c:v>
                </c:pt>
                <c:pt idx="1574">
                  <c:v>45416</c:v>
                </c:pt>
                <c:pt idx="1575">
                  <c:v>45417</c:v>
                </c:pt>
                <c:pt idx="1576">
                  <c:v>45418</c:v>
                </c:pt>
                <c:pt idx="1577">
                  <c:v>45419</c:v>
                </c:pt>
                <c:pt idx="1578">
                  <c:v>45420</c:v>
                </c:pt>
                <c:pt idx="1579">
                  <c:v>45421</c:v>
                </c:pt>
                <c:pt idx="1580">
                  <c:v>45422</c:v>
                </c:pt>
                <c:pt idx="1581">
                  <c:v>45423</c:v>
                </c:pt>
                <c:pt idx="1582">
                  <c:v>45424</c:v>
                </c:pt>
                <c:pt idx="1583">
                  <c:v>45425</c:v>
                </c:pt>
                <c:pt idx="1584">
                  <c:v>45426</c:v>
                </c:pt>
                <c:pt idx="1585">
                  <c:v>45427</c:v>
                </c:pt>
                <c:pt idx="1586">
                  <c:v>45428</c:v>
                </c:pt>
                <c:pt idx="1587">
                  <c:v>45429</c:v>
                </c:pt>
                <c:pt idx="1588">
                  <c:v>45430</c:v>
                </c:pt>
                <c:pt idx="1589">
                  <c:v>45431</c:v>
                </c:pt>
                <c:pt idx="1590">
                  <c:v>45432</c:v>
                </c:pt>
                <c:pt idx="1591">
                  <c:v>45433</c:v>
                </c:pt>
                <c:pt idx="1592">
                  <c:v>45434</c:v>
                </c:pt>
                <c:pt idx="1593">
                  <c:v>45435</c:v>
                </c:pt>
                <c:pt idx="1594">
                  <c:v>45436</c:v>
                </c:pt>
                <c:pt idx="1595">
                  <c:v>45437</c:v>
                </c:pt>
                <c:pt idx="1596">
                  <c:v>45438</c:v>
                </c:pt>
                <c:pt idx="1597">
                  <c:v>45439</c:v>
                </c:pt>
                <c:pt idx="1598">
                  <c:v>45440</c:v>
                </c:pt>
                <c:pt idx="1599">
                  <c:v>45441</c:v>
                </c:pt>
                <c:pt idx="1600">
                  <c:v>45442</c:v>
                </c:pt>
                <c:pt idx="1601">
                  <c:v>45443</c:v>
                </c:pt>
                <c:pt idx="1602">
                  <c:v>45444</c:v>
                </c:pt>
                <c:pt idx="1603">
                  <c:v>45445</c:v>
                </c:pt>
                <c:pt idx="1604">
                  <c:v>45446</c:v>
                </c:pt>
                <c:pt idx="1605">
                  <c:v>45447</c:v>
                </c:pt>
                <c:pt idx="1606">
                  <c:v>45448</c:v>
                </c:pt>
                <c:pt idx="1607">
                  <c:v>45449</c:v>
                </c:pt>
                <c:pt idx="1608">
                  <c:v>45450</c:v>
                </c:pt>
                <c:pt idx="1609">
                  <c:v>45451</c:v>
                </c:pt>
                <c:pt idx="1610">
                  <c:v>45452</c:v>
                </c:pt>
                <c:pt idx="1611">
                  <c:v>45453</c:v>
                </c:pt>
                <c:pt idx="1612">
                  <c:v>45454</c:v>
                </c:pt>
                <c:pt idx="1613">
                  <c:v>45455</c:v>
                </c:pt>
                <c:pt idx="1614">
                  <c:v>45456</c:v>
                </c:pt>
                <c:pt idx="1615">
                  <c:v>45457</c:v>
                </c:pt>
                <c:pt idx="1616">
                  <c:v>45458</c:v>
                </c:pt>
                <c:pt idx="1617">
                  <c:v>45459</c:v>
                </c:pt>
                <c:pt idx="1618">
                  <c:v>45460</c:v>
                </c:pt>
                <c:pt idx="1619">
                  <c:v>45461</c:v>
                </c:pt>
                <c:pt idx="1620">
                  <c:v>45462</c:v>
                </c:pt>
                <c:pt idx="1621">
                  <c:v>45463</c:v>
                </c:pt>
                <c:pt idx="1622">
                  <c:v>45464</c:v>
                </c:pt>
                <c:pt idx="1623">
                  <c:v>45465</c:v>
                </c:pt>
                <c:pt idx="1624">
                  <c:v>45466</c:v>
                </c:pt>
                <c:pt idx="1625">
                  <c:v>45467</c:v>
                </c:pt>
                <c:pt idx="1626">
                  <c:v>45468</c:v>
                </c:pt>
                <c:pt idx="1627">
                  <c:v>45469</c:v>
                </c:pt>
                <c:pt idx="1628">
                  <c:v>45470</c:v>
                </c:pt>
                <c:pt idx="1629">
                  <c:v>45471</c:v>
                </c:pt>
                <c:pt idx="1630">
                  <c:v>45472</c:v>
                </c:pt>
                <c:pt idx="1631">
                  <c:v>45473</c:v>
                </c:pt>
                <c:pt idx="1632">
                  <c:v>45474</c:v>
                </c:pt>
                <c:pt idx="1633">
                  <c:v>45475</c:v>
                </c:pt>
                <c:pt idx="1634">
                  <c:v>45476</c:v>
                </c:pt>
                <c:pt idx="1635">
                  <c:v>45477</c:v>
                </c:pt>
                <c:pt idx="1636">
                  <c:v>45478</c:v>
                </c:pt>
                <c:pt idx="1637">
                  <c:v>45479</c:v>
                </c:pt>
                <c:pt idx="1638">
                  <c:v>45480</c:v>
                </c:pt>
                <c:pt idx="1639">
                  <c:v>45481</c:v>
                </c:pt>
                <c:pt idx="1640">
                  <c:v>45482</c:v>
                </c:pt>
                <c:pt idx="1641">
                  <c:v>45483</c:v>
                </c:pt>
                <c:pt idx="1642">
                  <c:v>45484</c:v>
                </c:pt>
                <c:pt idx="1643">
                  <c:v>45485</c:v>
                </c:pt>
                <c:pt idx="1644">
                  <c:v>45486</c:v>
                </c:pt>
                <c:pt idx="1645">
                  <c:v>45487</c:v>
                </c:pt>
                <c:pt idx="1646">
                  <c:v>45488</c:v>
                </c:pt>
                <c:pt idx="1647">
                  <c:v>45489</c:v>
                </c:pt>
                <c:pt idx="1648">
                  <c:v>45490</c:v>
                </c:pt>
                <c:pt idx="1649">
                  <c:v>45491</c:v>
                </c:pt>
                <c:pt idx="1650">
                  <c:v>45492</c:v>
                </c:pt>
                <c:pt idx="1651">
                  <c:v>45493</c:v>
                </c:pt>
                <c:pt idx="1652">
                  <c:v>45494</c:v>
                </c:pt>
                <c:pt idx="1653">
                  <c:v>45495</c:v>
                </c:pt>
                <c:pt idx="1654">
                  <c:v>45496</c:v>
                </c:pt>
                <c:pt idx="1655">
                  <c:v>45497</c:v>
                </c:pt>
                <c:pt idx="1656">
                  <c:v>45498</c:v>
                </c:pt>
                <c:pt idx="1657">
                  <c:v>45499</c:v>
                </c:pt>
                <c:pt idx="1658">
                  <c:v>45500</c:v>
                </c:pt>
                <c:pt idx="1659">
                  <c:v>45501</c:v>
                </c:pt>
                <c:pt idx="1660">
                  <c:v>45502</c:v>
                </c:pt>
                <c:pt idx="1661">
                  <c:v>45503</c:v>
                </c:pt>
                <c:pt idx="1662">
                  <c:v>45504</c:v>
                </c:pt>
                <c:pt idx="1663">
                  <c:v>45505</c:v>
                </c:pt>
                <c:pt idx="1664">
                  <c:v>45506</c:v>
                </c:pt>
                <c:pt idx="1665">
                  <c:v>45507</c:v>
                </c:pt>
                <c:pt idx="1666">
                  <c:v>45508</c:v>
                </c:pt>
                <c:pt idx="1667">
                  <c:v>45509</c:v>
                </c:pt>
                <c:pt idx="1668">
                  <c:v>45510</c:v>
                </c:pt>
                <c:pt idx="1669">
                  <c:v>45511</c:v>
                </c:pt>
                <c:pt idx="1670">
                  <c:v>45512</c:v>
                </c:pt>
                <c:pt idx="1671">
                  <c:v>45513</c:v>
                </c:pt>
                <c:pt idx="1672">
                  <c:v>45514</c:v>
                </c:pt>
                <c:pt idx="1673">
                  <c:v>45515</c:v>
                </c:pt>
                <c:pt idx="1674">
                  <c:v>45516</c:v>
                </c:pt>
                <c:pt idx="1675">
                  <c:v>45517</c:v>
                </c:pt>
                <c:pt idx="1676">
                  <c:v>45518</c:v>
                </c:pt>
                <c:pt idx="1677">
                  <c:v>45519</c:v>
                </c:pt>
                <c:pt idx="1678">
                  <c:v>45520</c:v>
                </c:pt>
                <c:pt idx="1679">
                  <c:v>45521</c:v>
                </c:pt>
                <c:pt idx="1680">
                  <c:v>45522</c:v>
                </c:pt>
                <c:pt idx="1681">
                  <c:v>45523</c:v>
                </c:pt>
                <c:pt idx="1682">
                  <c:v>45524</c:v>
                </c:pt>
                <c:pt idx="1683">
                  <c:v>45525</c:v>
                </c:pt>
                <c:pt idx="1684">
                  <c:v>45526</c:v>
                </c:pt>
                <c:pt idx="1685">
                  <c:v>45527</c:v>
                </c:pt>
                <c:pt idx="1686">
                  <c:v>45528</c:v>
                </c:pt>
                <c:pt idx="1687">
                  <c:v>45529</c:v>
                </c:pt>
                <c:pt idx="1688">
                  <c:v>45530</c:v>
                </c:pt>
                <c:pt idx="1689">
                  <c:v>45531</c:v>
                </c:pt>
                <c:pt idx="1690">
                  <c:v>45532</c:v>
                </c:pt>
                <c:pt idx="1691">
                  <c:v>45533</c:v>
                </c:pt>
                <c:pt idx="1692">
                  <c:v>45534</c:v>
                </c:pt>
                <c:pt idx="1693">
                  <c:v>45535</c:v>
                </c:pt>
                <c:pt idx="1694">
                  <c:v>45536</c:v>
                </c:pt>
                <c:pt idx="1695">
                  <c:v>45537</c:v>
                </c:pt>
                <c:pt idx="1696">
                  <c:v>45538</c:v>
                </c:pt>
                <c:pt idx="1697">
                  <c:v>45539</c:v>
                </c:pt>
                <c:pt idx="1698">
                  <c:v>45540</c:v>
                </c:pt>
                <c:pt idx="1699">
                  <c:v>45541</c:v>
                </c:pt>
                <c:pt idx="1700">
                  <c:v>45542</c:v>
                </c:pt>
                <c:pt idx="1701">
                  <c:v>45543</c:v>
                </c:pt>
                <c:pt idx="1702">
                  <c:v>45544</c:v>
                </c:pt>
                <c:pt idx="1703">
                  <c:v>45545</c:v>
                </c:pt>
                <c:pt idx="1704">
                  <c:v>45546</c:v>
                </c:pt>
                <c:pt idx="1705">
                  <c:v>45547</c:v>
                </c:pt>
                <c:pt idx="1706">
                  <c:v>45548</c:v>
                </c:pt>
                <c:pt idx="1707">
                  <c:v>45549</c:v>
                </c:pt>
                <c:pt idx="1708">
                  <c:v>45550</c:v>
                </c:pt>
                <c:pt idx="1709">
                  <c:v>45551</c:v>
                </c:pt>
                <c:pt idx="1710">
                  <c:v>45552</c:v>
                </c:pt>
                <c:pt idx="1711">
                  <c:v>45553</c:v>
                </c:pt>
                <c:pt idx="1712">
                  <c:v>45554</c:v>
                </c:pt>
                <c:pt idx="1713">
                  <c:v>45555</c:v>
                </c:pt>
                <c:pt idx="1714">
                  <c:v>45556</c:v>
                </c:pt>
                <c:pt idx="1715">
                  <c:v>45557</c:v>
                </c:pt>
                <c:pt idx="1716">
                  <c:v>45558</c:v>
                </c:pt>
                <c:pt idx="1717">
                  <c:v>45559</c:v>
                </c:pt>
                <c:pt idx="1718">
                  <c:v>45560</c:v>
                </c:pt>
                <c:pt idx="1719">
                  <c:v>45561</c:v>
                </c:pt>
                <c:pt idx="1720">
                  <c:v>45562</c:v>
                </c:pt>
                <c:pt idx="1721">
                  <c:v>45563</c:v>
                </c:pt>
                <c:pt idx="1722">
                  <c:v>45564</c:v>
                </c:pt>
                <c:pt idx="1723">
                  <c:v>45565</c:v>
                </c:pt>
                <c:pt idx="1724">
                  <c:v>45566</c:v>
                </c:pt>
                <c:pt idx="1725">
                  <c:v>45567</c:v>
                </c:pt>
                <c:pt idx="1726">
                  <c:v>45568</c:v>
                </c:pt>
                <c:pt idx="1727">
                  <c:v>45569</c:v>
                </c:pt>
                <c:pt idx="1728">
                  <c:v>45570</c:v>
                </c:pt>
                <c:pt idx="1729">
                  <c:v>45571</c:v>
                </c:pt>
                <c:pt idx="1730">
                  <c:v>45572</c:v>
                </c:pt>
                <c:pt idx="1731">
                  <c:v>45573</c:v>
                </c:pt>
                <c:pt idx="1732">
                  <c:v>45574</c:v>
                </c:pt>
                <c:pt idx="1733">
                  <c:v>45575</c:v>
                </c:pt>
                <c:pt idx="1734">
                  <c:v>45576</c:v>
                </c:pt>
                <c:pt idx="1735">
                  <c:v>45577</c:v>
                </c:pt>
                <c:pt idx="1736">
                  <c:v>45578</c:v>
                </c:pt>
                <c:pt idx="1737">
                  <c:v>45579</c:v>
                </c:pt>
                <c:pt idx="1738">
                  <c:v>45580</c:v>
                </c:pt>
                <c:pt idx="1739">
                  <c:v>45581</c:v>
                </c:pt>
                <c:pt idx="1740">
                  <c:v>45582</c:v>
                </c:pt>
                <c:pt idx="1741">
                  <c:v>45583</c:v>
                </c:pt>
                <c:pt idx="1742">
                  <c:v>45584</c:v>
                </c:pt>
                <c:pt idx="1743">
                  <c:v>45585</c:v>
                </c:pt>
                <c:pt idx="1744">
                  <c:v>45586</c:v>
                </c:pt>
                <c:pt idx="1745">
                  <c:v>45587</c:v>
                </c:pt>
                <c:pt idx="1746">
                  <c:v>45588</c:v>
                </c:pt>
                <c:pt idx="1747">
                  <c:v>45589</c:v>
                </c:pt>
                <c:pt idx="1748">
                  <c:v>45590</c:v>
                </c:pt>
                <c:pt idx="1749">
                  <c:v>45591</c:v>
                </c:pt>
                <c:pt idx="1750">
                  <c:v>45592</c:v>
                </c:pt>
                <c:pt idx="1751">
                  <c:v>45593</c:v>
                </c:pt>
                <c:pt idx="1752">
                  <c:v>45594</c:v>
                </c:pt>
                <c:pt idx="1753">
                  <c:v>45595</c:v>
                </c:pt>
                <c:pt idx="1754">
                  <c:v>45596</c:v>
                </c:pt>
                <c:pt idx="1755">
                  <c:v>45597</c:v>
                </c:pt>
                <c:pt idx="1756">
                  <c:v>45598</c:v>
                </c:pt>
                <c:pt idx="1757">
                  <c:v>45599</c:v>
                </c:pt>
                <c:pt idx="1758">
                  <c:v>45600</c:v>
                </c:pt>
                <c:pt idx="1759">
                  <c:v>45601</c:v>
                </c:pt>
                <c:pt idx="1760">
                  <c:v>45602</c:v>
                </c:pt>
                <c:pt idx="1761">
                  <c:v>45603</c:v>
                </c:pt>
                <c:pt idx="1762">
                  <c:v>45604</c:v>
                </c:pt>
                <c:pt idx="1763">
                  <c:v>45605</c:v>
                </c:pt>
                <c:pt idx="1764">
                  <c:v>45606</c:v>
                </c:pt>
                <c:pt idx="1765">
                  <c:v>45607</c:v>
                </c:pt>
                <c:pt idx="1766">
                  <c:v>45608</c:v>
                </c:pt>
                <c:pt idx="1767">
                  <c:v>45609</c:v>
                </c:pt>
                <c:pt idx="1768">
                  <c:v>45610</c:v>
                </c:pt>
                <c:pt idx="1769">
                  <c:v>45611</c:v>
                </c:pt>
                <c:pt idx="1770">
                  <c:v>45612</c:v>
                </c:pt>
                <c:pt idx="1771">
                  <c:v>45613</c:v>
                </c:pt>
                <c:pt idx="1772">
                  <c:v>45614</c:v>
                </c:pt>
                <c:pt idx="1773">
                  <c:v>45615</c:v>
                </c:pt>
                <c:pt idx="1774">
                  <c:v>45616</c:v>
                </c:pt>
                <c:pt idx="1775">
                  <c:v>45617</c:v>
                </c:pt>
                <c:pt idx="1776">
                  <c:v>45618</c:v>
                </c:pt>
                <c:pt idx="1777">
                  <c:v>45619</c:v>
                </c:pt>
                <c:pt idx="1778">
                  <c:v>45620</c:v>
                </c:pt>
                <c:pt idx="1779">
                  <c:v>45621</c:v>
                </c:pt>
                <c:pt idx="1780">
                  <c:v>45622</c:v>
                </c:pt>
                <c:pt idx="1781">
                  <c:v>45623</c:v>
                </c:pt>
                <c:pt idx="1782">
                  <c:v>45624</c:v>
                </c:pt>
                <c:pt idx="1783">
                  <c:v>45625</c:v>
                </c:pt>
                <c:pt idx="1784">
                  <c:v>45626</c:v>
                </c:pt>
                <c:pt idx="1785">
                  <c:v>45627</c:v>
                </c:pt>
                <c:pt idx="1786">
                  <c:v>45628</c:v>
                </c:pt>
                <c:pt idx="1787">
                  <c:v>45629</c:v>
                </c:pt>
                <c:pt idx="1788">
                  <c:v>45630</c:v>
                </c:pt>
                <c:pt idx="1789">
                  <c:v>45631</c:v>
                </c:pt>
                <c:pt idx="1790">
                  <c:v>45632</c:v>
                </c:pt>
                <c:pt idx="1791">
                  <c:v>45633</c:v>
                </c:pt>
                <c:pt idx="1792">
                  <c:v>45634</c:v>
                </c:pt>
                <c:pt idx="1793">
                  <c:v>45635</c:v>
                </c:pt>
                <c:pt idx="1794">
                  <c:v>45636</c:v>
                </c:pt>
                <c:pt idx="1795">
                  <c:v>45637</c:v>
                </c:pt>
                <c:pt idx="1796">
                  <c:v>45638</c:v>
                </c:pt>
                <c:pt idx="1797">
                  <c:v>45639</c:v>
                </c:pt>
                <c:pt idx="1798">
                  <c:v>45640</c:v>
                </c:pt>
                <c:pt idx="1799">
                  <c:v>45641</c:v>
                </c:pt>
                <c:pt idx="1800">
                  <c:v>45642</c:v>
                </c:pt>
                <c:pt idx="1801">
                  <c:v>45643</c:v>
                </c:pt>
                <c:pt idx="1802">
                  <c:v>45644</c:v>
                </c:pt>
                <c:pt idx="1803">
                  <c:v>45645</c:v>
                </c:pt>
                <c:pt idx="1804">
                  <c:v>45646</c:v>
                </c:pt>
                <c:pt idx="1805">
                  <c:v>45647</c:v>
                </c:pt>
                <c:pt idx="1806">
                  <c:v>45648</c:v>
                </c:pt>
                <c:pt idx="1807">
                  <c:v>45649</c:v>
                </c:pt>
                <c:pt idx="1808">
                  <c:v>45650</c:v>
                </c:pt>
                <c:pt idx="1809">
                  <c:v>45651</c:v>
                </c:pt>
                <c:pt idx="1810">
                  <c:v>45652</c:v>
                </c:pt>
                <c:pt idx="1811">
                  <c:v>45653</c:v>
                </c:pt>
                <c:pt idx="1812">
                  <c:v>45654</c:v>
                </c:pt>
                <c:pt idx="1813">
                  <c:v>45655</c:v>
                </c:pt>
                <c:pt idx="1814">
                  <c:v>45656</c:v>
                </c:pt>
                <c:pt idx="1815">
                  <c:v>45657</c:v>
                </c:pt>
                <c:pt idx="1816">
                  <c:v>45658</c:v>
                </c:pt>
                <c:pt idx="1817">
                  <c:v>45659</c:v>
                </c:pt>
                <c:pt idx="1818">
                  <c:v>45660</c:v>
                </c:pt>
                <c:pt idx="1819">
                  <c:v>45661</c:v>
                </c:pt>
                <c:pt idx="1820">
                  <c:v>45662</c:v>
                </c:pt>
                <c:pt idx="1821">
                  <c:v>45663</c:v>
                </c:pt>
                <c:pt idx="1822">
                  <c:v>45664</c:v>
                </c:pt>
                <c:pt idx="1823">
                  <c:v>45665</c:v>
                </c:pt>
                <c:pt idx="1824">
                  <c:v>45666</c:v>
                </c:pt>
                <c:pt idx="1825">
                  <c:v>45667</c:v>
                </c:pt>
                <c:pt idx="1826">
                  <c:v>45668</c:v>
                </c:pt>
                <c:pt idx="1827">
                  <c:v>45669</c:v>
                </c:pt>
                <c:pt idx="1828">
                  <c:v>45670</c:v>
                </c:pt>
                <c:pt idx="1829">
                  <c:v>45671</c:v>
                </c:pt>
                <c:pt idx="1830">
                  <c:v>45672</c:v>
                </c:pt>
                <c:pt idx="1831">
                  <c:v>45673</c:v>
                </c:pt>
                <c:pt idx="1832">
                  <c:v>45674</c:v>
                </c:pt>
                <c:pt idx="1833">
                  <c:v>45675</c:v>
                </c:pt>
                <c:pt idx="1834">
                  <c:v>45676</c:v>
                </c:pt>
                <c:pt idx="1835">
                  <c:v>45677</c:v>
                </c:pt>
                <c:pt idx="1836">
                  <c:v>45678</c:v>
                </c:pt>
                <c:pt idx="1837">
                  <c:v>45679</c:v>
                </c:pt>
                <c:pt idx="1838">
                  <c:v>45680</c:v>
                </c:pt>
                <c:pt idx="1839">
                  <c:v>45681</c:v>
                </c:pt>
                <c:pt idx="1840">
                  <c:v>45682</c:v>
                </c:pt>
                <c:pt idx="1841">
                  <c:v>45683</c:v>
                </c:pt>
                <c:pt idx="1842">
                  <c:v>45684</c:v>
                </c:pt>
                <c:pt idx="1843">
                  <c:v>45685</c:v>
                </c:pt>
                <c:pt idx="1844">
                  <c:v>45686</c:v>
                </c:pt>
                <c:pt idx="1845">
                  <c:v>45687</c:v>
                </c:pt>
                <c:pt idx="1846">
                  <c:v>45688</c:v>
                </c:pt>
                <c:pt idx="1847">
                  <c:v>45689</c:v>
                </c:pt>
                <c:pt idx="1848">
                  <c:v>45690</c:v>
                </c:pt>
                <c:pt idx="1849">
                  <c:v>45691</c:v>
                </c:pt>
                <c:pt idx="1850">
                  <c:v>45692</c:v>
                </c:pt>
                <c:pt idx="1851">
                  <c:v>45693</c:v>
                </c:pt>
                <c:pt idx="1852">
                  <c:v>45694</c:v>
                </c:pt>
                <c:pt idx="1853">
                  <c:v>45695</c:v>
                </c:pt>
                <c:pt idx="1854">
                  <c:v>45696</c:v>
                </c:pt>
                <c:pt idx="1855">
                  <c:v>45697</c:v>
                </c:pt>
                <c:pt idx="1856">
                  <c:v>45698</c:v>
                </c:pt>
                <c:pt idx="1857">
                  <c:v>45699</c:v>
                </c:pt>
                <c:pt idx="1858">
                  <c:v>45700</c:v>
                </c:pt>
                <c:pt idx="1859">
                  <c:v>45701</c:v>
                </c:pt>
                <c:pt idx="1860">
                  <c:v>45702</c:v>
                </c:pt>
                <c:pt idx="1861">
                  <c:v>45703</c:v>
                </c:pt>
                <c:pt idx="1862">
                  <c:v>45704</c:v>
                </c:pt>
                <c:pt idx="1863">
                  <c:v>45705</c:v>
                </c:pt>
                <c:pt idx="1864">
                  <c:v>45706</c:v>
                </c:pt>
                <c:pt idx="1865">
                  <c:v>45707</c:v>
                </c:pt>
                <c:pt idx="1866">
                  <c:v>45708</c:v>
                </c:pt>
                <c:pt idx="1867">
                  <c:v>45709</c:v>
                </c:pt>
                <c:pt idx="1868">
                  <c:v>45710</c:v>
                </c:pt>
                <c:pt idx="1869">
                  <c:v>45711</c:v>
                </c:pt>
                <c:pt idx="1870">
                  <c:v>45712</c:v>
                </c:pt>
                <c:pt idx="1871">
                  <c:v>45713</c:v>
                </c:pt>
                <c:pt idx="1872">
                  <c:v>45714</c:v>
                </c:pt>
                <c:pt idx="1873">
                  <c:v>45715</c:v>
                </c:pt>
                <c:pt idx="1874">
                  <c:v>45716</c:v>
                </c:pt>
                <c:pt idx="1875">
                  <c:v>45717</c:v>
                </c:pt>
                <c:pt idx="1876">
                  <c:v>45718</c:v>
                </c:pt>
                <c:pt idx="1877">
                  <c:v>45719</c:v>
                </c:pt>
                <c:pt idx="1878">
                  <c:v>45720</c:v>
                </c:pt>
                <c:pt idx="1879">
                  <c:v>45721</c:v>
                </c:pt>
                <c:pt idx="1880">
                  <c:v>45722</c:v>
                </c:pt>
                <c:pt idx="1881">
                  <c:v>45723</c:v>
                </c:pt>
                <c:pt idx="1882">
                  <c:v>45724</c:v>
                </c:pt>
                <c:pt idx="1883">
                  <c:v>45725</c:v>
                </c:pt>
                <c:pt idx="1884">
                  <c:v>45726</c:v>
                </c:pt>
                <c:pt idx="1885">
                  <c:v>45727</c:v>
                </c:pt>
                <c:pt idx="1886">
                  <c:v>45728</c:v>
                </c:pt>
                <c:pt idx="1887">
                  <c:v>45729</c:v>
                </c:pt>
                <c:pt idx="1888">
                  <c:v>45730</c:v>
                </c:pt>
                <c:pt idx="1889">
                  <c:v>45731</c:v>
                </c:pt>
                <c:pt idx="1890">
                  <c:v>45732</c:v>
                </c:pt>
                <c:pt idx="1891">
                  <c:v>45733</c:v>
                </c:pt>
                <c:pt idx="1892">
                  <c:v>45734</c:v>
                </c:pt>
                <c:pt idx="1893">
                  <c:v>45735</c:v>
                </c:pt>
                <c:pt idx="1894">
                  <c:v>45736</c:v>
                </c:pt>
                <c:pt idx="1895">
                  <c:v>45737</c:v>
                </c:pt>
                <c:pt idx="1896">
                  <c:v>45738</c:v>
                </c:pt>
                <c:pt idx="1897">
                  <c:v>45739</c:v>
                </c:pt>
                <c:pt idx="1898">
                  <c:v>45740</c:v>
                </c:pt>
                <c:pt idx="1899">
                  <c:v>45741</c:v>
                </c:pt>
                <c:pt idx="1900">
                  <c:v>45742</c:v>
                </c:pt>
                <c:pt idx="1901">
                  <c:v>45743</c:v>
                </c:pt>
                <c:pt idx="1902">
                  <c:v>45744</c:v>
                </c:pt>
                <c:pt idx="1903">
                  <c:v>45745</c:v>
                </c:pt>
                <c:pt idx="1904">
                  <c:v>45746</c:v>
                </c:pt>
                <c:pt idx="1905">
                  <c:v>45747</c:v>
                </c:pt>
                <c:pt idx="1906">
                  <c:v>45748</c:v>
                </c:pt>
                <c:pt idx="1907">
                  <c:v>45749</c:v>
                </c:pt>
                <c:pt idx="1908">
                  <c:v>45750</c:v>
                </c:pt>
                <c:pt idx="1909">
                  <c:v>45751</c:v>
                </c:pt>
                <c:pt idx="1910">
                  <c:v>45752</c:v>
                </c:pt>
                <c:pt idx="1911">
                  <c:v>45753</c:v>
                </c:pt>
                <c:pt idx="1912">
                  <c:v>45754</c:v>
                </c:pt>
                <c:pt idx="1913">
                  <c:v>45755</c:v>
                </c:pt>
                <c:pt idx="1914">
                  <c:v>45756</c:v>
                </c:pt>
                <c:pt idx="1915">
                  <c:v>45757</c:v>
                </c:pt>
                <c:pt idx="1916">
                  <c:v>45758</c:v>
                </c:pt>
                <c:pt idx="1917">
                  <c:v>45759</c:v>
                </c:pt>
                <c:pt idx="1918">
                  <c:v>45760</c:v>
                </c:pt>
                <c:pt idx="1919">
                  <c:v>45761</c:v>
                </c:pt>
                <c:pt idx="1920">
                  <c:v>45762</c:v>
                </c:pt>
                <c:pt idx="1921">
                  <c:v>45763</c:v>
                </c:pt>
                <c:pt idx="1922">
                  <c:v>45764</c:v>
                </c:pt>
                <c:pt idx="1923">
                  <c:v>45765</c:v>
                </c:pt>
                <c:pt idx="1924">
                  <c:v>45766</c:v>
                </c:pt>
                <c:pt idx="1925">
                  <c:v>45767</c:v>
                </c:pt>
                <c:pt idx="1926">
                  <c:v>45768</c:v>
                </c:pt>
                <c:pt idx="1927">
                  <c:v>45769</c:v>
                </c:pt>
                <c:pt idx="1928">
                  <c:v>45770</c:v>
                </c:pt>
                <c:pt idx="1929">
                  <c:v>45771</c:v>
                </c:pt>
                <c:pt idx="1930">
                  <c:v>45772</c:v>
                </c:pt>
                <c:pt idx="1931">
                  <c:v>45773</c:v>
                </c:pt>
                <c:pt idx="1932">
                  <c:v>45774</c:v>
                </c:pt>
                <c:pt idx="1933">
                  <c:v>45775</c:v>
                </c:pt>
                <c:pt idx="1934">
                  <c:v>45776</c:v>
                </c:pt>
                <c:pt idx="1935">
                  <c:v>45777</c:v>
                </c:pt>
                <c:pt idx="1936">
                  <c:v>45778</c:v>
                </c:pt>
                <c:pt idx="1937">
                  <c:v>45779</c:v>
                </c:pt>
                <c:pt idx="1938">
                  <c:v>45780</c:v>
                </c:pt>
                <c:pt idx="1939">
                  <c:v>45781</c:v>
                </c:pt>
                <c:pt idx="1940">
                  <c:v>45782</c:v>
                </c:pt>
                <c:pt idx="1941">
                  <c:v>45783</c:v>
                </c:pt>
                <c:pt idx="1942">
                  <c:v>45784</c:v>
                </c:pt>
                <c:pt idx="1943">
                  <c:v>45785</c:v>
                </c:pt>
                <c:pt idx="1944">
                  <c:v>45786</c:v>
                </c:pt>
                <c:pt idx="1945">
                  <c:v>45787</c:v>
                </c:pt>
                <c:pt idx="1946">
                  <c:v>45788</c:v>
                </c:pt>
                <c:pt idx="1947">
                  <c:v>45789</c:v>
                </c:pt>
                <c:pt idx="1948">
                  <c:v>45790</c:v>
                </c:pt>
                <c:pt idx="1949">
                  <c:v>45791</c:v>
                </c:pt>
                <c:pt idx="1950">
                  <c:v>45792</c:v>
                </c:pt>
                <c:pt idx="1951">
                  <c:v>45793</c:v>
                </c:pt>
                <c:pt idx="1952">
                  <c:v>45794</c:v>
                </c:pt>
                <c:pt idx="1953">
                  <c:v>45795</c:v>
                </c:pt>
                <c:pt idx="1954">
                  <c:v>45796</c:v>
                </c:pt>
                <c:pt idx="1955">
                  <c:v>45797</c:v>
                </c:pt>
                <c:pt idx="1956">
                  <c:v>45798</c:v>
                </c:pt>
                <c:pt idx="1957">
                  <c:v>45799</c:v>
                </c:pt>
                <c:pt idx="1958">
                  <c:v>45800</c:v>
                </c:pt>
                <c:pt idx="1959">
                  <c:v>45801</c:v>
                </c:pt>
                <c:pt idx="1960">
                  <c:v>45802</c:v>
                </c:pt>
                <c:pt idx="1961">
                  <c:v>45803</c:v>
                </c:pt>
                <c:pt idx="1962">
                  <c:v>45804</c:v>
                </c:pt>
                <c:pt idx="1963">
                  <c:v>45805</c:v>
                </c:pt>
                <c:pt idx="1964">
                  <c:v>45806</c:v>
                </c:pt>
                <c:pt idx="1965">
                  <c:v>45807</c:v>
                </c:pt>
                <c:pt idx="1966">
                  <c:v>45808</c:v>
                </c:pt>
                <c:pt idx="1967">
                  <c:v>45809</c:v>
                </c:pt>
                <c:pt idx="1968">
                  <c:v>45810</c:v>
                </c:pt>
                <c:pt idx="1969">
                  <c:v>45811</c:v>
                </c:pt>
                <c:pt idx="1970">
                  <c:v>45812</c:v>
                </c:pt>
                <c:pt idx="1971">
                  <c:v>45813</c:v>
                </c:pt>
                <c:pt idx="1972">
                  <c:v>45814</c:v>
                </c:pt>
                <c:pt idx="1973">
                  <c:v>45815</c:v>
                </c:pt>
                <c:pt idx="1974">
                  <c:v>45816</c:v>
                </c:pt>
                <c:pt idx="1975">
                  <c:v>45817</c:v>
                </c:pt>
                <c:pt idx="1976">
                  <c:v>45818</c:v>
                </c:pt>
                <c:pt idx="1977">
                  <c:v>45819</c:v>
                </c:pt>
                <c:pt idx="1978">
                  <c:v>45820</c:v>
                </c:pt>
                <c:pt idx="1979">
                  <c:v>45821</c:v>
                </c:pt>
                <c:pt idx="1980">
                  <c:v>45822</c:v>
                </c:pt>
                <c:pt idx="1981">
                  <c:v>45823</c:v>
                </c:pt>
                <c:pt idx="1982">
                  <c:v>45824</c:v>
                </c:pt>
                <c:pt idx="1983">
                  <c:v>45825</c:v>
                </c:pt>
                <c:pt idx="1984">
                  <c:v>45826</c:v>
                </c:pt>
                <c:pt idx="1985">
                  <c:v>45827</c:v>
                </c:pt>
                <c:pt idx="1986">
                  <c:v>45828</c:v>
                </c:pt>
                <c:pt idx="1987">
                  <c:v>45829</c:v>
                </c:pt>
                <c:pt idx="1988">
                  <c:v>45830</c:v>
                </c:pt>
                <c:pt idx="1989">
                  <c:v>45831</c:v>
                </c:pt>
                <c:pt idx="1990">
                  <c:v>45832</c:v>
                </c:pt>
                <c:pt idx="1991">
                  <c:v>45833</c:v>
                </c:pt>
                <c:pt idx="1992">
                  <c:v>45834</c:v>
                </c:pt>
                <c:pt idx="1993">
                  <c:v>45835</c:v>
                </c:pt>
                <c:pt idx="1994">
                  <c:v>45836</c:v>
                </c:pt>
                <c:pt idx="1995">
                  <c:v>45837</c:v>
                </c:pt>
                <c:pt idx="1996">
                  <c:v>45838</c:v>
                </c:pt>
                <c:pt idx="1997">
                  <c:v>45839</c:v>
                </c:pt>
                <c:pt idx="1998">
                  <c:v>45840</c:v>
                </c:pt>
                <c:pt idx="1999">
                  <c:v>45841</c:v>
                </c:pt>
                <c:pt idx="2000">
                  <c:v>45842</c:v>
                </c:pt>
                <c:pt idx="2001">
                  <c:v>45843</c:v>
                </c:pt>
                <c:pt idx="2002">
                  <c:v>45844</c:v>
                </c:pt>
                <c:pt idx="2003">
                  <c:v>45845</c:v>
                </c:pt>
                <c:pt idx="2004">
                  <c:v>45846</c:v>
                </c:pt>
                <c:pt idx="2005">
                  <c:v>45847</c:v>
                </c:pt>
                <c:pt idx="2006">
                  <c:v>45848</c:v>
                </c:pt>
                <c:pt idx="2007">
                  <c:v>45849</c:v>
                </c:pt>
                <c:pt idx="2008">
                  <c:v>45850</c:v>
                </c:pt>
                <c:pt idx="2009">
                  <c:v>45851</c:v>
                </c:pt>
                <c:pt idx="2010">
                  <c:v>45852</c:v>
                </c:pt>
                <c:pt idx="2011">
                  <c:v>45853</c:v>
                </c:pt>
                <c:pt idx="2012">
                  <c:v>45854</c:v>
                </c:pt>
                <c:pt idx="2013">
                  <c:v>45855</c:v>
                </c:pt>
                <c:pt idx="2014">
                  <c:v>45856</c:v>
                </c:pt>
                <c:pt idx="2015">
                  <c:v>45857</c:v>
                </c:pt>
                <c:pt idx="2016">
                  <c:v>45858</c:v>
                </c:pt>
                <c:pt idx="2017">
                  <c:v>45859</c:v>
                </c:pt>
                <c:pt idx="2018">
                  <c:v>45860</c:v>
                </c:pt>
                <c:pt idx="2019">
                  <c:v>45861</c:v>
                </c:pt>
                <c:pt idx="2020">
                  <c:v>45862</c:v>
                </c:pt>
                <c:pt idx="2021">
                  <c:v>45863</c:v>
                </c:pt>
                <c:pt idx="2022">
                  <c:v>45864</c:v>
                </c:pt>
                <c:pt idx="2023">
                  <c:v>45865</c:v>
                </c:pt>
                <c:pt idx="2024">
                  <c:v>45866</c:v>
                </c:pt>
                <c:pt idx="2025">
                  <c:v>45867</c:v>
                </c:pt>
                <c:pt idx="2026">
                  <c:v>45868</c:v>
                </c:pt>
                <c:pt idx="2027">
                  <c:v>45869</c:v>
                </c:pt>
                <c:pt idx="2028">
                  <c:v>45870</c:v>
                </c:pt>
                <c:pt idx="2029">
                  <c:v>45871</c:v>
                </c:pt>
                <c:pt idx="2030">
                  <c:v>45872</c:v>
                </c:pt>
                <c:pt idx="2031">
                  <c:v>45873</c:v>
                </c:pt>
                <c:pt idx="2032">
                  <c:v>45874</c:v>
                </c:pt>
                <c:pt idx="2033">
                  <c:v>45875</c:v>
                </c:pt>
                <c:pt idx="2034">
                  <c:v>45876</c:v>
                </c:pt>
                <c:pt idx="2035">
                  <c:v>45877</c:v>
                </c:pt>
                <c:pt idx="2036">
                  <c:v>45878</c:v>
                </c:pt>
                <c:pt idx="2037">
                  <c:v>45879</c:v>
                </c:pt>
                <c:pt idx="2038">
                  <c:v>45880</c:v>
                </c:pt>
                <c:pt idx="2039">
                  <c:v>45881</c:v>
                </c:pt>
                <c:pt idx="2040">
                  <c:v>45882</c:v>
                </c:pt>
                <c:pt idx="2041">
                  <c:v>45883</c:v>
                </c:pt>
                <c:pt idx="2042">
                  <c:v>45884</c:v>
                </c:pt>
                <c:pt idx="2043">
                  <c:v>45885</c:v>
                </c:pt>
                <c:pt idx="2044">
                  <c:v>45886</c:v>
                </c:pt>
                <c:pt idx="2045">
                  <c:v>45887</c:v>
                </c:pt>
                <c:pt idx="2046">
                  <c:v>45888</c:v>
                </c:pt>
                <c:pt idx="2047">
                  <c:v>45889</c:v>
                </c:pt>
                <c:pt idx="2048">
                  <c:v>45890</c:v>
                </c:pt>
                <c:pt idx="2049">
                  <c:v>45891</c:v>
                </c:pt>
                <c:pt idx="2050">
                  <c:v>45892</c:v>
                </c:pt>
                <c:pt idx="2051">
                  <c:v>45893</c:v>
                </c:pt>
                <c:pt idx="2052">
                  <c:v>45894</c:v>
                </c:pt>
                <c:pt idx="2053">
                  <c:v>45895</c:v>
                </c:pt>
                <c:pt idx="2054">
                  <c:v>45896</c:v>
                </c:pt>
                <c:pt idx="2055">
                  <c:v>45897</c:v>
                </c:pt>
                <c:pt idx="2056">
                  <c:v>45898</c:v>
                </c:pt>
                <c:pt idx="2057">
                  <c:v>45899</c:v>
                </c:pt>
                <c:pt idx="2058">
                  <c:v>45900</c:v>
                </c:pt>
                <c:pt idx="2059">
                  <c:v>45901</c:v>
                </c:pt>
                <c:pt idx="2060">
                  <c:v>45902</c:v>
                </c:pt>
                <c:pt idx="2061">
                  <c:v>45903</c:v>
                </c:pt>
                <c:pt idx="2062">
                  <c:v>45904</c:v>
                </c:pt>
                <c:pt idx="2063">
                  <c:v>45905</c:v>
                </c:pt>
                <c:pt idx="2064">
                  <c:v>45906</c:v>
                </c:pt>
                <c:pt idx="2065">
                  <c:v>45907</c:v>
                </c:pt>
                <c:pt idx="2066">
                  <c:v>45908</c:v>
                </c:pt>
                <c:pt idx="2067">
                  <c:v>45909</c:v>
                </c:pt>
                <c:pt idx="2068">
                  <c:v>45910</c:v>
                </c:pt>
                <c:pt idx="2069">
                  <c:v>45911</c:v>
                </c:pt>
                <c:pt idx="2070">
                  <c:v>45912</c:v>
                </c:pt>
                <c:pt idx="2071">
                  <c:v>45913</c:v>
                </c:pt>
                <c:pt idx="2072">
                  <c:v>45914</c:v>
                </c:pt>
                <c:pt idx="2073">
                  <c:v>45915</c:v>
                </c:pt>
                <c:pt idx="2074">
                  <c:v>45916</c:v>
                </c:pt>
                <c:pt idx="2075">
                  <c:v>45917</c:v>
                </c:pt>
                <c:pt idx="2076">
                  <c:v>45918</c:v>
                </c:pt>
                <c:pt idx="2077">
                  <c:v>45919</c:v>
                </c:pt>
                <c:pt idx="2078">
                  <c:v>45920</c:v>
                </c:pt>
                <c:pt idx="2079">
                  <c:v>45921</c:v>
                </c:pt>
                <c:pt idx="2080">
                  <c:v>45922</c:v>
                </c:pt>
                <c:pt idx="2081">
                  <c:v>45923</c:v>
                </c:pt>
                <c:pt idx="2082">
                  <c:v>45924</c:v>
                </c:pt>
                <c:pt idx="2083">
                  <c:v>45925</c:v>
                </c:pt>
                <c:pt idx="2084">
                  <c:v>45926</c:v>
                </c:pt>
                <c:pt idx="2085">
                  <c:v>45927</c:v>
                </c:pt>
                <c:pt idx="2086">
                  <c:v>45928</c:v>
                </c:pt>
                <c:pt idx="2087">
                  <c:v>45929</c:v>
                </c:pt>
                <c:pt idx="2088">
                  <c:v>45930</c:v>
                </c:pt>
                <c:pt idx="2089">
                  <c:v>45931</c:v>
                </c:pt>
                <c:pt idx="2090">
                  <c:v>45932</c:v>
                </c:pt>
                <c:pt idx="2091">
                  <c:v>45933</c:v>
                </c:pt>
                <c:pt idx="2092">
                  <c:v>45934</c:v>
                </c:pt>
                <c:pt idx="2093">
                  <c:v>45935</c:v>
                </c:pt>
                <c:pt idx="2094">
                  <c:v>45936</c:v>
                </c:pt>
                <c:pt idx="2095">
                  <c:v>45937</c:v>
                </c:pt>
                <c:pt idx="2096">
                  <c:v>45938</c:v>
                </c:pt>
                <c:pt idx="2097">
                  <c:v>45939</c:v>
                </c:pt>
                <c:pt idx="2098">
                  <c:v>45940</c:v>
                </c:pt>
                <c:pt idx="2099">
                  <c:v>45941</c:v>
                </c:pt>
                <c:pt idx="2100">
                  <c:v>45942</c:v>
                </c:pt>
                <c:pt idx="2101">
                  <c:v>45943</c:v>
                </c:pt>
                <c:pt idx="2102">
                  <c:v>45944</c:v>
                </c:pt>
                <c:pt idx="2103">
                  <c:v>45945</c:v>
                </c:pt>
                <c:pt idx="2104">
                  <c:v>45946</c:v>
                </c:pt>
                <c:pt idx="2105">
                  <c:v>45947</c:v>
                </c:pt>
                <c:pt idx="2106">
                  <c:v>45948</c:v>
                </c:pt>
                <c:pt idx="2107">
                  <c:v>45949</c:v>
                </c:pt>
                <c:pt idx="2108">
                  <c:v>45950</c:v>
                </c:pt>
                <c:pt idx="2109">
                  <c:v>45951</c:v>
                </c:pt>
                <c:pt idx="2110">
                  <c:v>45952</c:v>
                </c:pt>
                <c:pt idx="2111">
                  <c:v>45953</c:v>
                </c:pt>
                <c:pt idx="2112">
                  <c:v>45954</c:v>
                </c:pt>
                <c:pt idx="2113">
                  <c:v>45955</c:v>
                </c:pt>
                <c:pt idx="2114">
                  <c:v>45956</c:v>
                </c:pt>
                <c:pt idx="2115">
                  <c:v>45957</c:v>
                </c:pt>
                <c:pt idx="2116">
                  <c:v>45958</c:v>
                </c:pt>
                <c:pt idx="2117">
                  <c:v>45959</c:v>
                </c:pt>
                <c:pt idx="2118">
                  <c:v>45960</c:v>
                </c:pt>
                <c:pt idx="2119">
                  <c:v>45961</c:v>
                </c:pt>
                <c:pt idx="2120">
                  <c:v>45962</c:v>
                </c:pt>
                <c:pt idx="2121">
                  <c:v>45963</c:v>
                </c:pt>
                <c:pt idx="2122">
                  <c:v>45964</c:v>
                </c:pt>
                <c:pt idx="2123">
                  <c:v>45965</c:v>
                </c:pt>
                <c:pt idx="2124">
                  <c:v>45966</c:v>
                </c:pt>
                <c:pt idx="2125">
                  <c:v>45967</c:v>
                </c:pt>
                <c:pt idx="2126">
                  <c:v>45968</c:v>
                </c:pt>
                <c:pt idx="2127">
                  <c:v>45969</c:v>
                </c:pt>
                <c:pt idx="2128">
                  <c:v>45970</c:v>
                </c:pt>
                <c:pt idx="2129">
                  <c:v>45971</c:v>
                </c:pt>
                <c:pt idx="2130">
                  <c:v>45972</c:v>
                </c:pt>
                <c:pt idx="2131">
                  <c:v>45973</c:v>
                </c:pt>
                <c:pt idx="2132">
                  <c:v>45974</c:v>
                </c:pt>
                <c:pt idx="2133">
                  <c:v>45975</c:v>
                </c:pt>
                <c:pt idx="2134">
                  <c:v>45976</c:v>
                </c:pt>
                <c:pt idx="2135">
                  <c:v>45977</c:v>
                </c:pt>
                <c:pt idx="2136">
                  <c:v>45978</c:v>
                </c:pt>
                <c:pt idx="2137">
                  <c:v>45979</c:v>
                </c:pt>
                <c:pt idx="2138">
                  <c:v>45980</c:v>
                </c:pt>
                <c:pt idx="2139">
                  <c:v>45981</c:v>
                </c:pt>
                <c:pt idx="2140">
                  <c:v>45982</c:v>
                </c:pt>
                <c:pt idx="2141">
                  <c:v>45983</c:v>
                </c:pt>
                <c:pt idx="2142">
                  <c:v>45984</c:v>
                </c:pt>
                <c:pt idx="2143">
                  <c:v>45985</c:v>
                </c:pt>
                <c:pt idx="2144">
                  <c:v>45986</c:v>
                </c:pt>
                <c:pt idx="2145">
                  <c:v>45987</c:v>
                </c:pt>
                <c:pt idx="2146">
                  <c:v>45988</c:v>
                </c:pt>
                <c:pt idx="2147">
                  <c:v>45989</c:v>
                </c:pt>
                <c:pt idx="2148">
                  <c:v>45990</c:v>
                </c:pt>
                <c:pt idx="2149">
                  <c:v>45991</c:v>
                </c:pt>
                <c:pt idx="2150">
                  <c:v>45992</c:v>
                </c:pt>
                <c:pt idx="2151">
                  <c:v>45993</c:v>
                </c:pt>
                <c:pt idx="2152">
                  <c:v>45994</c:v>
                </c:pt>
                <c:pt idx="2153">
                  <c:v>45995</c:v>
                </c:pt>
                <c:pt idx="2154">
                  <c:v>45996</c:v>
                </c:pt>
                <c:pt idx="2155">
                  <c:v>45997</c:v>
                </c:pt>
                <c:pt idx="2156">
                  <c:v>45998</c:v>
                </c:pt>
                <c:pt idx="2157">
                  <c:v>45999</c:v>
                </c:pt>
                <c:pt idx="2158">
                  <c:v>46000</c:v>
                </c:pt>
                <c:pt idx="2159">
                  <c:v>46001</c:v>
                </c:pt>
                <c:pt idx="2160">
                  <c:v>46002</c:v>
                </c:pt>
                <c:pt idx="2161">
                  <c:v>46003</c:v>
                </c:pt>
                <c:pt idx="2162">
                  <c:v>46004</c:v>
                </c:pt>
                <c:pt idx="2163">
                  <c:v>46005</c:v>
                </c:pt>
                <c:pt idx="2164">
                  <c:v>46006</c:v>
                </c:pt>
                <c:pt idx="2165">
                  <c:v>46007</c:v>
                </c:pt>
                <c:pt idx="2166">
                  <c:v>46008</c:v>
                </c:pt>
                <c:pt idx="2167">
                  <c:v>46009</c:v>
                </c:pt>
                <c:pt idx="2168">
                  <c:v>46010</c:v>
                </c:pt>
                <c:pt idx="2169">
                  <c:v>46011</c:v>
                </c:pt>
                <c:pt idx="2170">
                  <c:v>46012</c:v>
                </c:pt>
                <c:pt idx="2171">
                  <c:v>46013</c:v>
                </c:pt>
                <c:pt idx="2172">
                  <c:v>46014</c:v>
                </c:pt>
                <c:pt idx="2173">
                  <c:v>46015</c:v>
                </c:pt>
                <c:pt idx="2174">
                  <c:v>46016</c:v>
                </c:pt>
                <c:pt idx="2175">
                  <c:v>46017</c:v>
                </c:pt>
                <c:pt idx="2176">
                  <c:v>46018</c:v>
                </c:pt>
                <c:pt idx="2177">
                  <c:v>46019</c:v>
                </c:pt>
                <c:pt idx="2178">
                  <c:v>46020</c:v>
                </c:pt>
                <c:pt idx="2179">
                  <c:v>46021</c:v>
                </c:pt>
                <c:pt idx="2180">
                  <c:v>46022</c:v>
                </c:pt>
                <c:pt idx="2181">
                  <c:v>46023</c:v>
                </c:pt>
                <c:pt idx="2182">
                  <c:v>46024</c:v>
                </c:pt>
                <c:pt idx="2183">
                  <c:v>46025</c:v>
                </c:pt>
                <c:pt idx="2184">
                  <c:v>46026</c:v>
                </c:pt>
                <c:pt idx="2185">
                  <c:v>46027</c:v>
                </c:pt>
                <c:pt idx="2186">
                  <c:v>46028</c:v>
                </c:pt>
                <c:pt idx="2187">
                  <c:v>46029</c:v>
                </c:pt>
                <c:pt idx="2188">
                  <c:v>46030</c:v>
                </c:pt>
                <c:pt idx="2189">
                  <c:v>46031</c:v>
                </c:pt>
                <c:pt idx="2190">
                  <c:v>46032</c:v>
                </c:pt>
                <c:pt idx="2191">
                  <c:v>46033</c:v>
                </c:pt>
                <c:pt idx="2192">
                  <c:v>46034</c:v>
                </c:pt>
                <c:pt idx="2193">
                  <c:v>46035</c:v>
                </c:pt>
                <c:pt idx="2194">
                  <c:v>46036</c:v>
                </c:pt>
                <c:pt idx="2195">
                  <c:v>46037</c:v>
                </c:pt>
                <c:pt idx="2196">
                  <c:v>46038</c:v>
                </c:pt>
                <c:pt idx="2197">
                  <c:v>46039</c:v>
                </c:pt>
                <c:pt idx="2198">
                  <c:v>46040</c:v>
                </c:pt>
                <c:pt idx="2199">
                  <c:v>46041</c:v>
                </c:pt>
                <c:pt idx="2200">
                  <c:v>46042</c:v>
                </c:pt>
                <c:pt idx="2201">
                  <c:v>46043</c:v>
                </c:pt>
                <c:pt idx="2202">
                  <c:v>46044</c:v>
                </c:pt>
                <c:pt idx="2203">
                  <c:v>46045</c:v>
                </c:pt>
                <c:pt idx="2204">
                  <c:v>46046</c:v>
                </c:pt>
                <c:pt idx="2205">
                  <c:v>46047</c:v>
                </c:pt>
                <c:pt idx="2206">
                  <c:v>46048</c:v>
                </c:pt>
                <c:pt idx="2207">
                  <c:v>46049</c:v>
                </c:pt>
                <c:pt idx="2208">
                  <c:v>46050</c:v>
                </c:pt>
                <c:pt idx="2209">
                  <c:v>46051</c:v>
                </c:pt>
                <c:pt idx="2210">
                  <c:v>46052</c:v>
                </c:pt>
                <c:pt idx="2211">
                  <c:v>46053</c:v>
                </c:pt>
                <c:pt idx="2212">
                  <c:v>46054</c:v>
                </c:pt>
                <c:pt idx="2213">
                  <c:v>46055</c:v>
                </c:pt>
                <c:pt idx="2214">
                  <c:v>46056</c:v>
                </c:pt>
                <c:pt idx="2215">
                  <c:v>46057</c:v>
                </c:pt>
                <c:pt idx="2216">
                  <c:v>46058</c:v>
                </c:pt>
                <c:pt idx="2217">
                  <c:v>46059</c:v>
                </c:pt>
                <c:pt idx="2218">
                  <c:v>46060</c:v>
                </c:pt>
                <c:pt idx="2219">
                  <c:v>46061</c:v>
                </c:pt>
                <c:pt idx="2220">
                  <c:v>46062</c:v>
                </c:pt>
                <c:pt idx="2221">
                  <c:v>46063</c:v>
                </c:pt>
                <c:pt idx="2222">
                  <c:v>46064</c:v>
                </c:pt>
                <c:pt idx="2223">
                  <c:v>46065</c:v>
                </c:pt>
                <c:pt idx="2224">
                  <c:v>46066</c:v>
                </c:pt>
                <c:pt idx="2225">
                  <c:v>46067</c:v>
                </c:pt>
                <c:pt idx="2226">
                  <c:v>46068</c:v>
                </c:pt>
                <c:pt idx="2227">
                  <c:v>46069</c:v>
                </c:pt>
                <c:pt idx="2228">
                  <c:v>46070</c:v>
                </c:pt>
                <c:pt idx="2229">
                  <c:v>46071</c:v>
                </c:pt>
                <c:pt idx="2230">
                  <c:v>46072</c:v>
                </c:pt>
                <c:pt idx="2231">
                  <c:v>46073</c:v>
                </c:pt>
                <c:pt idx="2232">
                  <c:v>46074</c:v>
                </c:pt>
                <c:pt idx="2233">
                  <c:v>46075</c:v>
                </c:pt>
                <c:pt idx="2234">
                  <c:v>46076</c:v>
                </c:pt>
                <c:pt idx="2235">
                  <c:v>46077</c:v>
                </c:pt>
                <c:pt idx="2236">
                  <c:v>46078</c:v>
                </c:pt>
                <c:pt idx="2237">
                  <c:v>46079</c:v>
                </c:pt>
                <c:pt idx="2238">
                  <c:v>46080</c:v>
                </c:pt>
                <c:pt idx="2239">
                  <c:v>46081</c:v>
                </c:pt>
                <c:pt idx="2240">
                  <c:v>46082</c:v>
                </c:pt>
                <c:pt idx="2241">
                  <c:v>46083</c:v>
                </c:pt>
                <c:pt idx="2242">
                  <c:v>46084</c:v>
                </c:pt>
                <c:pt idx="2243">
                  <c:v>46085</c:v>
                </c:pt>
                <c:pt idx="2244">
                  <c:v>46086</c:v>
                </c:pt>
                <c:pt idx="2245">
                  <c:v>46087</c:v>
                </c:pt>
                <c:pt idx="2246">
                  <c:v>46088</c:v>
                </c:pt>
                <c:pt idx="2247">
                  <c:v>46089</c:v>
                </c:pt>
                <c:pt idx="2248">
                  <c:v>46090</c:v>
                </c:pt>
                <c:pt idx="2249">
                  <c:v>46091</c:v>
                </c:pt>
                <c:pt idx="2250">
                  <c:v>46092</c:v>
                </c:pt>
                <c:pt idx="2251">
                  <c:v>46093</c:v>
                </c:pt>
                <c:pt idx="2252">
                  <c:v>46094</c:v>
                </c:pt>
                <c:pt idx="2253">
                  <c:v>46095</c:v>
                </c:pt>
                <c:pt idx="2254">
                  <c:v>46096</c:v>
                </c:pt>
                <c:pt idx="2255">
                  <c:v>46097</c:v>
                </c:pt>
                <c:pt idx="2256">
                  <c:v>46098</c:v>
                </c:pt>
                <c:pt idx="2257">
                  <c:v>46099</c:v>
                </c:pt>
                <c:pt idx="2258">
                  <c:v>46100</c:v>
                </c:pt>
                <c:pt idx="2259">
                  <c:v>46101</c:v>
                </c:pt>
                <c:pt idx="2260">
                  <c:v>46102</c:v>
                </c:pt>
                <c:pt idx="2261">
                  <c:v>46103</c:v>
                </c:pt>
                <c:pt idx="2262">
                  <c:v>46104</c:v>
                </c:pt>
                <c:pt idx="2263">
                  <c:v>46105</c:v>
                </c:pt>
                <c:pt idx="2264">
                  <c:v>46106</c:v>
                </c:pt>
                <c:pt idx="2265">
                  <c:v>46107</c:v>
                </c:pt>
                <c:pt idx="2266">
                  <c:v>46108</c:v>
                </c:pt>
                <c:pt idx="2267">
                  <c:v>46109</c:v>
                </c:pt>
                <c:pt idx="2268">
                  <c:v>46110</c:v>
                </c:pt>
                <c:pt idx="2269">
                  <c:v>46111</c:v>
                </c:pt>
                <c:pt idx="2270">
                  <c:v>46112</c:v>
                </c:pt>
                <c:pt idx="2271">
                  <c:v>46113</c:v>
                </c:pt>
                <c:pt idx="2272">
                  <c:v>46114</c:v>
                </c:pt>
                <c:pt idx="2273">
                  <c:v>46115</c:v>
                </c:pt>
                <c:pt idx="2274">
                  <c:v>46116</c:v>
                </c:pt>
                <c:pt idx="2275">
                  <c:v>46117</c:v>
                </c:pt>
                <c:pt idx="2276">
                  <c:v>46118</c:v>
                </c:pt>
                <c:pt idx="2277">
                  <c:v>46119</c:v>
                </c:pt>
                <c:pt idx="2278">
                  <c:v>46120</c:v>
                </c:pt>
                <c:pt idx="2279">
                  <c:v>46121</c:v>
                </c:pt>
                <c:pt idx="2280">
                  <c:v>46122</c:v>
                </c:pt>
                <c:pt idx="2281">
                  <c:v>46123</c:v>
                </c:pt>
                <c:pt idx="2282">
                  <c:v>46124</c:v>
                </c:pt>
                <c:pt idx="2283">
                  <c:v>46125</c:v>
                </c:pt>
                <c:pt idx="2284">
                  <c:v>46126</c:v>
                </c:pt>
                <c:pt idx="2285">
                  <c:v>46127</c:v>
                </c:pt>
                <c:pt idx="2286">
                  <c:v>46128</c:v>
                </c:pt>
                <c:pt idx="2287">
                  <c:v>46129</c:v>
                </c:pt>
                <c:pt idx="2288">
                  <c:v>46130</c:v>
                </c:pt>
                <c:pt idx="2289">
                  <c:v>46131</c:v>
                </c:pt>
                <c:pt idx="2290">
                  <c:v>46132</c:v>
                </c:pt>
                <c:pt idx="2291">
                  <c:v>46133</c:v>
                </c:pt>
                <c:pt idx="2292">
                  <c:v>46134</c:v>
                </c:pt>
                <c:pt idx="2293">
                  <c:v>46135</c:v>
                </c:pt>
                <c:pt idx="2294">
                  <c:v>46136</c:v>
                </c:pt>
                <c:pt idx="2295">
                  <c:v>46137</c:v>
                </c:pt>
                <c:pt idx="2296">
                  <c:v>46138</c:v>
                </c:pt>
                <c:pt idx="2297">
                  <c:v>46139</c:v>
                </c:pt>
                <c:pt idx="2298">
                  <c:v>46140</c:v>
                </c:pt>
                <c:pt idx="2299">
                  <c:v>46141</c:v>
                </c:pt>
                <c:pt idx="2300">
                  <c:v>46142</c:v>
                </c:pt>
                <c:pt idx="2301">
                  <c:v>46143</c:v>
                </c:pt>
                <c:pt idx="2302">
                  <c:v>46144</c:v>
                </c:pt>
                <c:pt idx="2303">
                  <c:v>46145</c:v>
                </c:pt>
                <c:pt idx="2304">
                  <c:v>46146</c:v>
                </c:pt>
                <c:pt idx="2305">
                  <c:v>46147</c:v>
                </c:pt>
                <c:pt idx="2306">
                  <c:v>46148</c:v>
                </c:pt>
                <c:pt idx="2307">
                  <c:v>46149</c:v>
                </c:pt>
                <c:pt idx="2308">
                  <c:v>46150</c:v>
                </c:pt>
                <c:pt idx="2309">
                  <c:v>46151</c:v>
                </c:pt>
                <c:pt idx="2310">
                  <c:v>46152</c:v>
                </c:pt>
                <c:pt idx="2311">
                  <c:v>46153</c:v>
                </c:pt>
                <c:pt idx="2312">
                  <c:v>46154</c:v>
                </c:pt>
                <c:pt idx="2313">
                  <c:v>46155</c:v>
                </c:pt>
                <c:pt idx="2314">
                  <c:v>46156</c:v>
                </c:pt>
                <c:pt idx="2315">
                  <c:v>46157</c:v>
                </c:pt>
                <c:pt idx="2316">
                  <c:v>46158</c:v>
                </c:pt>
                <c:pt idx="2317">
                  <c:v>46159</c:v>
                </c:pt>
                <c:pt idx="2318">
                  <c:v>46160</c:v>
                </c:pt>
                <c:pt idx="2319">
                  <c:v>46161</c:v>
                </c:pt>
                <c:pt idx="2320">
                  <c:v>46162</c:v>
                </c:pt>
                <c:pt idx="2321">
                  <c:v>46163</c:v>
                </c:pt>
                <c:pt idx="2322">
                  <c:v>46164</c:v>
                </c:pt>
                <c:pt idx="2323">
                  <c:v>46165</c:v>
                </c:pt>
                <c:pt idx="2324">
                  <c:v>46166</c:v>
                </c:pt>
                <c:pt idx="2325">
                  <c:v>46167</c:v>
                </c:pt>
                <c:pt idx="2326">
                  <c:v>46168</c:v>
                </c:pt>
                <c:pt idx="2327">
                  <c:v>46169</c:v>
                </c:pt>
                <c:pt idx="2328">
                  <c:v>46170</c:v>
                </c:pt>
                <c:pt idx="2329">
                  <c:v>46171</c:v>
                </c:pt>
                <c:pt idx="2330">
                  <c:v>46172</c:v>
                </c:pt>
                <c:pt idx="2331">
                  <c:v>46173</c:v>
                </c:pt>
                <c:pt idx="2332">
                  <c:v>46174</c:v>
                </c:pt>
                <c:pt idx="2333">
                  <c:v>46175</c:v>
                </c:pt>
                <c:pt idx="2334">
                  <c:v>46176</c:v>
                </c:pt>
                <c:pt idx="2335">
                  <c:v>46177</c:v>
                </c:pt>
                <c:pt idx="2336">
                  <c:v>46178</c:v>
                </c:pt>
                <c:pt idx="2337">
                  <c:v>46179</c:v>
                </c:pt>
                <c:pt idx="2338">
                  <c:v>46180</c:v>
                </c:pt>
                <c:pt idx="2339">
                  <c:v>46181</c:v>
                </c:pt>
                <c:pt idx="2340">
                  <c:v>46182</c:v>
                </c:pt>
                <c:pt idx="2341">
                  <c:v>46183</c:v>
                </c:pt>
                <c:pt idx="2342">
                  <c:v>46184</c:v>
                </c:pt>
                <c:pt idx="2343">
                  <c:v>46185</c:v>
                </c:pt>
                <c:pt idx="2344">
                  <c:v>46186</c:v>
                </c:pt>
                <c:pt idx="2345">
                  <c:v>46187</c:v>
                </c:pt>
                <c:pt idx="2346">
                  <c:v>46188</c:v>
                </c:pt>
                <c:pt idx="2347">
                  <c:v>46189</c:v>
                </c:pt>
                <c:pt idx="2348">
                  <c:v>46190</c:v>
                </c:pt>
                <c:pt idx="2349">
                  <c:v>46191</c:v>
                </c:pt>
                <c:pt idx="2350">
                  <c:v>46192</c:v>
                </c:pt>
                <c:pt idx="2351">
                  <c:v>46193</c:v>
                </c:pt>
                <c:pt idx="2352">
                  <c:v>46194</c:v>
                </c:pt>
                <c:pt idx="2353">
                  <c:v>46195</c:v>
                </c:pt>
                <c:pt idx="2354">
                  <c:v>46196</c:v>
                </c:pt>
                <c:pt idx="2355">
                  <c:v>46197</c:v>
                </c:pt>
                <c:pt idx="2356">
                  <c:v>46198</c:v>
                </c:pt>
                <c:pt idx="2357">
                  <c:v>46199</c:v>
                </c:pt>
                <c:pt idx="2358">
                  <c:v>46200</c:v>
                </c:pt>
                <c:pt idx="2359">
                  <c:v>46201</c:v>
                </c:pt>
                <c:pt idx="2360">
                  <c:v>46202</c:v>
                </c:pt>
                <c:pt idx="2361">
                  <c:v>46203</c:v>
                </c:pt>
                <c:pt idx="2362">
                  <c:v>46204</c:v>
                </c:pt>
                <c:pt idx="2363">
                  <c:v>46205</c:v>
                </c:pt>
                <c:pt idx="2364">
                  <c:v>46206</c:v>
                </c:pt>
                <c:pt idx="2365">
                  <c:v>46207</c:v>
                </c:pt>
              </c:numCache>
            </c:numRef>
          </c:cat>
          <c:val>
            <c:numRef>
              <c:f>AI_Forecast!$D$2:$D$2367</c:f>
              <c:numCache>
                <c:formatCode>General</c:formatCode>
                <c:ptCount val="2366"/>
                <c:pt idx="1999" formatCode="0">
                  <c:v>10400</c:v>
                </c:pt>
                <c:pt idx="2000" formatCode="0">
                  <c:v>889.75656760236143</c:v>
                </c:pt>
                <c:pt idx="2001" formatCode="0">
                  <c:v>942.68531007394085</c:v>
                </c:pt>
                <c:pt idx="2002" formatCode="0">
                  <c:v>1089.7600146197719</c:v>
                </c:pt>
                <c:pt idx="2003" formatCode="0">
                  <c:v>864.16709289543996</c:v>
                </c:pt>
                <c:pt idx="2004" formatCode="0">
                  <c:v>-815.82767624707685</c:v>
                </c:pt>
                <c:pt idx="2005" formatCode="0">
                  <c:v>-982.43168521630923</c:v>
                </c:pt>
                <c:pt idx="2006" formatCode="0">
                  <c:v>2803.7869928509663</c:v>
                </c:pt>
                <c:pt idx="2007" formatCode="0">
                  <c:v>1777.4754686581709</c:v>
                </c:pt>
                <c:pt idx="2008" formatCode="0">
                  <c:v>893.90752545197302</c:v>
                </c:pt>
                <c:pt idx="2009" formatCode="0">
                  <c:v>364.90636595515116</c:v>
                </c:pt>
                <c:pt idx="2010" formatCode="0">
                  <c:v>1726.1572075428949</c:v>
                </c:pt>
                <c:pt idx="2011" formatCode="0">
                  <c:v>3390.9363164340002</c:v>
                </c:pt>
                <c:pt idx="2012" formatCode="0">
                  <c:v>646.30363779455547</c:v>
                </c:pt>
                <c:pt idx="2013" formatCode="0">
                  <c:v>698.50221982400308</c:v>
                </c:pt>
                <c:pt idx="2014" formatCode="0">
                  <c:v>844.76643690666788</c:v>
                </c:pt>
                <c:pt idx="2015" formatCode="0">
                  <c:v>618.28297460012982</c:v>
                </c:pt>
                <c:pt idx="2016" formatCode="0">
                  <c:v>-1062.6821064809064</c:v>
                </c:pt>
                <c:pt idx="2017" formatCode="0">
                  <c:v>-1230.3359084121876</c:v>
                </c:pt>
                <c:pt idx="2018" formatCode="0">
                  <c:v>2554.7537952706743</c:v>
                </c:pt>
                <c:pt idx="2019" formatCode="0">
                  <c:v>1527.2344248273857</c:v>
                </c:pt>
                <c:pt idx="2020" formatCode="0">
                  <c:v>642.38008369033287</c:v>
                </c:pt>
                <c:pt idx="2021" formatCode="0">
                  <c:v>112.01430605870155</c:v>
                </c:pt>
                <c:pt idx="2022" formatCode="0">
                  <c:v>1471.8226527219804</c:v>
                </c:pt>
                <c:pt idx="2023" formatCode="0">
                  <c:v>3135.0817458836491</c:v>
                </c:pt>
                <c:pt idx="2024" formatCode="0">
                  <c:v>377.42791383240728</c:v>
                </c:pt>
                <c:pt idx="2025" formatCode="0">
                  <c:v>428.00862816540666</c:v>
                </c:pt>
                <c:pt idx="2026" formatCode="0">
                  <c:v>572.58113637419137</c:v>
                </c:pt>
                <c:pt idx="2027" formatCode="0">
                  <c:v>344.33251451336946</c:v>
                </c:pt>
                <c:pt idx="2028" formatCode="0">
                  <c:v>-1338.4707723043775</c:v>
                </c:pt>
                <c:pt idx="2029" formatCode="0">
                  <c:v>-1508.0354071776719</c:v>
                </c:pt>
                <c:pt idx="2030" formatCode="0">
                  <c:v>2275.0712702735582</c:v>
                </c:pt>
                <c:pt idx="2031" formatCode="0">
                  <c:v>1245.4971296029044</c:v>
                </c:pt>
                <c:pt idx="2032" formatCode="0">
                  <c:v>358.51673933390248</c:v>
                </c:pt>
                <c:pt idx="2033" formatCode="0">
                  <c:v>-174.04588504842741</c:v>
                </c:pt>
                <c:pt idx="2034" formatCode="0">
                  <c:v>1183.4953151009431</c:v>
                </c:pt>
                <c:pt idx="2035" formatCode="0">
                  <c:v>2844.4174767623126</c:v>
                </c:pt>
                <c:pt idx="2036" formatCode="0">
                  <c:v>74.894298644832816</c:v>
                </c:pt>
                <c:pt idx="2037" formatCode="0">
                  <c:v>123.08220149118824</c:v>
                </c:pt>
                <c:pt idx="2038" formatCode="0">
                  <c:v>265.19585111355809</c:v>
                </c:pt>
                <c:pt idx="2039" formatCode="0">
                  <c:v>34.422869028861896</c:v>
                </c:pt>
                <c:pt idx="2040" formatCode="0">
                  <c:v>-1650.9697175386909</c:v>
                </c:pt>
                <c:pt idx="2041" formatCode="0">
                  <c:v>-1823.1880127372278</c:v>
                </c:pt>
                <c:pt idx="2042" formatCode="0">
                  <c:v>1957.2012397671506</c:v>
                </c:pt>
                <c:pt idx="2043" formatCode="0">
                  <c:v>924.8465226235212</c:v>
                </c:pt>
                <c:pt idx="2044" formatCode="0">
                  <c:v>35.023034704182464</c:v>
                </c:pt>
                <c:pt idx="2045" formatCode="0">
                  <c:v>-500.44456081935914</c:v>
                </c:pt>
                <c:pt idx="2046" formatCode="0">
                  <c:v>854.1304597787248</c:v>
                </c:pt>
                <c:pt idx="2047" formatCode="0">
                  <c:v>2512.0259159821962</c:v>
                </c:pt>
                <c:pt idx="2048" formatCode="0">
                  <c:v>-267.95716455407182</c:v>
                </c:pt>
                <c:pt idx="2049" formatCode="0">
                  <c:v>-222.81437194652972</c:v>
                </c:pt>
                <c:pt idx="2050" formatCode="0">
                  <c:v>-83.802747429369447</c:v>
                </c:pt>
                <c:pt idx="2051" formatCode="0">
                  <c:v>-317.73397300776287</c:v>
                </c:pt>
                <c:pt idx="2052" formatCode="0">
                  <c:v>-2006.3403091655773</c:v>
                </c:pt>
                <c:pt idx="2053" formatCode="0">
                  <c:v>-2181.8271320537342</c:v>
                </c:pt>
                <c:pt idx="2054" formatCode="0">
                  <c:v>1595.2395582289064</c:v>
                </c:pt>
                <c:pt idx="2055" formatCode="0">
                  <c:v>559.50900330683908</c:v>
                </c:pt>
                <c:pt idx="2056" formatCode="0">
                  <c:v>-333.74282375244093</c:v>
                </c:pt>
                <c:pt idx="2057" formatCode="0">
                  <c:v>-872.69047057750686</c:v>
                </c:pt>
                <c:pt idx="2058" formatCode="0">
                  <c:v>478.35359052067906</c:v>
                </c:pt>
                <c:pt idx="2059" formatCode="0">
                  <c:v>2132.6679974845702</c:v>
                </c:pt>
                <c:pt idx="2060" formatCode="0">
                  <c:v>-656.2073602835153</c:v>
                </c:pt>
                <c:pt idx="2061" formatCode="0">
                  <c:v>-614.63318757421894</c:v>
                </c:pt>
                <c:pt idx="2062" formatCode="0">
                  <c:v>-479.23700680289676</c:v>
                </c:pt>
                <c:pt idx="2063" formatCode="0">
                  <c:v>-716.82969009327371</c:v>
                </c:pt>
                <c:pt idx="2064" formatCode="0">
                  <c:v>-2409.1426758890439</c:v>
                </c:pt>
                <c:pt idx="2065" formatCode="0">
                  <c:v>-2588.3805064926837</c:v>
                </c:pt>
                <c:pt idx="2066" formatCode="0">
                  <c:v>1184.8916632820092</c:v>
                </c:pt>
                <c:pt idx="2067" formatCode="0">
                  <c:v>145.32393138884981</c:v>
                </c:pt>
                <c:pt idx="2068" formatCode="0">
                  <c:v>-751.80686214362777</c:v>
                </c:pt>
                <c:pt idx="2069" formatCode="0">
                  <c:v>-1294.674387783225</c:v>
                </c:pt>
                <c:pt idx="2070" formatCode="0">
                  <c:v>52.409769068697642</c:v>
                </c:pt>
                <c:pt idx="2071" formatCode="0">
                  <c:v>1702.7251425440427</c:v>
                </c:pt>
                <c:pt idx="2072" formatCode="0">
                  <c:v>-1093.4208867544821</c:v>
                </c:pt>
                <c:pt idx="2073" formatCode="0">
                  <c:v>-1055.8104552011164</c:v>
                </c:pt>
                <c:pt idx="2074" formatCode="0">
                  <c:v>-924.41440464379139</c:v>
                </c:pt>
                <c:pt idx="2075" formatCode="0">
                  <c:v>-1166.0427410387538</c:v>
                </c:pt>
                <c:pt idx="2076" formatCode="0">
                  <c:v>-2862.4260297786841</c:v>
                </c:pt>
                <c:pt idx="2077" formatCode="0">
                  <c:v>-3045.7679337183472</c:v>
                </c:pt>
                <c:pt idx="2078" formatCode="0">
                  <c:v>723.36727767424054</c:v>
                </c:pt>
                <c:pt idx="2079" formatCode="0">
                  <c:v>-320.36940691273412</c:v>
                </c:pt>
                <c:pt idx="2080" formatCode="0">
                  <c:v>-1221.7002518472955</c:v>
                </c:pt>
                <c:pt idx="2081" formatCode="0">
                  <c:v>-1768.7980276533335</c:v>
                </c:pt>
                <c:pt idx="2082" formatCode="0">
                  <c:v>-425.97341598458297</c:v>
                </c:pt>
                <c:pt idx="2083" formatCode="0">
                  <c:v>1220.0540242982679</c:v>
                </c:pt>
                <c:pt idx="2084" formatCode="0">
                  <c:v>-1581.7815624239738</c:v>
                </c:pt>
                <c:pt idx="2085" formatCode="0">
                  <c:v>-1548.4091095232698</c:v>
                </c:pt>
                <c:pt idx="2086" formatCode="0">
                  <c:v>-1421.2773113610474</c:v>
                </c:pt>
                <c:pt idx="2087" formatCode="0">
                  <c:v>-1667.1953123396961</c:v>
                </c:pt>
                <c:pt idx="2088" formatCode="0">
                  <c:v>-3367.8928149735348</c:v>
                </c:pt>
                <c:pt idx="2089" formatCode="0">
                  <c:v>-3555.5726184226896</c:v>
                </c:pt>
                <c:pt idx="2090" formatCode="0">
                  <c:v>209.2018718458221</c:v>
                </c:pt>
                <c:pt idx="2091" formatCode="0">
                  <c:v>-838.91749168325805</c:v>
                </c:pt>
                <c:pt idx="2092" formatCode="0">
                  <c:v>-1744.6521102966017</c:v>
                </c:pt>
                <c:pt idx="2093" formatCode="0">
                  <c:v>-2296.1738926618318</c:v>
                </c:pt>
                <c:pt idx="2094" formatCode="0">
                  <c:v>-957.79266030958388</c:v>
                </c:pt>
                <c:pt idx="2095" formatCode="0">
                  <c:v>683.77288578389198</c:v>
                </c:pt>
                <c:pt idx="2096" formatCode="0">
                  <c:v>-2122.2857679805184</c:v>
                </c:pt>
                <c:pt idx="2097" formatCode="0">
                  <c:v>-2093.3180200296683</c:v>
                </c:pt>
                <c:pt idx="2098" formatCode="0">
                  <c:v>-1970.6079644985912</c:v>
                </c:pt>
                <c:pt idx="2099" formatCode="0">
                  <c:v>-2220.9639408248458</c:v>
                </c:pt>
                <c:pt idx="2100" formatCode="0">
                  <c:v>-3926.1148500109521</c:v>
                </c:pt>
                <c:pt idx="2101" formatCode="0">
                  <c:v>-4118.2626935979115</c:v>
                </c:pt>
                <c:pt idx="2102" formatCode="0">
                  <c:v>-357.97008376007034</c:v>
                </c:pt>
                <c:pt idx="2103" formatCode="0">
                  <c:v>-1410.5843794736338</c:v>
                </c:pt>
                <c:pt idx="2104" formatCode="0">
                  <c:v>-2320.8261986598282</c:v>
                </c:pt>
                <c:pt idx="2105" formatCode="0">
                  <c:v>-2876.8666722065564</c:v>
                </c:pt>
                <c:pt idx="2106" formatCode="0">
                  <c:v>-1543.0148498541748</c:v>
                </c:pt>
                <c:pt idx="2107" formatCode="0">
                  <c:v>94.011332827172737</c:v>
                </c:pt>
                <c:pt idx="2108" formatCode="0">
                  <c:v>-2714.9675293594983</c:v>
                </c:pt>
                <c:pt idx="2109" formatCode="0">
                  <c:v>-2690.4807165356979</c:v>
                </c:pt>
                <c:pt idx="2110" formatCode="0">
                  <c:v>-2572.2606489166465</c:v>
                </c:pt>
                <c:pt idx="2111" formatCode="0">
                  <c:v>-2827.1149535777004</c:v>
                </c:pt>
                <c:pt idx="2112" formatCode="0">
                  <c:v>-4536.7718260254433</c:v>
                </c:pt>
                <c:pt idx="2113" formatCode="0">
                  <c:v>-4733.4325694938825</c:v>
                </c:pt>
                <c:pt idx="2114" formatCode="0">
                  <c:v>-977.6591053520151</c:v>
                </c:pt>
                <c:pt idx="2115" formatCode="0">
                  <c:v>-2034.7981095746836</c:v>
                </c:pt>
                <c:pt idx="2116" formatCode="0">
                  <c:v>-2949.5695251773759</c:v>
                </c:pt>
                <c:pt idx="2117" formatCode="0">
                  <c:v>-3510.1438165186091</c:v>
                </c:pt>
                <c:pt idx="2118" formatCode="0">
                  <c:v>-2180.829375455136</c:v>
                </c:pt>
                <c:pt idx="2119" formatCode="0">
                  <c:v>-548.34348857725126</c:v>
                </c:pt>
                <c:pt idx="2120" formatCode="0">
                  <c:v>-3359.127895666682</c:v>
                </c:pt>
                <c:pt idx="2121" formatCode="0">
                  <c:v>-3339.1260237342176</c:v>
                </c:pt>
                <c:pt idx="2122" formatCode="0">
                  <c:v>-3225.3933844761486</c:v>
                </c:pt>
                <c:pt idx="2123" formatCode="0">
                  <c:v>-3484.7370038992094</c:v>
                </c:pt>
                <c:pt idx="2124" formatCode="0">
                  <c:v>-5198.8844852425855</c:v>
                </c:pt>
                <c:pt idx="2125" formatCode="0">
                  <c:v>-5400.0365484702188</c:v>
                </c:pt>
                <c:pt idx="2126" formatCode="0">
                  <c:v>-1648.7545408635597</c:v>
                </c:pt>
                <c:pt idx="2127" formatCode="0">
                  <c:v>-2710.3845736667154</c:v>
                </c:pt>
                <c:pt idx="2128" formatCode="0">
                  <c:v>-3629.6460346845624</c:v>
                </c:pt>
                <c:pt idx="2129" formatCode="0">
                  <c:v>-4194.7088427373619</c:v>
                </c:pt>
                <c:pt idx="2130" formatCode="0">
                  <c:v>-2869.8808539572146</c:v>
                </c:pt>
                <c:pt idx="2131" formatCode="0">
                  <c:v>-1241.8788291535402</c:v>
                </c:pt>
                <c:pt idx="2132" formatCode="0">
                  <c:v>-4053.5467519835775</c:v>
                </c:pt>
                <c:pt idx="2133" formatCode="0">
                  <c:v>-4037.9791690478351</c:v>
                </c:pt>
                <c:pt idx="2134" formatCode="0">
                  <c:v>-3928.6781580160832</c:v>
                </c:pt>
                <c:pt idx="2135" formatCode="0">
                  <c:v>-4192.4502590498951</c:v>
                </c:pt>
                <c:pt idx="2136" formatCode="0">
                  <c:v>-5911.0225990054741</c:v>
                </c:pt>
                <c:pt idx="2137" formatCode="0">
                  <c:v>-6116.5954310116695</c:v>
                </c:pt>
                <c:pt idx="2138" formatCode="0">
                  <c:v>-2369.7296451388429</c:v>
                </c:pt>
                <c:pt idx="2139" formatCode="0">
                  <c:v>-3435.7709051107049</c:v>
                </c:pt>
                <c:pt idx="2140" formatCode="0">
                  <c:v>-4359.4381609596376</c:v>
                </c:pt>
                <c:pt idx="2141" formatCode="0">
                  <c:v>-4928.9009035293711</c:v>
                </c:pt>
                <c:pt idx="2142" formatCode="0">
                  <c:v>-3608.4665708103112</c:v>
                </c:pt>
                <c:pt idx="2143" formatCode="0">
                  <c:v>-1984.8515153349308</c:v>
                </c:pt>
                <c:pt idx="2144" formatCode="0">
                  <c:v>-4796.6637026310073</c:v>
                </c:pt>
                <c:pt idx="2145" formatCode="0">
                  <c:v>-4785.4406777265731</c:v>
                </c:pt>
                <c:pt idx="2146" formatCode="0">
                  <c:v>-4680.4777132484387</c:v>
                </c:pt>
                <c:pt idx="2147" formatCode="0">
                  <c:v>-4948.5809722125059</c:v>
                </c:pt>
                <c:pt idx="2148" formatCode="0">
                  <c:v>-6671.4772135245703</c:v>
                </c:pt>
                <c:pt idx="2149" formatCode="0">
                  <c:v>-6881.3663315615759</c:v>
                </c:pt>
                <c:pt idx="2150" formatCode="0">
                  <c:v>-3138.8088668363962</c:v>
                </c:pt>
                <c:pt idx="2151" formatCode="0">
                  <c:v>-4209.1501426983777</c:v>
                </c:pt>
                <c:pt idx="2152" formatCode="0">
                  <c:v>-5137.108777970413</c:v>
                </c:pt>
                <c:pt idx="2153" formatCode="0">
                  <c:v>-5710.8539414265415</c:v>
                </c:pt>
                <c:pt idx="2154" formatCode="0">
                  <c:v>-4394.6927580956253</c:v>
                </c:pt>
                <c:pt idx="2155" formatCode="0">
                  <c:v>-2775.3412766186702</c:v>
                </c:pt>
                <c:pt idx="2156" formatCode="0">
                  <c:v>-5586.7227841169461</c:v>
                </c:pt>
                <c:pt idx="2157" formatCode="0">
                  <c:v>-5579.7284806408488</c:v>
                </c:pt>
                <c:pt idx="2158" formatCode="0">
                  <c:v>-5478.9849903084059</c:v>
                </c:pt>
                <c:pt idx="2159" formatCode="0">
                  <c:v>-5751.2981950812673</c:v>
                </c:pt>
                <c:pt idx="2160" formatCode="0">
                  <c:v>-7478.3945811666417</c:v>
                </c:pt>
                <c:pt idx="2161" formatCode="0">
                  <c:v>-7692.4737785482612</c:v>
                </c:pt>
                <c:pt idx="2162" formatCode="0">
                  <c:v>-3954.0960715958954</c:v>
                </c:pt>
                <c:pt idx="2163" formatCode="0">
                  <c:v>-5028.6065357058251</c:v>
                </c:pt>
                <c:pt idx="2164" formatCode="0">
                  <c:v>-5960.723549873238</c:v>
                </c:pt>
                <c:pt idx="2165" formatCode="0">
                  <c:v>-6538.6160511007465</c:v>
                </c:pt>
                <c:pt idx="2166" formatCode="0">
                  <c:v>-5226.5909406287428</c:v>
                </c:pt>
                <c:pt idx="2167" formatCode="0">
                  <c:v>-3611.3640512153979</c:v>
                </c:pt>
                <c:pt idx="2168" formatCode="0">
                  <c:v>-6421.8817756089556</c:v>
                </c:pt>
                <c:pt idx="2169" formatCode="0">
                  <c:v>-6418.9845137443799</c:v>
                </c:pt>
                <c:pt idx="2170" formatCode="0">
                  <c:v>-6322.3269936782381</c:v>
                </c:pt>
                <c:pt idx="2171" formatCode="0">
                  <c:v>-6598.714897242693</c:v>
                </c:pt>
                <c:pt idx="2172" formatCode="0">
                  <c:v>-8329.8745177511155</c:v>
                </c:pt>
                <c:pt idx="2173" formatCode="0">
                  <c:v>-8548.0052994495636</c:v>
                </c:pt>
                <c:pt idx="2174" formatCode="0">
                  <c:v>-4813.6673480438221</c:v>
                </c:pt>
                <c:pt idx="2175" formatCode="0">
                  <c:v>-5892.2055672546176</c:v>
                </c:pt>
                <c:pt idx="2176" formatCode="0">
                  <c:v>-6828.3381713021226</c:v>
                </c:pt>
                <c:pt idx="2177" formatCode="0">
                  <c:v>-7410.233939224091</c:v>
                </c:pt>
                <c:pt idx="2178" formatCode="0">
                  <c:v>-6102.1996210135603</c:v>
                </c:pt>
                <c:pt idx="2179" formatCode="0">
                  <c:v>-4490.9509048040272</c:v>
                </c:pt>
                <c:pt idx="2180" formatCode="0">
                  <c:v>-7300.2903968854425</c:v>
                </c:pt>
                <c:pt idx="2181" formatCode="0">
                  <c:v>-7301.3504197217553</c:v>
                </c:pt>
                <c:pt idx="2182" formatCode="0">
                  <c:v>-7208.6380050351017</c:v>
                </c:pt>
                <c:pt idx="2183" formatCode="0">
                  <c:v>-7488.958700142357</c:v>
                </c:pt>
                <c:pt idx="2184" formatCode="0">
                  <c:v>-9224.0386698839848</c:v>
                </c:pt>
                <c:pt idx="2185" formatCode="0">
                  <c:v>-9446.0772359845614</c:v>
                </c:pt>
                <c:pt idx="2186" formatCode="0">
                  <c:v>-5715.6343874874419</c:v>
                </c:pt>
                <c:pt idx="2187" formatCode="0">
                  <c:v>-6798.0549172162555</c:v>
                </c:pt>
                <c:pt idx="2188" formatCode="0">
                  <c:v>-7738.056934164566</c:v>
                </c:pt>
                <c:pt idx="2189" formatCode="0">
                  <c:v>-8323.8091177180358</c:v>
                </c:pt>
                <c:pt idx="2190" formatCode="0">
                  <c:v>-7019.6181236952743</c:v>
                </c:pt>
                <c:pt idx="2191" formatCode="0">
                  <c:v>-5412.1995514353057</c:v>
                </c:pt>
                <c:pt idx="2192" formatCode="0">
                  <c:v>-8220.1431449687589</c:v>
                </c:pt>
                <c:pt idx="2193" formatCode="0">
                  <c:v>-8225.0182602133755</c:v>
                </c:pt>
                <c:pt idx="2194" formatCode="0">
                  <c:v>-8136.1081937995277</c:v>
                </c:pt>
                <c:pt idx="2195" formatCode="0">
                  <c:v>-8420.2184100999893</c:v>
                </c:pt>
                <c:pt idx="2196" formatCode="0">
                  <c:v>-10159.07499591522</c:v>
                </c:pt>
                <c:pt idx="2197" formatCode="0">
                  <c:v>-10384.877199743107</c:v>
                </c:pt>
                <c:pt idx="2198" formatCode="0">
                  <c:v>-6658.184942122396</c:v>
                </c:pt>
                <c:pt idx="2199" formatCode="0">
                  <c:v>-7744.3429520026984</c:v>
                </c:pt>
                <c:pt idx="2200" formatCode="0">
                  <c:v>-8688.0692790423309</c:v>
                </c:pt>
                <c:pt idx="2201" formatCode="0">
                  <c:v>-9277.5325477386941</c:v>
                </c:pt>
                <c:pt idx="2202" formatCode="0">
                  <c:v>-7977.0393633770946</c:v>
                </c:pt>
                <c:pt idx="2203" formatCode="0">
                  <c:v>-6373.3052790263901</c:v>
                </c:pt>
                <c:pt idx="2204" formatCode="0">
                  <c:v>-9179.7126090404599</c:v>
                </c:pt>
                <c:pt idx="2205" formatCode="0">
                  <c:v>-9188.262121400403</c:v>
                </c:pt>
                <c:pt idx="2206" formatCode="0">
                  <c:v>-9103.013542073626</c:v>
                </c:pt>
                <c:pt idx="2207" formatCode="0">
                  <c:v>-9390.7722919452463</c:v>
                </c:pt>
                <c:pt idx="2208" formatCode="0">
                  <c:v>-11133.26441821656</c:v>
                </c:pt>
                <c:pt idx="2209" formatCode="0">
                  <c:v>-11362.689133590797</c:v>
                </c:pt>
                <c:pt idx="2210" formatCode="0">
                  <c:v>-7639.606326532692</c:v>
                </c:pt>
                <c:pt idx="2211" formatCode="0">
                  <c:v>-8729.3606975550538</c:v>
                </c:pt>
                <c:pt idx="2212" formatCode="0">
                  <c:v>-9676.6702714334897</c:v>
                </c:pt>
                <c:pt idx="2213" formatCode="0">
                  <c:v>-10269.703651253994</c:v>
                </c:pt>
                <c:pt idx="2214" formatCode="0">
                  <c:v>-8972.7674242796147</c:v>
                </c:pt>
                <c:pt idx="2215" formatCode="0">
                  <c:v>-7372.5771288642791</c:v>
                </c:pt>
                <c:pt idx="2216" formatCode="0">
                  <c:v>-10177.368449177855</c:v>
                </c:pt>
                <c:pt idx="2217" formatCode="0">
                  <c:v>-10189.455774859356</c:v>
                </c:pt>
                <c:pt idx="2218" formatCode="0">
                  <c:v>-10107.732216481982</c:v>
                </c:pt>
                <c:pt idx="2219" formatCode="0">
                  <c:v>-10399.003180884687</c:v>
                </c:pt>
                <c:pt idx="2220" formatCode="0">
                  <c:v>-12144.994704244476</c:v>
                </c:pt>
                <c:pt idx="2221" formatCode="0">
                  <c:v>-12377.905991188007</c:v>
                </c:pt>
                <c:pt idx="2222" formatCode="0">
                  <c:v>-8658.2969249778325</c:v>
                </c:pt>
                <c:pt idx="2223" formatCode="0">
                  <c:v>-9751.5122037260408</c:v>
                </c:pt>
                <c:pt idx="2224" formatCode="0">
                  <c:v>-10702.269852536829</c:v>
                </c:pt>
                <c:pt idx="2225" formatCode="0">
                  <c:v>-11298.738477482631</c:v>
                </c:pt>
                <c:pt idx="2226" formatCode="0">
                  <c:v>-10005.224671399992</c:v>
                </c:pt>
                <c:pt idx="2227" formatCode="0">
                  <c:v>-8408.4439807334202</c:v>
                </c:pt>
                <c:pt idx="2228" formatCode="0">
                  <c:v>-11211.586279641706</c:v>
                </c:pt>
                <c:pt idx="2229" formatCode="0">
                  <c:v>-11227.080579273144</c:v>
                </c:pt>
                <c:pt idx="2230" formatCode="0">
                  <c:v>-11148.751514316074</c:v>
                </c:pt>
                <c:pt idx="2231" formatCode="0">
                  <c:v>-11443.404498981152</c:v>
                </c:pt>
                <c:pt idx="2232" formatCode="0">
                  <c:v>-13192.765579122395</c:v>
                </c:pt>
                <c:pt idx="2233" formatCode="0">
                  <c:v>-13429.033971285722</c:v>
                </c:pt>
                <c:pt idx="2234" formatCode="0">
                  <c:v>-9712.7695728327599</c:v>
                </c:pt>
                <c:pt idx="2235" formatCode="0">
                  <c:v>-10809.317098092912</c:v>
                </c:pt>
                <c:pt idx="2236" formatCode="0">
                  <c:v>-11763.394590445118</c:v>
                </c:pt>
                <c:pt idx="2237" formatCode="0">
                  <c:v>-12363.170676233922</c:v>
                </c:pt>
                <c:pt idx="2238" formatCode="0">
                  <c:v>-11072.951970506148</c:v>
                </c:pt>
                <c:pt idx="2239" formatCode="0">
                  <c:v>-9479.4540437963569</c:v>
                </c:pt>
                <c:pt idx="2240" formatCode="0">
                  <c:v>-12280.949732245977</c:v>
                </c:pt>
                <c:pt idx="2241" formatCode="0">
                  <c:v>-12299.726834297406</c:v>
                </c:pt>
                <c:pt idx="2242" formatCode="0">
                  <c:v>-12224.668529820705</c:v>
                </c:pt>
                <c:pt idx="2243" formatCode="0">
                  <c:v>-12522.580255541154</c:v>
                </c:pt>
                <c:pt idx="2244" formatCode="0">
                  <c:v>-14275.188081554101</c:v>
                </c:pt>
                <c:pt idx="2245" formatCode="0">
                  <c:v>-14514.691250320935</c:v>
                </c:pt>
                <c:pt idx="2246" formatCode="0">
                  <c:v>-10801.649686741226</c:v>
                </c:pt>
                <c:pt idx="2247" formatCode="0">
                  <c:v>-11901.408134253765</c:v>
                </c:pt>
                <c:pt idx="2248" formatCode="0">
                  <c:v>-12858.68466686819</c:v>
                </c:pt>
                <c:pt idx="2249" formatCode="0">
                  <c:v>-13461.647943031672</c:v>
                </c:pt>
                <c:pt idx="2250" formatCode="0">
                  <c:v>-12174.604611317029</c:v>
                </c:pt>
                <c:pt idx="2251" formatCode="0">
                  <c:v>-10584.270277160394</c:v>
                </c:pt>
                <c:pt idx="2252" formatCode="0">
                  <c:v>-13384.148123220239</c:v>
                </c:pt>
                <c:pt idx="2253" formatCode="0">
                  <c:v>-13406.090948915022</c:v>
                </c:pt>
                <c:pt idx="2254" formatCode="0">
                  <c:v>-13334.186841714551</c:v>
                </c:pt>
                <c:pt idx="2255" formatCode="0">
                  <c:v>-13635.241271189134</c:v>
                </c:pt>
                <c:pt idx="2256" formatCode="0">
                  <c:v>-15390.980341546898</c:v>
                </c:pt>
                <c:pt idx="2257" formatCode="0">
                  <c:v>-15633.60333058685</c:v>
                </c:pt>
                <c:pt idx="2258" formatCode="0">
                  <c:v>-11923.670199728786</c:v>
                </c:pt>
                <c:pt idx="2259" formatCode="0">
                  <c:v>-13026.525730072912</c:v>
                </c:pt>
                <c:pt idx="2260" formatCode="0">
                  <c:v>-13986.888034390711</c:v>
                </c:pt>
                <c:pt idx="2261" formatCode="0">
                  <c:v>-14592.925810951692</c:v>
                </c:pt>
                <c:pt idx="2262" formatCode="0">
                  <c:v>-13308.945749172228</c:v>
                </c:pt>
                <c:pt idx="2263" formatCode="0">
                  <c:v>-11721.663496314757</c:v>
                </c:pt>
                <c:pt idx="2264" formatCode="0">
                  <c:v>-14519.971454837212</c:v>
                </c:pt>
                <c:pt idx="2265" formatCode="0">
                  <c:v>-14544.970103080283</c:v>
                </c:pt>
                <c:pt idx="2266" formatCode="0">
                  <c:v>-14476.110848653247</c:v>
                </c:pt>
                <c:pt idx="2267" formatCode="0">
                  <c:v>-14780.199200672001</c:v>
                </c:pt>
                <c:pt idx="2268" formatCode="0">
                  <c:v>-16538.961303799249</c:v>
                </c:pt>
                <c:pt idx="2269" formatCode="0">
                  <c:v>-16784.596477162893</c:v>
                </c:pt>
                <c:pt idx="2270" formatCode="0">
                  <c:v>-13077.664724352027</c:v>
                </c:pt>
                <c:pt idx="2271" formatCode="0">
                  <c:v>-14183.510869443224</c:v>
                </c:pt>
                <c:pt idx="2272" formatCode="0">
                  <c:v>-15146.853068958799</c:v>
                </c:pt>
                <c:pt idx="2273" formatCode="0">
                  <c:v>-15755.860065661524</c:v>
                </c:pt>
                <c:pt idx="2274" formatCode="0">
                  <c:v>-14474.838594172206</c:v>
                </c:pt>
                <c:pt idx="2275" formatCode="0">
                  <c:v>-12890.504347638147</c:v>
                </c:pt>
                <c:pt idx="2276" formatCode="0">
                  <c:v>-15687.303950827434</c:v>
                </c:pt>
                <c:pt idx="2277" formatCode="0">
                  <c:v>-15715.25555928689</c:v>
                </c:pt>
                <c:pt idx="2278" formatCode="0">
                  <c:v>-15649.338867475481</c:v>
                </c:pt>
                <c:pt idx="2279" formatCode="0">
                  <c:v>-15956.359428059066</c:v>
                </c:pt>
                <c:pt idx="2280" formatCode="0">
                  <c:v>-17718.043429882142</c:v>
                </c:pt>
                <c:pt idx="2281" formatCode="0">
                  <c:v>-17966.590236858676</c:v>
                </c:pt>
                <c:pt idx="2282" formatCode="0">
                  <c:v>-14262.55989794097</c:v>
                </c:pt>
                <c:pt idx="2283" formatCode="0">
                  <c:v>-15371.297283119511</c:v>
                </c:pt>
                <c:pt idx="2284" formatCode="0">
                  <c:v>-16337.520595355323</c:v>
                </c:pt>
                <c:pt idx="2285" formatCode="0">
                  <c:v>-16949.39862434936</c:v>
                </c:pt>
                <c:pt idx="2286" formatCode="0">
                  <c:v>-15671.238152135244</c:v>
                </c:pt>
                <c:pt idx="2287" formatCode="0">
                  <c:v>-14089.754919723582</c:v>
                </c:pt>
                <c:pt idx="2288" formatCode="0">
                  <c:v>-16885.116931051951</c:v>
                </c:pt>
                <c:pt idx="2289" formatCode="0">
                  <c:v>-16915.925396670875</c:v>
                </c:pt>
                <c:pt idx="2290" formatCode="0">
                  <c:v>-16852.855734612007</c:v>
                </c:pt>
                <c:pt idx="2291" formatCode="0">
                  <c:v>-17162.713543123147</c:v>
                </c:pt>
                <c:pt idx="2292" formatCode="0">
                  <c:v>-18927.225057050855</c:v>
                </c:pt>
                <c:pt idx="2293" formatCode="0">
                  <c:v>-19178.589686709431</c:v>
                </c:pt>
                <c:pt idx="2294" formatCode="0">
                  <c:v>-15477.367527828399</c:v>
                </c:pt>
                <c:pt idx="2295" formatCode="0">
                  <c:v>-16588.903497531519</c:v>
                </c:pt>
                <c:pt idx="2296" formatCode="0">
                  <c:v>-17557.915846248703</c:v>
                </c:pt>
                <c:pt idx="2297" formatCode="0">
                  <c:v>-18172.573411465484</c:v>
                </c:pt>
                <c:pt idx="2298" formatCode="0">
                  <c:v>-16897.183023296384</c:v>
                </c:pt>
                <c:pt idx="2299" formatCode="0">
                  <c:v>-15318.460471110146</c:v>
                </c:pt>
                <c:pt idx="2300" formatCode="0">
                  <c:v>-18112.461548567579</c:v>
                </c:pt>
                <c:pt idx="2301" formatCode="0">
                  <c:v>-18146.037166049427</c:v>
                </c:pt>
                <c:pt idx="2302" formatCode="0">
                  <c:v>-18085.725384899906</c:v>
                </c:pt>
                <c:pt idx="2303" formatCode="0">
                  <c:v>-18398.331849561626</c:v>
                </c:pt>
                <c:pt idx="2304" formatCode="0">
                  <c:v>-20165.582841335985</c:v>
                </c:pt>
                <c:pt idx="2305" formatCode="0">
                  <c:v>-20419.67781723493</c:v>
                </c:pt>
                <c:pt idx="2306" formatCode="0">
                  <c:v>-16721.176919911763</c:v>
                </c:pt>
                <c:pt idx="2307" formatCode="0">
                  <c:v>-17835.425113623744</c:v>
                </c:pt>
                <c:pt idx="2308" formatCode="0">
                  <c:v>-18807.140696128095</c:v>
                </c:pt>
                <c:pt idx="2309" formatCode="0">
                  <c:v>-19424.492552415952</c:v>
                </c:pt>
                <c:pt idx="2310" formatCode="0">
                  <c:v>-18151.787560270506</c:v>
                </c:pt>
                <c:pt idx="2311" formatCode="0">
                  <c:v>-16575.741556877547</c:v>
                </c:pt>
                <c:pt idx="2312" formatCode="0">
                  <c:v>-19368.461714679885</c:v>
                </c:pt>
                <c:pt idx="2313" formatCode="0">
                  <c:v>-19404.720773283647</c:v>
                </c:pt>
                <c:pt idx="2314" formatCode="0">
                  <c:v>-19347.08369746945</c:v>
                </c:pt>
                <c:pt idx="2315" formatCode="0">
                  <c:v>-19662.356177486552</c:v>
                </c:pt>
                <c:pt idx="2316" formatCode="0">
                  <c:v>-21432.264540583179</c:v>
                </c:pt>
                <c:pt idx="2317" formatCode="0">
                  <c:v>-21689.008289844955</c:v>
                </c:pt>
                <c:pt idx="2318" formatCode="0">
                  <c:v>-17993.147614112608</c:v>
                </c:pt>
                <c:pt idx="2319" formatCode="0">
                  <c:v>-19110.027523931902</c:v>
                </c:pt>
                <c:pt idx="2320" formatCode="0">
                  <c:v>-20084.366363437231</c:v>
                </c:pt>
                <c:pt idx="2321" formatCode="0">
                  <c:v>-20704.33306407358</c:v>
                </c:pt>
                <c:pt idx="2322" formatCode="0">
                  <c:v>-19434.234550142872</c:v>
                </c:pt>
                <c:pt idx="2323" formatCode="0">
                  <c:v>-17860.786705403094</c:v>
                </c:pt>
                <c:pt idx="2324" formatCode="0">
                  <c:v>-20652.307402460909</c:v>
                </c:pt>
                <c:pt idx="2325" formatCode="0">
                  <c:v>-20691.171768275268</c:v>
                </c:pt>
                <c:pt idx="2326" formatCode="0">
                  <c:v>-20636.131773239598</c:v>
                </c:pt>
                <c:pt idx="2327" formatCode="0">
                  <c:v>-20953.993152333263</c:v>
                </c:pt>
                <c:pt idx="2328" formatCode="0">
                  <c:v>-22726.482277586245</c:v>
                </c:pt>
                <c:pt idx="2329" formatCode="0">
                  <c:v>-22985.798696907157</c:v>
                </c:pt>
                <c:pt idx="2330" formatCode="0">
                  <c:v>-19292.502643990905</c:v>
                </c:pt>
                <c:pt idx="2331" formatCode="0">
                  <c:v>-20411.939174258758</c:v>
                </c:pt>
                <c:pt idx="2332" formatCode="0">
                  <c:v>-21388.826676732453</c:v>
                </c:pt>
                <c:pt idx="2333" formatCode="0">
                  <c:v>-22011.334127746788</c:v>
                </c:pt>
                <c:pt idx="2334" formatCode="0">
                  <c:v>-20743.76849648702</c:v>
                </c:pt>
                <c:pt idx="2335" formatCode="0">
                  <c:v>-19172.845711579201</c:v>
                </c:pt>
                <c:pt idx="2336" formatCode="0">
                  <c:v>-21963.248428852952</c:v>
                </c:pt>
                <c:pt idx="2337" formatCode="0">
                  <c:v>-22004.645130339519</c:v>
                </c:pt>
                <c:pt idx="2338" formatCode="0">
                  <c:v>-21952.129725692474</c:v>
                </c:pt>
                <c:pt idx="2339" formatCode="0">
                  <c:v>-22272.50799308818</c:v>
                </c:pt>
                <c:pt idx="2340" formatCode="0">
                  <c:v>-24047.506347740687</c:v>
                </c:pt>
                <c:pt idx="2341" formatCode="0">
                  <c:v>-24309.324380721751</c:v>
                </c:pt>
                <c:pt idx="2342" formatCode="0">
                  <c:v>-20618.522368860795</c:v>
                </c:pt>
                <c:pt idx="2343" formatCode="0">
                  <c:v>-21740.44541067737</c:v>
                </c:pt>
                <c:pt idx="2344" formatCode="0">
                  <c:v>-22719.811938248</c:v>
                </c:pt>
                <c:pt idx="2345" formatCode="0">
                  <c:v>-23344.790970911647</c:v>
                </c:pt>
                <c:pt idx="2346" formatCode="0">
                  <c:v>-22079.689520800253</c:v>
                </c:pt>
                <c:pt idx="2347" formatCode="0">
                  <c:v>-20511.223559422389</c:v>
                </c:pt>
                <c:pt idx="2348" formatCode="0">
                  <c:v>-23300.58875656184</c:v>
                </c:pt>
                <c:pt idx="2349" formatCode="0">
                  <c:v>-23344.449584568501</c:v>
                </c:pt>
                <c:pt idx="2350" formatCode="0">
                  <c:v>-23294.391013187837</c:v>
                </c:pt>
                <c:pt idx="2351" formatCode="0">
                  <c:v>-23617.218861973626</c:v>
                </c:pt>
                <c:pt idx="2352" formatCode="0">
                  <c:v>-25394.659587458191</c:v>
                </c:pt>
                <c:pt idx="2353" formatCode="0">
                  <c:v>-25658.912821966391</c:v>
                </c:pt>
                <c:pt idx="2354" formatCode="0">
                  <c:v>-21970.538883509525</c:v>
                </c:pt>
                <c:pt idx="2355" formatCode="0">
                  <c:v>-23094.882911712204</c:v>
                </c:pt>
                <c:pt idx="2356" formatCode="0">
                  <c:v>-24076.663379673555</c:v>
                </c:pt>
                <c:pt idx="2357" formatCode="0">
                  <c:v>-24704.049347667362</c:v>
                </c:pt>
                <c:pt idx="2358" formatCode="0">
                  <c:v>-23441.347868667304</c:v>
                </c:pt>
                <c:pt idx="2359" formatCode="0">
                  <c:v>-21875.274954925677</c:v>
                </c:pt>
                <c:pt idx="2360" formatCode="0">
                  <c:v>-24663.681319714549</c:v>
                </c:pt>
                <c:pt idx="2361" formatCode="0">
                  <c:v>-24709.942448595422</c:v>
                </c:pt>
                <c:pt idx="2362" formatCode="0">
                  <c:v>-24662.277307840668</c:v>
                </c:pt>
                <c:pt idx="2363" formatCode="0">
                  <c:v>-24987.491756399086</c:v>
                </c:pt>
                <c:pt idx="2364" formatCode="0">
                  <c:v>-26767.312290106631</c:v>
                </c:pt>
                <c:pt idx="2365" formatCode="0">
                  <c:v>-27033.938580495771</c:v>
                </c:pt>
              </c:numCache>
            </c:numRef>
          </c:val>
          <c:smooth val="0"/>
          <c:extLst>
            <c:ext xmlns:c16="http://schemas.microsoft.com/office/drawing/2014/chart" uri="{C3380CC4-5D6E-409C-BE32-E72D297353CC}">
              <c16:uniqueId val="{00000002-C968-4BB3-B137-74F6DE229CE4}"/>
            </c:ext>
          </c:extLst>
        </c:ser>
        <c:ser>
          <c:idx val="3"/>
          <c:order val="3"/>
          <c:tx>
            <c:strRef>
              <c:f>AI_Forecast!$E$1</c:f>
              <c:strCache>
                <c:ptCount val="1"/>
                <c:pt idx="0">
                  <c:v>Upper Confidence Bound(Forecast_Sales)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AI_Forecast!$A$2:$A$2367</c:f>
              <c:numCache>
                <c:formatCode>m/d/yyyy</c:formatCode>
                <c:ptCount val="2366"/>
                <c:pt idx="0">
                  <c:v>43842</c:v>
                </c:pt>
                <c:pt idx="1">
                  <c:v>43843</c:v>
                </c:pt>
                <c:pt idx="2">
                  <c:v>43844</c:v>
                </c:pt>
                <c:pt idx="3">
                  <c:v>43845</c:v>
                </c:pt>
                <c:pt idx="4">
                  <c:v>43846</c:v>
                </c:pt>
                <c:pt idx="5">
                  <c:v>43847</c:v>
                </c:pt>
                <c:pt idx="6">
                  <c:v>43848</c:v>
                </c:pt>
                <c:pt idx="7">
                  <c:v>43849</c:v>
                </c:pt>
                <c:pt idx="8">
                  <c:v>43850</c:v>
                </c:pt>
                <c:pt idx="9">
                  <c:v>43851</c:v>
                </c:pt>
                <c:pt idx="10">
                  <c:v>43852</c:v>
                </c:pt>
                <c:pt idx="11">
                  <c:v>43853</c:v>
                </c:pt>
                <c:pt idx="12">
                  <c:v>43854</c:v>
                </c:pt>
                <c:pt idx="13">
                  <c:v>43855</c:v>
                </c:pt>
                <c:pt idx="14">
                  <c:v>43856</c:v>
                </c:pt>
                <c:pt idx="15">
                  <c:v>43857</c:v>
                </c:pt>
                <c:pt idx="16">
                  <c:v>43858</c:v>
                </c:pt>
                <c:pt idx="17">
                  <c:v>43859</c:v>
                </c:pt>
                <c:pt idx="18">
                  <c:v>43860</c:v>
                </c:pt>
                <c:pt idx="19">
                  <c:v>43861</c:v>
                </c:pt>
                <c:pt idx="20">
                  <c:v>43862</c:v>
                </c:pt>
                <c:pt idx="21">
                  <c:v>43863</c:v>
                </c:pt>
                <c:pt idx="22">
                  <c:v>43864</c:v>
                </c:pt>
                <c:pt idx="23">
                  <c:v>43865</c:v>
                </c:pt>
                <c:pt idx="24">
                  <c:v>43866</c:v>
                </c:pt>
                <c:pt idx="25">
                  <c:v>43867</c:v>
                </c:pt>
                <c:pt idx="26">
                  <c:v>43868</c:v>
                </c:pt>
                <c:pt idx="27">
                  <c:v>43869</c:v>
                </c:pt>
                <c:pt idx="28">
                  <c:v>43870</c:v>
                </c:pt>
                <c:pt idx="29">
                  <c:v>43871</c:v>
                </c:pt>
                <c:pt idx="30">
                  <c:v>43872</c:v>
                </c:pt>
                <c:pt idx="31">
                  <c:v>43873</c:v>
                </c:pt>
                <c:pt idx="32">
                  <c:v>43874</c:v>
                </c:pt>
                <c:pt idx="33">
                  <c:v>43875</c:v>
                </c:pt>
                <c:pt idx="34">
                  <c:v>43876</c:v>
                </c:pt>
                <c:pt idx="35">
                  <c:v>43877</c:v>
                </c:pt>
                <c:pt idx="36">
                  <c:v>43878</c:v>
                </c:pt>
                <c:pt idx="37">
                  <c:v>43879</c:v>
                </c:pt>
                <c:pt idx="38">
                  <c:v>43880</c:v>
                </c:pt>
                <c:pt idx="39">
                  <c:v>43881</c:v>
                </c:pt>
                <c:pt idx="40">
                  <c:v>43882</c:v>
                </c:pt>
                <c:pt idx="41">
                  <c:v>43883</c:v>
                </c:pt>
                <c:pt idx="42">
                  <c:v>43884</c:v>
                </c:pt>
                <c:pt idx="43">
                  <c:v>43885</c:v>
                </c:pt>
                <c:pt idx="44">
                  <c:v>43886</c:v>
                </c:pt>
                <c:pt idx="45">
                  <c:v>43887</c:v>
                </c:pt>
                <c:pt idx="46">
                  <c:v>43888</c:v>
                </c:pt>
                <c:pt idx="47">
                  <c:v>43889</c:v>
                </c:pt>
                <c:pt idx="48">
                  <c:v>43890</c:v>
                </c:pt>
                <c:pt idx="49">
                  <c:v>43891</c:v>
                </c:pt>
                <c:pt idx="50">
                  <c:v>43892</c:v>
                </c:pt>
                <c:pt idx="51">
                  <c:v>43893</c:v>
                </c:pt>
                <c:pt idx="52">
                  <c:v>43894</c:v>
                </c:pt>
                <c:pt idx="53">
                  <c:v>43895</c:v>
                </c:pt>
                <c:pt idx="54">
                  <c:v>43896</c:v>
                </c:pt>
                <c:pt idx="55">
                  <c:v>43897</c:v>
                </c:pt>
                <c:pt idx="56">
                  <c:v>43898</c:v>
                </c:pt>
                <c:pt idx="57">
                  <c:v>43899</c:v>
                </c:pt>
                <c:pt idx="58">
                  <c:v>43900</c:v>
                </c:pt>
                <c:pt idx="59">
                  <c:v>43901</c:v>
                </c:pt>
                <c:pt idx="60">
                  <c:v>43902</c:v>
                </c:pt>
                <c:pt idx="61">
                  <c:v>43903</c:v>
                </c:pt>
                <c:pt idx="62">
                  <c:v>43904</c:v>
                </c:pt>
                <c:pt idx="63">
                  <c:v>43905</c:v>
                </c:pt>
                <c:pt idx="64">
                  <c:v>43906</c:v>
                </c:pt>
                <c:pt idx="65">
                  <c:v>43907</c:v>
                </c:pt>
                <c:pt idx="66">
                  <c:v>43908</c:v>
                </c:pt>
                <c:pt idx="67">
                  <c:v>43909</c:v>
                </c:pt>
                <c:pt idx="68">
                  <c:v>43910</c:v>
                </c:pt>
                <c:pt idx="69">
                  <c:v>43911</c:v>
                </c:pt>
                <c:pt idx="70">
                  <c:v>43912</c:v>
                </c:pt>
                <c:pt idx="71">
                  <c:v>43913</c:v>
                </c:pt>
                <c:pt idx="72">
                  <c:v>43914</c:v>
                </c:pt>
                <c:pt idx="73">
                  <c:v>43915</c:v>
                </c:pt>
                <c:pt idx="74">
                  <c:v>43916</c:v>
                </c:pt>
                <c:pt idx="75">
                  <c:v>43917</c:v>
                </c:pt>
                <c:pt idx="76">
                  <c:v>43918</c:v>
                </c:pt>
                <c:pt idx="77">
                  <c:v>43919</c:v>
                </c:pt>
                <c:pt idx="78">
                  <c:v>43920</c:v>
                </c:pt>
                <c:pt idx="79">
                  <c:v>43921</c:v>
                </c:pt>
                <c:pt idx="80">
                  <c:v>43922</c:v>
                </c:pt>
                <c:pt idx="81">
                  <c:v>43923</c:v>
                </c:pt>
                <c:pt idx="82">
                  <c:v>43924</c:v>
                </c:pt>
                <c:pt idx="83">
                  <c:v>43925</c:v>
                </c:pt>
                <c:pt idx="84">
                  <c:v>43926</c:v>
                </c:pt>
                <c:pt idx="85">
                  <c:v>43927</c:v>
                </c:pt>
                <c:pt idx="86">
                  <c:v>43928</c:v>
                </c:pt>
                <c:pt idx="87">
                  <c:v>43929</c:v>
                </c:pt>
                <c:pt idx="88">
                  <c:v>43930</c:v>
                </c:pt>
                <c:pt idx="89">
                  <c:v>43931</c:v>
                </c:pt>
                <c:pt idx="90">
                  <c:v>43932</c:v>
                </c:pt>
                <c:pt idx="91">
                  <c:v>43933</c:v>
                </c:pt>
                <c:pt idx="92">
                  <c:v>43934</c:v>
                </c:pt>
                <c:pt idx="93">
                  <c:v>43935</c:v>
                </c:pt>
                <c:pt idx="94">
                  <c:v>43936</c:v>
                </c:pt>
                <c:pt idx="95">
                  <c:v>43937</c:v>
                </c:pt>
                <c:pt idx="96">
                  <c:v>43938</c:v>
                </c:pt>
                <c:pt idx="97">
                  <c:v>43939</c:v>
                </c:pt>
                <c:pt idx="98">
                  <c:v>43940</c:v>
                </c:pt>
                <c:pt idx="99">
                  <c:v>43941</c:v>
                </c:pt>
                <c:pt idx="100">
                  <c:v>43942</c:v>
                </c:pt>
                <c:pt idx="101">
                  <c:v>43943</c:v>
                </c:pt>
                <c:pt idx="102">
                  <c:v>43944</c:v>
                </c:pt>
                <c:pt idx="103">
                  <c:v>43945</c:v>
                </c:pt>
                <c:pt idx="104">
                  <c:v>43946</c:v>
                </c:pt>
                <c:pt idx="105">
                  <c:v>43947</c:v>
                </c:pt>
                <c:pt idx="106">
                  <c:v>43948</c:v>
                </c:pt>
                <c:pt idx="107">
                  <c:v>43949</c:v>
                </c:pt>
                <c:pt idx="108">
                  <c:v>43950</c:v>
                </c:pt>
                <c:pt idx="109">
                  <c:v>43951</c:v>
                </c:pt>
                <c:pt idx="110">
                  <c:v>43952</c:v>
                </c:pt>
                <c:pt idx="111">
                  <c:v>43953</c:v>
                </c:pt>
                <c:pt idx="112">
                  <c:v>43954</c:v>
                </c:pt>
                <c:pt idx="113">
                  <c:v>43955</c:v>
                </c:pt>
                <c:pt idx="114">
                  <c:v>43956</c:v>
                </c:pt>
                <c:pt idx="115">
                  <c:v>43957</c:v>
                </c:pt>
                <c:pt idx="116">
                  <c:v>43958</c:v>
                </c:pt>
                <c:pt idx="117">
                  <c:v>43959</c:v>
                </c:pt>
                <c:pt idx="118">
                  <c:v>43960</c:v>
                </c:pt>
                <c:pt idx="119">
                  <c:v>43961</c:v>
                </c:pt>
                <c:pt idx="120">
                  <c:v>43962</c:v>
                </c:pt>
                <c:pt idx="121">
                  <c:v>43963</c:v>
                </c:pt>
                <c:pt idx="122">
                  <c:v>43964</c:v>
                </c:pt>
                <c:pt idx="123">
                  <c:v>43965</c:v>
                </c:pt>
                <c:pt idx="124">
                  <c:v>43966</c:v>
                </c:pt>
                <c:pt idx="125">
                  <c:v>43967</c:v>
                </c:pt>
                <c:pt idx="126">
                  <c:v>43968</c:v>
                </c:pt>
                <c:pt idx="127">
                  <c:v>43969</c:v>
                </c:pt>
                <c:pt idx="128">
                  <c:v>43970</c:v>
                </c:pt>
                <c:pt idx="129">
                  <c:v>43971</c:v>
                </c:pt>
                <c:pt idx="130">
                  <c:v>43972</c:v>
                </c:pt>
                <c:pt idx="131">
                  <c:v>43973</c:v>
                </c:pt>
                <c:pt idx="132">
                  <c:v>43974</c:v>
                </c:pt>
                <c:pt idx="133">
                  <c:v>43975</c:v>
                </c:pt>
                <c:pt idx="134">
                  <c:v>43976</c:v>
                </c:pt>
                <c:pt idx="135">
                  <c:v>43977</c:v>
                </c:pt>
                <c:pt idx="136">
                  <c:v>43978</c:v>
                </c:pt>
                <c:pt idx="137">
                  <c:v>43979</c:v>
                </c:pt>
                <c:pt idx="138">
                  <c:v>43980</c:v>
                </c:pt>
                <c:pt idx="139">
                  <c:v>43981</c:v>
                </c:pt>
                <c:pt idx="140">
                  <c:v>43982</c:v>
                </c:pt>
                <c:pt idx="141">
                  <c:v>43983</c:v>
                </c:pt>
                <c:pt idx="142">
                  <c:v>43984</c:v>
                </c:pt>
                <c:pt idx="143">
                  <c:v>43985</c:v>
                </c:pt>
                <c:pt idx="144">
                  <c:v>43986</c:v>
                </c:pt>
                <c:pt idx="145">
                  <c:v>43987</c:v>
                </c:pt>
                <c:pt idx="146">
                  <c:v>43988</c:v>
                </c:pt>
                <c:pt idx="147">
                  <c:v>43989</c:v>
                </c:pt>
                <c:pt idx="148">
                  <c:v>43990</c:v>
                </c:pt>
                <c:pt idx="149">
                  <c:v>43991</c:v>
                </c:pt>
                <c:pt idx="150">
                  <c:v>43992</c:v>
                </c:pt>
                <c:pt idx="151">
                  <c:v>43993</c:v>
                </c:pt>
                <c:pt idx="152">
                  <c:v>43994</c:v>
                </c:pt>
                <c:pt idx="153">
                  <c:v>43995</c:v>
                </c:pt>
                <c:pt idx="154">
                  <c:v>43996</c:v>
                </c:pt>
                <c:pt idx="155">
                  <c:v>43997</c:v>
                </c:pt>
                <c:pt idx="156">
                  <c:v>43998</c:v>
                </c:pt>
                <c:pt idx="157">
                  <c:v>43999</c:v>
                </c:pt>
                <c:pt idx="158">
                  <c:v>44000</c:v>
                </c:pt>
                <c:pt idx="159">
                  <c:v>44001</c:v>
                </c:pt>
                <c:pt idx="160">
                  <c:v>44002</c:v>
                </c:pt>
                <c:pt idx="161">
                  <c:v>44003</c:v>
                </c:pt>
                <c:pt idx="162">
                  <c:v>44004</c:v>
                </c:pt>
                <c:pt idx="163">
                  <c:v>44005</c:v>
                </c:pt>
                <c:pt idx="164">
                  <c:v>44006</c:v>
                </c:pt>
                <c:pt idx="165">
                  <c:v>44007</c:v>
                </c:pt>
                <c:pt idx="166">
                  <c:v>44008</c:v>
                </c:pt>
                <c:pt idx="167">
                  <c:v>44009</c:v>
                </c:pt>
                <c:pt idx="168">
                  <c:v>44010</c:v>
                </c:pt>
                <c:pt idx="169">
                  <c:v>44011</c:v>
                </c:pt>
                <c:pt idx="170">
                  <c:v>44012</c:v>
                </c:pt>
                <c:pt idx="171">
                  <c:v>44013</c:v>
                </c:pt>
                <c:pt idx="172">
                  <c:v>44014</c:v>
                </c:pt>
                <c:pt idx="173">
                  <c:v>44015</c:v>
                </c:pt>
                <c:pt idx="174">
                  <c:v>44016</c:v>
                </c:pt>
                <c:pt idx="175">
                  <c:v>44017</c:v>
                </c:pt>
                <c:pt idx="176">
                  <c:v>44018</c:v>
                </c:pt>
                <c:pt idx="177">
                  <c:v>44019</c:v>
                </c:pt>
                <c:pt idx="178">
                  <c:v>44020</c:v>
                </c:pt>
                <c:pt idx="179">
                  <c:v>44021</c:v>
                </c:pt>
                <c:pt idx="180">
                  <c:v>44022</c:v>
                </c:pt>
                <c:pt idx="181">
                  <c:v>44023</c:v>
                </c:pt>
                <c:pt idx="182">
                  <c:v>44024</c:v>
                </c:pt>
                <c:pt idx="183">
                  <c:v>44025</c:v>
                </c:pt>
                <c:pt idx="184">
                  <c:v>44026</c:v>
                </c:pt>
                <c:pt idx="185">
                  <c:v>44027</c:v>
                </c:pt>
                <c:pt idx="186">
                  <c:v>44028</c:v>
                </c:pt>
                <c:pt idx="187">
                  <c:v>44029</c:v>
                </c:pt>
                <c:pt idx="188">
                  <c:v>44030</c:v>
                </c:pt>
                <c:pt idx="189">
                  <c:v>44031</c:v>
                </c:pt>
                <c:pt idx="190">
                  <c:v>44032</c:v>
                </c:pt>
                <c:pt idx="191">
                  <c:v>44033</c:v>
                </c:pt>
                <c:pt idx="192">
                  <c:v>44034</c:v>
                </c:pt>
                <c:pt idx="193">
                  <c:v>44035</c:v>
                </c:pt>
                <c:pt idx="194">
                  <c:v>44036</c:v>
                </c:pt>
                <c:pt idx="195">
                  <c:v>44037</c:v>
                </c:pt>
                <c:pt idx="196">
                  <c:v>44038</c:v>
                </c:pt>
                <c:pt idx="197">
                  <c:v>44039</c:v>
                </c:pt>
                <c:pt idx="198">
                  <c:v>44040</c:v>
                </c:pt>
                <c:pt idx="199">
                  <c:v>44041</c:v>
                </c:pt>
                <c:pt idx="200">
                  <c:v>44042</c:v>
                </c:pt>
                <c:pt idx="201">
                  <c:v>44043</c:v>
                </c:pt>
                <c:pt idx="202">
                  <c:v>44044</c:v>
                </c:pt>
                <c:pt idx="203">
                  <c:v>44045</c:v>
                </c:pt>
                <c:pt idx="204">
                  <c:v>44046</c:v>
                </c:pt>
                <c:pt idx="205">
                  <c:v>44047</c:v>
                </c:pt>
                <c:pt idx="206">
                  <c:v>44048</c:v>
                </c:pt>
                <c:pt idx="207">
                  <c:v>44049</c:v>
                </c:pt>
                <c:pt idx="208">
                  <c:v>44050</c:v>
                </c:pt>
                <c:pt idx="209">
                  <c:v>44051</c:v>
                </c:pt>
                <c:pt idx="210">
                  <c:v>44052</c:v>
                </c:pt>
                <c:pt idx="211">
                  <c:v>44053</c:v>
                </c:pt>
                <c:pt idx="212">
                  <c:v>44054</c:v>
                </c:pt>
                <c:pt idx="213">
                  <c:v>44055</c:v>
                </c:pt>
                <c:pt idx="214">
                  <c:v>44056</c:v>
                </c:pt>
                <c:pt idx="215">
                  <c:v>44057</c:v>
                </c:pt>
                <c:pt idx="216">
                  <c:v>44058</c:v>
                </c:pt>
                <c:pt idx="217">
                  <c:v>44059</c:v>
                </c:pt>
                <c:pt idx="218">
                  <c:v>44060</c:v>
                </c:pt>
                <c:pt idx="219">
                  <c:v>44061</c:v>
                </c:pt>
                <c:pt idx="220">
                  <c:v>44062</c:v>
                </c:pt>
                <c:pt idx="221">
                  <c:v>44063</c:v>
                </c:pt>
                <c:pt idx="222">
                  <c:v>44064</c:v>
                </c:pt>
                <c:pt idx="223">
                  <c:v>44065</c:v>
                </c:pt>
                <c:pt idx="224">
                  <c:v>44066</c:v>
                </c:pt>
                <c:pt idx="225">
                  <c:v>44067</c:v>
                </c:pt>
                <c:pt idx="226">
                  <c:v>44068</c:v>
                </c:pt>
                <c:pt idx="227">
                  <c:v>44069</c:v>
                </c:pt>
                <c:pt idx="228">
                  <c:v>44070</c:v>
                </c:pt>
                <c:pt idx="229">
                  <c:v>44071</c:v>
                </c:pt>
                <c:pt idx="230">
                  <c:v>44072</c:v>
                </c:pt>
                <c:pt idx="231">
                  <c:v>44073</c:v>
                </c:pt>
                <c:pt idx="232">
                  <c:v>44074</c:v>
                </c:pt>
                <c:pt idx="233">
                  <c:v>44075</c:v>
                </c:pt>
                <c:pt idx="234">
                  <c:v>44076</c:v>
                </c:pt>
                <c:pt idx="235">
                  <c:v>44077</c:v>
                </c:pt>
                <c:pt idx="236">
                  <c:v>44078</c:v>
                </c:pt>
                <c:pt idx="237">
                  <c:v>44079</c:v>
                </c:pt>
                <c:pt idx="238">
                  <c:v>44080</c:v>
                </c:pt>
                <c:pt idx="239">
                  <c:v>44081</c:v>
                </c:pt>
                <c:pt idx="240">
                  <c:v>44082</c:v>
                </c:pt>
                <c:pt idx="241">
                  <c:v>44083</c:v>
                </c:pt>
                <c:pt idx="242">
                  <c:v>44084</c:v>
                </c:pt>
                <c:pt idx="243">
                  <c:v>44085</c:v>
                </c:pt>
                <c:pt idx="244">
                  <c:v>44086</c:v>
                </c:pt>
                <c:pt idx="245">
                  <c:v>44087</c:v>
                </c:pt>
                <c:pt idx="246">
                  <c:v>44088</c:v>
                </c:pt>
                <c:pt idx="247">
                  <c:v>44089</c:v>
                </c:pt>
                <c:pt idx="248">
                  <c:v>44090</c:v>
                </c:pt>
                <c:pt idx="249">
                  <c:v>44091</c:v>
                </c:pt>
                <c:pt idx="250">
                  <c:v>44092</c:v>
                </c:pt>
                <c:pt idx="251">
                  <c:v>44093</c:v>
                </c:pt>
                <c:pt idx="252">
                  <c:v>44094</c:v>
                </c:pt>
                <c:pt idx="253">
                  <c:v>44095</c:v>
                </c:pt>
                <c:pt idx="254">
                  <c:v>44096</c:v>
                </c:pt>
                <c:pt idx="255">
                  <c:v>44097</c:v>
                </c:pt>
                <c:pt idx="256">
                  <c:v>44098</c:v>
                </c:pt>
                <c:pt idx="257">
                  <c:v>44099</c:v>
                </c:pt>
                <c:pt idx="258">
                  <c:v>44100</c:v>
                </c:pt>
                <c:pt idx="259">
                  <c:v>44101</c:v>
                </c:pt>
                <c:pt idx="260">
                  <c:v>44102</c:v>
                </c:pt>
                <c:pt idx="261">
                  <c:v>44103</c:v>
                </c:pt>
                <c:pt idx="262">
                  <c:v>44104</c:v>
                </c:pt>
                <c:pt idx="263">
                  <c:v>44105</c:v>
                </c:pt>
                <c:pt idx="264">
                  <c:v>44106</c:v>
                </c:pt>
                <c:pt idx="265">
                  <c:v>44107</c:v>
                </c:pt>
                <c:pt idx="266">
                  <c:v>44108</c:v>
                </c:pt>
                <c:pt idx="267">
                  <c:v>44109</c:v>
                </c:pt>
                <c:pt idx="268">
                  <c:v>44110</c:v>
                </c:pt>
                <c:pt idx="269">
                  <c:v>44111</c:v>
                </c:pt>
                <c:pt idx="270">
                  <c:v>44112</c:v>
                </c:pt>
                <c:pt idx="271">
                  <c:v>44113</c:v>
                </c:pt>
                <c:pt idx="272">
                  <c:v>44114</c:v>
                </c:pt>
                <c:pt idx="273">
                  <c:v>44115</c:v>
                </c:pt>
                <c:pt idx="274">
                  <c:v>44116</c:v>
                </c:pt>
                <c:pt idx="275">
                  <c:v>44117</c:v>
                </c:pt>
                <c:pt idx="276">
                  <c:v>44118</c:v>
                </c:pt>
                <c:pt idx="277">
                  <c:v>44119</c:v>
                </c:pt>
                <c:pt idx="278">
                  <c:v>44120</c:v>
                </c:pt>
                <c:pt idx="279">
                  <c:v>44121</c:v>
                </c:pt>
                <c:pt idx="280">
                  <c:v>44122</c:v>
                </c:pt>
                <c:pt idx="281">
                  <c:v>44123</c:v>
                </c:pt>
                <c:pt idx="282">
                  <c:v>44124</c:v>
                </c:pt>
                <c:pt idx="283">
                  <c:v>44125</c:v>
                </c:pt>
                <c:pt idx="284">
                  <c:v>44126</c:v>
                </c:pt>
                <c:pt idx="285">
                  <c:v>44127</c:v>
                </c:pt>
                <c:pt idx="286">
                  <c:v>44128</c:v>
                </c:pt>
                <c:pt idx="287">
                  <c:v>44129</c:v>
                </c:pt>
                <c:pt idx="288">
                  <c:v>44130</c:v>
                </c:pt>
                <c:pt idx="289">
                  <c:v>44131</c:v>
                </c:pt>
                <c:pt idx="290">
                  <c:v>44132</c:v>
                </c:pt>
                <c:pt idx="291">
                  <c:v>44133</c:v>
                </c:pt>
                <c:pt idx="292">
                  <c:v>44134</c:v>
                </c:pt>
                <c:pt idx="293">
                  <c:v>44135</c:v>
                </c:pt>
                <c:pt idx="294">
                  <c:v>44136</c:v>
                </c:pt>
                <c:pt idx="295">
                  <c:v>44137</c:v>
                </c:pt>
                <c:pt idx="296">
                  <c:v>44138</c:v>
                </c:pt>
                <c:pt idx="297">
                  <c:v>44139</c:v>
                </c:pt>
                <c:pt idx="298">
                  <c:v>44140</c:v>
                </c:pt>
                <c:pt idx="299">
                  <c:v>44141</c:v>
                </c:pt>
                <c:pt idx="300">
                  <c:v>44142</c:v>
                </c:pt>
                <c:pt idx="301">
                  <c:v>44143</c:v>
                </c:pt>
                <c:pt idx="302">
                  <c:v>44144</c:v>
                </c:pt>
                <c:pt idx="303">
                  <c:v>44145</c:v>
                </c:pt>
                <c:pt idx="304">
                  <c:v>44146</c:v>
                </c:pt>
                <c:pt idx="305">
                  <c:v>44147</c:v>
                </c:pt>
                <c:pt idx="306">
                  <c:v>44148</c:v>
                </c:pt>
                <c:pt idx="307">
                  <c:v>44149</c:v>
                </c:pt>
                <c:pt idx="308">
                  <c:v>44150</c:v>
                </c:pt>
                <c:pt idx="309">
                  <c:v>44151</c:v>
                </c:pt>
                <c:pt idx="310">
                  <c:v>44152</c:v>
                </c:pt>
                <c:pt idx="311">
                  <c:v>44153</c:v>
                </c:pt>
                <c:pt idx="312">
                  <c:v>44154</c:v>
                </c:pt>
                <c:pt idx="313">
                  <c:v>44155</c:v>
                </c:pt>
                <c:pt idx="314">
                  <c:v>44156</c:v>
                </c:pt>
                <c:pt idx="315">
                  <c:v>44157</c:v>
                </c:pt>
                <c:pt idx="316">
                  <c:v>44158</c:v>
                </c:pt>
                <c:pt idx="317">
                  <c:v>44159</c:v>
                </c:pt>
                <c:pt idx="318">
                  <c:v>44160</c:v>
                </c:pt>
                <c:pt idx="319">
                  <c:v>44161</c:v>
                </c:pt>
                <c:pt idx="320">
                  <c:v>44162</c:v>
                </c:pt>
                <c:pt idx="321">
                  <c:v>44163</c:v>
                </c:pt>
                <c:pt idx="322">
                  <c:v>44164</c:v>
                </c:pt>
                <c:pt idx="323">
                  <c:v>44165</c:v>
                </c:pt>
                <c:pt idx="324">
                  <c:v>44166</c:v>
                </c:pt>
                <c:pt idx="325">
                  <c:v>44167</c:v>
                </c:pt>
                <c:pt idx="326">
                  <c:v>44168</c:v>
                </c:pt>
                <c:pt idx="327">
                  <c:v>44169</c:v>
                </c:pt>
                <c:pt idx="328">
                  <c:v>44170</c:v>
                </c:pt>
                <c:pt idx="329">
                  <c:v>44171</c:v>
                </c:pt>
                <c:pt idx="330">
                  <c:v>44172</c:v>
                </c:pt>
                <c:pt idx="331">
                  <c:v>44173</c:v>
                </c:pt>
                <c:pt idx="332">
                  <c:v>44174</c:v>
                </c:pt>
                <c:pt idx="333">
                  <c:v>44175</c:v>
                </c:pt>
                <c:pt idx="334">
                  <c:v>44176</c:v>
                </c:pt>
                <c:pt idx="335">
                  <c:v>44177</c:v>
                </c:pt>
                <c:pt idx="336">
                  <c:v>44178</c:v>
                </c:pt>
                <c:pt idx="337">
                  <c:v>44179</c:v>
                </c:pt>
                <c:pt idx="338">
                  <c:v>44180</c:v>
                </c:pt>
                <c:pt idx="339">
                  <c:v>44181</c:v>
                </c:pt>
                <c:pt idx="340">
                  <c:v>44182</c:v>
                </c:pt>
                <c:pt idx="341">
                  <c:v>44183</c:v>
                </c:pt>
                <c:pt idx="342">
                  <c:v>44184</c:v>
                </c:pt>
                <c:pt idx="343">
                  <c:v>44185</c:v>
                </c:pt>
                <c:pt idx="344">
                  <c:v>44186</c:v>
                </c:pt>
                <c:pt idx="345">
                  <c:v>44187</c:v>
                </c:pt>
                <c:pt idx="346">
                  <c:v>44188</c:v>
                </c:pt>
                <c:pt idx="347">
                  <c:v>44189</c:v>
                </c:pt>
                <c:pt idx="348">
                  <c:v>44190</c:v>
                </c:pt>
                <c:pt idx="349">
                  <c:v>44191</c:v>
                </c:pt>
                <c:pt idx="350">
                  <c:v>44192</c:v>
                </c:pt>
                <c:pt idx="351">
                  <c:v>44193</c:v>
                </c:pt>
                <c:pt idx="352">
                  <c:v>44194</c:v>
                </c:pt>
                <c:pt idx="353">
                  <c:v>44195</c:v>
                </c:pt>
                <c:pt idx="354">
                  <c:v>44196</c:v>
                </c:pt>
                <c:pt idx="355">
                  <c:v>44197</c:v>
                </c:pt>
                <c:pt idx="356">
                  <c:v>44198</c:v>
                </c:pt>
                <c:pt idx="357">
                  <c:v>44199</c:v>
                </c:pt>
                <c:pt idx="358">
                  <c:v>44200</c:v>
                </c:pt>
                <c:pt idx="359">
                  <c:v>44201</c:v>
                </c:pt>
                <c:pt idx="360">
                  <c:v>44202</c:v>
                </c:pt>
                <c:pt idx="361">
                  <c:v>44203</c:v>
                </c:pt>
                <c:pt idx="362">
                  <c:v>44204</c:v>
                </c:pt>
                <c:pt idx="363">
                  <c:v>44205</c:v>
                </c:pt>
                <c:pt idx="364">
                  <c:v>44206</c:v>
                </c:pt>
                <c:pt idx="365">
                  <c:v>44207</c:v>
                </c:pt>
                <c:pt idx="366">
                  <c:v>44208</c:v>
                </c:pt>
                <c:pt idx="367">
                  <c:v>44209</c:v>
                </c:pt>
                <c:pt idx="368">
                  <c:v>44210</c:v>
                </c:pt>
                <c:pt idx="369">
                  <c:v>44211</c:v>
                </c:pt>
                <c:pt idx="370">
                  <c:v>44212</c:v>
                </c:pt>
                <c:pt idx="371">
                  <c:v>44213</c:v>
                </c:pt>
                <c:pt idx="372">
                  <c:v>44214</c:v>
                </c:pt>
                <c:pt idx="373">
                  <c:v>44215</c:v>
                </c:pt>
                <c:pt idx="374">
                  <c:v>44216</c:v>
                </c:pt>
                <c:pt idx="375">
                  <c:v>44217</c:v>
                </c:pt>
                <c:pt idx="376">
                  <c:v>44218</c:v>
                </c:pt>
                <c:pt idx="377">
                  <c:v>44219</c:v>
                </c:pt>
                <c:pt idx="378">
                  <c:v>44220</c:v>
                </c:pt>
                <c:pt idx="379">
                  <c:v>44221</c:v>
                </c:pt>
                <c:pt idx="380">
                  <c:v>44222</c:v>
                </c:pt>
                <c:pt idx="381">
                  <c:v>44223</c:v>
                </c:pt>
                <c:pt idx="382">
                  <c:v>44224</c:v>
                </c:pt>
                <c:pt idx="383">
                  <c:v>44225</c:v>
                </c:pt>
                <c:pt idx="384">
                  <c:v>44226</c:v>
                </c:pt>
                <c:pt idx="385">
                  <c:v>44227</c:v>
                </c:pt>
                <c:pt idx="386">
                  <c:v>44228</c:v>
                </c:pt>
                <c:pt idx="387">
                  <c:v>44229</c:v>
                </c:pt>
                <c:pt idx="388">
                  <c:v>44230</c:v>
                </c:pt>
                <c:pt idx="389">
                  <c:v>44231</c:v>
                </c:pt>
                <c:pt idx="390">
                  <c:v>44232</c:v>
                </c:pt>
                <c:pt idx="391">
                  <c:v>44233</c:v>
                </c:pt>
                <c:pt idx="392">
                  <c:v>44234</c:v>
                </c:pt>
                <c:pt idx="393">
                  <c:v>44235</c:v>
                </c:pt>
                <c:pt idx="394">
                  <c:v>44236</c:v>
                </c:pt>
                <c:pt idx="395">
                  <c:v>44237</c:v>
                </c:pt>
                <c:pt idx="396">
                  <c:v>44238</c:v>
                </c:pt>
                <c:pt idx="397">
                  <c:v>44239</c:v>
                </c:pt>
                <c:pt idx="398">
                  <c:v>44240</c:v>
                </c:pt>
                <c:pt idx="399">
                  <c:v>44241</c:v>
                </c:pt>
                <c:pt idx="400">
                  <c:v>44242</c:v>
                </c:pt>
                <c:pt idx="401">
                  <c:v>44243</c:v>
                </c:pt>
                <c:pt idx="402">
                  <c:v>44244</c:v>
                </c:pt>
                <c:pt idx="403">
                  <c:v>44245</c:v>
                </c:pt>
                <c:pt idx="404">
                  <c:v>44246</c:v>
                </c:pt>
                <c:pt idx="405">
                  <c:v>44247</c:v>
                </c:pt>
                <c:pt idx="406">
                  <c:v>44248</c:v>
                </c:pt>
                <c:pt idx="407">
                  <c:v>44249</c:v>
                </c:pt>
                <c:pt idx="408">
                  <c:v>44250</c:v>
                </c:pt>
                <c:pt idx="409">
                  <c:v>44251</c:v>
                </c:pt>
                <c:pt idx="410">
                  <c:v>44252</c:v>
                </c:pt>
                <c:pt idx="411">
                  <c:v>44253</c:v>
                </c:pt>
                <c:pt idx="412">
                  <c:v>44254</c:v>
                </c:pt>
                <c:pt idx="413">
                  <c:v>44255</c:v>
                </c:pt>
                <c:pt idx="414">
                  <c:v>44256</c:v>
                </c:pt>
                <c:pt idx="415">
                  <c:v>44257</c:v>
                </c:pt>
                <c:pt idx="416">
                  <c:v>44258</c:v>
                </c:pt>
                <c:pt idx="417">
                  <c:v>44259</c:v>
                </c:pt>
                <c:pt idx="418">
                  <c:v>44260</c:v>
                </c:pt>
                <c:pt idx="419">
                  <c:v>44261</c:v>
                </c:pt>
                <c:pt idx="420">
                  <c:v>44262</c:v>
                </c:pt>
                <c:pt idx="421">
                  <c:v>44263</c:v>
                </c:pt>
                <c:pt idx="422">
                  <c:v>44264</c:v>
                </c:pt>
                <c:pt idx="423">
                  <c:v>44265</c:v>
                </c:pt>
                <c:pt idx="424">
                  <c:v>44266</c:v>
                </c:pt>
                <c:pt idx="425">
                  <c:v>44267</c:v>
                </c:pt>
                <c:pt idx="426">
                  <c:v>44268</c:v>
                </c:pt>
                <c:pt idx="427">
                  <c:v>44269</c:v>
                </c:pt>
                <c:pt idx="428">
                  <c:v>44270</c:v>
                </c:pt>
                <c:pt idx="429">
                  <c:v>44271</c:v>
                </c:pt>
                <c:pt idx="430">
                  <c:v>44272</c:v>
                </c:pt>
                <c:pt idx="431">
                  <c:v>44273</c:v>
                </c:pt>
                <c:pt idx="432">
                  <c:v>44274</c:v>
                </c:pt>
                <c:pt idx="433">
                  <c:v>44275</c:v>
                </c:pt>
                <c:pt idx="434">
                  <c:v>44276</c:v>
                </c:pt>
                <c:pt idx="435">
                  <c:v>44277</c:v>
                </c:pt>
                <c:pt idx="436">
                  <c:v>44278</c:v>
                </c:pt>
                <c:pt idx="437">
                  <c:v>44279</c:v>
                </c:pt>
                <c:pt idx="438">
                  <c:v>44280</c:v>
                </c:pt>
                <c:pt idx="439">
                  <c:v>44281</c:v>
                </c:pt>
                <c:pt idx="440">
                  <c:v>44282</c:v>
                </c:pt>
                <c:pt idx="441">
                  <c:v>44283</c:v>
                </c:pt>
                <c:pt idx="442">
                  <c:v>44284</c:v>
                </c:pt>
                <c:pt idx="443">
                  <c:v>44285</c:v>
                </c:pt>
                <c:pt idx="444">
                  <c:v>44286</c:v>
                </c:pt>
                <c:pt idx="445">
                  <c:v>44287</c:v>
                </c:pt>
                <c:pt idx="446">
                  <c:v>44288</c:v>
                </c:pt>
                <c:pt idx="447">
                  <c:v>44289</c:v>
                </c:pt>
                <c:pt idx="448">
                  <c:v>44290</c:v>
                </c:pt>
                <c:pt idx="449">
                  <c:v>44291</c:v>
                </c:pt>
                <c:pt idx="450">
                  <c:v>44292</c:v>
                </c:pt>
                <c:pt idx="451">
                  <c:v>44293</c:v>
                </c:pt>
                <c:pt idx="452">
                  <c:v>44294</c:v>
                </c:pt>
                <c:pt idx="453">
                  <c:v>44295</c:v>
                </c:pt>
                <c:pt idx="454">
                  <c:v>44296</c:v>
                </c:pt>
                <c:pt idx="455">
                  <c:v>44297</c:v>
                </c:pt>
                <c:pt idx="456">
                  <c:v>44298</c:v>
                </c:pt>
                <c:pt idx="457">
                  <c:v>44299</c:v>
                </c:pt>
                <c:pt idx="458">
                  <c:v>44300</c:v>
                </c:pt>
                <c:pt idx="459">
                  <c:v>44301</c:v>
                </c:pt>
                <c:pt idx="460">
                  <c:v>44302</c:v>
                </c:pt>
                <c:pt idx="461">
                  <c:v>44303</c:v>
                </c:pt>
                <c:pt idx="462">
                  <c:v>44304</c:v>
                </c:pt>
                <c:pt idx="463">
                  <c:v>44305</c:v>
                </c:pt>
                <c:pt idx="464">
                  <c:v>44306</c:v>
                </c:pt>
                <c:pt idx="465">
                  <c:v>44307</c:v>
                </c:pt>
                <c:pt idx="466">
                  <c:v>44308</c:v>
                </c:pt>
                <c:pt idx="467">
                  <c:v>44309</c:v>
                </c:pt>
                <c:pt idx="468">
                  <c:v>44310</c:v>
                </c:pt>
                <c:pt idx="469">
                  <c:v>44311</c:v>
                </c:pt>
                <c:pt idx="470">
                  <c:v>44312</c:v>
                </c:pt>
                <c:pt idx="471">
                  <c:v>44313</c:v>
                </c:pt>
                <c:pt idx="472">
                  <c:v>44314</c:v>
                </c:pt>
                <c:pt idx="473">
                  <c:v>44315</c:v>
                </c:pt>
                <c:pt idx="474">
                  <c:v>44316</c:v>
                </c:pt>
                <c:pt idx="475">
                  <c:v>44317</c:v>
                </c:pt>
                <c:pt idx="476">
                  <c:v>44318</c:v>
                </c:pt>
                <c:pt idx="477">
                  <c:v>44319</c:v>
                </c:pt>
                <c:pt idx="478">
                  <c:v>44320</c:v>
                </c:pt>
                <c:pt idx="479">
                  <c:v>44321</c:v>
                </c:pt>
                <c:pt idx="480">
                  <c:v>44322</c:v>
                </c:pt>
                <c:pt idx="481">
                  <c:v>44323</c:v>
                </c:pt>
                <c:pt idx="482">
                  <c:v>44324</c:v>
                </c:pt>
                <c:pt idx="483">
                  <c:v>44325</c:v>
                </c:pt>
                <c:pt idx="484">
                  <c:v>44326</c:v>
                </c:pt>
                <c:pt idx="485">
                  <c:v>44327</c:v>
                </c:pt>
                <c:pt idx="486">
                  <c:v>44328</c:v>
                </c:pt>
                <c:pt idx="487">
                  <c:v>44329</c:v>
                </c:pt>
                <c:pt idx="488">
                  <c:v>44330</c:v>
                </c:pt>
                <c:pt idx="489">
                  <c:v>44331</c:v>
                </c:pt>
                <c:pt idx="490">
                  <c:v>44332</c:v>
                </c:pt>
                <c:pt idx="491">
                  <c:v>44333</c:v>
                </c:pt>
                <c:pt idx="492">
                  <c:v>44334</c:v>
                </c:pt>
                <c:pt idx="493">
                  <c:v>44335</c:v>
                </c:pt>
                <c:pt idx="494">
                  <c:v>44336</c:v>
                </c:pt>
                <c:pt idx="495">
                  <c:v>44337</c:v>
                </c:pt>
                <c:pt idx="496">
                  <c:v>44338</c:v>
                </c:pt>
                <c:pt idx="497">
                  <c:v>44339</c:v>
                </c:pt>
                <c:pt idx="498">
                  <c:v>44340</c:v>
                </c:pt>
                <c:pt idx="499">
                  <c:v>44341</c:v>
                </c:pt>
                <c:pt idx="500">
                  <c:v>44342</c:v>
                </c:pt>
                <c:pt idx="501">
                  <c:v>44343</c:v>
                </c:pt>
                <c:pt idx="502">
                  <c:v>44344</c:v>
                </c:pt>
                <c:pt idx="503">
                  <c:v>44345</c:v>
                </c:pt>
                <c:pt idx="504">
                  <c:v>44346</c:v>
                </c:pt>
                <c:pt idx="505">
                  <c:v>44347</c:v>
                </c:pt>
                <c:pt idx="506">
                  <c:v>44348</c:v>
                </c:pt>
                <c:pt idx="507">
                  <c:v>44349</c:v>
                </c:pt>
                <c:pt idx="508">
                  <c:v>44350</c:v>
                </c:pt>
                <c:pt idx="509">
                  <c:v>44351</c:v>
                </c:pt>
                <c:pt idx="510">
                  <c:v>44352</c:v>
                </c:pt>
                <c:pt idx="511">
                  <c:v>44353</c:v>
                </c:pt>
                <c:pt idx="512">
                  <c:v>44354</c:v>
                </c:pt>
                <c:pt idx="513">
                  <c:v>44355</c:v>
                </c:pt>
                <c:pt idx="514">
                  <c:v>44356</c:v>
                </c:pt>
                <c:pt idx="515">
                  <c:v>44357</c:v>
                </c:pt>
                <c:pt idx="516">
                  <c:v>44358</c:v>
                </c:pt>
                <c:pt idx="517">
                  <c:v>44359</c:v>
                </c:pt>
                <c:pt idx="518">
                  <c:v>44360</c:v>
                </c:pt>
                <c:pt idx="519">
                  <c:v>44361</c:v>
                </c:pt>
                <c:pt idx="520">
                  <c:v>44362</c:v>
                </c:pt>
                <c:pt idx="521">
                  <c:v>44363</c:v>
                </c:pt>
                <c:pt idx="522">
                  <c:v>44364</c:v>
                </c:pt>
                <c:pt idx="523">
                  <c:v>44365</c:v>
                </c:pt>
                <c:pt idx="524">
                  <c:v>44366</c:v>
                </c:pt>
                <c:pt idx="525">
                  <c:v>44367</c:v>
                </c:pt>
                <c:pt idx="526">
                  <c:v>44368</c:v>
                </c:pt>
                <c:pt idx="527">
                  <c:v>44369</c:v>
                </c:pt>
                <c:pt idx="528">
                  <c:v>44370</c:v>
                </c:pt>
                <c:pt idx="529">
                  <c:v>44371</c:v>
                </c:pt>
                <c:pt idx="530">
                  <c:v>44372</c:v>
                </c:pt>
                <c:pt idx="531">
                  <c:v>44373</c:v>
                </c:pt>
                <c:pt idx="532">
                  <c:v>44374</c:v>
                </c:pt>
                <c:pt idx="533">
                  <c:v>44375</c:v>
                </c:pt>
                <c:pt idx="534">
                  <c:v>44376</c:v>
                </c:pt>
                <c:pt idx="535">
                  <c:v>44377</c:v>
                </c:pt>
                <c:pt idx="536">
                  <c:v>44378</c:v>
                </c:pt>
                <c:pt idx="537">
                  <c:v>44379</c:v>
                </c:pt>
                <c:pt idx="538">
                  <c:v>44380</c:v>
                </c:pt>
                <c:pt idx="539">
                  <c:v>44381</c:v>
                </c:pt>
                <c:pt idx="540">
                  <c:v>44382</c:v>
                </c:pt>
                <c:pt idx="541">
                  <c:v>44383</c:v>
                </c:pt>
                <c:pt idx="542">
                  <c:v>44384</c:v>
                </c:pt>
                <c:pt idx="543">
                  <c:v>44385</c:v>
                </c:pt>
                <c:pt idx="544">
                  <c:v>44386</c:v>
                </c:pt>
                <c:pt idx="545">
                  <c:v>44387</c:v>
                </c:pt>
                <c:pt idx="546">
                  <c:v>44388</c:v>
                </c:pt>
                <c:pt idx="547">
                  <c:v>44389</c:v>
                </c:pt>
                <c:pt idx="548">
                  <c:v>44390</c:v>
                </c:pt>
                <c:pt idx="549">
                  <c:v>44391</c:v>
                </c:pt>
                <c:pt idx="550">
                  <c:v>44392</c:v>
                </c:pt>
                <c:pt idx="551">
                  <c:v>44393</c:v>
                </c:pt>
                <c:pt idx="552">
                  <c:v>44394</c:v>
                </c:pt>
                <c:pt idx="553">
                  <c:v>44395</c:v>
                </c:pt>
                <c:pt idx="554">
                  <c:v>44396</c:v>
                </c:pt>
                <c:pt idx="555">
                  <c:v>44397</c:v>
                </c:pt>
                <c:pt idx="556">
                  <c:v>44398</c:v>
                </c:pt>
                <c:pt idx="557">
                  <c:v>44399</c:v>
                </c:pt>
                <c:pt idx="558">
                  <c:v>44400</c:v>
                </c:pt>
                <c:pt idx="559">
                  <c:v>44401</c:v>
                </c:pt>
                <c:pt idx="560">
                  <c:v>44402</c:v>
                </c:pt>
                <c:pt idx="561">
                  <c:v>44403</c:v>
                </c:pt>
                <c:pt idx="562">
                  <c:v>44404</c:v>
                </c:pt>
                <c:pt idx="563">
                  <c:v>44405</c:v>
                </c:pt>
                <c:pt idx="564">
                  <c:v>44406</c:v>
                </c:pt>
                <c:pt idx="565">
                  <c:v>44407</c:v>
                </c:pt>
                <c:pt idx="566">
                  <c:v>44408</c:v>
                </c:pt>
                <c:pt idx="567">
                  <c:v>44409</c:v>
                </c:pt>
                <c:pt idx="568">
                  <c:v>44410</c:v>
                </c:pt>
                <c:pt idx="569">
                  <c:v>44411</c:v>
                </c:pt>
                <c:pt idx="570">
                  <c:v>44412</c:v>
                </c:pt>
                <c:pt idx="571">
                  <c:v>44413</c:v>
                </c:pt>
                <c:pt idx="572">
                  <c:v>44414</c:v>
                </c:pt>
                <c:pt idx="573">
                  <c:v>44415</c:v>
                </c:pt>
                <c:pt idx="574">
                  <c:v>44416</c:v>
                </c:pt>
                <c:pt idx="575">
                  <c:v>44417</c:v>
                </c:pt>
                <c:pt idx="576">
                  <c:v>44418</c:v>
                </c:pt>
                <c:pt idx="577">
                  <c:v>44419</c:v>
                </c:pt>
                <c:pt idx="578">
                  <c:v>44420</c:v>
                </c:pt>
                <c:pt idx="579">
                  <c:v>44421</c:v>
                </c:pt>
                <c:pt idx="580">
                  <c:v>44422</c:v>
                </c:pt>
                <c:pt idx="581">
                  <c:v>44423</c:v>
                </c:pt>
                <c:pt idx="582">
                  <c:v>44424</c:v>
                </c:pt>
                <c:pt idx="583">
                  <c:v>44425</c:v>
                </c:pt>
                <c:pt idx="584">
                  <c:v>44426</c:v>
                </c:pt>
                <c:pt idx="585">
                  <c:v>44427</c:v>
                </c:pt>
                <c:pt idx="586">
                  <c:v>44428</c:v>
                </c:pt>
                <c:pt idx="587">
                  <c:v>44429</c:v>
                </c:pt>
                <c:pt idx="588">
                  <c:v>44430</c:v>
                </c:pt>
                <c:pt idx="589">
                  <c:v>44431</c:v>
                </c:pt>
                <c:pt idx="590">
                  <c:v>44432</c:v>
                </c:pt>
                <c:pt idx="591">
                  <c:v>44433</c:v>
                </c:pt>
                <c:pt idx="592">
                  <c:v>44434</c:v>
                </c:pt>
                <c:pt idx="593">
                  <c:v>44435</c:v>
                </c:pt>
                <c:pt idx="594">
                  <c:v>44436</c:v>
                </c:pt>
                <c:pt idx="595">
                  <c:v>44437</c:v>
                </c:pt>
                <c:pt idx="596">
                  <c:v>44438</c:v>
                </c:pt>
                <c:pt idx="597">
                  <c:v>44439</c:v>
                </c:pt>
                <c:pt idx="598">
                  <c:v>44440</c:v>
                </c:pt>
                <c:pt idx="599">
                  <c:v>44441</c:v>
                </c:pt>
                <c:pt idx="600">
                  <c:v>44442</c:v>
                </c:pt>
                <c:pt idx="601">
                  <c:v>44443</c:v>
                </c:pt>
                <c:pt idx="602">
                  <c:v>44444</c:v>
                </c:pt>
                <c:pt idx="603">
                  <c:v>44445</c:v>
                </c:pt>
                <c:pt idx="604">
                  <c:v>44446</c:v>
                </c:pt>
                <c:pt idx="605">
                  <c:v>44447</c:v>
                </c:pt>
                <c:pt idx="606">
                  <c:v>44448</c:v>
                </c:pt>
                <c:pt idx="607">
                  <c:v>44449</c:v>
                </c:pt>
                <c:pt idx="608">
                  <c:v>44450</c:v>
                </c:pt>
                <c:pt idx="609">
                  <c:v>44451</c:v>
                </c:pt>
                <c:pt idx="610">
                  <c:v>44452</c:v>
                </c:pt>
                <c:pt idx="611">
                  <c:v>44453</c:v>
                </c:pt>
                <c:pt idx="612">
                  <c:v>44454</c:v>
                </c:pt>
                <c:pt idx="613">
                  <c:v>44455</c:v>
                </c:pt>
                <c:pt idx="614">
                  <c:v>44456</c:v>
                </c:pt>
                <c:pt idx="615">
                  <c:v>44457</c:v>
                </c:pt>
                <c:pt idx="616">
                  <c:v>44458</c:v>
                </c:pt>
                <c:pt idx="617">
                  <c:v>44459</c:v>
                </c:pt>
                <c:pt idx="618">
                  <c:v>44460</c:v>
                </c:pt>
                <c:pt idx="619">
                  <c:v>44461</c:v>
                </c:pt>
                <c:pt idx="620">
                  <c:v>44462</c:v>
                </c:pt>
                <c:pt idx="621">
                  <c:v>44463</c:v>
                </c:pt>
                <c:pt idx="622">
                  <c:v>44464</c:v>
                </c:pt>
                <c:pt idx="623">
                  <c:v>44465</c:v>
                </c:pt>
                <c:pt idx="624">
                  <c:v>44466</c:v>
                </c:pt>
                <c:pt idx="625">
                  <c:v>44467</c:v>
                </c:pt>
                <c:pt idx="626">
                  <c:v>44468</c:v>
                </c:pt>
                <c:pt idx="627">
                  <c:v>44469</c:v>
                </c:pt>
                <c:pt idx="628">
                  <c:v>44470</c:v>
                </c:pt>
                <c:pt idx="629">
                  <c:v>44471</c:v>
                </c:pt>
                <c:pt idx="630">
                  <c:v>44472</c:v>
                </c:pt>
                <c:pt idx="631">
                  <c:v>44473</c:v>
                </c:pt>
                <c:pt idx="632">
                  <c:v>44474</c:v>
                </c:pt>
                <c:pt idx="633">
                  <c:v>44475</c:v>
                </c:pt>
                <c:pt idx="634">
                  <c:v>44476</c:v>
                </c:pt>
                <c:pt idx="635">
                  <c:v>44477</c:v>
                </c:pt>
                <c:pt idx="636">
                  <c:v>44478</c:v>
                </c:pt>
                <c:pt idx="637">
                  <c:v>44479</c:v>
                </c:pt>
                <c:pt idx="638">
                  <c:v>44480</c:v>
                </c:pt>
                <c:pt idx="639">
                  <c:v>44481</c:v>
                </c:pt>
                <c:pt idx="640">
                  <c:v>44482</c:v>
                </c:pt>
                <c:pt idx="641">
                  <c:v>44483</c:v>
                </c:pt>
                <c:pt idx="642">
                  <c:v>44484</c:v>
                </c:pt>
                <c:pt idx="643">
                  <c:v>44485</c:v>
                </c:pt>
                <c:pt idx="644">
                  <c:v>44486</c:v>
                </c:pt>
                <c:pt idx="645">
                  <c:v>44487</c:v>
                </c:pt>
                <c:pt idx="646">
                  <c:v>44488</c:v>
                </c:pt>
                <c:pt idx="647">
                  <c:v>44489</c:v>
                </c:pt>
                <c:pt idx="648">
                  <c:v>44490</c:v>
                </c:pt>
                <c:pt idx="649">
                  <c:v>44491</c:v>
                </c:pt>
                <c:pt idx="650">
                  <c:v>44492</c:v>
                </c:pt>
                <c:pt idx="651">
                  <c:v>44493</c:v>
                </c:pt>
                <c:pt idx="652">
                  <c:v>44494</c:v>
                </c:pt>
                <c:pt idx="653">
                  <c:v>44495</c:v>
                </c:pt>
                <c:pt idx="654">
                  <c:v>44496</c:v>
                </c:pt>
                <c:pt idx="655">
                  <c:v>44497</c:v>
                </c:pt>
                <c:pt idx="656">
                  <c:v>44498</c:v>
                </c:pt>
                <c:pt idx="657">
                  <c:v>44499</c:v>
                </c:pt>
                <c:pt idx="658">
                  <c:v>44500</c:v>
                </c:pt>
                <c:pt idx="659">
                  <c:v>44501</c:v>
                </c:pt>
                <c:pt idx="660">
                  <c:v>44502</c:v>
                </c:pt>
                <c:pt idx="661">
                  <c:v>44503</c:v>
                </c:pt>
                <c:pt idx="662">
                  <c:v>44504</c:v>
                </c:pt>
                <c:pt idx="663">
                  <c:v>44505</c:v>
                </c:pt>
                <c:pt idx="664">
                  <c:v>44506</c:v>
                </c:pt>
                <c:pt idx="665">
                  <c:v>44507</c:v>
                </c:pt>
                <c:pt idx="666">
                  <c:v>44508</c:v>
                </c:pt>
                <c:pt idx="667">
                  <c:v>44509</c:v>
                </c:pt>
                <c:pt idx="668">
                  <c:v>44510</c:v>
                </c:pt>
                <c:pt idx="669">
                  <c:v>44511</c:v>
                </c:pt>
                <c:pt idx="670">
                  <c:v>44512</c:v>
                </c:pt>
                <c:pt idx="671">
                  <c:v>44513</c:v>
                </c:pt>
                <c:pt idx="672">
                  <c:v>44514</c:v>
                </c:pt>
                <c:pt idx="673">
                  <c:v>44515</c:v>
                </c:pt>
                <c:pt idx="674">
                  <c:v>44516</c:v>
                </c:pt>
                <c:pt idx="675">
                  <c:v>44517</c:v>
                </c:pt>
                <c:pt idx="676">
                  <c:v>44518</c:v>
                </c:pt>
                <c:pt idx="677">
                  <c:v>44519</c:v>
                </c:pt>
                <c:pt idx="678">
                  <c:v>44520</c:v>
                </c:pt>
                <c:pt idx="679">
                  <c:v>44521</c:v>
                </c:pt>
                <c:pt idx="680">
                  <c:v>44522</c:v>
                </c:pt>
                <c:pt idx="681">
                  <c:v>44523</c:v>
                </c:pt>
                <c:pt idx="682">
                  <c:v>44524</c:v>
                </c:pt>
                <c:pt idx="683">
                  <c:v>44525</c:v>
                </c:pt>
                <c:pt idx="684">
                  <c:v>44526</c:v>
                </c:pt>
                <c:pt idx="685">
                  <c:v>44527</c:v>
                </c:pt>
                <c:pt idx="686">
                  <c:v>44528</c:v>
                </c:pt>
                <c:pt idx="687">
                  <c:v>44529</c:v>
                </c:pt>
                <c:pt idx="688">
                  <c:v>44530</c:v>
                </c:pt>
                <c:pt idx="689">
                  <c:v>44531</c:v>
                </c:pt>
                <c:pt idx="690">
                  <c:v>44532</c:v>
                </c:pt>
                <c:pt idx="691">
                  <c:v>44533</c:v>
                </c:pt>
                <c:pt idx="692">
                  <c:v>44534</c:v>
                </c:pt>
                <c:pt idx="693">
                  <c:v>44535</c:v>
                </c:pt>
                <c:pt idx="694">
                  <c:v>44536</c:v>
                </c:pt>
                <c:pt idx="695">
                  <c:v>44537</c:v>
                </c:pt>
                <c:pt idx="696">
                  <c:v>44538</c:v>
                </c:pt>
                <c:pt idx="697">
                  <c:v>44539</c:v>
                </c:pt>
                <c:pt idx="698">
                  <c:v>44540</c:v>
                </c:pt>
                <c:pt idx="699">
                  <c:v>44541</c:v>
                </c:pt>
                <c:pt idx="700">
                  <c:v>44542</c:v>
                </c:pt>
                <c:pt idx="701">
                  <c:v>44543</c:v>
                </c:pt>
                <c:pt idx="702">
                  <c:v>44544</c:v>
                </c:pt>
                <c:pt idx="703">
                  <c:v>44545</c:v>
                </c:pt>
                <c:pt idx="704">
                  <c:v>44546</c:v>
                </c:pt>
                <c:pt idx="705">
                  <c:v>44547</c:v>
                </c:pt>
                <c:pt idx="706">
                  <c:v>44548</c:v>
                </c:pt>
                <c:pt idx="707">
                  <c:v>44549</c:v>
                </c:pt>
                <c:pt idx="708">
                  <c:v>44550</c:v>
                </c:pt>
                <c:pt idx="709">
                  <c:v>44551</c:v>
                </c:pt>
                <c:pt idx="710">
                  <c:v>44552</c:v>
                </c:pt>
                <c:pt idx="711">
                  <c:v>44553</c:v>
                </c:pt>
                <c:pt idx="712">
                  <c:v>44554</c:v>
                </c:pt>
                <c:pt idx="713">
                  <c:v>44555</c:v>
                </c:pt>
                <c:pt idx="714">
                  <c:v>44556</c:v>
                </c:pt>
                <c:pt idx="715">
                  <c:v>44557</c:v>
                </c:pt>
                <c:pt idx="716">
                  <c:v>44558</c:v>
                </c:pt>
                <c:pt idx="717">
                  <c:v>44559</c:v>
                </c:pt>
                <c:pt idx="718">
                  <c:v>44560</c:v>
                </c:pt>
                <c:pt idx="719">
                  <c:v>44561</c:v>
                </c:pt>
                <c:pt idx="720">
                  <c:v>44562</c:v>
                </c:pt>
                <c:pt idx="721">
                  <c:v>44563</c:v>
                </c:pt>
                <c:pt idx="722">
                  <c:v>44564</c:v>
                </c:pt>
                <c:pt idx="723">
                  <c:v>44565</c:v>
                </c:pt>
                <c:pt idx="724">
                  <c:v>44566</c:v>
                </c:pt>
                <c:pt idx="725">
                  <c:v>44567</c:v>
                </c:pt>
                <c:pt idx="726">
                  <c:v>44568</c:v>
                </c:pt>
                <c:pt idx="727">
                  <c:v>44569</c:v>
                </c:pt>
                <c:pt idx="728">
                  <c:v>44570</c:v>
                </c:pt>
                <c:pt idx="729">
                  <c:v>44571</c:v>
                </c:pt>
                <c:pt idx="730">
                  <c:v>44572</c:v>
                </c:pt>
                <c:pt idx="731">
                  <c:v>44573</c:v>
                </c:pt>
                <c:pt idx="732">
                  <c:v>44574</c:v>
                </c:pt>
                <c:pt idx="733">
                  <c:v>44575</c:v>
                </c:pt>
                <c:pt idx="734">
                  <c:v>44576</c:v>
                </c:pt>
                <c:pt idx="735">
                  <c:v>44577</c:v>
                </c:pt>
                <c:pt idx="736">
                  <c:v>44578</c:v>
                </c:pt>
                <c:pt idx="737">
                  <c:v>44579</c:v>
                </c:pt>
                <c:pt idx="738">
                  <c:v>44580</c:v>
                </c:pt>
                <c:pt idx="739">
                  <c:v>44581</c:v>
                </c:pt>
                <c:pt idx="740">
                  <c:v>44582</c:v>
                </c:pt>
                <c:pt idx="741">
                  <c:v>44583</c:v>
                </c:pt>
                <c:pt idx="742">
                  <c:v>44584</c:v>
                </c:pt>
                <c:pt idx="743">
                  <c:v>44585</c:v>
                </c:pt>
                <c:pt idx="744">
                  <c:v>44586</c:v>
                </c:pt>
                <c:pt idx="745">
                  <c:v>44587</c:v>
                </c:pt>
                <c:pt idx="746">
                  <c:v>44588</c:v>
                </c:pt>
                <c:pt idx="747">
                  <c:v>44589</c:v>
                </c:pt>
                <c:pt idx="748">
                  <c:v>44590</c:v>
                </c:pt>
                <c:pt idx="749">
                  <c:v>44591</c:v>
                </c:pt>
                <c:pt idx="750">
                  <c:v>44592</c:v>
                </c:pt>
                <c:pt idx="751">
                  <c:v>44593</c:v>
                </c:pt>
                <c:pt idx="752">
                  <c:v>44594</c:v>
                </c:pt>
                <c:pt idx="753">
                  <c:v>44595</c:v>
                </c:pt>
                <c:pt idx="754">
                  <c:v>44596</c:v>
                </c:pt>
                <c:pt idx="755">
                  <c:v>44597</c:v>
                </c:pt>
                <c:pt idx="756">
                  <c:v>44598</c:v>
                </c:pt>
                <c:pt idx="757">
                  <c:v>44599</c:v>
                </c:pt>
                <c:pt idx="758">
                  <c:v>44600</c:v>
                </c:pt>
                <c:pt idx="759">
                  <c:v>44601</c:v>
                </c:pt>
                <c:pt idx="760">
                  <c:v>44602</c:v>
                </c:pt>
                <c:pt idx="761">
                  <c:v>44603</c:v>
                </c:pt>
                <c:pt idx="762">
                  <c:v>44604</c:v>
                </c:pt>
                <c:pt idx="763">
                  <c:v>44605</c:v>
                </c:pt>
                <c:pt idx="764">
                  <c:v>44606</c:v>
                </c:pt>
                <c:pt idx="765">
                  <c:v>44607</c:v>
                </c:pt>
                <c:pt idx="766">
                  <c:v>44608</c:v>
                </c:pt>
                <c:pt idx="767">
                  <c:v>44609</c:v>
                </c:pt>
                <c:pt idx="768">
                  <c:v>44610</c:v>
                </c:pt>
                <c:pt idx="769">
                  <c:v>44611</c:v>
                </c:pt>
                <c:pt idx="770">
                  <c:v>44612</c:v>
                </c:pt>
                <c:pt idx="771">
                  <c:v>44613</c:v>
                </c:pt>
                <c:pt idx="772">
                  <c:v>44614</c:v>
                </c:pt>
                <c:pt idx="773">
                  <c:v>44615</c:v>
                </c:pt>
                <c:pt idx="774">
                  <c:v>44616</c:v>
                </c:pt>
                <c:pt idx="775">
                  <c:v>44617</c:v>
                </c:pt>
                <c:pt idx="776">
                  <c:v>44618</c:v>
                </c:pt>
                <c:pt idx="777">
                  <c:v>44619</c:v>
                </c:pt>
                <c:pt idx="778">
                  <c:v>44620</c:v>
                </c:pt>
                <c:pt idx="779">
                  <c:v>44621</c:v>
                </c:pt>
                <c:pt idx="780">
                  <c:v>44622</c:v>
                </c:pt>
                <c:pt idx="781">
                  <c:v>44623</c:v>
                </c:pt>
                <c:pt idx="782">
                  <c:v>44624</c:v>
                </c:pt>
                <c:pt idx="783">
                  <c:v>44625</c:v>
                </c:pt>
                <c:pt idx="784">
                  <c:v>44626</c:v>
                </c:pt>
                <c:pt idx="785">
                  <c:v>44627</c:v>
                </c:pt>
                <c:pt idx="786">
                  <c:v>44628</c:v>
                </c:pt>
                <c:pt idx="787">
                  <c:v>44629</c:v>
                </c:pt>
                <c:pt idx="788">
                  <c:v>44630</c:v>
                </c:pt>
                <c:pt idx="789">
                  <c:v>44631</c:v>
                </c:pt>
                <c:pt idx="790">
                  <c:v>44632</c:v>
                </c:pt>
                <c:pt idx="791">
                  <c:v>44633</c:v>
                </c:pt>
                <c:pt idx="792">
                  <c:v>44634</c:v>
                </c:pt>
                <c:pt idx="793">
                  <c:v>44635</c:v>
                </c:pt>
                <c:pt idx="794">
                  <c:v>44636</c:v>
                </c:pt>
                <c:pt idx="795">
                  <c:v>44637</c:v>
                </c:pt>
                <c:pt idx="796">
                  <c:v>44638</c:v>
                </c:pt>
                <c:pt idx="797">
                  <c:v>44639</c:v>
                </c:pt>
                <c:pt idx="798">
                  <c:v>44640</c:v>
                </c:pt>
                <c:pt idx="799">
                  <c:v>44641</c:v>
                </c:pt>
                <c:pt idx="800">
                  <c:v>44642</c:v>
                </c:pt>
                <c:pt idx="801">
                  <c:v>44643</c:v>
                </c:pt>
                <c:pt idx="802">
                  <c:v>44644</c:v>
                </c:pt>
                <c:pt idx="803">
                  <c:v>44645</c:v>
                </c:pt>
                <c:pt idx="804">
                  <c:v>44646</c:v>
                </c:pt>
                <c:pt idx="805">
                  <c:v>44647</c:v>
                </c:pt>
                <c:pt idx="806">
                  <c:v>44648</c:v>
                </c:pt>
                <c:pt idx="807">
                  <c:v>44649</c:v>
                </c:pt>
                <c:pt idx="808">
                  <c:v>44650</c:v>
                </c:pt>
                <c:pt idx="809">
                  <c:v>44651</c:v>
                </c:pt>
                <c:pt idx="810">
                  <c:v>44652</c:v>
                </c:pt>
                <c:pt idx="811">
                  <c:v>44653</c:v>
                </c:pt>
                <c:pt idx="812">
                  <c:v>44654</c:v>
                </c:pt>
                <c:pt idx="813">
                  <c:v>44655</c:v>
                </c:pt>
                <c:pt idx="814">
                  <c:v>44656</c:v>
                </c:pt>
                <c:pt idx="815">
                  <c:v>44657</c:v>
                </c:pt>
                <c:pt idx="816">
                  <c:v>44658</c:v>
                </c:pt>
                <c:pt idx="817">
                  <c:v>44659</c:v>
                </c:pt>
                <c:pt idx="818">
                  <c:v>44660</c:v>
                </c:pt>
                <c:pt idx="819">
                  <c:v>44661</c:v>
                </c:pt>
                <c:pt idx="820">
                  <c:v>44662</c:v>
                </c:pt>
                <c:pt idx="821">
                  <c:v>44663</c:v>
                </c:pt>
                <c:pt idx="822">
                  <c:v>44664</c:v>
                </c:pt>
                <c:pt idx="823">
                  <c:v>44665</c:v>
                </c:pt>
                <c:pt idx="824">
                  <c:v>44666</c:v>
                </c:pt>
                <c:pt idx="825">
                  <c:v>44667</c:v>
                </c:pt>
                <c:pt idx="826">
                  <c:v>44668</c:v>
                </c:pt>
                <c:pt idx="827">
                  <c:v>44669</c:v>
                </c:pt>
                <c:pt idx="828">
                  <c:v>44670</c:v>
                </c:pt>
                <c:pt idx="829">
                  <c:v>44671</c:v>
                </c:pt>
                <c:pt idx="830">
                  <c:v>44672</c:v>
                </c:pt>
                <c:pt idx="831">
                  <c:v>44673</c:v>
                </c:pt>
                <c:pt idx="832">
                  <c:v>44674</c:v>
                </c:pt>
                <c:pt idx="833">
                  <c:v>44675</c:v>
                </c:pt>
                <c:pt idx="834">
                  <c:v>44676</c:v>
                </c:pt>
                <c:pt idx="835">
                  <c:v>44677</c:v>
                </c:pt>
                <c:pt idx="836">
                  <c:v>44678</c:v>
                </c:pt>
                <c:pt idx="837">
                  <c:v>44679</c:v>
                </c:pt>
                <c:pt idx="838">
                  <c:v>44680</c:v>
                </c:pt>
                <c:pt idx="839">
                  <c:v>44681</c:v>
                </c:pt>
                <c:pt idx="840">
                  <c:v>44682</c:v>
                </c:pt>
                <c:pt idx="841">
                  <c:v>44683</c:v>
                </c:pt>
                <c:pt idx="842">
                  <c:v>44684</c:v>
                </c:pt>
                <c:pt idx="843">
                  <c:v>44685</c:v>
                </c:pt>
                <c:pt idx="844">
                  <c:v>44686</c:v>
                </c:pt>
                <c:pt idx="845">
                  <c:v>44687</c:v>
                </c:pt>
                <c:pt idx="846">
                  <c:v>44688</c:v>
                </c:pt>
                <c:pt idx="847">
                  <c:v>44689</c:v>
                </c:pt>
                <c:pt idx="848">
                  <c:v>44690</c:v>
                </c:pt>
                <c:pt idx="849">
                  <c:v>44691</c:v>
                </c:pt>
                <c:pt idx="850">
                  <c:v>44692</c:v>
                </c:pt>
                <c:pt idx="851">
                  <c:v>44693</c:v>
                </c:pt>
                <c:pt idx="852">
                  <c:v>44694</c:v>
                </c:pt>
                <c:pt idx="853">
                  <c:v>44695</c:v>
                </c:pt>
                <c:pt idx="854">
                  <c:v>44696</c:v>
                </c:pt>
                <c:pt idx="855">
                  <c:v>44697</c:v>
                </c:pt>
                <c:pt idx="856">
                  <c:v>44698</c:v>
                </c:pt>
                <c:pt idx="857">
                  <c:v>44699</c:v>
                </c:pt>
                <c:pt idx="858">
                  <c:v>44700</c:v>
                </c:pt>
                <c:pt idx="859">
                  <c:v>44701</c:v>
                </c:pt>
                <c:pt idx="860">
                  <c:v>44702</c:v>
                </c:pt>
                <c:pt idx="861">
                  <c:v>44703</c:v>
                </c:pt>
                <c:pt idx="862">
                  <c:v>44704</c:v>
                </c:pt>
                <c:pt idx="863">
                  <c:v>44705</c:v>
                </c:pt>
                <c:pt idx="864">
                  <c:v>44706</c:v>
                </c:pt>
                <c:pt idx="865">
                  <c:v>44707</c:v>
                </c:pt>
                <c:pt idx="866">
                  <c:v>44708</c:v>
                </c:pt>
                <c:pt idx="867">
                  <c:v>44709</c:v>
                </c:pt>
                <c:pt idx="868">
                  <c:v>44710</c:v>
                </c:pt>
                <c:pt idx="869">
                  <c:v>44711</c:v>
                </c:pt>
                <c:pt idx="870">
                  <c:v>44712</c:v>
                </c:pt>
                <c:pt idx="871">
                  <c:v>44713</c:v>
                </c:pt>
                <c:pt idx="872">
                  <c:v>44714</c:v>
                </c:pt>
                <c:pt idx="873">
                  <c:v>44715</c:v>
                </c:pt>
                <c:pt idx="874">
                  <c:v>44716</c:v>
                </c:pt>
                <c:pt idx="875">
                  <c:v>44717</c:v>
                </c:pt>
                <c:pt idx="876">
                  <c:v>44718</c:v>
                </c:pt>
                <c:pt idx="877">
                  <c:v>44719</c:v>
                </c:pt>
                <c:pt idx="878">
                  <c:v>44720</c:v>
                </c:pt>
                <c:pt idx="879">
                  <c:v>44721</c:v>
                </c:pt>
                <c:pt idx="880">
                  <c:v>44722</c:v>
                </c:pt>
                <c:pt idx="881">
                  <c:v>44723</c:v>
                </c:pt>
                <c:pt idx="882">
                  <c:v>44724</c:v>
                </c:pt>
                <c:pt idx="883">
                  <c:v>44725</c:v>
                </c:pt>
                <c:pt idx="884">
                  <c:v>44726</c:v>
                </c:pt>
                <c:pt idx="885">
                  <c:v>44727</c:v>
                </c:pt>
                <c:pt idx="886">
                  <c:v>44728</c:v>
                </c:pt>
                <c:pt idx="887">
                  <c:v>44729</c:v>
                </c:pt>
                <c:pt idx="888">
                  <c:v>44730</c:v>
                </c:pt>
                <c:pt idx="889">
                  <c:v>44731</c:v>
                </c:pt>
                <c:pt idx="890">
                  <c:v>44732</c:v>
                </c:pt>
                <c:pt idx="891">
                  <c:v>44733</c:v>
                </c:pt>
                <c:pt idx="892">
                  <c:v>44734</c:v>
                </c:pt>
                <c:pt idx="893">
                  <c:v>44735</c:v>
                </c:pt>
                <c:pt idx="894">
                  <c:v>44736</c:v>
                </c:pt>
                <c:pt idx="895">
                  <c:v>44737</c:v>
                </c:pt>
                <c:pt idx="896">
                  <c:v>44738</c:v>
                </c:pt>
                <c:pt idx="897">
                  <c:v>44739</c:v>
                </c:pt>
                <c:pt idx="898">
                  <c:v>44740</c:v>
                </c:pt>
                <c:pt idx="899">
                  <c:v>44741</c:v>
                </c:pt>
                <c:pt idx="900">
                  <c:v>44742</c:v>
                </c:pt>
                <c:pt idx="901">
                  <c:v>44743</c:v>
                </c:pt>
                <c:pt idx="902">
                  <c:v>44744</c:v>
                </c:pt>
                <c:pt idx="903">
                  <c:v>44745</c:v>
                </c:pt>
                <c:pt idx="904">
                  <c:v>44746</c:v>
                </c:pt>
                <c:pt idx="905">
                  <c:v>44747</c:v>
                </c:pt>
                <c:pt idx="906">
                  <c:v>44748</c:v>
                </c:pt>
                <c:pt idx="907">
                  <c:v>44749</c:v>
                </c:pt>
                <c:pt idx="908">
                  <c:v>44750</c:v>
                </c:pt>
                <c:pt idx="909">
                  <c:v>44751</c:v>
                </c:pt>
                <c:pt idx="910">
                  <c:v>44752</c:v>
                </c:pt>
                <c:pt idx="911">
                  <c:v>44753</c:v>
                </c:pt>
                <c:pt idx="912">
                  <c:v>44754</c:v>
                </c:pt>
                <c:pt idx="913">
                  <c:v>44755</c:v>
                </c:pt>
                <c:pt idx="914">
                  <c:v>44756</c:v>
                </c:pt>
                <c:pt idx="915">
                  <c:v>44757</c:v>
                </c:pt>
                <c:pt idx="916">
                  <c:v>44758</c:v>
                </c:pt>
                <c:pt idx="917">
                  <c:v>44759</c:v>
                </c:pt>
                <c:pt idx="918">
                  <c:v>44760</c:v>
                </c:pt>
                <c:pt idx="919">
                  <c:v>44761</c:v>
                </c:pt>
                <c:pt idx="920">
                  <c:v>44762</c:v>
                </c:pt>
                <c:pt idx="921">
                  <c:v>44763</c:v>
                </c:pt>
                <c:pt idx="922">
                  <c:v>44764</c:v>
                </c:pt>
                <c:pt idx="923">
                  <c:v>44765</c:v>
                </c:pt>
                <c:pt idx="924">
                  <c:v>44766</c:v>
                </c:pt>
                <c:pt idx="925">
                  <c:v>44767</c:v>
                </c:pt>
                <c:pt idx="926">
                  <c:v>44768</c:v>
                </c:pt>
                <c:pt idx="927">
                  <c:v>44769</c:v>
                </c:pt>
                <c:pt idx="928">
                  <c:v>44770</c:v>
                </c:pt>
                <c:pt idx="929">
                  <c:v>44771</c:v>
                </c:pt>
                <c:pt idx="930">
                  <c:v>44772</c:v>
                </c:pt>
                <c:pt idx="931">
                  <c:v>44773</c:v>
                </c:pt>
                <c:pt idx="932">
                  <c:v>44774</c:v>
                </c:pt>
                <c:pt idx="933">
                  <c:v>44775</c:v>
                </c:pt>
                <c:pt idx="934">
                  <c:v>44776</c:v>
                </c:pt>
                <c:pt idx="935">
                  <c:v>44777</c:v>
                </c:pt>
                <c:pt idx="936">
                  <c:v>44778</c:v>
                </c:pt>
                <c:pt idx="937">
                  <c:v>44779</c:v>
                </c:pt>
                <c:pt idx="938">
                  <c:v>44780</c:v>
                </c:pt>
                <c:pt idx="939">
                  <c:v>44781</c:v>
                </c:pt>
                <c:pt idx="940">
                  <c:v>44782</c:v>
                </c:pt>
                <c:pt idx="941">
                  <c:v>44783</c:v>
                </c:pt>
                <c:pt idx="942">
                  <c:v>44784</c:v>
                </c:pt>
                <c:pt idx="943">
                  <c:v>44785</c:v>
                </c:pt>
                <c:pt idx="944">
                  <c:v>44786</c:v>
                </c:pt>
                <c:pt idx="945">
                  <c:v>44787</c:v>
                </c:pt>
                <c:pt idx="946">
                  <c:v>44788</c:v>
                </c:pt>
                <c:pt idx="947">
                  <c:v>44789</c:v>
                </c:pt>
                <c:pt idx="948">
                  <c:v>44790</c:v>
                </c:pt>
                <c:pt idx="949">
                  <c:v>44791</c:v>
                </c:pt>
                <c:pt idx="950">
                  <c:v>44792</c:v>
                </c:pt>
                <c:pt idx="951">
                  <c:v>44793</c:v>
                </c:pt>
                <c:pt idx="952">
                  <c:v>44794</c:v>
                </c:pt>
                <c:pt idx="953">
                  <c:v>44795</c:v>
                </c:pt>
                <c:pt idx="954">
                  <c:v>44796</c:v>
                </c:pt>
                <c:pt idx="955">
                  <c:v>44797</c:v>
                </c:pt>
                <c:pt idx="956">
                  <c:v>44798</c:v>
                </c:pt>
                <c:pt idx="957">
                  <c:v>44799</c:v>
                </c:pt>
                <c:pt idx="958">
                  <c:v>44800</c:v>
                </c:pt>
                <c:pt idx="959">
                  <c:v>44801</c:v>
                </c:pt>
                <c:pt idx="960">
                  <c:v>44802</c:v>
                </c:pt>
                <c:pt idx="961">
                  <c:v>44803</c:v>
                </c:pt>
                <c:pt idx="962">
                  <c:v>44804</c:v>
                </c:pt>
                <c:pt idx="963">
                  <c:v>44805</c:v>
                </c:pt>
                <c:pt idx="964">
                  <c:v>44806</c:v>
                </c:pt>
                <c:pt idx="965">
                  <c:v>44807</c:v>
                </c:pt>
                <c:pt idx="966">
                  <c:v>44808</c:v>
                </c:pt>
                <c:pt idx="967">
                  <c:v>44809</c:v>
                </c:pt>
                <c:pt idx="968">
                  <c:v>44810</c:v>
                </c:pt>
                <c:pt idx="969">
                  <c:v>44811</c:v>
                </c:pt>
                <c:pt idx="970">
                  <c:v>44812</c:v>
                </c:pt>
                <c:pt idx="971">
                  <c:v>44813</c:v>
                </c:pt>
                <c:pt idx="972">
                  <c:v>44814</c:v>
                </c:pt>
                <c:pt idx="973">
                  <c:v>44815</c:v>
                </c:pt>
                <c:pt idx="974">
                  <c:v>44816</c:v>
                </c:pt>
                <c:pt idx="975">
                  <c:v>44817</c:v>
                </c:pt>
                <c:pt idx="976">
                  <c:v>44818</c:v>
                </c:pt>
                <c:pt idx="977">
                  <c:v>44819</c:v>
                </c:pt>
                <c:pt idx="978">
                  <c:v>44820</c:v>
                </c:pt>
                <c:pt idx="979">
                  <c:v>44821</c:v>
                </c:pt>
                <c:pt idx="980">
                  <c:v>44822</c:v>
                </c:pt>
                <c:pt idx="981">
                  <c:v>44823</c:v>
                </c:pt>
                <c:pt idx="982">
                  <c:v>44824</c:v>
                </c:pt>
                <c:pt idx="983">
                  <c:v>44825</c:v>
                </c:pt>
                <c:pt idx="984">
                  <c:v>44826</c:v>
                </c:pt>
                <c:pt idx="985">
                  <c:v>44827</c:v>
                </c:pt>
                <c:pt idx="986">
                  <c:v>44828</c:v>
                </c:pt>
                <c:pt idx="987">
                  <c:v>44829</c:v>
                </c:pt>
                <c:pt idx="988">
                  <c:v>44830</c:v>
                </c:pt>
                <c:pt idx="989">
                  <c:v>44831</c:v>
                </c:pt>
                <c:pt idx="990">
                  <c:v>44832</c:v>
                </c:pt>
                <c:pt idx="991">
                  <c:v>44833</c:v>
                </c:pt>
                <c:pt idx="992">
                  <c:v>44834</c:v>
                </c:pt>
                <c:pt idx="993">
                  <c:v>44835</c:v>
                </c:pt>
                <c:pt idx="994">
                  <c:v>44836</c:v>
                </c:pt>
                <c:pt idx="995">
                  <c:v>44837</c:v>
                </c:pt>
                <c:pt idx="996">
                  <c:v>44838</c:v>
                </c:pt>
                <c:pt idx="997">
                  <c:v>44839</c:v>
                </c:pt>
                <c:pt idx="998">
                  <c:v>44840</c:v>
                </c:pt>
                <c:pt idx="999">
                  <c:v>44841</c:v>
                </c:pt>
                <c:pt idx="1000">
                  <c:v>44842</c:v>
                </c:pt>
                <c:pt idx="1001">
                  <c:v>44843</c:v>
                </c:pt>
                <c:pt idx="1002">
                  <c:v>44844</c:v>
                </c:pt>
                <c:pt idx="1003">
                  <c:v>44845</c:v>
                </c:pt>
                <c:pt idx="1004">
                  <c:v>44846</c:v>
                </c:pt>
                <c:pt idx="1005">
                  <c:v>44847</c:v>
                </c:pt>
                <c:pt idx="1006">
                  <c:v>44848</c:v>
                </c:pt>
                <c:pt idx="1007">
                  <c:v>44849</c:v>
                </c:pt>
                <c:pt idx="1008">
                  <c:v>44850</c:v>
                </c:pt>
                <c:pt idx="1009">
                  <c:v>44851</c:v>
                </c:pt>
                <c:pt idx="1010">
                  <c:v>44852</c:v>
                </c:pt>
                <c:pt idx="1011">
                  <c:v>44853</c:v>
                </c:pt>
                <c:pt idx="1012">
                  <c:v>44854</c:v>
                </c:pt>
                <c:pt idx="1013">
                  <c:v>44855</c:v>
                </c:pt>
                <c:pt idx="1014">
                  <c:v>44856</c:v>
                </c:pt>
                <c:pt idx="1015">
                  <c:v>44857</c:v>
                </c:pt>
                <c:pt idx="1016">
                  <c:v>44858</c:v>
                </c:pt>
                <c:pt idx="1017">
                  <c:v>44859</c:v>
                </c:pt>
                <c:pt idx="1018">
                  <c:v>44860</c:v>
                </c:pt>
                <c:pt idx="1019">
                  <c:v>44861</c:v>
                </c:pt>
                <c:pt idx="1020">
                  <c:v>44862</c:v>
                </c:pt>
                <c:pt idx="1021">
                  <c:v>44863</c:v>
                </c:pt>
                <c:pt idx="1022">
                  <c:v>44864</c:v>
                </c:pt>
                <c:pt idx="1023">
                  <c:v>44865</c:v>
                </c:pt>
                <c:pt idx="1024">
                  <c:v>44866</c:v>
                </c:pt>
                <c:pt idx="1025">
                  <c:v>44867</c:v>
                </c:pt>
                <c:pt idx="1026">
                  <c:v>44868</c:v>
                </c:pt>
                <c:pt idx="1027">
                  <c:v>44869</c:v>
                </c:pt>
                <c:pt idx="1028">
                  <c:v>44870</c:v>
                </c:pt>
                <c:pt idx="1029">
                  <c:v>44871</c:v>
                </c:pt>
                <c:pt idx="1030">
                  <c:v>44872</c:v>
                </c:pt>
                <c:pt idx="1031">
                  <c:v>44873</c:v>
                </c:pt>
                <c:pt idx="1032">
                  <c:v>44874</c:v>
                </c:pt>
                <c:pt idx="1033">
                  <c:v>44875</c:v>
                </c:pt>
                <c:pt idx="1034">
                  <c:v>44876</c:v>
                </c:pt>
                <c:pt idx="1035">
                  <c:v>44877</c:v>
                </c:pt>
                <c:pt idx="1036">
                  <c:v>44878</c:v>
                </c:pt>
                <c:pt idx="1037">
                  <c:v>44879</c:v>
                </c:pt>
                <c:pt idx="1038">
                  <c:v>44880</c:v>
                </c:pt>
                <c:pt idx="1039">
                  <c:v>44881</c:v>
                </c:pt>
                <c:pt idx="1040">
                  <c:v>44882</c:v>
                </c:pt>
                <c:pt idx="1041">
                  <c:v>44883</c:v>
                </c:pt>
                <c:pt idx="1042">
                  <c:v>44884</c:v>
                </c:pt>
                <c:pt idx="1043">
                  <c:v>44885</c:v>
                </c:pt>
                <c:pt idx="1044">
                  <c:v>44886</c:v>
                </c:pt>
                <c:pt idx="1045">
                  <c:v>44887</c:v>
                </c:pt>
                <c:pt idx="1046">
                  <c:v>44888</c:v>
                </c:pt>
                <c:pt idx="1047">
                  <c:v>44889</c:v>
                </c:pt>
                <c:pt idx="1048">
                  <c:v>44890</c:v>
                </c:pt>
                <c:pt idx="1049">
                  <c:v>44891</c:v>
                </c:pt>
                <c:pt idx="1050">
                  <c:v>44892</c:v>
                </c:pt>
                <c:pt idx="1051">
                  <c:v>44893</c:v>
                </c:pt>
                <c:pt idx="1052">
                  <c:v>44894</c:v>
                </c:pt>
                <c:pt idx="1053">
                  <c:v>44895</c:v>
                </c:pt>
                <c:pt idx="1054">
                  <c:v>44896</c:v>
                </c:pt>
                <c:pt idx="1055">
                  <c:v>44897</c:v>
                </c:pt>
                <c:pt idx="1056">
                  <c:v>44898</c:v>
                </c:pt>
                <c:pt idx="1057">
                  <c:v>44899</c:v>
                </c:pt>
                <c:pt idx="1058">
                  <c:v>44900</c:v>
                </c:pt>
                <c:pt idx="1059">
                  <c:v>44901</c:v>
                </c:pt>
                <c:pt idx="1060">
                  <c:v>44902</c:v>
                </c:pt>
                <c:pt idx="1061">
                  <c:v>44903</c:v>
                </c:pt>
                <c:pt idx="1062">
                  <c:v>44904</c:v>
                </c:pt>
                <c:pt idx="1063">
                  <c:v>44905</c:v>
                </c:pt>
                <c:pt idx="1064">
                  <c:v>44906</c:v>
                </c:pt>
                <c:pt idx="1065">
                  <c:v>44907</c:v>
                </c:pt>
                <c:pt idx="1066">
                  <c:v>44908</c:v>
                </c:pt>
                <c:pt idx="1067">
                  <c:v>44909</c:v>
                </c:pt>
                <c:pt idx="1068">
                  <c:v>44910</c:v>
                </c:pt>
                <c:pt idx="1069">
                  <c:v>44911</c:v>
                </c:pt>
                <c:pt idx="1070">
                  <c:v>44912</c:v>
                </c:pt>
                <c:pt idx="1071">
                  <c:v>44913</c:v>
                </c:pt>
                <c:pt idx="1072">
                  <c:v>44914</c:v>
                </c:pt>
                <c:pt idx="1073">
                  <c:v>44915</c:v>
                </c:pt>
                <c:pt idx="1074">
                  <c:v>44916</c:v>
                </c:pt>
                <c:pt idx="1075">
                  <c:v>44917</c:v>
                </c:pt>
                <c:pt idx="1076">
                  <c:v>44918</c:v>
                </c:pt>
                <c:pt idx="1077">
                  <c:v>44919</c:v>
                </c:pt>
                <c:pt idx="1078">
                  <c:v>44920</c:v>
                </c:pt>
                <c:pt idx="1079">
                  <c:v>44921</c:v>
                </c:pt>
                <c:pt idx="1080">
                  <c:v>44922</c:v>
                </c:pt>
                <c:pt idx="1081">
                  <c:v>44923</c:v>
                </c:pt>
                <c:pt idx="1082">
                  <c:v>44924</c:v>
                </c:pt>
                <c:pt idx="1083">
                  <c:v>44925</c:v>
                </c:pt>
                <c:pt idx="1084">
                  <c:v>44926</c:v>
                </c:pt>
                <c:pt idx="1085">
                  <c:v>44927</c:v>
                </c:pt>
                <c:pt idx="1086">
                  <c:v>44928</c:v>
                </c:pt>
                <c:pt idx="1087">
                  <c:v>44929</c:v>
                </c:pt>
                <c:pt idx="1088">
                  <c:v>44930</c:v>
                </c:pt>
                <c:pt idx="1089">
                  <c:v>44931</c:v>
                </c:pt>
                <c:pt idx="1090">
                  <c:v>44932</c:v>
                </c:pt>
                <c:pt idx="1091">
                  <c:v>44933</c:v>
                </c:pt>
                <c:pt idx="1092">
                  <c:v>44934</c:v>
                </c:pt>
                <c:pt idx="1093">
                  <c:v>44935</c:v>
                </c:pt>
                <c:pt idx="1094">
                  <c:v>44936</c:v>
                </c:pt>
                <c:pt idx="1095">
                  <c:v>44937</c:v>
                </c:pt>
                <c:pt idx="1096">
                  <c:v>44938</c:v>
                </c:pt>
                <c:pt idx="1097">
                  <c:v>44939</c:v>
                </c:pt>
                <c:pt idx="1098">
                  <c:v>44940</c:v>
                </c:pt>
                <c:pt idx="1099">
                  <c:v>44941</c:v>
                </c:pt>
                <c:pt idx="1100">
                  <c:v>44942</c:v>
                </c:pt>
                <c:pt idx="1101">
                  <c:v>44943</c:v>
                </c:pt>
                <c:pt idx="1102">
                  <c:v>44944</c:v>
                </c:pt>
                <c:pt idx="1103">
                  <c:v>44945</c:v>
                </c:pt>
                <c:pt idx="1104">
                  <c:v>44946</c:v>
                </c:pt>
                <c:pt idx="1105">
                  <c:v>44947</c:v>
                </c:pt>
                <c:pt idx="1106">
                  <c:v>44948</c:v>
                </c:pt>
                <c:pt idx="1107">
                  <c:v>44949</c:v>
                </c:pt>
                <c:pt idx="1108">
                  <c:v>44950</c:v>
                </c:pt>
                <c:pt idx="1109">
                  <c:v>44951</c:v>
                </c:pt>
                <c:pt idx="1110">
                  <c:v>44952</c:v>
                </c:pt>
                <c:pt idx="1111">
                  <c:v>44953</c:v>
                </c:pt>
                <c:pt idx="1112">
                  <c:v>44954</c:v>
                </c:pt>
                <c:pt idx="1113">
                  <c:v>44955</c:v>
                </c:pt>
                <c:pt idx="1114">
                  <c:v>44956</c:v>
                </c:pt>
                <c:pt idx="1115">
                  <c:v>44957</c:v>
                </c:pt>
                <c:pt idx="1116">
                  <c:v>44958</c:v>
                </c:pt>
                <c:pt idx="1117">
                  <c:v>44959</c:v>
                </c:pt>
                <c:pt idx="1118">
                  <c:v>44960</c:v>
                </c:pt>
                <c:pt idx="1119">
                  <c:v>44961</c:v>
                </c:pt>
                <c:pt idx="1120">
                  <c:v>44962</c:v>
                </c:pt>
                <c:pt idx="1121">
                  <c:v>44963</c:v>
                </c:pt>
                <c:pt idx="1122">
                  <c:v>44964</c:v>
                </c:pt>
                <c:pt idx="1123">
                  <c:v>44965</c:v>
                </c:pt>
                <c:pt idx="1124">
                  <c:v>44966</c:v>
                </c:pt>
                <c:pt idx="1125">
                  <c:v>44967</c:v>
                </c:pt>
                <c:pt idx="1126">
                  <c:v>44968</c:v>
                </c:pt>
                <c:pt idx="1127">
                  <c:v>44969</c:v>
                </c:pt>
                <c:pt idx="1128">
                  <c:v>44970</c:v>
                </c:pt>
                <c:pt idx="1129">
                  <c:v>44971</c:v>
                </c:pt>
                <c:pt idx="1130">
                  <c:v>44972</c:v>
                </c:pt>
                <c:pt idx="1131">
                  <c:v>44973</c:v>
                </c:pt>
                <c:pt idx="1132">
                  <c:v>44974</c:v>
                </c:pt>
                <c:pt idx="1133">
                  <c:v>44975</c:v>
                </c:pt>
                <c:pt idx="1134">
                  <c:v>44976</c:v>
                </c:pt>
                <c:pt idx="1135">
                  <c:v>44977</c:v>
                </c:pt>
                <c:pt idx="1136">
                  <c:v>44978</c:v>
                </c:pt>
                <c:pt idx="1137">
                  <c:v>44979</c:v>
                </c:pt>
                <c:pt idx="1138">
                  <c:v>44980</c:v>
                </c:pt>
                <c:pt idx="1139">
                  <c:v>44981</c:v>
                </c:pt>
                <c:pt idx="1140">
                  <c:v>44982</c:v>
                </c:pt>
                <c:pt idx="1141">
                  <c:v>44983</c:v>
                </c:pt>
                <c:pt idx="1142">
                  <c:v>44984</c:v>
                </c:pt>
                <c:pt idx="1143">
                  <c:v>44985</c:v>
                </c:pt>
                <c:pt idx="1144">
                  <c:v>44986</c:v>
                </c:pt>
                <c:pt idx="1145">
                  <c:v>44987</c:v>
                </c:pt>
                <c:pt idx="1146">
                  <c:v>44988</c:v>
                </c:pt>
                <c:pt idx="1147">
                  <c:v>44989</c:v>
                </c:pt>
                <c:pt idx="1148">
                  <c:v>44990</c:v>
                </c:pt>
                <c:pt idx="1149">
                  <c:v>44991</c:v>
                </c:pt>
                <c:pt idx="1150">
                  <c:v>44992</c:v>
                </c:pt>
                <c:pt idx="1151">
                  <c:v>44993</c:v>
                </c:pt>
                <c:pt idx="1152">
                  <c:v>44994</c:v>
                </c:pt>
                <c:pt idx="1153">
                  <c:v>44995</c:v>
                </c:pt>
                <c:pt idx="1154">
                  <c:v>44996</c:v>
                </c:pt>
                <c:pt idx="1155">
                  <c:v>44997</c:v>
                </c:pt>
                <c:pt idx="1156">
                  <c:v>44998</c:v>
                </c:pt>
                <c:pt idx="1157">
                  <c:v>44999</c:v>
                </c:pt>
                <c:pt idx="1158">
                  <c:v>45000</c:v>
                </c:pt>
                <c:pt idx="1159">
                  <c:v>45001</c:v>
                </c:pt>
                <c:pt idx="1160">
                  <c:v>45002</c:v>
                </c:pt>
                <c:pt idx="1161">
                  <c:v>45003</c:v>
                </c:pt>
                <c:pt idx="1162">
                  <c:v>45004</c:v>
                </c:pt>
                <c:pt idx="1163">
                  <c:v>45005</c:v>
                </c:pt>
                <c:pt idx="1164">
                  <c:v>45006</c:v>
                </c:pt>
                <c:pt idx="1165">
                  <c:v>45007</c:v>
                </c:pt>
                <c:pt idx="1166">
                  <c:v>45008</c:v>
                </c:pt>
                <c:pt idx="1167">
                  <c:v>45009</c:v>
                </c:pt>
                <c:pt idx="1168">
                  <c:v>45010</c:v>
                </c:pt>
                <c:pt idx="1169">
                  <c:v>45011</c:v>
                </c:pt>
                <c:pt idx="1170">
                  <c:v>45012</c:v>
                </c:pt>
                <c:pt idx="1171">
                  <c:v>45013</c:v>
                </c:pt>
                <c:pt idx="1172">
                  <c:v>45014</c:v>
                </c:pt>
                <c:pt idx="1173">
                  <c:v>45015</c:v>
                </c:pt>
                <c:pt idx="1174">
                  <c:v>45016</c:v>
                </c:pt>
                <c:pt idx="1175">
                  <c:v>45017</c:v>
                </c:pt>
                <c:pt idx="1176">
                  <c:v>45018</c:v>
                </c:pt>
                <c:pt idx="1177">
                  <c:v>45019</c:v>
                </c:pt>
                <c:pt idx="1178">
                  <c:v>45020</c:v>
                </c:pt>
                <c:pt idx="1179">
                  <c:v>45021</c:v>
                </c:pt>
                <c:pt idx="1180">
                  <c:v>45022</c:v>
                </c:pt>
                <c:pt idx="1181">
                  <c:v>45023</c:v>
                </c:pt>
                <c:pt idx="1182">
                  <c:v>45024</c:v>
                </c:pt>
                <c:pt idx="1183">
                  <c:v>45025</c:v>
                </c:pt>
                <c:pt idx="1184">
                  <c:v>45026</c:v>
                </c:pt>
                <c:pt idx="1185">
                  <c:v>45027</c:v>
                </c:pt>
                <c:pt idx="1186">
                  <c:v>45028</c:v>
                </c:pt>
                <c:pt idx="1187">
                  <c:v>45029</c:v>
                </c:pt>
                <c:pt idx="1188">
                  <c:v>45030</c:v>
                </c:pt>
                <c:pt idx="1189">
                  <c:v>45031</c:v>
                </c:pt>
                <c:pt idx="1190">
                  <c:v>45032</c:v>
                </c:pt>
                <c:pt idx="1191">
                  <c:v>45033</c:v>
                </c:pt>
                <c:pt idx="1192">
                  <c:v>45034</c:v>
                </c:pt>
                <c:pt idx="1193">
                  <c:v>45035</c:v>
                </c:pt>
                <c:pt idx="1194">
                  <c:v>45036</c:v>
                </c:pt>
                <c:pt idx="1195">
                  <c:v>45037</c:v>
                </c:pt>
                <c:pt idx="1196">
                  <c:v>45038</c:v>
                </c:pt>
                <c:pt idx="1197">
                  <c:v>45039</c:v>
                </c:pt>
                <c:pt idx="1198">
                  <c:v>45040</c:v>
                </c:pt>
                <c:pt idx="1199">
                  <c:v>45041</c:v>
                </c:pt>
                <c:pt idx="1200">
                  <c:v>45042</c:v>
                </c:pt>
                <c:pt idx="1201">
                  <c:v>45043</c:v>
                </c:pt>
                <c:pt idx="1202">
                  <c:v>45044</c:v>
                </c:pt>
                <c:pt idx="1203">
                  <c:v>45045</c:v>
                </c:pt>
                <c:pt idx="1204">
                  <c:v>45046</c:v>
                </c:pt>
                <c:pt idx="1205">
                  <c:v>45047</c:v>
                </c:pt>
                <c:pt idx="1206">
                  <c:v>45048</c:v>
                </c:pt>
                <c:pt idx="1207">
                  <c:v>45049</c:v>
                </c:pt>
                <c:pt idx="1208">
                  <c:v>45050</c:v>
                </c:pt>
                <c:pt idx="1209">
                  <c:v>45051</c:v>
                </c:pt>
                <c:pt idx="1210">
                  <c:v>45052</c:v>
                </c:pt>
                <c:pt idx="1211">
                  <c:v>45053</c:v>
                </c:pt>
                <c:pt idx="1212">
                  <c:v>45054</c:v>
                </c:pt>
                <c:pt idx="1213">
                  <c:v>45055</c:v>
                </c:pt>
                <c:pt idx="1214">
                  <c:v>45056</c:v>
                </c:pt>
                <c:pt idx="1215">
                  <c:v>45057</c:v>
                </c:pt>
                <c:pt idx="1216">
                  <c:v>45058</c:v>
                </c:pt>
                <c:pt idx="1217">
                  <c:v>45059</c:v>
                </c:pt>
                <c:pt idx="1218">
                  <c:v>45060</c:v>
                </c:pt>
                <c:pt idx="1219">
                  <c:v>45061</c:v>
                </c:pt>
                <c:pt idx="1220">
                  <c:v>45062</c:v>
                </c:pt>
                <c:pt idx="1221">
                  <c:v>45063</c:v>
                </c:pt>
                <c:pt idx="1222">
                  <c:v>45064</c:v>
                </c:pt>
                <c:pt idx="1223">
                  <c:v>45065</c:v>
                </c:pt>
                <c:pt idx="1224">
                  <c:v>45066</c:v>
                </c:pt>
                <c:pt idx="1225">
                  <c:v>45067</c:v>
                </c:pt>
                <c:pt idx="1226">
                  <c:v>45068</c:v>
                </c:pt>
                <c:pt idx="1227">
                  <c:v>45069</c:v>
                </c:pt>
                <c:pt idx="1228">
                  <c:v>45070</c:v>
                </c:pt>
                <c:pt idx="1229">
                  <c:v>45071</c:v>
                </c:pt>
                <c:pt idx="1230">
                  <c:v>45072</c:v>
                </c:pt>
                <c:pt idx="1231">
                  <c:v>45073</c:v>
                </c:pt>
                <c:pt idx="1232">
                  <c:v>45074</c:v>
                </c:pt>
                <c:pt idx="1233">
                  <c:v>45075</c:v>
                </c:pt>
                <c:pt idx="1234">
                  <c:v>45076</c:v>
                </c:pt>
                <c:pt idx="1235">
                  <c:v>45077</c:v>
                </c:pt>
                <c:pt idx="1236">
                  <c:v>45078</c:v>
                </c:pt>
                <c:pt idx="1237">
                  <c:v>45079</c:v>
                </c:pt>
                <c:pt idx="1238">
                  <c:v>45080</c:v>
                </c:pt>
                <c:pt idx="1239">
                  <c:v>45081</c:v>
                </c:pt>
                <c:pt idx="1240">
                  <c:v>45082</c:v>
                </c:pt>
                <c:pt idx="1241">
                  <c:v>45083</c:v>
                </c:pt>
                <c:pt idx="1242">
                  <c:v>45084</c:v>
                </c:pt>
                <c:pt idx="1243">
                  <c:v>45085</c:v>
                </c:pt>
                <c:pt idx="1244">
                  <c:v>45086</c:v>
                </c:pt>
                <c:pt idx="1245">
                  <c:v>45087</c:v>
                </c:pt>
                <c:pt idx="1246">
                  <c:v>45088</c:v>
                </c:pt>
                <c:pt idx="1247">
                  <c:v>45089</c:v>
                </c:pt>
                <c:pt idx="1248">
                  <c:v>45090</c:v>
                </c:pt>
                <c:pt idx="1249">
                  <c:v>45091</c:v>
                </c:pt>
                <c:pt idx="1250">
                  <c:v>45092</c:v>
                </c:pt>
                <c:pt idx="1251">
                  <c:v>45093</c:v>
                </c:pt>
                <c:pt idx="1252">
                  <c:v>45094</c:v>
                </c:pt>
                <c:pt idx="1253">
                  <c:v>45095</c:v>
                </c:pt>
                <c:pt idx="1254">
                  <c:v>45096</c:v>
                </c:pt>
                <c:pt idx="1255">
                  <c:v>45097</c:v>
                </c:pt>
                <c:pt idx="1256">
                  <c:v>45098</c:v>
                </c:pt>
                <c:pt idx="1257">
                  <c:v>45099</c:v>
                </c:pt>
                <c:pt idx="1258">
                  <c:v>45100</c:v>
                </c:pt>
                <c:pt idx="1259">
                  <c:v>45101</c:v>
                </c:pt>
                <c:pt idx="1260">
                  <c:v>45102</c:v>
                </c:pt>
                <c:pt idx="1261">
                  <c:v>45103</c:v>
                </c:pt>
                <c:pt idx="1262">
                  <c:v>45104</c:v>
                </c:pt>
                <c:pt idx="1263">
                  <c:v>45105</c:v>
                </c:pt>
                <c:pt idx="1264">
                  <c:v>45106</c:v>
                </c:pt>
                <c:pt idx="1265">
                  <c:v>45107</c:v>
                </c:pt>
                <c:pt idx="1266">
                  <c:v>45108</c:v>
                </c:pt>
                <c:pt idx="1267">
                  <c:v>45109</c:v>
                </c:pt>
                <c:pt idx="1268">
                  <c:v>45110</c:v>
                </c:pt>
                <c:pt idx="1269">
                  <c:v>45111</c:v>
                </c:pt>
                <c:pt idx="1270">
                  <c:v>45112</c:v>
                </c:pt>
                <c:pt idx="1271">
                  <c:v>45113</c:v>
                </c:pt>
                <c:pt idx="1272">
                  <c:v>45114</c:v>
                </c:pt>
                <c:pt idx="1273">
                  <c:v>45115</c:v>
                </c:pt>
                <c:pt idx="1274">
                  <c:v>45116</c:v>
                </c:pt>
                <c:pt idx="1275">
                  <c:v>45117</c:v>
                </c:pt>
                <c:pt idx="1276">
                  <c:v>45118</c:v>
                </c:pt>
                <c:pt idx="1277">
                  <c:v>45119</c:v>
                </c:pt>
                <c:pt idx="1278">
                  <c:v>45120</c:v>
                </c:pt>
                <c:pt idx="1279">
                  <c:v>45121</c:v>
                </c:pt>
                <c:pt idx="1280">
                  <c:v>45122</c:v>
                </c:pt>
                <c:pt idx="1281">
                  <c:v>45123</c:v>
                </c:pt>
                <c:pt idx="1282">
                  <c:v>45124</c:v>
                </c:pt>
                <c:pt idx="1283">
                  <c:v>45125</c:v>
                </c:pt>
                <c:pt idx="1284">
                  <c:v>45126</c:v>
                </c:pt>
                <c:pt idx="1285">
                  <c:v>45127</c:v>
                </c:pt>
                <c:pt idx="1286">
                  <c:v>45128</c:v>
                </c:pt>
                <c:pt idx="1287">
                  <c:v>45129</c:v>
                </c:pt>
                <c:pt idx="1288">
                  <c:v>45130</c:v>
                </c:pt>
                <c:pt idx="1289">
                  <c:v>45131</c:v>
                </c:pt>
                <c:pt idx="1290">
                  <c:v>45132</c:v>
                </c:pt>
                <c:pt idx="1291">
                  <c:v>45133</c:v>
                </c:pt>
                <c:pt idx="1292">
                  <c:v>45134</c:v>
                </c:pt>
                <c:pt idx="1293">
                  <c:v>45135</c:v>
                </c:pt>
                <c:pt idx="1294">
                  <c:v>45136</c:v>
                </c:pt>
                <c:pt idx="1295">
                  <c:v>45137</c:v>
                </c:pt>
                <c:pt idx="1296">
                  <c:v>45138</c:v>
                </c:pt>
                <c:pt idx="1297">
                  <c:v>45139</c:v>
                </c:pt>
                <c:pt idx="1298">
                  <c:v>45140</c:v>
                </c:pt>
                <c:pt idx="1299">
                  <c:v>45141</c:v>
                </c:pt>
                <c:pt idx="1300">
                  <c:v>45142</c:v>
                </c:pt>
                <c:pt idx="1301">
                  <c:v>45143</c:v>
                </c:pt>
                <c:pt idx="1302">
                  <c:v>45144</c:v>
                </c:pt>
                <c:pt idx="1303">
                  <c:v>45145</c:v>
                </c:pt>
                <c:pt idx="1304">
                  <c:v>45146</c:v>
                </c:pt>
                <c:pt idx="1305">
                  <c:v>45147</c:v>
                </c:pt>
                <c:pt idx="1306">
                  <c:v>45148</c:v>
                </c:pt>
                <c:pt idx="1307">
                  <c:v>45149</c:v>
                </c:pt>
                <c:pt idx="1308">
                  <c:v>45150</c:v>
                </c:pt>
                <c:pt idx="1309">
                  <c:v>45151</c:v>
                </c:pt>
                <c:pt idx="1310">
                  <c:v>45152</c:v>
                </c:pt>
                <c:pt idx="1311">
                  <c:v>45153</c:v>
                </c:pt>
                <c:pt idx="1312">
                  <c:v>45154</c:v>
                </c:pt>
                <c:pt idx="1313">
                  <c:v>45155</c:v>
                </c:pt>
                <c:pt idx="1314">
                  <c:v>45156</c:v>
                </c:pt>
                <c:pt idx="1315">
                  <c:v>45157</c:v>
                </c:pt>
                <c:pt idx="1316">
                  <c:v>45158</c:v>
                </c:pt>
                <c:pt idx="1317">
                  <c:v>45159</c:v>
                </c:pt>
                <c:pt idx="1318">
                  <c:v>45160</c:v>
                </c:pt>
                <c:pt idx="1319">
                  <c:v>45161</c:v>
                </c:pt>
                <c:pt idx="1320">
                  <c:v>45162</c:v>
                </c:pt>
                <c:pt idx="1321">
                  <c:v>45163</c:v>
                </c:pt>
                <c:pt idx="1322">
                  <c:v>45164</c:v>
                </c:pt>
                <c:pt idx="1323">
                  <c:v>45165</c:v>
                </c:pt>
                <c:pt idx="1324">
                  <c:v>45166</c:v>
                </c:pt>
                <c:pt idx="1325">
                  <c:v>45167</c:v>
                </c:pt>
                <c:pt idx="1326">
                  <c:v>45168</c:v>
                </c:pt>
                <c:pt idx="1327">
                  <c:v>45169</c:v>
                </c:pt>
                <c:pt idx="1328">
                  <c:v>45170</c:v>
                </c:pt>
                <c:pt idx="1329">
                  <c:v>45171</c:v>
                </c:pt>
                <c:pt idx="1330">
                  <c:v>45172</c:v>
                </c:pt>
                <c:pt idx="1331">
                  <c:v>45173</c:v>
                </c:pt>
                <c:pt idx="1332">
                  <c:v>45174</c:v>
                </c:pt>
                <c:pt idx="1333">
                  <c:v>45175</c:v>
                </c:pt>
                <c:pt idx="1334">
                  <c:v>45176</c:v>
                </c:pt>
                <c:pt idx="1335">
                  <c:v>45177</c:v>
                </c:pt>
                <c:pt idx="1336">
                  <c:v>45178</c:v>
                </c:pt>
                <c:pt idx="1337">
                  <c:v>45179</c:v>
                </c:pt>
                <c:pt idx="1338">
                  <c:v>45180</c:v>
                </c:pt>
                <c:pt idx="1339">
                  <c:v>45181</c:v>
                </c:pt>
                <c:pt idx="1340">
                  <c:v>45182</c:v>
                </c:pt>
                <c:pt idx="1341">
                  <c:v>45183</c:v>
                </c:pt>
                <c:pt idx="1342">
                  <c:v>45184</c:v>
                </c:pt>
                <c:pt idx="1343">
                  <c:v>45185</c:v>
                </c:pt>
                <c:pt idx="1344">
                  <c:v>45186</c:v>
                </c:pt>
                <c:pt idx="1345">
                  <c:v>45187</c:v>
                </c:pt>
                <c:pt idx="1346">
                  <c:v>45188</c:v>
                </c:pt>
                <c:pt idx="1347">
                  <c:v>45189</c:v>
                </c:pt>
                <c:pt idx="1348">
                  <c:v>45190</c:v>
                </c:pt>
                <c:pt idx="1349">
                  <c:v>45191</c:v>
                </c:pt>
                <c:pt idx="1350">
                  <c:v>45192</c:v>
                </c:pt>
                <c:pt idx="1351">
                  <c:v>45193</c:v>
                </c:pt>
                <c:pt idx="1352">
                  <c:v>45194</c:v>
                </c:pt>
                <c:pt idx="1353">
                  <c:v>45195</c:v>
                </c:pt>
                <c:pt idx="1354">
                  <c:v>45196</c:v>
                </c:pt>
                <c:pt idx="1355">
                  <c:v>45197</c:v>
                </c:pt>
                <c:pt idx="1356">
                  <c:v>45198</c:v>
                </c:pt>
                <c:pt idx="1357">
                  <c:v>45199</c:v>
                </c:pt>
                <c:pt idx="1358">
                  <c:v>45200</c:v>
                </c:pt>
                <c:pt idx="1359">
                  <c:v>45201</c:v>
                </c:pt>
                <c:pt idx="1360">
                  <c:v>45202</c:v>
                </c:pt>
                <c:pt idx="1361">
                  <c:v>45203</c:v>
                </c:pt>
                <c:pt idx="1362">
                  <c:v>45204</c:v>
                </c:pt>
                <c:pt idx="1363">
                  <c:v>45205</c:v>
                </c:pt>
                <c:pt idx="1364">
                  <c:v>45206</c:v>
                </c:pt>
                <c:pt idx="1365">
                  <c:v>45207</c:v>
                </c:pt>
                <c:pt idx="1366">
                  <c:v>45208</c:v>
                </c:pt>
                <c:pt idx="1367">
                  <c:v>45209</c:v>
                </c:pt>
                <c:pt idx="1368">
                  <c:v>45210</c:v>
                </c:pt>
                <c:pt idx="1369">
                  <c:v>45211</c:v>
                </c:pt>
                <c:pt idx="1370">
                  <c:v>45212</c:v>
                </c:pt>
                <c:pt idx="1371">
                  <c:v>45213</c:v>
                </c:pt>
                <c:pt idx="1372">
                  <c:v>45214</c:v>
                </c:pt>
                <c:pt idx="1373">
                  <c:v>45215</c:v>
                </c:pt>
                <c:pt idx="1374">
                  <c:v>45216</c:v>
                </c:pt>
                <c:pt idx="1375">
                  <c:v>45217</c:v>
                </c:pt>
                <c:pt idx="1376">
                  <c:v>45218</c:v>
                </c:pt>
                <c:pt idx="1377">
                  <c:v>45219</c:v>
                </c:pt>
                <c:pt idx="1378">
                  <c:v>45220</c:v>
                </c:pt>
                <c:pt idx="1379">
                  <c:v>45221</c:v>
                </c:pt>
                <c:pt idx="1380">
                  <c:v>45222</c:v>
                </c:pt>
                <c:pt idx="1381">
                  <c:v>45223</c:v>
                </c:pt>
                <c:pt idx="1382">
                  <c:v>45224</c:v>
                </c:pt>
                <c:pt idx="1383">
                  <c:v>45225</c:v>
                </c:pt>
                <c:pt idx="1384">
                  <c:v>45226</c:v>
                </c:pt>
                <c:pt idx="1385">
                  <c:v>45227</c:v>
                </c:pt>
                <c:pt idx="1386">
                  <c:v>45228</c:v>
                </c:pt>
                <c:pt idx="1387">
                  <c:v>45229</c:v>
                </c:pt>
                <c:pt idx="1388">
                  <c:v>45230</c:v>
                </c:pt>
                <c:pt idx="1389">
                  <c:v>45231</c:v>
                </c:pt>
                <c:pt idx="1390">
                  <c:v>45232</c:v>
                </c:pt>
                <c:pt idx="1391">
                  <c:v>45233</c:v>
                </c:pt>
                <c:pt idx="1392">
                  <c:v>45234</c:v>
                </c:pt>
                <c:pt idx="1393">
                  <c:v>45235</c:v>
                </c:pt>
                <c:pt idx="1394">
                  <c:v>45236</c:v>
                </c:pt>
                <c:pt idx="1395">
                  <c:v>45237</c:v>
                </c:pt>
                <c:pt idx="1396">
                  <c:v>45238</c:v>
                </c:pt>
                <c:pt idx="1397">
                  <c:v>45239</c:v>
                </c:pt>
                <c:pt idx="1398">
                  <c:v>45240</c:v>
                </c:pt>
                <c:pt idx="1399">
                  <c:v>45241</c:v>
                </c:pt>
                <c:pt idx="1400">
                  <c:v>45242</c:v>
                </c:pt>
                <c:pt idx="1401">
                  <c:v>45243</c:v>
                </c:pt>
                <c:pt idx="1402">
                  <c:v>45244</c:v>
                </c:pt>
                <c:pt idx="1403">
                  <c:v>45245</c:v>
                </c:pt>
                <c:pt idx="1404">
                  <c:v>45246</c:v>
                </c:pt>
                <c:pt idx="1405">
                  <c:v>45247</c:v>
                </c:pt>
                <c:pt idx="1406">
                  <c:v>45248</c:v>
                </c:pt>
                <c:pt idx="1407">
                  <c:v>45249</c:v>
                </c:pt>
                <c:pt idx="1408">
                  <c:v>45250</c:v>
                </c:pt>
                <c:pt idx="1409">
                  <c:v>45251</c:v>
                </c:pt>
                <c:pt idx="1410">
                  <c:v>45252</c:v>
                </c:pt>
                <c:pt idx="1411">
                  <c:v>45253</c:v>
                </c:pt>
                <c:pt idx="1412">
                  <c:v>45254</c:v>
                </c:pt>
                <c:pt idx="1413">
                  <c:v>45255</c:v>
                </c:pt>
                <c:pt idx="1414">
                  <c:v>45256</c:v>
                </c:pt>
                <c:pt idx="1415">
                  <c:v>45257</c:v>
                </c:pt>
                <c:pt idx="1416">
                  <c:v>45258</c:v>
                </c:pt>
                <c:pt idx="1417">
                  <c:v>45259</c:v>
                </c:pt>
                <c:pt idx="1418">
                  <c:v>45260</c:v>
                </c:pt>
                <c:pt idx="1419">
                  <c:v>45261</c:v>
                </c:pt>
                <c:pt idx="1420">
                  <c:v>45262</c:v>
                </c:pt>
                <c:pt idx="1421">
                  <c:v>45263</c:v>
                </c:pt>
                <c:pt idx="1422">
                  <c:v>45264</c:v>
                </c:pt>
                <c:pt idx="1423">
                  <c:v>45265</c:v>
                </c:pt>
                <c:pt idx="1424">
                  <c:v>45266</c:v>
                </c:pt>
                <c:pt idx="1425">
                  <c:v>45267</c:v>
                </c:pt>
                <c:pt idx="1426">
                  <c:v>45268</c:v>
                </c:pt>
                <c:pt idx="1427">
                  <c:v>45269</c:v>
                </c:pt>
                <c:pt idx="1428">
                  <c:v>45270</c:v>
                </c:pt>
                <c:pt idx="1429">
                  <c:v>45271</c:v>
                </c:pt>
                <c:pt idx="1430">
                  <c:v>45272</c:v>
                </c:pt>
                <c:pt idx="1431">
                  <c:v>45273</c:v>
                </c:pt>
                <c:pt idx="1432">
                  <c:v>45274</c:v>
                </c:pt>
                <c:pt idx="1433">
                  <c:v>45275</c:v>
                </c:pt>
                <c:pt idx="1434">
                  <c:v>45276</c:v>
                </c:pt>
                <c:pt idx="1435">
                  <c:v>45277</c:v>
                </c:pt>
                <c:pt idx="1436">
                  <c:v>45278</c:v>
                </c:pt>
                <c:pt idx="1437">
                  <c:v>45279</c:v>
                </c:pt>
                <c:pt idx="1438">
                  <c:v>45280</c:v>
                </c:pt>
                <c:pt idx="1439">
                  <c:v>45281</c:v>
                </c:pt>
                <c:pt idx="1440">
                  <c:v>45282</c:v>
                </c:pt>
                <c:pt idx="1441">
                  <c:v>45283</c:v>
                </c:pt>
                <c:pt idx="1442">
                  <c:v>45284</c:v>
                </c:pt>
                <c:pt idx="1443">
                  <c:v>45285</c:v>
                </c:pt>
                <c:pt idx="1444">
                  <c:v>45286</c:v>
                </c:pt>
                <c:pt idx="1445">
                  <c:v>45287</c:v>
                </c:pt>
                <c:pt idx="1446">
                  <c:v>45288</c:v>
                </c:pt>
                <c:pt idx="1447">
                  <c:v>45289</c:v>
                </c:pt>
                <c:pt idx="1448">
                  <c:v>45290</c:v>
                </c:pt>
                <c:pt idx="1449">
                  <c:v>45291</c:v>
                </c:pt>
                <c:pt idx="1450">
                  <c:v>45292</c:v>
                </c:pt>
                <c:pt idx="1451">
                  <c:v>45293</c:v>
                </c:pt>
                <c:pt idx="1452">
                  <c:v>45294</c:v>
                </c:pt>
                <c:pt idx="1453">
                  <c:v>45295</c:v>
                </c:pt>
                <c:pt idx="1454">
                  <c:v>45296</c:v>
                </c:pt>
                <c:pt idx="1455">
                  <c:v>45297</c:v>
                </c:pt>
                <c:pt idx="1456">
                  <c:v>45298</c:v>
                </c:pt>
                <c:pt idx="1457">
                  <c:v>45299</c:v>
                </c:pt>
                <c:pt idx="1458">
                  <c:v>45300</c:v>
                </c:pt>
                <c:pt idx="1459">
                  <c:v>45301</c:v>
                </c:pt>
                <c:pt idx="1460">
                  <c:v>45302</c:v>
                </c:pt>
                <c:pt idx="1461">
                  <c:v>45303</c:v>
                </c:pt>
                <c:pt idx="1462">
                  <c:v>45304</c:v>
                </c:pt>
                <c:pt idx="1463">
                  <c:v>45305</c:v>
                </c:pt>
                <c:pt idx="1464">
                  <c:v>45306</c:v>
                </c:pt>
                <c:pt idx="1465">
                  <c:v>45307</c:v>
                </c:pt>
                <c:pt idx="1466">
                  <c:v>45308</c:v>
                </c:pt>
                <c:pt idx="1467">
                  <c:v>45309</c:v>
                </c:pt>
                <c:pt idx="1468">
                  <c:v>45310</c:v>
                </c:pt>
                <c:pt idx="1469">
                  <c:v>45311</c:v>
                </c:pt>
                <c:pt idx="1470">
                  <c:v>45312</c:v>
                </c:pt>
                <c:pt idx="1471">
                  <c:v>45313</c:v>
                </c:pt>
                <c:pt idx="1472">
                  <c:v>45314</c:v>
                </c:pt>
                <c:pt idx="1473">
                  <c:v>45315</c:v>
                </c:pt>
                <c:pt idx="1474">
                  <c:v>45316</c:v>
                </c:pt>
                <c:pt idx="1475">
                  <c:v>45317</c:v>
                </c:pt>
                <c:pt idx="1476">
                  <c:v>45318</c:v>
                </c:pt>
                <c:pt idx="1477">
                  <c:v>45319</c:v>
                </c:pt>
                <c:pt idx="1478">
                  <c:v>45320</c:v>
                </c:pt>
                <c:pt idx="1479">
                  <c:v>45321</c:v>
                </c:pt>
                <c:pt idx="1480">
                  <c:v>45322</c:v>
                </c:pt>
                <c:pt idx="1481">
                  <c:v>45323</c:v>
                </c:pt>
                <c:pt idx="1482">
                  <c:v>45324</c:v>
                </c:pt>
                <c:pt idx="1483">
                  <c:v>45325</c:v>
                </c:pt>
                <c:pt idx="1484">
                  <c:v>45326</c:v>
                </c:pt>
                <c:pt idx="1485">
                  <c:v>45327</c:v>
                </c:pt>
                <c:pt idx="1486">
                  <c:v>45328</c:v>
                </c:pt>
                <c:pt idx="1487">
                  <c:v>45329</c:v>
                </c:pt>
                <c:pt idx="1488">
                  <c:v>45330</c:v>
                </c:pt>
                <c:pt idx="1489">
                  <c:v>45331</c:v>
                </c:pt>
                <c:pt idx="1490">
                  <c:v>45332</c:v>
                </c:pt>
                <c:pt idx="1491">
                  <c:v>45333</c:v>
                </c:pt>
                <c:pt idx="1492">
                  <c:v>45334</c:v>
                </c:pt>
                <c:pt idx="1493">
                  <c:v>45335</c:v>
                </c:pt>
                <c:pt idx="1494">
                  <c:v>45336</c:v>
                </c:pt>
                <c:pt idx="1495">
                  <c:v>45337</c:v>
                </c:pt>
                <c:pt idx="1496">
                  <c:v>45338</c:v>
                </c:pt>
                <c:pt idx="1497">
                  <c:v>45339</c:v>
                </c:pt>
                <c:pt idx="1498">
                  <c:v>45340</c:v>
                </c:pt>
                <c:pt idx="1499">
                  <c:v>45341</c:v>
                </c:pt>
                <c:pt idx="1500">
                  <c:v>45342</c:v>
                </c:pt>
                <c:pt idx="1501">
                  <c:v>45343</c:v>
                </c:pt>
                <c:pt idx="1502">
                  <c:v>45344</c:v>
                </c:pt>
                <c:pt idx="1503">
                  <c:v>45345</c:v>
                </c:pt>
                <c:pt idx="1504">
                  <c:v>45346</c:v>
                </c:pt>
                <c:pt idx="1505">
                  <c:v>45347</c:v>
                </c:pt>
                <c:pt idx="1506">
                  <c:v>45348</c:v>
                </c:pt>
                <c:pt idx="1507">
                  <c:v>45349</c:v>
                </c:pt>
                <c:pt idx="1508">
                  <c:v>45350</c:v>
                </c:pt>
                <c:pt idx="1509">
                  <c:v>45351</c:v>
                </c:pt>
                <c:pt idx="1510">
                  <c:v>45352</c:v>
                </c:pt>
                <c:pt idx="1511">
                  <c:v>45353</c:v>
                </c:pt>
                <c:pt idx="1512">
                  <c:v>45354</c:v>
                </c:pt>
                <c:pt idx="1513">
                  <c:v>45355</c:v>
                </c:pt>
                <c:pt idx="1514">
                  <c:v>45356</c:v>
                </c:pt>
                <c:pt idx="1515">
                  <c:v>45357</c:v>
                </c:pt>
                <c:pt idx="1516">
                  <c:v>45358</c:v>
                </c:pt>
                <c:pt idx="1517">
                  <c:v>45359</c:v>
                </c:pt>
                <c:pt idx="1518">
                  <c:v>45360</c:v>
                </c:pt>
                <c:pt idx="1519">
                  <c:v>45361</c:v>
                </c:pt>
                <c:pt idx="1520">
                  <c:v>45362</c:v>
                </c:pt>
                <c:pt idx="1521">
                  <c:v>45363</c:v>
                </c:pt>
                <c:pt idx="1522">
                  <c:v>45364</c:v>
                </c:pt>
                <c:pt idx="1523">
                  <c:v>45365</c:v>
                </c:pt>
                <c:pt idx="1524">
                  <c:v>45366</c:v>
                </c:pt>
                <c:pt idx="1525">
                  <c:v>45367</c:v>
                </c:pt>
                <c:pt idx="1526">
                  <c:v>45368</c:v>
                </c:pt>
                <c:pt idx="1527">
                  <c:v>45369</c:v>
                </c:pt>
                <c:pt idx="1528">
                  <c:v>45370</c:v>
                </c:pt>
                <c:pt idx="1529">
                  <c:v>45371</c:v>
                </c:pt>
                <c:pt idx="1530">
                  <c:v>45372</c:v>
                </c:pt>
                <c:pt idx="1531">
                  <c:v>45373</c:v>
                </c:pt>
                <c:pt idx="1532">
                  <c:v>45374</c:v>
                </c:pt>
                <c:pt idx="1533">
                  <c:v>45375</c:v>
                </c:pt>
                <c:pt idx="1534">
                  <c:v>45376</c:v>
                </c:pt>
                <c:pt idx="1535">
                  <c:v>45377</c:v>
                </c:pt>
                <c:pt idx="1536">
                  <c:v>45378</c:v>
                </c:pt>
                <c:pt idx="1537">
                  <c:v>45379</c:v>
                </c:pt>
                <c:pt idx="1538">
                  <c:v>45380</c:v>
                </c:pt>
                <c:pt idx="1539">
                  <c:v>45381</c:v>
                </c:pt>
                <c:pt idx="1540">
                  <c:v>45382</c:v>
                </c:pt>
                <c:pt idx="1541">
                  <c:v>45383</c:v>
                </c:pt>
                <c:pt idx="1542">
                  <c:v>45384</c:v>
                </c:pt>
                <c:pt idx="1543">
                  <c:v>45385</c:v>
                </c:pt>
                <c:pt idx="1544">
                  <c:v>45386</c:v>
                </c:pt>
                <c:pt idx="1545">
                  <c:v>45387</c:v>
                </c:pt>
                <c:pt idx="1546">
                  <c:v>45388</c:v>
                </c:pt>
                <c:pt idx="1547">
                  <c:v>45389</c:v>
                </c:pt>
                <c:pt idx="1548">
                  <c:v>45390</c:v>
                </c:pt>
                <c:pt idx="1549">
                  <c:v>45391</c:v>
                </c:pt>
                <c:pt idx="1550">
                  <c:v>45392</c:v>
                </c:pt>
                <c:pt idx="1551">
                  <c:v>45393</c:v>
                </c:pt>
                <c:pt idx="1552">
                  <c:v>45394</c:v>
                </c:pt>
                <c:pt idx="1553">
                  <c:v>45395</c:v>
                </c:pt>
                <c:pt idx="1554">
                  <c:v>45396</c:v>
                </c:pt>
                <c:pt idx="1555">
                  <c:v>45397</c:v>
                </c:pt>
                <c:pt idx="1556">
                  <c:v>45398</c:v>
                </c:pt>
                <c:pt idx="1557">
                  <c:v>45399</c:v>
                </c:pt>
                <c:pt idx="1558">
                  <c:v>45400</c:v>
                </c:pt>
                <c:pt idx="1559">
                  <c:v>45401</c:v>
                </c:pt>
                <c:pt idx="1560">
                  <c:v>45402</c:v>
                </c:pt>
                <c:pt idx="1561">
                  <c:v>45403</c:v>
                </c:pt>
                <c:pt idx="1562">
                  <c:v>45404</c:v>
                </c:pt>
                <c:pt idx="1563">
                  <c:v>45405</c:v>
                </c:pt>
                <c:pt idx="1564">
                  <c:v>45406</c:v>
                </c:pt>
                <c:pt idx="1565">
                  <c:v>45407</c:v>
                </c:pt>
                <c:pt idx="1566">
                  <c:v>45408</c:v>
                </c:pt>
                <c:pt idx="1567">
                  <c:v>45409</c:v>
                </c:pt>
                <c:pt idx="1568">
                  <c:v>45410</c:v>
                </c:pt>
                <c:pt idx="1569">
                  <c:v>45411</c:v>
                </c:pt>
                <c:pt idx="1570">
                  <c:v>45412</c:v>
                </c:pt>
                <c:pt idx="1571">
                  <c:v>45413</c:v>
                </c:pt>
                <c:pt idx="1572">
                  <c:v>45414</c:v>
                </c:pt>
                <c:pt idx="1573">
                  <c:v>45415</c:v>
                </c:pt>
                <c:pt idx="1574">
                  <c:v>45416</c:v>
                </c:pt>
                <c:pt idx="1575">
                  <c:v>45417</c:v>
                </c:pt>
                <c:pt idx="1576">
                  <c:v>45418</c:v>
                </c:pt>
                <c:pt idx="1577">
                  <c:v>45419</c:v>
                </c:pt>
                <c:pt idx="1578">
                  <c:v>45420</c:v>
                </c:pt>
                <c:pt idx="1579">
                  <c:v>45421</c:v>
                </c:pt>
                <c:pt idx="1580">
                  <c:v>45422</c:v>
                </c:pt>
                <c:pt idx="1581">
                  <c:v>45423</c:v>
                </c:pt>
                <c:pt idx="1582">
                  <c:v>45424</c:v>
                </c:pt>
                <c:pt idx="1583">
                  <c:v>45425</c:v>
                </c:pt>
                <c:pt idx="1584">
                  <c:v>45426</c:v>
                </c:pt>
                <c:pt idx="1585">
                  <c:v>45427</c:v>
                </c:pt>
                <c:pt idx="1586">
                  <c:v>45428</c:v>
                </c:pt>
                <c:pt idx="1587">
                  <c:v>45429</c:v>
                </c:pt>
                <c:pt idx="1588">
                  <c:v>45430</c:v>
                </c:pt>
                <c:pt idx="1589">
                  <c:v>45431</c:v>
                </c:pt>
                <c:pt idx="1590">
                  <c:v>45432</c:v>
                </c:pt>
                <c:pt idx="1591">
                  <c:v>45433</c:v>
                </c:pt>
                <c:pt idx="1592">
                  <c:v>45434</c:v>
                </c:pt>
                <c:pt idx="1593">
                  <c:v>45435</c:v>
                </c:pt>
                <c:pt idx="1594">
                  <c:v>45436</c:v>
                </c:pt>
                <c:pt idx="1595">
                  <c:v>45437</c:v>
                </c:pt>
                <c:pt idx="1596">
                  <c:v>45438</c:v>
                </c:pt>
                <c:pt idx="1597">
                  <c:v>45439</c:v>
                </c:pt>
                <c:pt idx="1598">
                  <c:v>45440</c:v>
                </c:pt>
                <c:pt idx="1599">
                  <c:v>45441</c:v>
                </c:pt>
                <c:pt idx="1600">
                  <c:v>45442</c:v>
                </c:pt>
                <c:pt idx="1601">
                  <c:v>45443</c:v>
                </c:pt>
                <c:pt idx="1602">
                  <c:v>45444</c:v>
                </c:pt>
                <c:pt idx="1603">
                  <c:v>45445</c:v>
                </c:pt>
                <c:pt idx="1604">
                  <c:v>45446</c:v>
                </c:pt>
                <c:pt idx="1605">
                  <c:v>45447</c:v>
                </c:pt>
                <c:pt idx="1606">
                  <c:v>45448</c:v>
                </c:pt>
                <c:pt idx="1607">
                  <c:v>45449</c:v>
                </c:pt>
                <c:pt idx="1608">
                  <c:v>45450</c:v>
                </c:pt>
                <c:pt idx="1609">
                  <c:v>45451</c:v>
                </c:pt>
                <c:pt idx="1610">
                  <c:v>45452</c:v>
                </c:pt>
                <c:pt idx="1611">
                  <c:v>45453</c:v>
                </c:pt>
                <c:pt idx="1612">
                  <c:v>45454</c:v>
                </c:pt>
                <c:pt idx="1613">
                  <c:v>45455</c:v>
                </c:pt>
                <c:pt idx="1614">
                  <c:v>45456</c:v>
                </c:pt>
                <c:pt idx="1615">
                  <c:v>45457</c:v>
                </c:pt>
                <c:pt idx="1616">
                  <c:v>45458</c:v>
                </c:pt>
                <c:pt idx="1617">
                  <c:v>45459</c:v>
                </c:pt>
                <c:pt idx="1618">
                  <c:v>45460</c:v>
                </c:pt>
                <c:pt idx="1619">
                  <c:v>45461</c:v>
                </c:pt>
                <c:pt idx="1620">
                  <c:v>45462</c:v>
                </c:pt>
                <c:pt idx="1621">
                  <c:v>45463</c:v>
                </c:pt>
                <c:pt idx="1622">
                  <c:v>45464</c:v>
                </c:pt>
                <c:pt idx="1623">
                  <c:v>45465</c:v>
                </c:pt>
                <c:pt idx="1624">
                  <c:v>45466</c:v>
                </c:pt>
                <c:pt idx="1625">
                  <c:v>45467</c:v>
                </c:pt>
                <c:pt idx="1626">
                  <c:v>45468</c:v>
                </c:pt>
                <c:pt idx="1627">
                  <c:v>45469</c:v>
                </c:pt>
                <c:pt idx="1628">
                  <c:v>45470</c:v>
                </c:pt>
                <c:pt idx="1629">
                  <c:v>45471</c:v>
                </c:pt>
                <c:pt idx="1630">
                  <c:v>45472</c:v>
                </c:pt>
                <c:pt idx="1631">
                  <c:v>45473</c:v>
                </c:pt>
                <c:pt idx="1632">
                  <c:v>45474</c:v>
                </c:pt>
                <c:pt idx="1633">
                  <c:v>45475</c:v>
                </c:pt>
                <c:pt idx="1634">
                  <c:v>45476</c:v>
                </c:pt>
                <c:pt idx="1635">
                  <c:v>45477</c:v>
                </c:pt>
                <c:pt idx="1636">
                  <c:v>45478</c:v>
                </c:pt>
                <c:pt idx="1637">
                  <c:v>45479</c:v>
                </c:pt>
                <c:pt idx="1638">
                  <c:v>45480</c:v>
                </c:pt>
                <c:pt idx="1639">
                  <c:v>45481</c:v>
                </c:pt>
                <c:pt idx="1640">
                  <c:v>45482</c:v>
                </c:pt>
                <c:pt idx="1641">
                  <c:v>45483</c:v>
                </c:pt>
                <c:pt idx="1642">
                  <c:v>45484</c:v>
                </c:pt>
                <c:pt idx="1643">
                  <c:v>45485</c:v>
                </c:pt>
                <c:pt idx="1644">
                  <c:v>45486</c:v>
                </c:pt>
                <c:pt idx="1645">
                  <c:v>45487</c:v>
                </c:pt>
                <c:pt idx="1646">
                  <c:v>45488</c:v>
                </c:pt>
                <c:pt idx="1647">
                  <c:v>45489</c:v>
                </c:pt>
                <c:pt idx="1648">
                  <c:v>45490</c:v>
                </c:pt>
                <c:pt idx="1649">
                  <c:v>45491</c:v>
                </c:pt>
                <c:pt idx="1650">
                  <c:v>45492</c:v>
                </c:pt>
                <c:pt idx="1651">
                  <c:v>45493</c:v>
                </c:pt>
                <c:pt idx="1652">
                  <c:v>45494</c:v>
                </c:pt>
                <c:pt idx="1653">
                  <c:v>45495</c:v>
                </c:pt>
                <c:pt idx="1654">
                  <c:v>45496</c:v>
                </c:pt>
                <c:pt idx="1655">
                  <c:v>45497</c:v>
                </c:pt>
                <c:pt idx="1656">
                  <c:v>45498</c:v>
                </c:pt>
                <c:pt idx="1657">
                  <c:v>45499</c:v>
                </c:pt>
                <c:pt idx="1658">
                  <c:v>45500</c:v>
                </c:pt>
                <c:pt idx="1659">
                  <c:v>45501</c:v>
                </c:pt>
                <c:pt idx="1660">
                  <c:v>45502</c:v>
                </c:pt>
                <c:pt idx="1661">
                  <c:v>45503</c:v>
                </c:pt>
                <c:pt idx="1662">
                  <c:v>45504</c:v>
                </c:pt>
                <c:pt idx="1663">
                  <c:v>45505</c:v>
                </c:pt>
                <c:pt idx="1664">
                  <c:v>45506</c:v>
                </c:pt>
                <c:pt idx="1665">
                  <c:v>45507</c:v>
                </c:pt>
                <c:pt idx="1666">
                  <c:v>45508</c:v>
                </c:pt>
                <c:pt idx="1667">
                  <c:v>45509</c:v>
                </c:pt>
                <c:pt idx="1668">
                  <c:v>45510</c:v>
                </c:pt>
                <c:pt idx="1669">
                  <c:v>45511</c:v>
                </c:pt>
                <c:pt idx="1670">
                  <c:v>45512</c:v>
                </c:pt>
                <c:pt idx="1671">
                  <c:v>45513</c:v>
                </c:pt>
                <c:pt idx="1672">
                  <c:v>45514</c:v>
                </c:pt>
                <c:pt idx="1673">
                  <c:v>45515</c:v>
                </c:pt>
                <c:pt idx="1674">
                  <c:v>45516</c:v>
                </c:pt>
                <c:pt idx="1675">
                  <c:v>45517</c:v>
                </c:pt>
                <c:pt idx="1676">
                  <c:v>45518</c:v>
                </c:pt>
                <c:pt idx="1677">
                  <c:v>45519</c:v>
                </c:pt>
                <c:pt idx="1678">
                  <c:v>45520</c:v>
                </c:pt>
                <c:pt idx="1679">
                  <c:v>45521</c:v>
                </c:pt>
                <c:pt idx="1680">
                  <c:v>45522</c:v>
                </c:pt>
                <c:pt idx="1681">
                  <c:v>45523</c:v>
                </c:pt>
                <c:pt idx="1682">
                  <c:v>45524</c:v>
                </c:pt>
                <c:pt idx="1683">
                  <c:v>45525</c:v>
                </c:pt>
                <c:pt idx="1684">
                  <c:v>45526</c:v>
                </c:pt>
                <c:pt idx="1685">
                  <c:v>45527</c:v>
                </c:pt>
                <c:pt idx="1686">
                  <c:v>45528</c:v>
                </c:pt>
                <c:pt idx="1687">
                  <c:v>45529</c:v>
                </c:pt>
                <c:pt idx="1688">
                  <c:v>45530</c:v>
                </c:pt>
                <c:pt idx="1689">
                  <c:v>45531</c:v>
                </c:pt>
                <c:pt idx="1690">
                  <c:v>45532</c:v>
                </c:pt>
                <c:pt idx="1691">
                  <c:v>45533</c:v>
                </c:pt>
                <c:pt idx="1692">
                  <c:v>45534</c:v>
                </c:pt>
                <c:pt idx="1693">
                  <c:v>45535</c:v>
                </c:pt>
                <c:pt idx="1694">
                  <c:v>45536</c:v>
                </c:pt>
                <c:pt idx="1695">
                  <c:v>45537</c:v>
                </c:pt>
                <c:pt idx="1696">
                  <c:v>45538</c:v>
                </c:pt>
                <c:pt idx="1697">
                  <c:v>45539</c:v>
                </c:pt>
                <c:pt idx="1698">
                  <c:v>45540</c:v>
                </c:pt>
                <c:pt idx="1699">
                  <c:v>45541</c:v>
                </c:pt>
                <c:pt idx="1700">
                  <c:v>45542</c:v>
                </c:pt>
                <c:pt idx="1701">
                  <c:v>45543</c:v>
                </c:pt>
                <c:pt idx="1702">
                  <c:v>45544</c:v>
                </c:pt>
                <c:pt idx="1703">
                  <c:v>45545</c:v>
                </c:pt>
                <c:pt idx="1704">
                  <c:v>45546</c:v>
                </c:pt>
                <c:pt idx="1705">
                  <c:v>45547</c:v>
                </c:pt>
                <c:pt idx="1706">
                  <c:v>45548</c:v>
                </c:pt>
                <c:pt idx="1707">
                  <c:v>45549</c:v>
                </c:pt>
                <c:pt idx="1708">
                  <c:v>45550</c:v>
                </c:pt>
                <c:pt idx="1709">
                  <c:v>45551</c:v>
                </c:pt>
                <c:pt idx="1710">
                  <c:v>45552</c:v>
                </c:pt>
                <c:pt idx="1711">
                  <c:v>45553</c:v>
                </c:pt>
                <c:pt idx="1712">
                  <c:v>45554</c:v>
                </c:pt>
                <c:pt idx="1713">
                  <c:v>45555</c:v>
                </c:pt>
                <c:pt idx="1714">
                  <c:v>45556</c:v>
                </c:pt>
                <c:pt idx="1715">
                  <c:v>45557</c:v>
                </c:pt>
                <c:pt idx="1716">
                  <c:v>45558</c:v>
                </c:pt>
                <c:pt idx="1717">
                  <c:v>45559</c:v>
                </c:pt>
                <c:pt idx="1718">
                  <c:v>45560</c:v>
                </c:pt>
                <c:pt idx="1719">
                  <c:v>45561</c:v>
                </c:pt>
                <c:pt idx="1720">
                  <c:v>45562</c:v>
                </c:pt>
                <c:pt idx="1721">
                  <c:v>45563</c:v>
                </c:pt>
                <c:pt idx="1722">
                  <c:v>45564</c:v>
                </c:pt>
                <c:pt idx="1723">
                  <c:v>45565</c:v>
                </c:pt>
                <c:pt idx="1724">
                  <c:v>45566</c:v>
                </c:pt>
                <c:pt idx="1725">
                  <c:v>45567</c:v>
                </c:pt>
                <c:pt idx="1726">
                  <c:v>45568</c:v>
                </c:pt>
                <c:pt idx="1727">
                  <c:v>45569</c:v>
                </c:pt>
                <c:pt idx="1728">
                  <c:v>45570</c:v>
                </c:pt>
                <c:pt idx="1729">
                  <c:v>45571</c:v>
                </c:pt>
                <c:pt idx="1730">
                  <c:v>45572</c:v>
                </c:pt>
                <c:pt idx="1731">
                  <c:v>45573</c:v>
                </c:pt>
                <c:pt idx="1732">
                  <c:v>45574</c:v>
                </c:pt>
                <c:pt idx="1733">
                  <c:v>45575</c:v>
                </c:pt>
                <c:pt idx="1734">
                  <c:v>45576</c:v>
                </c:pt>
                <c:pt idx="1735">
                  <c:v>45577</c:v>
                </c:pt>
                <c:pt idx="1736">
                  <c:v>45578</c:v>
                </c:pt>
                <c:pt idx="1737">
                  <c:v>45579</c:v>
                </c:pt>
                <c:pt idx="1738">
                  <c:v>45580</c:v>
                </c:pt>
                <c:pt idx="1739">
                  <c:v>45581</c:v>
                </c:pt>
                <c:pt idx="1740">
                  <c:v>45582</c:v>
                </c:pt>
                <c:pt idx="1741">
                  <c:v>45583</c:v>
                </c:pt>
                <c:pt idx="1742">
                  <c:v>45584</c:v>
                </c:pt>
                <c:pt idx="1743">
                  <c:v>45585</c:v>
                </c:pt>
                <c:pt idx="1744">
                  <c:v>45586</c:v>
                </c:pt>
                <c:pt idx="1745">
                  <c:v>45587</c:v>
                </c:pt>
                <c:pt idx="1746">
                  <c:v>45588</c:v>
                </c:pt>
                <c:pt idx="1747">
                  <c:v>45589</c:v>
                </c:pt>
                <c:pt idx="1748">
                  <c:v>45590</c:v>
                </c:pt>
                <c:pt idx="1749">
                  <c:v>45591</c:v>
                </c:pt>
                <c:pt idx="1750">
                  <c:v>45592</c:v>
                </c:pt>
                <c:pt idx="1751">
                  <c:v>45593</c:v>
                </c:pt>
                <c:pt idx="1752">
                  <c:v>45594</c:v>
                </c:pt>
                <c:pt idx="1753">
                  <c:v>45595</c:v>
                </c:pt>
                <c:pt idx="1754">
                  <c:v>45596</c:v>
                </c:pt>
                <c:pt idx="1755">
                  <c:v>45597</c:v>
                </c:pt>
                <c:pt idx="1756">
                  <c:v>45598</c:v>
                </c:pt>
                <c:pt idx="1757">
                  <c:v>45599</c:v>
                </c:pt>
                <c:pt idx="1758">
                  <c:v>45600</c:v>
                </c:pt>
                <c:pt idx="1759">
                  <c:v>45601</c:v>
                </c:pt>
                <c:pt idx="1760">
                  <c:v>45602</c:v>
                </c:pt>
                <c:pt idx="1761">
                  <c:v>45603</c:v>
                </c:pt>
                <c:pt idx="1762">
                  <c:v>45604</c:v>
                </c:pt>
                <c:pt idx="1763">
                  <c:v>45605</c:v>
                </c:pt>
                <c:pt idx="1764">
                  <c:v>45606</c:v>
                </c:pt>
                <c:pt idx="1765">
                  <c:v>45607</c:v>
                </c:pt>
                <c:pt idx="1766">
                  <c:v>45608</c:v>
                </c:pt>
                <c:pt idx="1767">
                  <c:v>45609</c:v>
                </c:pt>
                <c:pt idx="1768">
                  <c:v>45610</c:v>
                </c:pt>
                <c:pt idx="1769">
                  <c:v>45611</c:v>
                </c:pt>
                <c:pt idx="1770">
                  <c:v>45612</c:v>
                </c:pt>
                <c:pt idx="1771">
                  <c:v>45613</c:v>
                </c:pt>
                <c:pt idx="1772">
                  <c:v>45614</c:v>
                </c:pt>
                <c:pt idx="1773">
                  <c:v>45615</c:v>
                </c:pt>
                <c:pt idx="1774">
                  <c:v>45616</c:v>
                </c:pt>
                <c:pt idx="1775">
                  <c:v>45617</c:v>
                </c:pt>
                <c:pt idx="1776">
                  <c:v>45618</c:v>
                </c:pt>
                <c:pt idx="1777">
                  <c:v>45619</c:v>
                </c:pt>
                <c:pt idx="1778">
                  <c:v>45620</c:v>
                </c:pt>
                <c:pt idx="1779">
                  <c:v>45621</c:v>
                </c:pt>
                <c:pt idx="1780">
                  <c:v>45622</c:v>
                </c:pt>
                <c:pt idx="1781">
                  <c:v>45623</c:v>
                </c:pt>
                <c:pt idx="1782">
                  <c:v>45624</c:v>
                </c:pt>
                <c:pt idx="1783">
                  <c:v>45625</c:v>
                </c:pt>
                <c:pt idx="1784">
                  <c:v>45626</c:v>
                </c:pt>
                <c:pt idx="1785">
                  <c:v>45627</c:v>
                </c:pt>
                <c:pt idx="1786">
                  <c:v>45628</c:v>
                </c:pt>
                <c:pt idx="1787">
                  <c:v>45629</c:v>
                </c:pt>
                <c:pt idx="1788">
                  <c:v>45630</c:v>
                </c:pt>
                <c:pt idx="1789">
                  <c:v>45631</c:v>
                </c:pt>
                <c:pt idx="1790">
                  <c:v>45632</c:v>
                </c:pt>
                <c:pt idx="1791">
                  <c:v>45633</c:v>
                </c:pt>
                <c:pt idx="1792">
                  <c:v>45634</c:v>
                </c:pt>
                <c:pt idx="1793">
                  <c:v>45635</c:v>
                </c:pt>
                <c:pt idx="1794">
                  <c:v>45636</c:v>
                </c:pt>
                <c:pt idx="1795">
                  <c:v>45637</c:v>
                </c:pt>
                <c:pt idx="1796">
                  <c:v>45638</c:v>
                </c:pt>
                <c:pt idx="1797">
                  <c:v>45639</c:v>
                </c:pt>
                <c:pt idx="1798">
                  <c:v>45640</c:v>
                </c:pt>
                <c:pt idx="1799">
                  <c:v>45641</c:v>
                </c:pt>
                <c:pt idx="1800">
                  <c:v>45642</c:v>
                </c:pt>
                <c:pt idx="1801">
                  <c:v>45643</c:v>
                </c:pt>
                <c:pt idx="1802">
                  <c:v>45644</c:v>
                </c:pt>
                <c:pt idx="1803">
                  <c:v>45645</c:v>
                </c:pt>
                <c:pt idx="1804">
                  <c:v>45646</c:v>
                </c:pt>
                <c:pt idx="1805">
                  <c:v>45647</c:v>
                </c:pt>
                <c:pt idx="1806">
                  <c:v>45648</c:v>
                </c:pt>
                <c:pt idx="1807">
                  <c:v>45649</c:v>
                </c:pt>
                <c:pt idx="1808">
                  <c:v>45650</c:v>
                </c:pt>
                <c:pt idx="1809">
                  <c:v>45651</c:v>
                </c:pt>
                <c:pt idx="1810">
                  <c:v>45652</c:v>
                </c:pt>
                <c:pt idx="1811">
                  <c:v>45653</c:v>
                </c:pt>
                <c:pt idx="1812">
                  <c:v>45654</c:v>
                </c:pt>
                <c:pt idx="1813">
                  <c:v>45655</c:v>
                </c:pt>
                <c:pt idx="1814">
                  <c:v>45656</c:v>
                </c:pt>
                <c:pt idx="1815">
                  <c:v>45657</c:v>
                </c:pt>
                <c:pt idx="1816">
                  <c:v>45658</c:v>
                </c:pt>
                <c:pt idx="1817">
                  <c:v>45659</c:v>
                </c:pt>
                <c:pt idx="1818">
                  <c:v>45660</c:v>
                </c:pt>
                <c:pt idx="1819">
                  <c:v>45661</c:v>
                </c:pt>
                <c:pt idx="1820">
                  <c:v>45662</c:v>
                </c:pt>
                <c:pt idx="1821">
                  <c:v>45663</c:v>
                </c:pt>
                <c:pt idx="1822">
                  <c:v>45664</c:v>
                </c:pt>
                <c:pt idx="1823">
                  <c:v>45665</c:v>
                </c:pt>
                <c:pt idx="1824">
                  <c:v>45666</c:v>
                </c:pt>
                <c:pt idx="1825">
                  <c:v>45667</c:v>
                </c:pt>
                <c:pt idx="1826">
                  <c:v>45668</c:v>
                </c:pt>
                <c:pt idx="1827">
                  <c:v>45669</c:v>
                </c:pt>
                <c:pt idx="1828">
                  <c:v>45670</c:v>
                </c:pt>
                <c:pt idx="1829">
                  <c:v>45671</c:v>
                </c:pt>
                <c:pt idx="1830">
                  <c:v>45672</c:v>
                </c:pt>
                <c:pt idx="1831">
                  <c:v>45673</c:v>
                </c:pt>
                <c:pt idx="1832">
                  <c:v>45674</c:v>
                </c:pt>
                <c:pt idx="1833">
                  <c:v>45675</c:v>
                </c:pt>
                <c:pt idx="1834">
                  <c:v>45676</c:v>
                </c:pt>
                <c:pt idx="1835">
                  <c:v>45677</c:v>
                </c:pt>
                <c:pt idx="1836">
                  <c:v>45678</c:v>
                </c:pt>
                <c:pt idx="1837">
                  <c:v>45679</c:v>
                </c:pt>
                <c:pt idx="1838">
                  <c:v>45680</c:v>
                </c:pt>
                <c:pt idx="1839">
                  <c:v>45681</c:v>
                </c:pt>
                <c:pt idx="1840">
                  <c:v>45682</c:v>
                </c:pt>
                <c:pt idx="1841">
                  <c:v>45683</c:v>
                </c:pt>
                <c:pt idx="1842">
                  <c:v>45684</c:v>
                </c:pt>
                <c:pt idx="1843">
                  <c:v>45685</c:v>
                </c:pt>
                <c:pt idx="1844">
                  <c:v>45686</c:v>
                </c:pt>
                <c:pt idx="1845">
                  <c:v>45687</c:v>
                </c:pt>
                <c:pt idx="1846">
                  <c:v>45688</c:v>
                </c:pt>
                <c:pt idx="1847">
                  <c:v>45689</c:v>
                </c:pt>
                <c:pt idx="1848">
                  <c:v>45690</c:v>
                </c:pt>
                <c:pt idx="1849">
                  <c:v>45691</c:v>
                </c:pt>
                <c:pt idx="1850">
                  <c:v>45692</c:v>
                </c:pt>
                <c:pt idx="1851">
                  <c:v>45693</c:v>
                </c:pt>
                <c:pt idx="1852">
                  <c:v>45694</c:v>
                </c:pt>
                <c:pt idx="1853">
                  <c:v>45695</c:v>
                </c:pt>
                <c:pt idx="1854">
                  <c:v>45696</c:v>
                </c:pt>
                <c:pt idx="1855">
                  <c:v>45697</c:v>
                </c:pt>
                <c:pt idx="1856">
                  <c:v>45698</c:v>
                </c:pt>
                <c:pt idx="1857">
                  <c:v>45699</c:v>
                </c:pt>
                <c:pt idx="1858">
                  <c:v>45700</c:v>
                </c:pt>
                <c:pt idx="1859">
                  <c:v>45701</c:v>
                </c:pt>
                <c:pt idx="1860">
                  <c:v>45702</c:v>
                </c:pt>
                <c:pt idx="1861">
                  <c:v>45703</c:v>
                </c:pt>
                <c:pt idx="1862">
                  <c:v>45704</c:v>
                </c:pt>
                <c:pt idx="1863">
                  <c:v>45705</c:v>
                </c:pt>
                <c:pt idx="1864">
                  <c:v>45706</c:v>
                </c:pt>
                <c:pt idx="1865">
                  <c:v>45707</c:v>
                </c:pt>
                <c:pt idx="1866">
                  <c:v>45708</c:v>
                </c:pt>
                <c:pt idx="1867">
                  <c:v>45709</c:v>
                </c:pt>
                <c:pt idx="1868">
                  <c:v>45710</c:v>
                </c:pt>
                <c:pt idx="1869">
                  <c:v>45711</c:v>
                </c:pt>
                <c:pt idx="1870">
                  <c:v>45712</c:v>
                </c:pt>
                <c:pt idx="1871">
                  <c:v>45713</c:v>
                </c:pt>
                <c:pt idx="1872">
                  <c:v>45714</c:v>
                </c:pt>
                <c:pt idx="1873">
                  <c:v>45715</c:v>
                </c:pt>
                <c:pt idx="1874">
                  <c:v>45716</c:v>
                </c:pt>
                <c:pt idx="1875">
                  <c:v>45717</c:v>
                </c:pt>
                <c:pt idx="1876">
                  <c:v>45718</c:v>
                </c:pt>
                <c:pt idx="1877">
                  <c:v>45719</c:v>
                </c:pt>
                <c:pt idx="1878">
                  <c:v>45720</c:v>
                </c:pt>
                <c:pt idx="1879">
                  <c:v>45721</c:v>
                </c:pt>
                <c:pt idx="1880">
                  <c:v>45722</c:v>
                </c:pt>
                <c:pt idx="1881">
                  <c:v>45723</c:v>
                </c:pt>
                <c:pt idx="1882">
                  <c:v>45724</c:v>
                </c:pt>
                <c:pt idx="1883">
                  <c:v>45725</c:v>
                </c:pt>
                <c:pt idx="1884">
                  <c:v>45726</c:v>
                </c:pt>
                <c:pt idx="1885">
                  <c:v>45727</c:v>
                </c:pt>
                <c:pt idx="1886">
                  <c:v>45728</c:v>
                </c:pt>
                <c:pt idx="1887">
                  <c:v>45729</c:v>
                </c:pt>
                <c:pt idx="1888">
                  <c:v>45730</c:v>
                </c:pt>
                <c:pt idx="1889">
                  <c:v>45731</c:v>
                </c:pt>
                <c:pt idx="1890">
                  <c:v>45732</c:v>
                </c:pt>
                <c:pt idx="1891">
                  <c:v>45733</c:v>
                </c:pt>
                <c:pt idx="1892">
                  <c:v>45734</c:v>
                </c:pt>
                <c:pt idx="1893">
                  <c:v>45735</c:v>
                </c:pt>
                <c:pt idx="1894">
                  <c:v>45736</c:v>
                </c:pt>
                <c:pt idx="1895">
                  <c:v>45737</c:v>
                </c:pt>
                <c:pt idx="1896">
                  <c:v>45738</c:v>
                </c:pt>
                <c:pt idx="1897">
                  <c:v>45739</c:v>
                </c:pt>
                <c:pt idx="1898">
                  <c:v>45740</c:v>
                </c:pt>
                <c:pt idx="1899">
                  <c:v>45741</c:v>
                </c:pt>
                <c:pt idx="1900">
                  <c:v>45742</c:v>
                </c:pt>
                <c:pt idx="1901">
                  <c:v>45743</c:v>
                </c:pt>
                <c:pt idx="1902">
                  <c:v>45744</c:v>
                </c:pt>
                <c:pt idx="1903">
                  <c:v>45745</c:v>
                </c:pt>
                <c:pt idx="1904">
                  <c:v>45746</c:v>
                </c:pt>
                <c:pt idx="1905">
                  <c:v>45747</c:v>
                </c:pt>
                <c:pt idx="1906">
                  <c:v>45748</c:v>
                </c:pt>
                <c:pt idx="1907">
                  <c:v>45749</c:v>
                </c:pt>
                <c:pt idx="1908">
                  <c:v>45750</c:v>
                </c:pt>
                <c:pt idx="1909">
                  <c:v>45751</c:v>
                </c:pt>
                <c:pt idx="1910">
                  <c:v>45752</c:v>
                </c:pt>
                <c:pt idx="1911">
                  <c:v>45753</c:v>
                </c:pt>
                <c:pt idx="1912">
                  <c:v>45754</c:v>
                </c:pt>
                <c:pt idx="1913">
                  <c:v>45755</c:v>
                </c:pt>
                <c:pt idx="1914">
                  <c:v>45756</c:v>
                </c:pt>
                <c:pt idx="1915">
                  <c:v>45757</c:v>
                </c:pt>
                <c:pt idx="1916">
                  <c:v>45758</c:v>
                </c:pt>
                <c:pt idx="1917">
                  <c:v>45759</c:v>
                </c:pt>
                <c:pt idx="1918">
                  <c:v>45760</c:v>
                </c:pt>
                <c:pt idx="1919">
                  <c:v>45761</c:v>
                </c:pt>
                <c:pt idx="1920">
                  <c:v>45762</c:v>
                </c:pt>
                <c:pt idx="1921">
                  <c:v>45763</c:v>
                </c:pt>
                <c:pt idx="1922">
                  <c:v>45764</c:v>
                </c:pt>
                <c:pt idx="1923">
                  <c:v>45765</c:v>
                </c:pt>
                <c:pt idx="1924">
                  <c:v>45766</c:v>
                </c:pt>
                <c:pt idx="1925">
                  <c:v>45767</c:v>
                </c:pt>
                <c:pt idx="1926">
                  <c:v>45768</c:v>
                </c:pt>
                <c:pt idx="1927">
                  <c:v>45769</c:v>
                </c:pt>
                <c:pt idx="1928">
                  <c:v>45770</c:v>
                </c:pt>
                <c:pt idx="1929">
                  <c:v>45771</c:v>
                </c:pt>
                <c:pt idx="1930">
                  <c:v>45772</c:v>
                </c:pt>
                <c:pt idx="1931">
                  <c:v>45773</c:v>
                </c:pt>
                <c:pt idx="1932">
                  <c:v>45774</c:v>
                </c:pt>
                <c:pt idx="1933">
                  <c:v>45775</c:v>
                </c:pt>
                <c:pt idx="1934">
                  <c:v>45776</c:v>
                </c:pt>
                <c:pt idx="1935">
                  <c:v>45777</c:v>
                </c:pt>
                <c:pt idx="1936">
                  <c:v>45778</c:v>
                </c:pt>
                <c:pt idx="1937">
                  <c:v>45779</c:v>
                </c:pt>
                <c:pt idx="1938">
                  <c:v>45780</c:v>
                </c:pt>
                <c:pt idx="1939">
                  <c:v>45781</c:v>
                </c:pt>
                <c:pt idx="1940">
                  <c:v>45782</c:v>
                </c:pt>
                <c:pt idx="1941">
                  <c:v>45783</c:v>
                </c:pt>
                <c:pt idx="1942">
                  <c:v>45784</c:v>
                </c:pt>
                <c:pt idx="1943">
                  <c:v>45785</c:v>
                </c:pt>
                <c:pt idx="1944">
                  <c:v>45786</c:v>
                </c:pt>
                <c:pt idx="1945">
                  <c:v>45787</c:v>
                </c:pt>
                <c:pt idx="1946">
                  <c:v>45788</c:v>
                </c:pt>
                <c:pt idx="1947">
                  <c:v>45789</c:v>
                </c:pt>
                <c:pt idx="1948">
                  <c:v>45790</c:v>
                </c:pt>
                <c:pt idx="1949">
                  <c:v>45791</c:v>
                </c:pt>
                <c:pt idx="1950">
                  <c:v>45792</c:v>
                </c:pt>
                <c:pt idx="1951">
                  <c:v>45793</c:v>
                </c:pt>
                <c:pt idx="1952">
                  <c:v>45794</c:v>
                </c:pt>
                <c:pt idx="1953">
                  <c:v>45795</c:v>
                </c:pt>
                <c:pt idx="1954">
                  <c:v>45796</c:v>
                </c:pt>
                <c:pt idx="1955">
                  <c:v>45797</c:v>
                </c:pt>
                <c:pt idx="1956">
                  <c:v>45798</c:v>
                </c:pt>
                <c:pt idx="1957">
                  <c:v>45799</c:v>
                </c:pt>
                <c:pt idx="1958">
                  <c:v>45800</c:v>
                </c:pt>
                <c:pt idx="1959">
                  <c:v>45801</c:v>
                </c:pt>
                <c:pt idx="1960">
                  <c:v>45802</c:v>
                </c:pt>
                <c:pt idx="1961">
                  <c:v>45803</c:v>
                </c:pt>
                <c:pt idx="1962">
                  <c:v>45804</c:v>
                </c:pt>
                <c:pt idx="1963">
                  <c:v>45805</c:v>
                </c:pt>
                <c:pt idx="1964">
                  <c:v>45806</c:v>
                </c:pt>
                <c:pt idx="1965">
                  <c:v>45807</c:v>
                </c:pt>
                <c:pt idx="1966">
                  <c:v>45808</c:v>
                </c:pt>
                <c:pt idx="1967">
                  <c:v>45809</c:v>
                </c:pt>
                <c:pt idx="1968">
                  <c:v>45810</c:v>
                </c:pt>
                <c:pt idx="1969">
                  <c:v>45811</c:v>
                </c:pt>
                <c:pt idx="1970">
                  <c:v>45812</c:v>
                </c:pt>
                <c:pt idx="1971">
                  <c:v>45813</c:v>
                </c:pt>
                <c:pt idx="1972">
                  <c:v>45814</c:v>
                </c:pt>
                <c:pt idx="1973">
                  <c:v>45815</c:v>
                </c:pt>
                <c:pt idx="1974">
                  <c:v>45816</c:v>
                </c:pt>
                <c:pt idx="1975">
                  <c:v>45817</c:v>
                </c:pt>
                <c:pt idx="1976">
                  <c:v>45818</c:v>
                </c:pt>
                <c:pt idx="1977">
                  <c:v>45819</c:v>
                </c:pt>
                <c:pt idx="1978">
                  <c:v>45820</c:v>
                </c:pt>
                <c:pt idx="1979">
                  <c:v>45821</c:v>
                </c:pt>
                <c:pt idx="1980">
                  <c:v>45822</c:v>
                </c:pt>
                <c:pt idx="1981">
                  <c:v>45823</c:v>
                </c:pt>
                <c:pt idx="1982">
                  <c:v>45824</c:v>
                </c:pt>
                <c:pt idx="1983">
                  <c:v>45825</c:v>
                </c:pt>
                <c:pt idx="1984">
                  <c:v>45826</c:v>
                </c:pt>
                <c:pt idx="1985">
                  <c:v>45827</c:v>
                </c:pt>
                <c:pt idx="1986">
                  <c:v>45828</c:v>
                </c:pt>
                <c:pt idx="1987">
                  <c:v>45829</c:v>
                </c:pt>
                <c:pt idx="1988">
                  <c:v>45830</c:v>
                </c:pt>
                <c:pt idx="1989">
                  <c:v>45831</c:v>
                </c:pt>
                <c:pt idx="1990">
                  <c:v>45832</c:v>
                </c:pt>
                <c:pt idx="1991">
                  <c:v>45833</c:v>
                </c:pt>
                <c:pt idx="1992">
                  <c:v>45834</c:v>
                </c:pt>
                <c:pt idx="1993">
                  <c:v>45835</c:v>
                </c:pt>
                <c:pt idx="1994">
                  <c:v>45836</c:v>
                </c:pt>
                <c:pt idx="1995">
                  <c:v>45837</c:v>
                </c:pt>
                <c:pt idx="1996">
                  <c:v>45838</c:v>
                </c:pt>
                <c:pt idx="1997">
                  <c:v>45839</c:v>
                </c:pt>
                <c:pt idx="1998">
                  <c:v>45840</c:v>
                </c:pt>
                <c:pt idx="1999">
                  <c:v>45841</c:v>
                </c:pt>
                <c:pt idx="2000">
                  <c:v>45842</c:v>
                </c:pt>
                <c:pt idx="2001">
                  <c:v>45843</c:v>
                </c:pt>
                <c:pt idx="2002">
                  <c:v>45844</c:v>
                </c:pt>
                <c:pt idx="2003">
                  <c:v>45845</c:v>
                </c:pt>
                <c:pt idx="2004">
                  <c:v>45846</c:v>
                </c:pt>
                <c:pt idx="2005">
                  <c:v>45847</c:v>
                </c:pt>
                <c:pt idx="2006">
                  <c:v>45848</c:v>
                </c:pt>
                <c:pt idx="2007">
                  <c:v>45849</c:v>
                </c:pt>
                <c:pt idx="2008">
                  <c:v>45850</c:v>
                </c:pt>
                <c:pt idx="2009">
                  <c:v>45851</c:v>
                </c:pt>
                <c:pt idx="2010">
                  <c:v>45852</c:v>
                </c:pt>
                <c:pt idx="2011">
                  <c:v>45853</c:v>
                </c:pt>
                <c:pt idx="2012">
                  <c:v>45854</c:v>
                </c:pt>
                <c:pt idx="2013">
                  <c:v>45855</c:v>
                </c:pt>
                <c:pt idx="2014">
                  <c:v>45856</c:v>
                </c:pt>
                <c:pt idx="2015">
                  <c:v>45857</c:v>
                </c:pt>
                <c:pt idx="2016">
                  <c:v>45858</c:v>
                </c:pt>
                <c:pt idx="2017">
                  <c:v>45859</c:v>
                </c:pt>
                <c:pt idx="2018">
                  <c:v>45860</c:v>
                </c:pt>
                <c:pt idx="2019">
                  <c:v>45861</c:v>
                </c:pt>
                <c:pt idx="2020">
                  <c:v>45862</c:v>
                </c:pt>
                <c:pt idx="2021">
                  <c:v>45863</c:v>
                </c:pt>
                <c:pt idx="2022">
                  <c:v>45864</c:v>
                </c:pt>
                <c:pt idx="2023">
                  <c:v>45865</c:v>
                </c:pt>
                <c:pt idx="2024">
                  <c:v>45866</c:v>
                </c:pt>
                <c:pt idx="2025">
                  <c:v>45867</c:v>
                </c:pt>
                <c:pt idx="2026">
                  <c:v>45868</c:v>
                </c:pt>
                <c:pt idx="2027">
                  <c:v>45869</c:v>
                </c:pt>
                <c:pt idx="2028">
                  <c:v>45870</c:v>
                </c:pt>
                <c:pt idx="2029">
                  <c:v>45871</c:v>
                </c:pt>
                <c:pt idx="2030">
                  <c:v>45872</c:v>
                </c:pt>
                <c:pt idx="2031">
                  <c:v>45873</c:v>
                </c:pt>
                <c:pt idx="2032">
                  <c:v>45874</c:v>
                </c:pt>
                <c:pt idx="2033">
                  <c:v>45875</c:v>
                </c:pt>
                <c:pt idx="2034">
                  <c:v>45876</c:v>
                </c:pt>
                <c:pt idx="2035">
                  <c:v>45877</c:v>
                </c:pt>
                <c:pt idx="2036">
                  <c:v>45878</c:v>
                </c:pt>
                <c:pt idx="2037">
                  <c:v>45879</c:v>
                </c:pt>
                <c:pt idx="2038">
                  <c:v>45880</c:v>
                </c:pt>
                <c:pt idx="2039">
                  <c:v>45881</c:v>
                </c:pt>
                <c:pt idx="2040">
                  <c:v>45882</c:v>
                </c:pt>
                <c:pt idx="2041">
                  <c:v>45883</c:v>
                </c:pt>
                <c:pt idx="2042">
                  <c:v>45884</c:v>
                </c:pt>
                <c:pt idx="2043">
                  <c:v>45885</c:v>
                </c:pt>
                <c:pt idx="2044">
                  <c:v>45886</c:v>
                </c:pt>
                <c:pt idx="2045">
                  <c:v>45887</c:v>
                </c:pt>
                <c:pt idx="2046">
                  <c:v>45888</c:v>
                </c:pt>
                <c:pt idx="2047">
                  <c:v>45889</c:v>
                </c:pt>
                <c:pt idx="2048">
                  <c:v>45890</c:v>
                </c:pt>
                <c:pt idx="2049">
                  <c:v>45891</c:v>
                </c:pt>
                <c:pt idx="2050">
                  <c:v>45892</c:v>
                </c:pt>
                <c:pt idx="2051">
                  <c:v>45893</c:v>
                </c:pt>
                <c:pt idx="2052">
                  <c:v>45894</c:v>
                </c:pt>
                <c:pt idx="2053">
                  <c:v>45895</c:v>
                </c:pt>
                <c:pt idx="2054">
                  <c:v>45896</c:v>
                </c:pt>
                <c:pt idx="2055">
                  <c:v>45897</c:v>
                </c:pt>
                <c:pt idx="2056">
                  <c:v>45898</c:v>
                </c:pt>
                <c:pt idx="2057">
                  <c:v>45899</c:v>
                </c:pt>
                <c:pt idx="2058">
                  <c:v>45900</c:v>
                </c:pt>
                <c:pt idx="2059">
                  <c:v>45901</c:v>
                </c:pt>
                <c:pt idx="2060">
                  <c:v>45902</c:v>
                </c:pt>
                <c:pt idx="2061">
                  <c:v>45903</c:v>
                </c:pt>
                <c:pt idx="2062">
                  <c:v>45904</c:v>
                </c:pt>
                <c:pt idx="2063">
                  <c:v>45905</c:v>
                </c:pt>
                <c:pt idx="2064">
                  <c:v>45906</c:v>
                </c:pt>
                <c:pt idx="2065">
                  <c:v>45907</c:v>
                </c:pt>
                <c:pt idx="2066">
                  <c:v>45908</c:v>
                </c:pt>
                <c:pt idx="2067">
                  <c:v>45909</c:v>
                </c:pt>
                <c:pt idx="2068">
                  <c:v>45910</c:v>
                </c:pt>
                <c:pt idx="2069">
                  <c:v>45911</c:v>
                </c:pt>
                <c:pt idx="2070">
                  <c:v>45912</c:v>
                </c:pt>
                <c:pt idx="2071">
                  <c:v>45913</c:v>
                </c:pt>
                <c:pt idx="2072">
                  <c:v>45914</c:v>
                </c:pt>
                <c:pt idx="2073">
                  <c:v>45915</c:v>
                </c:pt>
                <c:pt idx="2074">
                  <c:v>45916</c:v>
                </c:pt>
                <c:pt idx="2075">
                  <c:v>45917</c:v>
                </c:pt>
                <c:pt idx="2076">
                  <c:v>45918</c:v>
                </c:pt>
                <c:pt idx="2077">
                  <c:v>45919</c:v>
                </c:pt>
                <c:pt idx="2078">
                  <c:v>45920</c:v>
                </c:pt>
                <c:pt idx="2079">
                  <c:v>45921</c:v>
                </c:pt>
                <c:pt idx="2080">
                  <c:v>45922</c:v>
                </c:pt>
                <c:pt idx="2081">
                  <c:v>45923</c:v>
                </c:pt>
                <c:pt idx="2082">
                  <c:v>45924</c:v>
                </c:pt>
                <c:pt idx="2083">
                  <c:v>45925</c:v>
                </c:pt>
                <c:pt idx="2084">
                  <c:v>45926</c:v>
                </c:pt>
                <c:pt idx="2085">
                  <c:v>45927</c:v>
                </c:pt>
                <c:pt idx="2086">
                  <c:v>45928</c:v>
                </c:pt>
                <c:pt idx="2087">
                  <c:v>45929</c:v>
                </c:pt>
                <c:pt idx="2088">
                  <c:v>45930</c:v>
                </c:pt>
                <c:pt idx="2089">
                  <c:v>45931</c:v>
                </c:pt>
                <c:pt idx="2090">
                  <c:v>45932</c:v>
                </c:pt>
                <c:pt idx="2091">
                  <c:v>45933</c:v>
                </c:pt>
                <c:pt idx="2092">
                  <c:v>45934</c:v>
                </c:pt>
                <c:pt idx="2093">
                  <c:v>45935</c:v>
                </c:pt>
                <c:pt idx="2094">
                  <c:v>45936</c:v>
                </c:pt>
                <c:pt idx="2095">
                  <c:v>45937</c:v>
                </c:pt>
                <c:pt idx="2096">
                  <c:v>45938</c:v>
                </c:pt>
                <c:pt idx="2097">
                  <c:v>45939</c:v>
                </c:pt>
                <c:pt idx="2098">
                  <c:v>45940</c:v>
                </c:pt>
                <c:pt idx="2099">
                  <c:v>45941</c:v>
                </c:pt>
                <c:pt idx="2100">
                  <c:v>45942</c:v>
                </c:pt>
                <c:pt idx="2101">
                  <c:v>45943</c:v>
                </c:pt>
                <c:pt idx="2102">
                  <c:v>45944</c:v>
                </c:pt>
                <c:pt idx="2103">
                  <c:v>45945</c:v>
                </c:pt>
                <c:pt idx="2104">
                  <c:v>45946</c:v>
                </c:pt>
                <c:pt idx="2105">
                  <c:v>45947</c:v>
                </c:pt>
                <c:pt idx="2106">
                  <c:v>45948</c:v>
                </c:pt>
                <c:pt idx="2107">
                  <c:v>45949</c:v>
                </c:pt>
                <c:pt idx="2108">
                  <c:v>45950</c:v>
                </c:pt>
                <c:pt idx="2109">
                  <c:v>45951</c:v>
                </c:pt>
                <c:pt idx="2110">
                  <c:v>45952</c:v>
                </c:pt>
                <c:pt idx="2111">
                  <c:v>45953</c:v>
                </c:pt>
                <c:pt idx="2112">
                  <c:v>45954</c:v>
                </c:pt>
                <c:pt idx="2113">
                  <c:v>45955</c:v>
                </c:pt>
                <c:pt idx="2114">
                  <c:v>45956</c:v>
                </c:pt>
                <c:pt idx="2115">
                  <c:v>45957</c:v>
                </c:pt>
                <c:pt idx="2116">
                  <c:v>45958</c:v>
                </c:pt>
                <c:pt idx="2117">
                  <c:v>45959</c:v>
                </c:pt>
                <c:pt idx="2118">
                  <c:v>45960</c:v>
                </c:pt>
                <c:pt idx="2119">
                  <c:v>45961</c:v>
                </c:pt>
                <c:pt idx="2120">
                  <c:v>45962</c:v>
                </c:pt>
                <c:pt idx="2121">
                  <c:v>45963</c:v>
                </c:pt>
                <c:pt idx="2122">
                  <c:v>45964</c:v>
                </c:pt>
                <c:pt idx="2123">
                  <c:v>45965</c:v>
                </c:pt>
                <c:pt idx="2124">
                  <c:v>45966</c:v>
                </c:pt>
                <c:pt idx="2125">
                  <c:v>45967</c:v>
                </c:pt>
                <c:pt idx="2126">
                  <c:v>45968</c:v>
                </c:pt>
                <c:pt idx="2127">
                  <c:v>45969</c:v>
                </c:pt>
                <c:pt idx="2128">
                  <c:v>45970</c:v>
                </c:pt>
                <c:pt idx="2129">
                  <c:v>45971</c:v>
                </c:pt>
                <c:pt idx="2130">
                  <c:v>45972</c:v>
                </c:pt>
                <c:pt idx="2131">
                  <c:v>45973</c:v>
                </c:pt>
                <c:pt idx="2132">
                  <c:v>45974</c:v>
                </c:pt>
                <c:pt idx="2133">
                  <c:v>45975</c:v>
                </c:pt>
                <c:pt idx="2134">
                  <c:v>45976</c:v>
                </c:pt>
                <c:pt idx="2135">
                  <c:v>45977</c:v>
                </c:pt>
                <c:pt idx="2136">
                  <c:v>45978</c:v>
                </c:pt>
                <c:pt idx="2137">
                  <c:v>45979</c:v>
                </c:pt>
                <c:pt idx="2138">
                  <c:v>45980</c:v>
                </c:pt>
                <c:pt idx="2139">
                  <c:v>45981</c:v>
                </c:pt>
                <c:pt idx="2140">
                  <c:v>45982</c:v>
                </c:pt>
                <c:pt idx="2141">
                  <c:v>45983</c:v>
                </c:pt>
                <c:pt idx="2142">
                  <c:v>45984</c:v>
                </c:pt>
                <c:pt idx="2143">
                  <c:v>45985</c:v>
                </c:pt>
                <c:pt idx="2144">
                  <c:v>45986</c:v>
                </c:pt>
                <c:pt idx="2145">
                  <c:v>45987</c:v>
                </c:pt>
                <c:pt idx="2146">
                  <c:v>45988</c:v>
                </c:pt>
                <c:pt idx="2147">
                  <c:v>45989</c:v>
                </c:pt>
                <c:pt idx="2148">
                  <c:v>45990</c:v>
                </c:pt>
                <c:pt idx="2149">
                  <c:v>45991</c:v>
                </c:pt>
                <c:pt idx="2150">
                  <c:v>45992</c:v>
                </c:pt>
                <c:pt idx="2151">
                  <c:v>45993</c:v>
                </c:pt>
                <c:pt idx="2152">
                  <c:v>45994</c:v>
                </c:pt>
                <c:pt idx="2153">
                  <c:v>45995</c:v>
                </c:pt>
                <c:pt idx="2154">
                  <c:v>45996</c:v>
                </c:pt>
                <c:pt idx="2155">
                  <c:v>45997</c:v>
                </c:pt>
                <c:pt idx="2156">
                  <c:v>45998</c:v>
                </c:pt>
                <c:pt idx="2157">
                  <c:v>45999</c:v>
                </c:pt>
                <c:pt idx="2158">
                  <c:v>46000</c:v>
                </c:pt>
                <c:pt idx="2159">
                  <c:v>46001</c:v>
                </c:pt>
                <c:pt idx="2160">
                  <c:v>46002</c:v>
                </c:pt>
                <c:pt idx="2161">
                  <c:v>46003</c:v>
                </c:pt>
                <c:pt idx="2162">
                  <c:v>46004</c:v>
                </c:pt>
                <c:pt idx="2163">
                  <c:v>46005</c:v>
                </c:pt>
                <c:pt idx="2164">
                  <c:v>46006</c:v>
                </c:pt>
                <c:pt idx="2165">
                  <c:v>46007</c:v>
                </c:pt>
                <c:pt idx="2166">
                  <c:v>46008</c:v>
                </c:pt>
                <c:pt idx="2167">
                  <c:v>46009</c:v>
                </c:pt>
                <c:pt idx="2168">
                  <c:v>46010</c:v>
                </c:pt>
                <c:pt idx="2169">
                  <c:v>46011</c:v>
                </c:pt>
                <c:pt idx="2170">
                  <c:v>46012</c:v>
                </c:pt>
                <c:pt idx="2171">
                  <c:v>46013</c:v>
                </c:pt>
                <c:pt idx="2172">
                  <c:v>46014</c:v>
                </c:pt>
                <c:pt idx="2173">
                  <c:v>46015</c:v>
                </c:pt>
                <c:pt idx="2174">
                  <c:v>46016</c:v>
                </c:pt>
                <c:pt idx="2175">
                  <c:v>46017</c:v>
                </c:pt>
                <c:pt idx="2176">
                  <c:v>46018</c:v>
                </c:pt>
                <c:pt idx="2177">
                  <c:v>46019</c:v>
                </c:pt>
                <c:pt idx="2178">
                  <c:v>46020</c:v>
                </c:pt>
                <c:pt idx="2179">
                  <c:v>46021</c:v>
                </c:pt>
                <c:pt idx="2180">
                  <c:v>46022</c:v>
                </c:pt>
                <c:pt idx="2181">
                  <c:v>46023</c:v>
                </c:pt>
                <c:pt idx="2182">
                  <c:v>46024</c:v>
                </c:pt>
                <c:pt idx="2183">
                  <c:v>46025</c:v>
                </c:pt>
                <c:pt idx="2184">
                  <c:v>46026</c:v>
                </c:pt>
                <c:pt idx="2185">
                  <c:v>46027</c:v>
                </c:pt>
                <c:pt idx="2186">
                  <c:v>46028</c:v>
                </c:pt>
                <c:pt idx="2187">
                  <c:v>46029</c:v>
                </c:pt>
                <c:pt idx="2188">
                  <c:v>46030</c:v>
                </c:pt>
                <c:pt idx="2189">
                  <c:v>46031</c:v>
                </c:pt>
                <c:pt idx="2190">
                  <c:v>46032</c:v>
                </c:pt>
                <c:pt idx="2191">
                  <c:v>46033</c:v>
                </c:pt>
                <c:pt idx="2192">
                  <c:v>46034</c:v>
                </c:pt>
                <c:pt idx="2193">
                  <c:v>46035</c:v>
                </c:pt>
                <c:pt idx="2194">
                  <c:v>46036</c:v>
                </c:pt>
                <c:pt idx="2195">
                  <c:v>46037</c:v>
                </c:pt>
                <c:pt idx="2196">
                  <c:v>46038</c:v>
                </c:pt>
                <c:pt idx="2197">
                  <c:v>46039</c:v>
                </c:pt>
                <c:pt idx="2198">
                  <c:v>46040</c:v>
                </c:pt>
                <c:pt idx="2199">
                  <c:v>46041</c:v>
                </c:pt>
                <c:pt idx="2200">
                  <c:v>46042</c:v>
                </c:pt>
                <c:pt idx="2201">
                  <c:v>46043</c:v>
                </c:pt>
                <c:pt idx="2202">
                  <c:v>46044</c:v>
                </c:pt>
                <c:pt idx="2203">
                  <c:v>46045</c:v>
                </c:pt>
                <c:pt idx="2204">
                  <c:v>46046</c:v>
                </c:pt>
                <c:pt idx="2205">
                  <c:v>46047</c:v>
                </c:pt>
                <c:pt idx="2206">
                  <c:v>46048</c:v>
                </c:pt>
                <c:pt idx="2207">
                  <c:v>46049</c:v>
                </c:pt>
                <c:pt idx="2208">
                  <c:v>46050</c:v>
                </c:pt>
                <c:pt idx="2209">
                  <c:v>46051</c:v>
                </c:pt>
                <c:pt idx="2210">
                  <c:v>46052</c:v>
                </c:pt>
                <c:pt idx="2211">
                  <c:v>46053</c:v>
                </c:pt>
                <c:pt idx="2212">
                  <c:v>46054</c:v>
                </c:pt>
                <c:pt idx="2213">
                  <c:v>46055</c:v>
                </c:pt>
                <c:pt idx="2214">
                  <c:v>46056</c:v>
                </c:pt>
                <c:pt idx="2215">
                  <c:v>46057</c:v>
                </c:pt>
                <c:pt idx="2216">
                  <c:v>46058</c:v>
                </c:pt>
                <c:pt idx="2217">
                  <c:v>46059</c:v>
                </c:pt>
                <c:pt idx="2218">
                  <c:v>46060</c:v>
                </c:pt>
                <c:pt idx="2219">
                  <c:v>46061</c:v>
                </c:pt>
                <c:pt idx="2220">
                  <c:v>46062</c:v>
                </c:pt>
                <c:pt idx="2221">
                  <c:v>46063</c:v>
                </c:pt>
                <c:pt idx="2222">
                  <c:v>46064</c:v>
                </c:pt>
                <c:pt idx="2223">
                  <c:v>46065</c:v>
                </c:pt>
                <c:pt idx="2224">
                  <c:v>46066</c:v>
                </c:pt>
                <c:pt idx="2225">
                  <c:v>46067</c:v>
                </c:pt>
                <c:pt idx="2226">
                  <c:v>46068</c:v>
                </c:pt>
                <c:pt idx="2227">
                  <c:v>46069</c:v>
                </c:pt>
                <c:pt idx="2228">
                  <c:v>46070</c:v>
                </c:pt>
                <c:pt idx="2229">
                  <c:v>46071</c:v>
                </c:pt>
                <c:pt idx="2230">
                  <c:v>46072</c:v>
                </c:pt>
                <c:pt idx="2231">
                  <c:v>46073</c:v>
                </c:pt>
                <c:pt idx="2232">
                  <c:v>46074</c:v>
                </c:pt>
                <c:pt idx="2233">
                  <c:v>46075</c:v>
                </c:pt>
                <c:pt idx="2234">
                  <c:v>46076</c:v>
                </c:pt>
                <c:pt idx="2235">
                  <c:v>46077</c:v>
                </c:pt>
                <c:pt idx="2236">
                  <c:v>46078</c:v>
                </c:pt>
                <c:pt idx="2237">
                  <c:v>46079</c:v>
                </c:pt>
                <c:pt idx="2238">
                  <c:v>46080</c:v>
                </c:pt>
                <c:pt idx="2239">
                  <c:v>46081</c:v>
                </c:pt>
                <c:pt idx="2240">
                  <c:v>46082</c:v>
                </c:pt>
                <c:pt idx="2241">
                  <c:v>46083</c:v>
                </c:pt>
                <c:pt idx="2242">
                  <c:v>46084</c:v>
                </c:pt>
                <c:pt idx="2243">
                  <c:v>46085</c:v>
                </c:pt>
                <c:pt idx="2244">
                  <c:v>46086</c:v>
                </c:pt>
                <c:pt idx="2245">
                  <c:v>46087</c:v>
                </c:pt>
                <c:pt idx="2246">
                  <c:v>46088</c:v>
                </c:pt>
                <c:pt idx="2247">
                  <c:v>46089</c:v>
                </c:pt>
                <c:pt idx="2248">
                  <c:v>46090</c:v>
                </c:pt>
                <c:pt idx="2249">
                  <c:v>46091</c:v>
                </c:pt>
                <c:pt idx="2250">
                  <c:v>46092</c:v>
                </c:pt>
                <c:pt idx="2251">
                  <c:v>46093</c:v>
                </c:pt>
                <c:pt idx="2252">
                  <c:v>46094</c:v>
                </c:pt>
                <c:pt idx="2253">
                  <c:v>46095</c:v>
                </c:pt>
                <c:pt idx="2254">
                  <c:v>46096</c:v>
                </c:pt>
                <c:pt idx="2255">
                  <c:v>46097</c:v>
                </c:pt>
                <c:pt idx="2256">
                  <c:v>46098</c:v>
                </c:pt>
                <c:pt idx="2257">
                  <c:v>46099</c:v>
                </c:pt>
                <c:pt idx="2258">
                  <c:v>46100</c:v>
                </c:pt>
                <c:pt idx="2259">
                  <c:v>46101</c:v>
                </c:pt>
                <c:pt idx="2260">
                  <c:v>46102</c:v>
                </c:pt>
                <c:pt idx="2261">
                  <c:v>46103</c:v>
                </c:pt>
                <c:pt idx="2262">
                  <c:v>46104</c:v>
                </c:pt>
                <c:pt idx="2263">
                  <c:v>46105</c:v>
                </c:pt>
                <c:pt idx="2264">
                  <c:v>46106</c:v>
                </c:pt>
                <c:pt idx="2265">
                  <c:v>46107</c:v>
                </c:pt>
                <c:pt idx="2266">
                  <c:v>46108</c:v>
                </c:pt>
                <c:pt idx="2267">
                  <c:v>46109</c:v>
                </c:pt>
                <c:pt idx="2268">
                  <c:v>46110</c:v>
                </c:pt>
                <c:pt idx="2269">
                  <c:v>46111</c:v>
                </c:pt>
                <c:pt idx="2270">
                  <c:v>46112</c:v>
                </c:pt>
                <c:pt idx="2271">
                  <c:v>46113</c:v>
                </c:pt>
                <c:pt idx="2272">
                  <c:v>46114</c:v>
                </c:pt>
                <c:pt idx="2273">
                  <c:v>46115</c:v>
                </c:pt>
                <c:pt idx="2274">
                  <c:v>46116</c:v>
                </c:pt>
                <c:pt idx="2275">
                  <c:v>46117</c:v>
                </c:pt>
                <c:pt idx="2276">
                  <c:v>46118</c:v>
                </c:pt>
                <c:pt idx="2277">
                  <c:v>46119</c:v>
                </c:pt>
                <c:pt idx="2278">
                  <c:v>46120</c:v>
                </c:pt>
                <c:pt idx="2279">
                  <c:v>46121</c:v>
                </c:pt>
                <c:pt idx="2280">
                  <c:v>46122</c:v>
                </c:pt>
                <c:pt idx="2281">
                  <c:v>46123</c:v>
                </c:pt>
                <c:pt idx="2282">
                  <c:v>46124</c:v>
                </c:pt>
                <c:pt idx="2283">
                  <c:v>46125</c:v>
                </c:pt>
                <c:pt idx="2284">
                  <c:v>46126</c:v>
                </c:pt>
                <c:pt idx="2285">
                  <c:v>46127</c:v>
                </c:pt>
                <c:pt idx="2286">
                  <c:v>46128</c:v>
                </c:pt>
                <c:pt idx="2287">
                  <c:v>46129</c:v>
                </c:pt>
                <c:pt idx="2288">
                  <c:v>46130</c:v>
                </c:pt>
                <c:pt idx="2289">
                  <c:v>46131</c:v>
                </c:pt>
                <c:pt idx="2290">
                  <c:v>46132</c:v>
                </c:pt>
                <c:pt idx="2291">
                  <c:v>46133</c:v>
                </c:pt>
                <c:pt idx="2292">
                  <c:v>46134</c:v>
                </c:pt>
                <c:pt idx="2293">
                  <c:v>46135</c:v>
                </c:pt>
                <c:pt idx="2294">
                  <c:v>46136</c:v>
                </c:pt>
                <c:pt idx="2295">
                  <c:v>46137</c:v>
                </c:pt>
                <c:pt idx="2296">
                  <c:v>46138</c:v>
                </c:pt>
                <c:pt idx="2297">
                  <c:v>46139</c:v>
                </c:pt>
                <c:pt idx="2298">
                  <c:v>46140</c:v>
                </c:pt>
                <c:pt idx="2299">
                  <c:v>46141</c:v>
                </c:pt>
                <c:pt idx="2300">
                  <c:v>46142</c:v>
                </c:pt>
                <c:pt idx="2301">
                  <c:v>46143</c:v>
                </c:pt>
                <c:pt idx="2302">
                  <c:v>46144</c:v>
                </c:pt>
                <c:pt idx="2303">
                  <c:v>46145</c:v>
                </c:pt>
                <c:pt idx="2304">
                  <c:v>46146</c:v>
                </c:pt>
                <c:pt idx="2305">
                  <c:v>46147</c:v>
                </c:pt>
                <c:pt idx="2306">
                  <c:v>46148</c:v>
                </c:pt>
                <c:pt idx="2307">
                  <c:v>46149</c:v>
                </c:pt>
                <c:pt idx="2308">
                  <c:v>46150</c:v>
                </c:pt>
                <c:pt idx="2309">
                  <c:v>46151</c:v>
                </c:pt>
                <c:pt idx="2310">
                  <c:v>46152</c:v>
                </c:pt>
                <c:pt idx="2311">
                  <c:v>46153</c:v>
                </c:pt>
                <c:pt idx="2312">
                  <c:v>46154</c:v>
                </c:pt>
                <c:pt idx="2313">
                  <c:v>46155</c:v>
                </c:pt>
                <c:pt idx="2314">
                  <c:v>46156</c:v>
                </c:pt>
                <c:pt idx="2315">
                  <c:v>46157</c:v>
                </c:pt>
                <c:pt idx="2316">
                  <c:v>46158</c:v>
                </c:pt>
                <c:pt idx="2317">
                  <c:v>46159</c:v>
                </c:pt>
                <c:pt idx="2318">
                  <c:v>46160</c:v>
                </c:pt>
                <c:pt idx="2319">
                  <c:v>46161</c:v>
                </c:pt>
                <c:pt idx="2320">
                  <c:v>46162</c:v>
                </c:pt>
                <c:pt idx="2321">
                  <c:v>46163</c:v>
                </c:pt>
                <c:pt idx="2322">
                  <c:v>46164</c:v>
                </c:pt>
                <c:pt idx="2323">
                  <c:v>46165</c:v>
                </c:pt>
                <c:pt idx="2324">
                  <c:v>46166</c:v>
                </c:pt>
                <c:pt idx="2325">
                  <c:v>46167</c:v>
                </c:pt>
                <c:pt idx="2326">
                  <c:v>46168</c:v>
                </c:pt>
                <c:pt idx="2327">
                  <c:v>46169</c:v>
                </c:pt>
                <c:pt idx="2328">
                  <c:v>46170</c:v>
                </c:pt>
                <c:pt idx="2329">
                  <c:v>46171</c:v>
                </c:pt>
                <c:pt idx="2330">
                  <c:v>46172</c:v>
                </c:pt>
                <c:pt idx="2331">
                  <c:v>46173</c:v>
                </c:pt>
                <c:pt idx="2332">
                  <c:v>46174</c:v>
                </c:pt>
                <c:pt idx="2333">
                  <c:v>46175</c:v>
                </c:pt>
                <c:pt idx="2334">
                  <c:v>46176</c:v>
                </c:pt>
                <c:pt idx="2335">
                  <c:v>46177</c:v>
                </c:pt>
                <c:pt idx="2336">
                  <c:v>46178</c:v>
                </c:pt>
                <c:pt idx="2337">
                  <c:v>46179</c:v>
                </c:pt>
                <c:pt idx="2338">
                  <c:v>46180</c:v>
                </c:pt>
                <c:pt idx="2339">
                  <c:v>46181</c:v>
                </c:pt>
                <c:pt idx="2340">
                  <c:v>46182</c:v>
                </c:pt>
                <c:pt idx="2341">
                  <c:v>46183</c:v>
                </c:pt>
                <c:pt idx="2342">
                  <c:v>46184</c:v>
                </c:pt>
                <c:pt idx="2343">
                  <c:v>46185</c:v>
                </c:pt>
                <c:pt idx="2344">
                  <c:v>46186</c:v>
                </c:pt>
                <c:pt idx="2345">
                  <c:v>46187</c:v>
                </c:pt>
                <c:pt idx="2346">
                  <c:v>46188</c:v>
                </c:pt>
                <c:pt idx="2347">
                  <c:v>46189</c:v>
                </c:pt>
                <c:pt idx="2348">
                  <c:v>46190</c:v>
                </c:pt>
                <c:pt idx="2349">
                  <c:v>46191</c:v>
                </c:pt>
                <c:pt idx="2350">
                  <c:v>46192</c:v>
                </c:pt>
                <c:pt idx="2351">
                  <c:v>46193</c:v>
                </c:pt>
                <c:pt idx="2352">
                  <c:v>46194</c:v>
                </c:pt>
                <c:pt idx="2353">
                  <c:v>46195</c:v>
                </c:pt>
                <c:pt idx="2354">
                  <c:v>46196</c:v>
                </c:pt>
                <c:pt idx="2355">
                  <c:v>46197</c:v>
                </c:pt>
                <c:pt idx="2356">
                  <c:v>46198</c:v>
                </c:pt>
                <c:pt idx="2357">
                  <c:v>46199</c:v>
                </c:pt>
                <c:pt idx="2358">
                  <c:v>46200</c:v>
                </c:pt>
                <c:pt idx="2359">
                  <c:v>46201</c:v>
                </c:pt>
                <c:pt idx="2360">
                  <c:v>46202</c:v>
                </c:pt>
                <c:pt idx="2361">
                  <c:v>46203</c:v>
                </c:pt>
                <c:pt idx="2362">
                  <c:v>46204</c:v>
                </c:pt>
                <c:pt idx="2363">
                  <c:v>46205</c:v>
                </c:pt>
                <c:pt idx="2364">
                  <c:v>46206</c:v>
                </c:pt>
                <c:pt idx="2365">
                  <c:v>46207</c:v>
                </c:pt>
              </c:numCache>
            </c:numRef>
          </c:cat>
          <c:val>
            <c:numRef>
              <c:f>AI_Forecast!$E$2:$E$2367</c:f>
              <c:numCache>
                <c:formatCode>General</c:formatCode>
                <c:ptCount val="2366"/>
                <c:pt idx="1999" formatCode="0">
                  <c:v>10400</c:v>
                </c:pt>
                <c:pt idx="2000" formatCode="0">
                  <c:v>14900.823701133853</c:v>
                </c:pt>
                <c:pt idx="2001" formatCode="0">
                  <c:v>14953.815493265673</c:v>
                </c:pt>
                <c:pt idx="2002" formatCode="0">
                  <c:v>15101.002285395833</c:v>
                </c:pt>
                <c:pt idx="2003" formatCode="0">
                  <c:v>14875.584498726923</c:v>
                </c:pt>
                <c:pt idx="2004" formatCode="0">
                  <c:v>13195.841920218485</c:v>
                </c:pt>
                <c:pt idx="2005" formatCode="0">
                  <c:v>13029.581163429892</c:v>
                </c:pt>
                <c:pt idx="2006" formatCode="0">
                  <c:v>16816.248158212613</c:v>
                </c:pt>
                <c:pt idx="2007" formatCode="0">
                  <c:v>15790.504014299122</c:v>
                </c:pt>
                <c:pt idx="2008" formatCode="0">
                  <c:v>14907.636508887113</c:v>
                </c:pt>
                <c:pt idx="2009" formatCode="0">
                  <c:v>14379.482832314698</c:v>
                </c:pt>
                <c:pt idx="2010" formatCode="0">
                  <c:v>15741.74218184056</c:v>
                </c:pt>
                <c:pt idx="2011" formatCode="0">
                  <c:v>17407.70479430128</c:v>
                </c:pt>
                <c:pt idx="2012" formatCode="0">
                  <c:v>15142.91774167694</c:v>
                </c:pt>
                <c:pt idx="2013" formatCode="0">
                  <c:v>15196.639694250887</c:v>
                </c:pt>
                <c:pt idx="2014" formatCode="0">
                  <c:v>15344.636973844217</c:v>
                </c:pt>
                <c:pt idx="2015" formatCode="0">
                  <c:v>15120.109727757514</c:v>
                </c:pt>
                <c:pt idx="2016" formatCode="0">
                  <c:v>13441.337461187593</c:v>
                </c:pt>
                <c:pt idx="2017" formatCode="0">
                  <c:v>13276.126497361049</c:v>
                </c:pt>
                <c:pt idx="2018" formatCode="0">
                  <c:v>17063.922466528184</c:v>
                </c:pt>
                <c:pt idx="2019" formatCode="0">
                  <c:v>16039.38616886519</c:v>
                </c:pt>
                <c:pt idx="2020" formatCode="0">
                  <c:v>15157.805061384035</c:v>
                </c:pt>
                <c:pt idx="2021" formatCode="0">
                  <c:v>14631.016002946428</c:v>
                </c:pt>
                <c:pt idx="2022" formatCode="0">
                  <c:v>15994.717847396754</c:v>
                </c:pt>
                <c:pt idx="2023" formatCode="0">
                  <c:v>17662.200475586909</c:v>
                </c:pt>
                <c:pt idx="2024" formatCode="0">
                  <c:v>15410.434576374366</c:v>
                </c:pt>
                <c:pt idx="2025" formatCode="0">
                  <c:v>15465.774396644763</c:v>
                </c:pt>
                <c:pt idx="2026" formatCode="0">
                  <c:v>15615.463385111972</c:v>
                </c:pt>
                <c:pt idx="2027" formatCode="0">
                  <c:v>15392.701298579554</c:v>
                </c:pt>
                <c:pt idx="2028" formatCode="0">
                  <c:v>13715.767237746342</c:v>
                </c:pt>
                <c:pt idx="2029" formatCode="0">
                  <c:v>13552.467106861812</c:v>
                </c:pt>
                <c:pt idx="2030" formatCode="0">
                  <c:v>17342.246102260582</c:v>
                </c:pt>
                <c:pt idx="2031" formatCode="0">
                  <c:v>16319.764574824949</c:v>
                </c:pt>
                <c:pt idx="2032" formatCode="0">
                  <c:v>15440.309516475743</c:v>
                </c:pt>
                <c:pt idx="2033" formatCode="0">
                  <c:v>14915.717304788835</c:v>
                </c:pt>
                <c:pt idx="2034" formatCode="0">
                  <c:v>16281.686295753072</c:v>
                </c:pt>
                <c:pt idx="2035" formatCode="0">
                  <c:v>17951.505855443524</c:v>
                </c:pt>
                <c:pt idx="2036" formatCode="0">
                  <c:v>15711.60930229722</c:v>
                </c:pt>
                <c:pt idx="2037" formatCode="0">
                  <c:v>15769.341934054262</c:v>
                </c:pt>
                <c:pt idx="2038" formatCode="0">
                  <c:v>15921.489781107886</c:v>
                </c:pt>
                <c:pt idx="2039" formatCode="0">
                  <c:v>15701.252054799339</c:v>
                </c:pt>
                <c:pt idx="2040" formatCode="0">
                  <c:v>14026.907293715936</c:v>
                </c:pt>
                <c:pt idx="2041" formatCode="0">
                  <c:v>13866.260823156646</c:v>
                </c:pt>
                <c:pt idx="2042" formatCode="0">
                  <c:v>17658.757243502267</c:v>
                </c:pt>
                <c:pt idx="2043" formatCode="0">
                  <c:v>16639.056292539615</c:v>
                </c:pt>
                <c:pt idx="2044" formatCode="0">
                  <c:v>15762.444331840743</c:v>
                </c:pt>
                <c:pt idx="2045" formatCode="0">
                  <c:v>15240.757091295047</c:v>
                </c:pt>
                <c:pt idx="2046" formatCode="0">
                  <c:v>16609.692261810571</c:v>
                </c:pt>
                <c:pt idx="2047" formatCode="0">
                  <c:v>18282.538526958924</c:v>
                </c:pt>
                <c:pt idx="2048" formatCode="0">
                  <c:v>16053.101876231405</c:v>
                </c:pt>
                <c:pt idx="2049" formatCode="0">
                  <c:v>16113.879618227258</c:v>
                </c:pt>
                <c:pt idx="2050" formatCode="0">
                  <c:v>16269.129490386091</c:v>
                </c:pt>
                <c:pt idx="2051" formatCode="0">
                  <c:v>16052.050007571244</c:v>
                </c:pt>
                <c:pt idx="2052" formatCode="0">
                  <c:v>14380.9189960781</c:v>
                </c:pt>
                <c:pt idx="2053" formatCode="0">
                  <c:v>14223.541053208432</c:v>
                </c:pt>
                <c:pt idx="2054" formatCode="0">
                  <c:v>18019.360035775793</c:v>
                </c:pt>
                <c:pt idx="2055" formatCode="0">
                  <c:v>17003.034922591571</c:v>
                </c:pt>
                <c:pt idx="2056" formatCode="0">
                  <c:v>16129.851301032646</c:v>
                </c:pt>
                <c:pt idx="2057" formatCode="0">
                  <c:v>15611.644111788473</c:v>
                </c:pt>
                <c:pt idx="2058" formatCode="0">
                  <c:v>16984.110241803894</c:v>
                </c:pt>
                <c:pt idx="2059" formatCode="0">
                  <c:v>18660.537556191826</c:v>
                </c:pt>
                <c:pt idx="2060" formatCode="0">
                  <c:v>16439.993182696126</c:v>
                </c:pt>
                <c:pt idx="2061" formatCode="0">
                  <c:v>16504.339544590228</c:v>
                </c:pt>
                <c:pt idx="2062" formatCode="0">
                  <c:v>16663.204860494898</c:v>
                </c:pt>
                <c:pt idx="2063" formatCode="0">
                  <c:v>16449.786835392035</c:v>
                </c:pt>
                <c:pt idx="2064" formatCode="0">
                  <c:v>14782.362473536847</c:v>
                </c:pt>
                <c:pt idx="2065" formatCode="0">
                  <c:v>14628.73553838266</c:v>
                </c:pt>
                <c:pt idx="2066" formatCode="0">
                  <c:v>18428.349041457965</c:v>
                </c:pt>
                <c:pt idx="2067" formatCode="0">
                  <c:v>17415.86110524484</c:v>
                </c:pt>
                <c:pt idx="2068" formatCode="0">
                  <c:v>16546.556450159111</c:v>
                </c:pt>
                <c:pt idx="2069" formatCode="0">
                  <c:v>16032.269139729471</c:v>
                </c:pt>
                <c:pt idx="2070" formatCode="0">
                  <c:v>17408.695173991153</c:v>
                </c:pt>
                <c:pt idx="2071" formatCode="0">
                  <c:v>19089.12152186763</c:v>
                </c:pt>
                <c:pt idx="2072" formatCode="0">
                  <c:v>16875.847819902374</c:v>
                </c:pt>
                <c:pt idx="2073" formatCode="0">
                  <c:v>16944.157922952403</c:v>
                </c:pt>
                <c:pt idx="2074" formatCode="0">
                  <c:v>17107.023369071074</c:v>
                </c:pt>
                <c:pt idx="2075" formatCode="0">
                  <c:v>16897.640997072795</c:v>
                </c:pt>
                <c:pt idx="2076" formatCode="0">
                  <c:v>15234.286938161766</c:v>
                </c:pt>
                <c:pt idx="2077" formatCode="0">
                  <c:v>15084.764076343603</c:v>
                </c:pt>
                <c:pt idx="2078" formatCode="0">
                  <c:v>18888.514537801013</c:v>
                </c:pt>
                <c:pt idx="2079" formatCode="0">
                  <c:v>17880.195554281705</c:v>
                </c:pt>
                <c:pt idx="2080" formatCode="0">
                  <c:v>17015.09095059806</c:v>
                </c:pt>
                <c:pt idx="2081" formatCode="0">
                  <c:v>16505.033890334857</c:v>
                </c:pt>
                <c:pt idx="2082" formatCode="0">
                  <c:v>17885.719469779713</c:v>
                </c:pt>
                <c:pt idx="2083" formatCode="0">
                  <c:v>19570.433750848686</c:v>
                </c:pt>
                <c:pt idx="2084" formatCode="0">
                  <c:v>17362.849606307143</c:v>
                </c:pt>
                <c:pt idx="2085" formatCode="0">
                  <c:v>17435.397688009838</c:v>
                </c:pt>
                <c:pt idx="2086" formatCode="0">
                  <c:v>17602.527386523609</c:v>
                </c:pt>
                <c:pt idx="2087" formatCode="0">
                  <c:v>17397.434679109014</c:v>
                </c:pt>
                <c:pt idx="2088" formatCode="0">
                  <c:v>15738.394834091896</c:v>
                </c:pt>
                <c:pt idx="2089" formatCode="0">
                  <c:v>15593.209871783225</c:v>
                </c:pt>
                <c:pt idx="2090" formatCode="0">
                  <c:v>19401.321054364715</c:v>
                </c:pt>
                <c:pt idx="2091" formatCode="0">
                  <c:v>18397.384749787503</c:v>
                </c:pt>
                <c:pt idx="2092" formatCode="0">
                  <c:v>17536.683919782641</c:v>
                </c:pt>
                <c:pt idx="2093" formatCode="0">
                  <c:v>17031.050866078636</c:v>
                </c:pt>
                <c:pt idx="2094" formatCode="0">
                  <c:v>18416.179824839994</c:v>
                </c:pt>
                <c:pt idx="2095" formatCode="0">
                  <c:v>20105.356000098342</c:v>
                </c:pt>
                <c:pt idx="2096" formatCode="0">
                  <c:v>17901.994922598969</c:v>
                </c:pt>
                <c:pt idx="2097" formatCode="0">
                  <c:v>17978.947709251515</c:v>
                </c:pt>
                <c:pt idx="2098" formatCode="0">
                  <c:v>18150.49915039643</c:v>
                </c:pt>
                <c:pt idx="2099" formatCode="0">
                  <c:v>17949.844418329441</c:v>
                </c:pt>
                <c:pt idx="2100" formatCode="0">
                  <c:v>16295.257979864593</c:v>
                </c:pt>
                <c:pt idx="2101" formatCode="0">
                  <c:v>16154.541057693727</c:v>
                </c:pt>
                <c:pt idx="2102" formatCode="0">
                  <c:v>19967.134120705879</c:v>
                </c:pt>
                <c:pt idx="2103" formatCode="0">
                  <c:v>18967.692748313166</c:v>
                </c:pt>
                <c:pt idx="2104" formatCode="0">
                  <c:v>18111.499118881147</c:v>
                </c:pt>
                <c:pt idx="2105" formatCode="0">
                  <c:v>17610.384756358639</c:v>
                </c:pt>
                <c:pt idx="2106" formatCode="0">
                  <c:v>19000.043125119864</c:v>
                </c:pt>
                <c:pt idx="2107" formatCode="0">
                  <c:v>20693.758663790341</c:v>
                </c:pt>
                <c:pt idx="2108" formatCode="0">
                  <c:v>18493.317794713224</c:v>
                </c:pt>
                <c:pt idx="2109" formatCode="0">
                  <c:v>18574.751516492823</c:v>
                </c:pt>
                <c:pt idx="2110" formatCode="0">
                  <c:v>18750.792945549765</c:v>
                </c:pt>
                <c:pt idx="2111" formatCode="0">
                  <c:v>18554.636541817577</c:v>
                </c:pt>
                <c:pt idx="2112" formatCode="0">
                  <c:v>16904.556066614361</c:v>
                </c:pt>
                <c:pt idx="2113" formatCode="0">
                  <c:v>16768.352044324976</c:v>
                </c:pt>
                <c:pt idx="2114" formatCode="0">
                  <c:v>20585.464253033111</c:v>
                </c:pt>
                <c:pt idx="2115" formatCode="0">
                  <c:v>19590.54758914949</c:v>
                </c:pt>
                <c:pt idx="2116" formatCode="0">
                  <c:v>18738.883556133977</c:v>
                </c:pt>
                <c:pt idx="2117" formatCode="0">
                  <c:v>18242.303011405973</c:v>
                </c:pt>
                <c:pt idx="2118" formatCode="0">
                  <c:v>19636.498761456103</c:v>
                </c:pt>
                <c:pt idx="2119" formatCode="0">
                  <c:v>21334.754595930041</c:v>
                </c:pt>
                <c:pt idx="2120" formatCode="0">
                  <c:v>19136.119271755688</c:v>
                </c:pt>
                <c:pt idx="2121" formatCode="0">
                  <c:v>19222.037934426622</c:v>
                </c:pt>
                <c:pt idx="2122" formatCode="0">
                  <c:v>19402.566791844547</c:v>
                </c:pt>
                <c:pt idx="2123" formatCode="0">
                  <c:v>19210.899702874365</c:v>
                </c:pt>
                <c:pt idx="2124" formatCode="0">
                  <c:v>17565.309836566783</c:v>
                </c:pt>
                <c:pt idx="2125" formatCode="0">
                  <c:v>17433.59713403659</c:v>
                </c:pt>
                <c:pt idx="2126" formatCode="0">
                  <c:v>21255.20079927993</c:v>
                </c:pt>
                <c:pt idx="2127" formatCode="0">
                  <c:v>20264.775163976803</c:v>
                </c:pt>
                <c:pt idx="2128" formatCode="0">
                  <c:v>19417.60117637644</c:v>
                </c:pt>
                <c:pt idx="2129" formatCode="0">
                  <c:v>18925.509148360004</c:v>
                </c:pt>
                <c:pt idx="2130" formatCode="0">
                  <c:v>20324.191350693465</c:v>
                </c:pt>
                <c:pt idx="2131" formatCode="0">
                  <c:v>22026.931047241611</c:v>
                </c:pt>
                <c:pt idx="2132" formatCode="0">
                  <c:v>19829.179238807865</c:v>
                </c:pt>
                <c:pt idx="2133" formatCode="0">
                  <c:v>19919.532190475518</c:v>
                </c:pt>
                <c:pt idx="2134" formatCode="0">
                  <c:v>20104.49267611976</c:v>
                </c:pt>
                <c:pt idx="2135" formatCode="0">
                  <c:v>19917.254068760329</c:v>
                </c:pt>
                <c:pt idx="2136" formatCode="0">
                  <c:v>18276.089061064951</c:v>
                </c:pt>
                <c:pt idx="2137" formatCode="0">
                  <c:v>18148.797127313323</c:v>
                </c:pt>
                <c:pt idx="2138" formatCode="0">
                  <c:v>21974.817014290496</c:v>
                </c:pt>
                <c:pt idx="2139" formatCode="0">
                  <c:v>20988.80260615607</c:v>
                </c:pt>
                <c:pt idx="2140" formatCode="0">
                  <c:v>20146.034413386795</c:v>
                </c:pt>
                <c:pt idx="2141" formatCode="0">
                  <c:v>19658.342319887292</c:v>
                </c:pt>
                <c:pt idx="2142" formatCode="0">
                  <c:v>21061.418178281841</c:v>
                </c:pt>
                <c:pt idx="2143" formatCode="0">
                  <c:v>22768.544844158278</c:v>
                </c:pt>
                <c:pt idx="2144" formatCode="0">
                  <c:v>20570.93730019057</c:v>
                </c:pt>
                <c:pt idx="2145" formatCode="0">
                  <c:v>20665.634809889536</c:v>
                </c:pt>
                <c:pt idx="2146" formatCode="0">
                  <c:v>20854.933342087395</c:v>
                </c:pt>
                <c:pt idx="2147" formatCode="0">
                  <c:v>20672.025892658221</c:v>
                </c:pt>
                <c:pt idx="2148" formatCode="0">
                  <c:v>19035.184786319329</c:v>
                </c:pt>
                <c:pt idx="2149" formatCode="0">
                  <c:v>18912.209138598504</c:v>
                </c:pt>
                <c:pt idx="2150" formatCode="0">
                  <c:v>22742.537346723326</c:v>
                </c:pt>
                <c:pt idx="2151" formatCode="0">
                  <c:v>21760.822954479023</c:v>
                </c:pt>
                <c:pt idx="2152" formatCode="0">
                  <c:v>20922.34614113285</c:v>
                </c:pt>
                <c:pt idx="2153" formatCode="0">
                  <c:v>20438.936468519743</c:v>
                </c:pt>
                <c:pt idx="2154" formatCode="0">
                  <c:v>21846.28547630243</c:v>
                </c:pt>
                <c:pt idx="2155" formatCode="0">
                  <c:v>23557.675716177298</c:v>
                </c:pt>
                <c:pt idx="2156" formatCode="0">
                  <c:v>21359.637492411792</c:v>
                </c:pt>
                <c:pt idx="2157" formatCode="0">
                  <c:v>21458.56372353909</c:v>
                </c:pt>
                <c:pt idx="2158" formatCode="0">
                  <c:v>21652.081729882641</c:v>
                </c:pt>
                <c:pt idx="2159" formatCode="0">
                  <c:v>21473.38422626226</c:v>
                </c:pt>
                <c:pt idx="2160" formatCode="0">
                  <c:v>19840.743264696677</c:v>
                </c:pt>
                <c:pt idx="2161" formatCode="0">
                  <c:v>19721.957696320471</c:v>
                </c:pt>
                <c:pt idx="2162" formatCode="0">
                  <c:v>23556.465662218106</c:v>
                </c:pt>
                <c:pt idx="2163" formatCode="0">
                  <c:v>22578.92045822175</c:v>
                </c:pt>
                <c:pt idx="2164" formatCode="0">
                  <c:v>21744.602023770956</c:v>
                </c:pt>
                <c:pt idx="2165" formatCode="0">
                  <c:v>21265.339688929223</c:v>
                </c:pt>
                <c:pt idx="2166" formatCode="0">
                  <c:v>22676.824769570827</c:v>
                </c:pt>
                <c:pt idx="2167" formatCode="0">
                  <c:v>24392.339601509306</c:v>
                </c:pt>
                <c:pt idx="2168" formatCode="0">
                  <c:v>22193.437594639079</c:v>
                </c:pt>
                <c:pt idx="2169" formatCode="0">
                  <c:v>22296.4608673779</c:v>
                </c:pt>
                <c:pt idx="2170" formatCode="0">
                  <c:v>22494.064843987751</c:v>
                </c:pt>
                <c:pt idx="2171" formatCode="0">
                  <c:v>22319.442039158967</c:v>
                </c:pt>
                <c:pt idx="2172" formatCode="0">
                  <c:v>20690.864312016431</c:v>
                </c:pt>
                <c:pt idx="2173" formatCode="0">
                  <c:v>20576.130327957053</c:v>
                </c:pt>
                <c:pt idx="2174" formatCode="0">
                  <c:v>24414.678049401311</c:v>
                </c:pt>
                <c:pt idx="2175" formatCode="0">
                  <c:v>23441.16060050582</c:v>
                </c:pt>
                <c:pt idx="2176" formatCode="0">
                  <c:v>22610.857755935118</c:v>
                </c:pt>
                <c:pt idx="2177" formatCode="0">
                  <c:v>22135.598687787849</c:v>
                </c:pt>
                <c:pt idx="2178" formatCode="0">
                  <c:v>23551.074560690926</c:v>
                </c:pt>
                <c:pt idx="2179" formatCode="0">
                  <c:v>25270.567565833215</c:v>
                </c:pt>
                <c:pt idx="2180" formatCode="0">
                  <c:v>23070.487326650844</c:v>
                </c:pt>
                <c:pt idx="2181" formatCode="0">
                  <c:v>23177.467884090554</c:v>
                </c:pt>
                <c:pt idx="2182" formatCode="0">
                  <c:v>23379.016966079893</c:v>
                </c:pt>
                <c:pt idx="2183" formatCode="0">
                  <c:v>23208.326952793908</c:v>
                </c:pt>
                <c:pt idx="2184" formatCode="0">
                  <c:v>21583.669574884581</c:v>
                </c:pt>
                <c:pt idx="2185" formatCode="0">
                  <c:v>21472.84337522733</c:v>
                </c:pt>
                <c:pt idx="2186" formatCode="0">
                  <c:v>25315.286199580209</c:v>
                </c:pt>
                <c:pt idx="2187" formatCode="0">
                  <c:v>24345.651061202741</c:v>
                </c:pt>
                <c:pt idx="2188" formatCode="0">
                  <c:v>23519.217629532839</c:v>
                </c:pt>
                <c:pt idx="2189" formatCode="0">
                  <c:v>23047.814977017075</c:v>
                </c:pt>
                <c:pt idx="2190" formatCode="0">
                  <c:v>24467.134174107916</c:v>
                </c:pt>
                <c:pt idx="2191" formatCode="0">
                  <c:v>26190.457323199771</c:v>
                </c:pt>
                <c:pt idx="2192" formatCode="0">
                  <c:v>23988.981185469442</c:v>
                </c:pt>
                <c:pt idx="2193" formatCode="0">
                  <c:v>24099.776835317454</c:v>
                </c:pt>
                <c:pt idx="2194" formatCode="0">
                  <c:v>24305.128265579602</c:v>
                </c:pt>
                <c:pt idx="2195" formatCode="0">
                  <c:v>24138.227773486818</c:v>
                </c:pt>
                <c:pt idx="2196" formatCode="0">
                  <c:v>22517.347011651094</c:v>
                </c:pt>
                <c:pt idx="2197" formatCode="0">
                  <c:v>22410.284449721152</c:v>
                </c:pt>
                <c:pt idx="2198" formatCode="0">
                  <c:v>26256.477864950444</c:v>
                </c:pt>
                <c:pt idx="2199" formatCode="0">
                  <c:v>25290.580206724459</c:v>
                </c:pt>
                <c:pt idx="2200" formatCode="0">
                  <c:v>24467.871085145885</c:v>
                </c:pt>
                <c:pt idx="2201" formatCode="0">
                  <c:v>24000.179517773009</c:v>
                </c:pt>
                <c:pt idx="2202" formatCode="0">
                  <c:v>25423.196524525018</c:v>
                </c:pt>
                <c:pt idx="2203" formatCode="0">
                  <c:v>27150.204161526133</c:v>
                </c:pt>
                <c:pt idx="2204" formatCode="0">
                  <c:v>24947.191760276419</c:v>
                </c:pt>
                <c:pt idx="2205" formatCode="0">
                  <c:v>25061.661807239761</c:v>
                </c:pt>
                <c:pt idx="2206" formatCode="0">
                  <c:v>25270.674724588978</c:v>
                </c:pt>
                <c:pt idx="2207" formatCode="0">
                  <c:v>25107.422766067353</c:v>
                </c:pt>
                <c:pt idx="2208" formatCode="0">
                  <c:v>23490.177544687715</c:v>
                </c:pt>
                <c:pt idx="2209" formatCode="0">
                  <c:v>23386.737494304125</c:v>
                </c:pt>
                <c:pt idx="2210" formatCode="0">
                  <c:v>27236.540360096016</c:v>
                </c:pt>
                <c:pt idx="2211" formatCode="0">
                  <c:v>26274.239063012097</c:v>
                </c:pt>
                <c:pt idx="2212" formatCode="0">
                  <c:v>25455.11318827232</c:v>
                </c:pt>
                <c:pt idx="2213" formatCode="0">
                  <c:v>24990.991732023591</c:v>
                </c:pt>
                <c:pt idx="2214" formatCode="0">
                  <c:v>26417.565696162819</c:v>
                </c:pt>
                <c:pt idx="2215" formatCode="0">
                  <c:v>28148.117122099306</c:v>
                </c:pt>
                <c:pt idx="2216" formatCode="0">
                  <c:v>25943.488711149097</c:v>
                </c:pt>
                <c:pt idx="2217" formatCode="0">
                  <c:v>26061.496571433992</c:v>
                </c:pt>
                <c:pt idx="2218" formatCode="0">
                  <c:v>26274.03450973261</c:v>
                </c:pt>
                <c:pt idx="2219" formatCode="0">
                  <c:v>26114.294765742077</c:v>
                </c:pt>
                <c:pt idx="2220" formatCode="0">
                  <c:v>24500.548941450907</c:v>
                </c:pt>
                <c:pt idx="2221" formatCode="0">
                  <c:v>24400.595462636611</c:v>
                </c:pt>
                <c:pt idx="2222" formatCode="0">
                  <c:v>28253.87206927644</c:v>
                </c:pt>
                <c:pt idx="2223" formatCode="0">
                  <c:v>27295.03167991836</c:v>
                </c:pt>
                <c:pt idx="2224" formatCode="0">
                  <c:v>26479.353880110943</c:v>
                </c:pt>
                <c:pt idx="2225" formatCode="0">
                  <c:v>26018.667668987506</c:v>
                </c:pt>
                <c:pt idx="2226" formatCode="0">
                  <c:v>27448.664054018474</c:v>
                </c:pt>
                <c:pt idx="2227" formatCode="0">
                  <c:v>29182.625084703723</c:v>
                </c:pt>
                <c:pt idx="2228" formatCode="0">
                  <c:v>26976.347652348224</c:v>
                </c:pt>
                <c:pt idx="2229" formatCode="0">
                  <c:v>27097.762486583062</c:v>
                </c:pt>
                <c:pt idx="2230" formatCode="0">
                  <c:v>27313.694918301986</c:v>
                </c:pt>
                <c:pt idx="2231" formatCode="0">
                  <c:v>27157.337194573818</c:v>
                </c:pt>
                <c:pt idx="2232" formatCode="0">
                  <c:v>25546.960927064109</c:v>
                </c:pt>
                <c:pt idx="2233" formatCode="0">
                  <c:v>25450.364553469604</c:v>
                </c:pt>
                <c:pt idx="2234" formatCode="0">
                  <c:v>29306.985827866643</c:v>
                </c:pt>
                <c:pt idx="2235" formatCode="0">
                  <c:v>28351.477685020509</c:v>
                </c:pt>
                <c:pt idx="2236" formatCode="0">
                  <c:v>27539.119728754507</c:v>
                </c:pt>
                <c:pt idx="2237" formatCode="0">
                  <c:v>27081.740978474074</c:v>
                </c:pt>
                <c:pt idx="2238" formatCode="0">
                  <c:v>28515.032463859912</c:v>
                </c:pt>
                <c:pt idx="2239" formatCode="0">
                  <c:v>30252.276258501937</c:v>
                </c:pt>
                <c:pt idx="2240" formatCode="0">
                  <c:v>28044.352215687773</c:v>
                </c:pt>
                <c:pt idx="2241" formatCode="0">
                  <c:v>28169.049852342599</c:v>
                </c:pt>
                <c:pt idx="2242" formatCode="0">
                  <c:v>28388.253044541892</c:v>
                </c:pt>
                <c:pt idx="2243" formatCode="0">
                  <c:v>28235.154061869103</c:v>
                </c:pt>
                <c:pt idx="2244" formatCode="0">
                  <c:v>26628.02454023109</c:v>
                </c:pt>
                <c:pt idx="2245" formatCode="0">
                  <c:v>26534.662943240099</c:v>
                </c:pt>
                <c:pt idx="2246" formatCode="0">
                  <c:v>30394.507052510387</c:v>
                </c:pt>
                <c:pt idx="2247" formatCode="0">
                  <c:v>29442.209831916643</c:v>
                </c:pt>
                <c:pt idx="2248" formatCode="0">
                  <c:v>28633.050915912863</c:v>
                </c:pt>
                <c:pt idx="2249" formatCode="0">
                  <c:v>28178.859356007106</c:v>
                </c:pt>
                <c:pt idx="2250" formatCode="0">
                  <c:v>29615.326215406065</c:v>
                </c:pt>
                <c:pt idx="2251" formatCode="0">
                  <c:v>31355.733602601256</c:v>
                </c:pt>
                <c:pt idx="2252" formatCode="0">
                  <c:v>29146.191717397316</c:v>
                </c:pt>
                <c:pt idx="2253" formatCode="0">
                  <c:v>29274.055077695499</c:v>
                </c:pt>
                <c:pt idx="2254" formatCode="0">
                  <c:v>29496.412467171016</c:v>
                </c:pt>
                <c:pt idx="2255" formatCode="0">
                  <c:v>29346.456188252359</c:v>
                </c:pt>
                <c:pt idx="2256" formatCode="0">
                  <c:v>27742.457910959165</c:v>
                </c:pt>
                <c:pt idx="2257" formatCode="0">
                  <c:v>27652.216134241295</c:v>
                </c:pt>
                <c:pt idx="2258" formatCode="0">
                  <c:v>31515.168676233228</c:v>
                </c:pt>
                <c:pt idx="2259" formatCode="0">
                  <c:v>30565.968538471068</c:v>
                </c:pt>
                <c:pt idx="2260" formatCode="0">
                  <c:v>29759.89539417066</c:v>
                </c:pt>
                <c:pt idx="2261" formatCode="0">
                  <c:v>29308.778334662402</c:v>
                </c:pt>
                <c:pt idx="2262" formatCode="0">
                  <c:v>30748.308463996545</c:v>
                </c:pt>
                <c:pt idx="2263" formatCode="0">
                  <c:v>32491.767932490897</c:v>
                </c:pt>
                <c:pt idx="2264" formatCode="0">
                  <c:v>30280.656159749567</c:v>
                </c:pt>
                <c:pt idx="2265" formatCode="0">
                  <c:v>30411.575342596036</c:v>
                </c:pt>
                <c:pt idx="2266" formatCode="0">
                  <c:v>30636.977584844994</c:v>
                </c:pt>
                <c:pt idx="2267" formatCode="0">
                  <c:v>30490.055228470505</c:v>
                </c:pt>
                <c:pt idx="2268" formatCode="0">
                  <c:v>28889.079983946798</c:v>
                </c:pt>
                <c:pt idx="2269" formatCode="0">
                  <c:v>28801.850391552616</c:v>
                </c:pt>
                <c:pt idx="2270" formatCode="0">
                  <c:v>32667.804311591746</c:v>
                </c:pt>
                <c:pt idx="2271" formatCode="0">
                  <c:v>31721.594788576662</c:v>
                </c:pt>
                <c:pt idx="2272" formatCode="0">
                  <c:v>30918.501539474026</c:v>
                </c:pt>
                <c:pt idx="2273" formatCode="0">
                  <c:v>30470.353700107516</c:v>
                </c:pt>
                <c:pt idx="2274" formatCode="0">
                  <c:v>31912.842419731802</c:v>
                </c:pt>
                <c:pt idx="2275" formatCode="0">
                  <c:v>33659.249894549568</c:v>
                </c:pt>
                <c:pt idx="2276" formatCode="0">
                  <c:v>31446.629766475071</c:v>
                </c:pt>
                <c:pt idx="2277" formatCode="0">
                  <c:v>31580.501909537925</c:v>
                </c:pt>
                <c:pt idx="2278" formatCode="0">
                  <c:v>31808.846714402505</c:v>
                </c:pt>
                <c:pt idx="2279" formatCode="0">
                  <c:v>31664.856566592851</c:v>
                </c:pt>
                <c:pt idx="2280" formatCode="0">
                  <c:v>30066.803220764967</c:v>
                </c:pt>
                <c:pt idx="2281" formatCode="0">
                  <c:v>29982.485261983675</c:v>
                </c:pt>
                <c:pt idx="2282" formatCode="0">
                  <c:v>33851.340595915972</c:v>
                </c:pt>
                <c:pt idx="2283" formatCode="0">
                  <c:v>32908.022312988222</c:v>
                </c:pt>
                <c:pt idx="2284" formatCode="0">
                  <c:v>32107.810176605832</c:v>
                </c:pt>
                <c:pt idx="2285" formatCode="0">
                  <c:v>31662.533369530629</c:v>
                </c:pt>
                <c:pt idx="2286" formatCode="0">
                  <c:v>33107.883088430121</c:v>
                </c:pt>
                <c:pt idx="2287" formatCode="0">
                  <c:v>34857.141577370276</c:v>
                </c:pt>
                <c:pt idx="2288" formatCode="0">
                  <c:v>32643.083857434864</c:v>
                </c:pt>
                <c:pt idx="2289" formatCode="0">
                  <c:v>32779.812857657191</c:v>
                </c:pt>
                <c:pt idx="2290" formatCode="0">
                  <c:v>33011.004692274313</c:v>
                </c:pt>
                <c:pt idx="2291" formatCode="0">
                  <c:v>32869.851792392212</c:v>
                </c:pt>
                <c:pt idx="2292" formatCode="0">
                  <c:v>31274.625958668963</c:v>
                </c:pt>
                <c:pt idx="2293" formatCode="0">
                  <c:v>31193.125822569713</c:v>
                </c:pt>
                <c:pt idx="2294" formatCode="0">
                  <c:v>35064.789336538677</c:v>
                </c:pt>
                <c:pt idx="2295" formatCode="0">
                  <c:v>34124.26963813552</c:v>
                </c:pt>
                <c:pt idx="2296" formatCode="0">
                  <c:v>33326.846538234488</c:v>
                </c:pt>
                <c:pt idx="2297" formatCode="0">
                  <c:v>32884.349267382036</c:v>
                </c:pt>
                <c:pt idx="2298" formatCode="0">
                  <c:v>34332.469070326544</c:v>
                </c:pt>
                <c:pt idx="2299" formatCode="0">
                  <c:v>36084.48823949213</c:v>
                </c:pt>
                <c:pt idx="2300" formatCode="0">
                  <c:v>33869.069585685771</c:v>
                </c:pt>
                <c:pt idx="2301" formatCode="0">
                  <c:v>34008.565737771023</c:v>
                </c:pt>
                <c:pt idx="2302" formatCode="0">
                  <c:v>34242.515453297492</c:v>
                </c:pt>
                <c:pt idx="2303" formatCode="0">
                  <c:v>34104.11120956597</c:v>
                </c:pt>
                <c:pt idx="2304" formatCode="0">
                  <c:v>32511.624853689369</c:v>
                </c:pt>
                <c:pt idx="2305" formatCode="0">
                  <c:v>32432.855063830488</c:v>
                </c:pt>
                <c:pt idx="2306" formatCode="0">
                  <c:v>36307.239839357324</c:v>
                </c:pt>
                <c:pt idx="2307" formatCode="0">
                  <c:v>35369.432364963017</c:v>
                </c:pt>
                <c:pt idx="2308" formatCode="0">
                  <c:v>34574.712498849163</c:v>
                </c:pt>
                <c:pt idx="2309" formatCode="0">
                  <c:v>34134.909519067776</c:v>
                </c:pt>
                <c:pt idx="2310" formatCode="0">
                  <c:v>35585.714718035946</c:v>
                </c:pt>
                <c:pt idx="2311" formatCode="0">
                  <c:v>37340.410435994803</c:v>
                </c:pt>
                <c:pt idx="2312" formatCode="0">
                  <c:v>35123.710862533357</c:v>
                </c:pt>
                <c:pt idx="2313" formatCode="0">
                  <c:v>35265.890455740519</c:v>
                </c:pt>
                <c:pt idx="2314" formatCode="0">
                  <c:v>35502.514876602312</c:v>
                </c:pt>
                <c:pt idx="2315" formatCode="0">
                  <c:v>35366.776648226172</c:v>
                </c:pt>
                <c:pt idx="2316" formatCode="0">
                  <c:v>33776.947663671846</c:v>
                </c:pt>
                <c:pt idx="2317" formatCode="0">
                  <c:v>33700.826647175796</c:v>
                </c:pt>
                <c:pt idx="2318" formatCode="0">
                  <c:v>37577.851644293449</c:v>
                </c:pt>
                <c:pt idx="2319" formatCode="0">
                  <c:v>36642.675886006451</c:v>
                </c:pt>
                <c:pt idx="2320" formatCode="0">
                  <c:v>35850.579276893579</c:v>
                </c:pt>
                <c:pt idx="2321" formatCode="0">
                  <c:v>35413.391141460692</c:v>
                </c:pt>
                <c:pt idx="2322" formatCode="0">
                  <c:v>36866.802818643591</c:v>
                </c:pt>
                <c:pt idx="2323" formatCode="0">
                  <c:v>38624.096695255626</c:v>
                </c:pt>
                <c:pt idx="2324" formatCode="0">
                  <c:v>36406.197661049664</c:v>
                </c:pt>
                <c:pt idx="2325" formatCode="0">
                  <c:v>36550.982561467419</c:v>
                </c:pt>
                <c:pt idx="2326" formatCode="0">
                  <c:v>36790.20406310774</c:v>
                </c:pt>
                <c:pt idx="2327" formatCode="0">
                  <c:v>36657.054733808167</c:v>
                </c:pt>
                <c:pt idx="2328" formatCode="0">
                  <c:v>35069.806511410192</c:v>
                </c:pt>
                <c:pt idx="2329" formatCode="0">
                  <c:v>34996.258164973275</c:v>
                </c:pt>
                <c:pt idx="2330" formatCode="0">
                  <c:v>38875.847784907019</c:v>
                </c:pt>
                <c:pt idx="2331" formatCode="0">
                  <c:v>37943.228647068594</c:v>
                </c:pt>
                <c:pt idx="2332" formatCode="0">
                  <c:v>37153.68070092408</c:v>
                </c:pt>
                <c:pt idx="2333" formatCode="0">
                  <c:v>36719.033315869172</c:v>
                </c:pt>
                <c:pt idx="2334" formatCode="0">
                  <c:v>38174.977875723009</c:v>
                </c:pt>
                <c:pt idx="2335" formatCode="0">
                  <c:v>39934.796812167013</c:v>
                </c:pt>
                <c:pt idx="2336" formatCode="0">
                  <c:v>37715.779798176984</c:v>
                </c:pt>
                <c:pt idx="2337" formatCode="0">
                  <c:v>37863.097034266946</c:v>
                </c:pt>
                <c:pt idx="2338" formatCode="0">
                  <c:v>38104.843126295891</c:v>
                </c:pt>
                <c:pt idx="2339" formatCode="0">
                  <c:v>37974.210685298356</c:v>
                </c:pt>
                <c:pt idx="2340" formatCode="0">
                  <c:v>36389.471692299907</c:v>
                </c:pt>
                <c:pt idx="2341" formatCode="0">
                  <c:v>36318.424959523152</c:v>
                </c:pt>
                <c:pt idx="2342" formatCode="0">
                  <c:v>40200.508620512192</c:v>
                </c:pt>
                <c:pt idx="2343" formatCode="0">
                  <c:v>39270.375994222479</c:v>
                </c:pt>
                <c:pt idx="2344" formatCode="0">
                  <c:v>38483.307073174903</c:v>
                </c:pt>
                <c:pt idx="2345" formatCode="0">
                  <c:v>38051.131269769314</c:v>
                </c:pt>
                <c:pt idx="2346" formatCode="0">
                  <c:v>39509.540010771525</c:v>
                </c:pt>
                <c:pt idx="2347" formatCode="0">
                  <c:v>41271.815770745488</c:v>
                </c:pt>
                <c:pt idx="2348" formatCode="0">
                  <c:v>39051.761236621154</c:v>
                </c:pt>
                <c:pt idx="2349" formatCode="0">
                  <c:v>39201.542599231208</c:v>
                </c:pt>
                <c:pt idx="2350" formatCode="0">
                  <c:v>39445.745524526537</c:v>
                </c:pt>
                <c:pt idx="2351" formatCode="0">
                  <c:v>39317.562664919082</c:v>
                </c:pt>
                <c:pt idx="2352" formatCode="0">
                  <c:v>37735.266042752693</c:v>
                </c:pt>
                <c:pt idx="2353" formatCode="0">
                  <c:v>37666.654511503068</c:v>
                </c:pt>
                <c:pt idx="2354" formatCode="0">
                  <c:v>41551.166245896195</c:v>
                </c:pt>
                <c:pt idx="2355" formatCode="0">
                  <c:v>40623.454605992592</c:v>
                </c:pt>
                <c:pt idx="2356" formatCode="0">
                  <c:v>39838.799625335741</c:v>
                </c:pt>
                <c:pt idx="2357" formatCode="0">
                  <c:v>39409.030757260305</c:v>
                </c:pt>
                <c:pt idx="2358" formatCode="0">
                  <c:v>40869.839469373852</c:v>
                </c:pt>
                <c:pt idx="2359" formatCode="0">
                  <c:v>42634.508276984052</c:v>
                </c:pt>
                <c:pt idx="2360" formatCode="0">
                  <c:v>40413.494910509136</c:v>
                </c:pt>
                <c:pt idx="2361" formatCode="0">
                  <c:v>40565.676573993405</c:v>
                </c:pt>
                <c:pt idx="2362" formatCode="0">
                  <c:v>40812.272929914645</c:v>
                </c:pt>
                <c:pt idx="2363" formatCode="0">
                  <c:v>40686.476670079821</c:v>
                </c:pt>
                <c:pt idx="2364" formatCode="0">
                  <c:v>39106.55985613641</c:v>
                </c:pt>
                <c:pt idx="2365" formatCode="0">
                  <c:v>39040.321380767724</c:v>
                </c:pt>
              </c:numCache>
            </c:numRef>
          </c:val>
          <c:smooth val="0"/>
          <c:extLst>
            <c:ext xmlns:c16="http://schemas.microsoft.com/office/drawing/2014/chart" uri="{C3380CC4-5D6E-409C-BE32-E72D297353CC}">
              <c16:uniqueId val="{00000003-C968-4BB3-B137-74F6DE229CE4}"/>
            </c:ext>
          </c:extLst>
        </c:ser>
        <c:dLbls>
          <c:showLegendKey val="0"/>
          <c:showVal val="0"/>
          <c:showCatName val="0"/>
          <c:showSerName val="0"/>
          <c:showPercent val="0"/>
          <c:showBubbleSize val="0"/>
        </c:dLbls>
        <c:smooth val="0"/>
        <c:axId val="1607077231"/>
        <c:axId val="1607094511"/>
      </c:lineChart>
      <c:catAx>
        <c:axId val="1607077231"/>
        <c:scaling>
          <c:orientation val="minMax"/>
        </c:scaling>
        <c:delete val="0"/>
        <c:axPos val="b"/>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7094511"/>
        <c:crosses val="autoZero"/>
        <c:auto val="1"/>
        <c:lblAlgn val="ctr"/>
        <c:lblOffset val="100"/>
        <c:noMultiLvlLbl val="0"/>
      </c:catAx>
      <c:valAx>
        <c:axId val="16070945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7077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9526</xdr:colOff>
      <xdr:row>11</xdr:row>
      <xdr:rowOff>9525</xdr:rowOff>
    </xdr:from>
    <xdr:to>
      <xdr:col>7</xdr:col>
      <xdr:colOff>38101</xdr:colOff>
      <xdr:row>25</xdr:row>
      <xdr:rowOff>85725</xdr:rowOff>
    </xdr:to>
    <xdr:graphicFrame macro="">
      <xdr:nvGraphicFramePr>
        <xdr:cNvPr id="2" name="Chart 1">
          <a:extLst>
            <a:ext uri="{FF2B5EF4-FFF2-40B4-BE49-F238E27FC236}">
              <a16:creationId xmlns:a16="http://schemas.microsoft.com/office/drawing/2014/main" id="{B9596FF8-3AFA-4C6F-9532-F0FD7BF36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9525</xdr:rowOff>
    </xdr:from>
    <xdr:to>
      <xdr:col>7</xdr:col>
      <xdr:colOff>28575</xdr:colOff>
      <xdr:row>41</xdr:row>
      <xdr:rowOff>85725</xdr:rowOff>
    </xdr:to>
    <xdr:graphicFrame macro="">
      <xdr:nvGraphicFramePr>
        <xdr:cNvPr id="3" name="Chart 2">
          <a:extLst>
            <a:ext uri="{FF2B5EF4-FFF2-40B4-BE49-F238E27FC236}">
              <a16:creationId xmlns:a16="http://schemas.microsoft.com/office/drawing/2014/main" id="{5F317E4D-385F-4C90-B9F0-1B1E0B5FF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695325</xdr:colOff>
      <xdr:row>11</xdr:row>
      <xdr:rowOff>19050</xdr:rowOff>
    </xdr:from>
    <xdr:to>
      <xdr:col>14</xdr:col>
      <xdr:colOff>619125</xdr:colOff>
      <xdr:row>25</xdr:row>
      <xdr:rowOff>95250</xdr:rowOff>
    </xdr:to>
    <xdr:graphicFrame macro="">
      <xdr:nvGraphicFramePr>
        <xdr:cNvPr id="4" name="Chart 3">
          <a:extLst>
            <a:ext uri="{FF2B5EF4-FFF2-40B4-BE49-F238E27FC236}">
              <a16:creationId xmlns:a16="http://schemas.microsoft.com/office/drawing/2014/main" id="{012A9C24-E79D-4477-93A5-B31799A06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704850</xdr:colOff>
      <xdr:row>27</xdr:row>
      <xdr:rowOff>28575</xdr:rowOff>
    </xdr:from>
    <xdr:to>
      <xdr:col>14</xdr:col>
      <xdr:colOff>628650</xdr:colOff>
      <xdr:row>41</xdr:row>
      <xdr:rowOff>104775</xdr:rowOff>
    </xdr:to>
    <xdr:graphicFrame macro="">
      <xdr:nvGraphicFramePr>
        <xdr:cNvPr id="5" name="Chart 4">
          <a:extLst>
            <a:ext uri="{FF2B5EF4-FFF2-40B4-BE49-F238E27FC236}">
              <a16:creationId xmlns:a16="http://schemas.microsoft.com/office/drawing/2014/main" id="{00E70B8D-1DC5-477A-9514-75D556C86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857250</xdr:colOff>
      <xdr:row>43</xdr:row>
      <xdr:rowOff>19050</xdr:rowOff>
    </xdr:from>
    <xdr:to>
      <xdr:col>10</xdr:col>
      <xdr:colOff>819150</xdr:colOff>
      <xdr:row>57</xdr:row>
      <xdr:rowOff>95250</xdr:rowOff>
    </xdr:to>
    <xdr:graphicFrame macro="">
      <xdr:nvGraphicFramePr>
        <xdr:cNvPr id="6" name="Chart 5">
          <a:extLst>
            <a:ext uri="{FF2B5EF4-FFF2-40B4-BE49-F238E27FC236}">
              <a16:creationId xmlns:a16="http://schemas.microsoft.com/office/drawing/2014/main" id="{F8872CA8-A09F-4413-97EF-347E653C8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xdr:row>
      <xdr:rowOff>0</xdr:rowOff>
    </xdr:from>
    <xdr:to>
      <xdr:col>3</xdr:col>
      <xdr:colOff>857250</xdr:colOff>
      <xdr:row>7</xdr:row>
      <xdr:rowOff>47625</xdr:rowOff>
    </xdr:to>
    <xdr:sp macro="" textlink="">
      <xdr:nvSpPr>
        <xdr:cNvPr id="8" name="TextBox 7">
          <a:extLst>
            <a:ext uri="{FF2B5EF4-FFF2-40B4-BE49-F238E27FC236}">
              <a16:creationId xmlns:a16="http://schemas.microsoft.com/office/drawing/2014/main" id="{0BEDCE3D-E7AE-801A-2835-759229362D48}"/>
            </a:ext>
          </a:extLst>
        </xdr:cNvPr>
        <xdr:cNvSpPr txBox="1"/>
      </xdr:nvSpPr>
      <xdr:spPr>
        <a:xfrm>
          <a:off x="0" y="809625"/>
          <a:ext cx="3352800" cy="619125"/>
        </a:xfrm>
        <a:prstGeom prst="rect">
          <a:avLst/>
        </a:prstGeom>
        <a:solidFill>
          <a:schemeClr val="tx2">
            <a:lumMod val="40000"/>
            <a:lumOff val="60000"/>
          </a:schemeClr>
        </a:solidFill>
        <a:ln w="127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 1,90,73,600</a:t>
          </a:r>
        </a:p>
        <a:p>
          <a:pPr algn="ctr"/>
          <a:r>
            <a:rPr lang="en-IN" sz="1400"/>
            <a:t>Total Sales</a:t>
          </a:r>
        </a:p>
        <a:p>
          <a:endParaRPr lang="en-IN" sz="1100"/>
        </a:p>
      </xdr:txBody>
    </xdr:sp>
    <xdr:clientData/>
  </xdr:twoCellAnchor>
  <xdr:twoCellAnchor>
    <xdr:from>
      <xdr:col>3</xdr:col>
      <xdr:colOff>857250</xdr:colOff>
      <xdr:row>4</xdr:row>
      <xdr:rowOff>0</xdr:rowOff>
    </xdr:from>
    <xdr:to>
      <xdr:col>7</xdr:col>
      <xdr:colOff>847726</xdr:colOff>
      <xdr:row>7</xdr:row>
      <xdr:rowOff>47626</xdr:rowOff>
    </xdr:to>
    <xdr:sp macro="" textlink="">
      <xdr:nvSpPr>
        <xdr:cNvPr id="9" name="TextBox 8">
          <a:extLst>
            <a:ext uri="{FF2B5EF4-FFF2-40B4-BE49-F238E27FC236}">
              <a16:creationId xmlns:a16="http://schemas.microsoft.com/office/drawing/2014/main" id="{BA3E1E4C-1944-9F96-03C6-C29D862A097F}"/>
            </a:ext>
          </a:extLst>
        </xdr:cNvPr>
        <xdr:cNvSpPr txBox="1"/>
      </xdr:nvSpPr>
      <xdr:spPr>
        <a:xfrm>
          <a:off x="3352800" y="809625"/>
          <a:ext cx="3409951" cy="619126"/>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2,000</a:t>
          </a:r>
        </a:p>
        <a:p>
          <a:pPr algn="ctr"/>
          <a:r>
            <a:rPr lang="en-IN" sz="1400"/>
            <a:t>Total Customers</a:t>
          </a:r>
        </a:p>
      </xdr:txBody>
    </xdr:sp>
    <xdr:clientData/>
  </xdr:twoCellAnchor>
  <xdr:twoCellAnchor>
    <xdr:from>
      <xdr:col>7</xdr:col>
      <xdr:colOff>847726</xdr:colOff>
      <xdr:row>4</xdr:row>
      <xdr:rowOff>0</xdr:rowOff>
    </xdr:from>
    <xdr:to>
      <xdr:col>12</xdr:col>
      <xdr:colOff>28576</xdr:colOff>
      <xdr:row>7</xdr:row>
      <xdr:rowOff>47625</xdr:rowOff>
    </xdr:to>
    <xdr:sp macro="" textlink="">
      <xdr:nvSpPr>
        <xdr:cNvPr id="10" name="TextBox 9">
          <a:extLst>
            <a:ext uri="{FF2B5EF4-FFF2-40B4-BE49-F238E27FC236}">
              <a16:creationId xmlns:a16="http://schemas.microsoft.com/office/drawing/2014/main" id="{84B5023E-DF60-9322-F9B1-B8BD3E2C2073}"/>
            </a:ext>
          </a:extLst>
        </xdr:cNvPr>
        <xdr:cNvSpPr txBox="1"/>
      </xdr:nvSpPr>
      <xdr:spPr>
        <a:xfrm>
          <a:off x="6762751" y="809625"/>
          <a:ext cx="3448050" cy="619125"/>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dk1"/>
              </a:solidFill>
              <a:effectLst/>
              <a:latin typeface="+mn-lt"/>
              <a:ea typeface="+mn-ea"/>
              <a:cs typeface="+mn-cs"/>
            </a:rPr>
            <a:t>₹ </a:t>
          </a:r>
          <a:r>
            <a:rPr lang="en-IN" sz="2000" b="1"/>
            <a:t>9,536.8</a:t>
          </a:r>
        </a:p>
        <a:p>
          <a:pPr algn="ctr"/>
          <a:r>
            <a:rPr lang="en-IN" sz="1400"/>
            <a:t>Average Order Value</a:t>
          </a:r>
        </a:p>
      </xdr:txBody>
    </xdr:sp>
    <xdr:clientData/>
  </xdr:twoCellAnchor>
  <xdr:twoCellAnchor>
    <xdr:from>
      <xdr:col>12</xdr:col>
      <xdr:colOff>38100</xdr:colOff>
      <xdr:row>4</xdr:row>
      <xdr:rowOff>0</xdr:rowOff>
    </xdr:from>
    <xdr:to>
      <xdr:col>16</xdr:col>
      <xdr:colOff>38100</xdr:colOff>
      <xdr:row>7</xdr:row>
      <xdr:rowOff>47625</xdr:rowOff>
    </xdr:to>
    <xdr:sp macro="" textlink="">
      <xdr:nvSpPr>
        <xdr:cNvPr id="11" name="TextBox 10">
          <a:extLst>
            <a:ext uri="{FF2B5EF4-FFF2-40B4-BE49-F238E27FC236}">
              <a16:creationId xmlns:a16="http://schemas.microsoft.com/office/drawing/2014/main" id="{13E2453F-B5C2-3FCC-D1FC-D21213B1F97E}"/>
            </a:ext>
          </a:extLst>
        </xdr:cNvPr>
        <xdr:cNvSpPr txBox="1"/>
      </xdr:nvSpPr>
      <xdr:spPr>
        <a:xfrm>
          <a:off x="10220325" y="809625"/>
          <a:ext cx="3219450" cy="619125"/>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dk1"/>
              </a:solidFill>
              <a:effectLst/>
              <a:latin typeface="+mn-lt"/>
              <a:ea typeface="+mn-ea"/>
              <a:cs typeface="+mn-cs"/>
            </a:rPr>
            <a:t>₹ </a:t>
          </a:r>
          <a:r>
            <a:rPr lang="en-IN" sz="2000" b="1"/>
            <a:t>2,25,840</a:t>
          </a:r>
        </a:p>
        <a:p>
          <a:pPr algn="ctr"/>
          <a:r>
            <a:rPr lang="en-IN" sz="1400" b="0"/>
            <a:t>Forecast Next Month Sales</a:t>
          </a:r>
        </a:p>
      </xdr:txBody>
    </xdr:sp>
    <xdr:clientData/>
  </xdr:twoCellAnchor>
  <xdr:twoCellAnchor editAs="oneCell">
    <xdr:from>
      <xdr:col>1</xdr:col>
      <xdr:colOff>447675</xdr:colOff>
      <xdr:row>7</xdr:row>
      <xdr:rowOff>47625</xdr:rowOff>
    </xdr:from>
    <xdr:to>
      <xdr:col>2</xdr:col>
      <xdr:colOff>533400</xdr:colOff>
      <xdr:row>11</xdr:row>
      <xdr:rowOff>57150</xdr:rowOff>
    </xdr:to>
    <xdr:pic>
      <xdr:nvPicPr>
        <xdr:cNvPr id="13" name="Graphic 12" descr="Bar graph with upward trend with solid fill">
          <a:extLst>
            <a:ext uri="{FF2B5EF4-FFF2-40B4-BE49-F238E27FC236}">
              <a16:creationId xmlns:a16="http://schemas.microsoft.com/office/drawing/2014/main" id="{CA301FB0-5E4A-4C8C-0DD2-7CDA92A1DC5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47775" y="1428750"/>
          <a:ext cx="914400" cy="771525"/>
        </a:xfrm>
        <a:prstGeom prst="rect">
          <a:avLst/>
        </a:prstGeom>
      </xdr:spPr>
    </xdr:pic>
    <xdr:clientData/>
  </xdr:twoCellAnchor>
  <xdr:twoCellAnchor editAs="oneCell">
    <xdr:from>
      <xdr:col>5</xdr:col>
      <xdr:colOff>361950</xdr:colOff>
      <xdr:row>6</xdr:row>
      <xdr:rowOff>152399</xdr:rowOff>
    </xdr:from>
    <xdr:to>
      <xdr:col>6</xdr:col>
      <xdr:colOff>419100</xdr:colOff>
      <xdr:row>11</xdr:row>
      <xdr:rowOff>161924</xdr:rowOff>
    </xdr:to>
    <xdr:pic>
      <xdr:nvPicPr>
        <xdr:cNvPr id="15" name="Graphic 14" descr="Target Audience with solid fill">
          <a:extLst>
            <a:ext uri="{FF2B5EF4-FFF2-40B4-BE49-F238E27FC236}">
              <a16:creationId xmlns:a16="http://schemas.microsoft.com/office/drawing/2014/main" id="{99FCF267-42E0-7E7A-F7D0-5B03290B11A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572000" y="1343024"/>
          <a:ext cx="914400" cy="962025"/>
        </a:xfrm>
        <a:prstGeom prst="rect">
          <a:avLst/>
        </a:prstGeom>
      </xdr:spPr>
    </xdr:pic>
    <xdr:clientData/>
  </xdr:twoCellAnchor>
  <xdr:twoCellAnchor editAs="oneCell">
    <xdr:from>
      <xdr:col>9</xdr:col>
      <xdr:colOff>457200</xdr:colOff>
      <xdr:row>7</xdr:row>
      <xdr:rowOff>38100</xdr:rowOff>
    </xdr:from>
    <xdr:to>
      <xdr:col>10</xdr:col>
      <xdr:colOff>523875</xdr:colOff>
      <xdr:row>11</xdr:row>
      <xdr:rowOff>95250</xdr:rowOff>
    </xdr:to>
    <xdr:pic>
      <xdr:nvPicPr>
        <xdr:cNvPr id="17" name="Graphic 16" descr="Bar chart with solid fill">
          <a:extLst>
            <a:ext uri="{FF2B5EF4-FFF2-40B4-BE49-F238E27FC236}">
              <a16:creationId xmlns:a16="http://schemas.microsoft.com/office/drawing/2014/main" id="{E9010DA0-B794-B675-D6CF-A8DC0DD23FE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086725" y="1419225"/>
          <a:ext cx="914400" cy="819150"/>
        </a:xfrm>
        <a:prstGeom prst="rect">
          <a:avLst/>
        </a:prstGeom>
      </xdr:spPr>
    </xdr:pic>
    <xdr:clientData/>
  </xdr:twoCellAnchor>
  <xdr:twoCellAnchor editAs="oneCell">
    <xdr:from>
      <xdr:col>13</xdr:col>
      <xdr:colOff>466725</xdr:colOff>
      <xdr:row>7</xdr:row>
      <xdr:rowOff>47625</xdr:rowOff>
    </xdr:from>
    <xdr:to>
      <xdr:col>14</xdr:col>
      <xdr:colOff>504825</xdr:colOff>
      <xdr:row>11</xdr:row>
      <xdr:rowOff>57150</xdr:rowOff>
    </xdr:to>
    <xdr:pic>
      <xdr:nvPicPr>
        <xdr:cNvPr id="19" name="Graphic 18" descr="Bullseye with solid fill">
          <a:extLst>
            <a:ext uri="{FF2B5EF4-FFF2-40B4-BE49-F238E27FC236}">
              <a16:creationId xmlns:a16="http://schemas.microsoft.com/office/drawing/2014/main" id="{BEB9BA35-5C54-3E7D-D844-68AE9194DE1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525250" y="1428750"/>
          <a:ext cx="914400" cy="771525"/>
        </a:xfrm>
        <a:prstGeom prst="rect">
          <a:avLst/>
        </a:prstGeom>
      </xdr:spPr>
    </xdr:pic>
    <xdr:clientData/>
  </xdr:twoCellAnchor>
  <xdr:twoCellAnchor>
    <xdr:from>
      <xdr:col>0</xdr:col>
      <xdr:colOff>114300</xdr:colOff>
      <xdr:row>47</xdr:row>
      <xdr:rowOff>85724</xdr:rowOff>
    </xdr:from>
    <xdr:to>
      <xdr:col>3</xdr:col>
      <xdr:colOff>704850</xdr:colOff>
      <xdr:row>52</xdr:row>
      <xdr:rowOff>114299</xdr:rowOff>
    </xdr:to>
    <xdr:sp macro="" textlink="">
      <xdr:nvSpPr>
        <xdr:cNvPr id="20" name="TextBox 19">
          <a:extLst>
            <a:ext uri="{FF2B5EF4-FFF2-40B4-BE49-F238E27FC236}">
              <a16:creationId xmlns:a16="http://schemas.microsoft.com/office/drawing/2014/main" id="{C7E0DAF5-6542-EDBD-E9B2-550B179FB23D}"/>
            </a:ext>
          </a:extLst>
        </xdr:cNvPr>
        <xdr:cNvSpPr txBox="1"/>
      </xdr:nvSpPr>
      <xdr:spPr>
        <a:xfrm>
          <a:off x="114300" y="9086849"/>
          <a:ext cx="3086100" cy="98107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AI Forecast (Excel AI):</a:t>
          </a:r>
          <a:br>
            <a:rPr lang="en-IN" sz="1400"/>
          </a:br>
          <a:r>
            <a:rPr lang="en-IN" sz="1400"/>
            <a:t>Forecast next 12 months using time series model</a:t>
          </a:r>
          <a:br>
            <a:rPr lang="en-IN" sz="1400"/>
          </a:br>
          <a:r>
            <a:rPr lang="en-IN" sz="1400"/>
            <a:t>Confidence level: 95%</a:t>
          </a:r>
        </a:p>
      </xdr:txBody>
    </xdr:sp>
    <xdr:clientData/>
  </xdr:twoCellAnchor>
  <xdr:twoCellAnchor>
    <xdr:from>
      <xdr:col>11</xdr:col>
      <xdr:colOff>38100</xdr:colOff>
      <xdr:row>47</xdr:row>
      <xdr:rowOff>76201</xdr:rowOff>
    </xdr:from>
    <xdr:to>
      <xdr:col>14</xdr:col>
      <xdr:colOff>447675</xdr:colOff>
      <xdr:row>53</xdr:row>
      <xdr:rowOff>133351</xdr:rowOff>
    </xdr:to>
    <xdr:sp macro="" textlink="">
      <xdr:nvSpPr>
        <xdr:cNvPr id="21" name="TextBox 20">
          <a:extLst>
            <a:ext uri="{FF2B5EF4-FFF2-40B4-BE49-F238E27FC236}">
              <a16:creationId xmlns:a16="http://schemas.microsoft.com/office/drawing/2014/main" id="{2D35EEC2-CA3E-80CC-549A-FD34D0AC8C45}"/>
            </a:ext>
          </a:extLst>
        </xdr:cNvPr>
        <xdr:cNvSpPr txBox="1"/>
      </xdr:nvSpPr>
      <xdr:spPr>
        <a:xfrm>
          <a:off x="9363075" y="9077326"/>
          <a:ext cx="3019425" cy="120015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t>• Sales peak in Dec–Jan</a:t>
          </a:r>
        </a:p>
        <a:p>
          <a:pPr algn="l"/>
          <a:r>
            <a:rPr lang="en-IN" sz="1400" b="1"/>
            <a:t>• Electronics is highest revenue but low profit margin</a:t>
          </a:r>
        </a:p>
        <a:p>
          <a:pPr algn="l"/>
          <a:r>
            <a:rPr lang="en-IN" sz="1400" b="1"/>
            <a:t>• Forecast shows stable trend next 3 months</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37</xdr:row>
      <xdr:rowOff>128587</xdr:rowOff>
    </xdr:from>
    <xdr:to>
      <xdr:col>7</xdr:col>
      <xdr:colOff>781050</xdr:colOff>
      <xdr:row>52</xdr:row>
      <xdr:rowOff>14287</xdr:rowOff>
    </xdr:to>
    <xdr:graphicFrame macro="">
      <xdr:nvGraphicFramePr>
        <xdr:cNvPr id="2" name="Chart 1">
          <a:extLst>
            <a:ext uri="{FF2B5EF4-FFF2-40B4-BE49-F238E27FC236}">
              <a16:creationId xmlns:a16="http://schemas.microsoft.com/office/drawing/2014/main" id="{59E35931-5E5B-B3B6-8E23-C04394EF1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219076</xdr:colOff>
      <xdr:row>6</xdr:row>
      <xdr:rowOff>71437</xdr:rowOff>
    </xdr:from>
    <xdr:to>
      <xdr:col>6</xdr:col>
      <xdr:colOff>409576</xdr:colOff>
      <xdr:row>20</xdr:row>
      <xdr:rowOff>147637</xdr:rowOff>
    </xdr:to>
    <xdr:graphicFrame macro="">
      <xdr:nvGraphicFramePr>
        <xdr:cNvPr id="3" name="Chart 2">
          <a:extLst>
            <a:ext uri="{FF2B5EF4-FFF2-40B4-BE49-F238E27FC236}">
              <a16:creationId xmlns:a16="http://schemas.microsoft.com/office/drawing/2014/main" id="{C465DA75-5B3E-B961-FE08-FB08BDC72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571500</xdr:colOff>
      <xdr:row>6</xdr:row>
      <xdr:rowOff>71437</xdr:rowOff>
    </xdr:from>
    <xdr:to>
      <xdr:col>10</xdr:col>
      <xdr:colOff>514350</xdr:colOff>
      <xdr:row>20</xdr:row>
      <xdr:rowOff>147637</xdr:rowOff>
    </xdr:to>
    <xdr:graphicFrame macro="">
      <xdr:nvGraphicFramePr>
        <xdr:cNvPr id="4" name="Chart 3">
          <a:extLst>
            <a:ext uri="{FF2B5EF4-FFF2-40B4-BE49-F238E27FC236}">
              <a16:creationId xmlns:a16="http://schemas.microsoft.com/office/drawing/2014/main" id="{51D4A463-E988-DFD5-01C3-89AB90595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47625</xdr:colOff>
      <xdr:row>6</xdr:row>
      <xdr:rowOff>71437</xdr:rowOff>
    </xdr:from>
    <xdr:to>
      <xdr:col>14</xdr:col>
      <xdr:colOff>533400</xdr:colOff>
      <xdr:row>20</xdr:row>
      <xdr:rowOff>147637</xdr:rowOff>
    </xdr:to>
    <xdr:graphicFrame macro="">
      <xdr:nvGraphicFramePr>
        <xdr:cNvPr id="5" name="Chart 4">
          <a:extLst>
            <a:ext uri="{FF2B5EF4-FFF2-40B4-BE49-F238E27FC236}">
              <a16:creationId xmlns:a16="http://schemas.microsoft.com/office/drawing/2014/main" id="{A389430B-3097-3BFD-ADBC-E9C4B723EE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590550</xdr:colOff>
      <xdr:row>22</xdr:row>
      <xdr:rowOff>161925</xdr:rowOff>
    </xdr:from>
    <xdr:to>
      <xdr:col>13</xdr:col>
      <xdr:colOff>504825</xdr:colOff>
      <xdr:row>36</xdr:row>
      <xdr:rowOff>19050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627F15A5-0D11-567F-EE0A-A47DBD95414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05950" y="4400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457200</xdr:colOff>
      <xdr:row>22</xdr:row>
      <xdr:rowOff>152400</xdr:rowOff>
    </xdr:from>
    <xdr:to>
      <xdr:col>9</xdr:col>
      <xdr:colOff>504825</xdr:colOff>
      <xdr:row>36</xdr:row>
      <xdr:rowOff>9525</xdr:rowOff>
    </xdr:to>
    <mc:AlternateContent xmlns:mc="http://schemas.openxmlformats.org/markup-compatibility/2006" xmlns:a14="http://schemas.microsoft.com/office/drawing/2010/main">
      <mc:Choice Requires="a14">
        <xdr:graphicFrame macro="">
          <xdr:nvGraphicFramePr>
            <xdr:cNvPr id="7" name="Product_Category">
              <a:extLst>
                <a:ext uri="{FF2B5EF4-FFF2-40B4-BE49-F238E27FC236}">
                  <a16:creationId xmlns:a16="http://schemas.microsoft.com/office/drawing/2014/main" id="{51032749-EE11-EB3B-F942-C15BF4A015E4}"/>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6086475" y="4391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xdr:colOff>
      <xdr:row>22</xdr:row>
      <xdr:rowOff>142875</xdr:rowOff>
    </xdr:from>
    <xdr:to>
      <xdr:col>5</xdr:col>
      <xdr:colOff>152400</xdr:colOff>
      <xdr:row>36</xdr:row>
      <xdr:rowOff>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2F6508FD-1E28-E636-1FF4-5F587D8E77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05075" y="4381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1095375</xdr:colOff>
      <xdr:row>3</xdr:row>
      <xdr:rowOff>4762</xdr:rowOff>
    </xdr:from>
    <xdr:to>
      <xdr:col>8</xdr:col>
      <xdr:colOff>95250</xdr:colOff>
      <xdr:row>18</xdr:row>
      <xdr:rowOff>80962</xdr:rowOff>
    </xdr:to>
    <xdr:graphicFrame macro="">
      <xdr:nvGraphicFramePr>
        <xdr:cNvPr id="2" name="Chart 1">
          <a:extLst>
            <a:ext uri="{FF2B5EF4-FFF2-40B4-BE49-F238E27FC236}">
              <a16:creationId xmlns:a16="http://schemas.microsoft.com/office/drawing/2014/main" id="{CEDAD675-710E-EB14-0265-2BC687EDD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gn" refreshedDate="46042.500428240739" createdVersion="8" refreshedVersion="8" minRefreshableVersion="3" recordCount="2000" xr:uid="{0E2D3DCF-D8C8-4209-A05F-870BB2639DFB}">
  <cacheSource type="worksheet">
    <worksheetSource name="Sales_Data3"/>
  </cacheSource>
  <cacheFields count="14">
    <cacheField name="Order_ID" numFmtId="0">
      <sharedItems/>
    </cacheField>
    <cacheField name="Order_Date" numFmtId="14">
      <sharedItems containsSemiMixedTypes="0" containsNonDate="0" containsDate="1" containsString="0" minDate="2020-01-12T00:00:00" maxDate="2025-07-04T00:00:00"/>
    </cacheField>
    <cacheField name="Year" numFmtId="0">
      <sharedItems containsSemiMixedTypes="0" containsString="0" containsNumber="1" containsInteger="1" minValue="2020" maxValue="2025" count="6">
        <n v="2020"/>
        <n v="2021"/>
        <n v="2022"/>
        <n v="2023"/>
        <n v="2024"/>
        <n v="2025"/>
      </sharedItems>
    </cacheField>
    <cacheField name="Month" numFmtId="0">
      <sharedItems count="12">
        <s v="Jan"/>
        <s v="Feb"/>
        <s v="Mar"/>
        <s v="Apr"/>
        <s v="May"/>
        <s v="Jun"/>
        <s v="Jul"/>
        <s v="Aug"/>
        <s v="Sep"/>
        <s v="Oct"/>
        <s v="Nov"/>
        <s v="Dec"/>
      </sharedItems>
    </cacheField>
    <cacheField name="Product_Category" numFmtId="0">
      <sharedItems count="3">
        <s v="Electronics"/>
        <s v="Furniture"/>
        <s v="Office Supplies"/>
      </sharedItems>
    </cacheField>
    <cacheField name="Product_Name" numFmtId="0">
      <sharedItems/>
    </cacheField>
    <cacheField name="Region" numFmtId="0">
      <sharedItems count="4">
        <s v="North"/>
        <s v="South"/>
        <s v="East"/>
        <s v="West"/>
      </sharedItems>
    </cacheField>
    <cacheField name="Customer_Segment" numFmtId="0">
      <sharedItems count="3">
        <s v="Consumer"/>
        <s v="Corporate"/>
        <s v="Home Office"/>
      </sharedItems>
    </cacheField>
    <cacheField name="Quantity" numFmtId="0">
      <sharedItems containsSemiMixedTypes="0" containsString="0" containsNumber="1" containsInteger="1" minValue="1" maxValue="10"/>
    </cacheField>
    <cacheField name="Sales" numFmtId="1">
      <sharedItems containsSemiMixedTypes="0" containsString="0" containsNumber="1" containsInteger="1" minValue="4000" maxValue="15000"/>
    </cacheField>
    <cacheField name="Discount" numFmtId="2">
      <sharedItems containsSemiMixedTypes="0" containsString="0" containsNumber="1" minValue="0.05" maxValue="0.25"/>
    </cacheField>
    <cacheField name="Profit" numFmtId="1">
      <sharedItems containsSemiMixedTypes="0" containsString="0" containsNumber="1" containsInteger="1" minValue="3000" maxValue="14250"/>
    </cacheField>
    <cacheField name="Profit_Margin" numFmtId="10">
      <sharedItems containsSemiMixedTypes="0" containsString="0" containsNumber="1" minValue="0.75" maxValue="0.95"/>
    </cacheField>
    <cacheField name="Sales_Band" numFmtId="0">
      <sharedItems/>
    </cacheField>
  </cacheFields>
  <extLst>
    <ext xmlns:x14="http://schemas.microsoft.com/office/spreadsheetml/2009/9/main" uri="{725AE2AE-9491-48be-B2B4-4EB974FC3084}">
      <x14:pivotCacheDefinition pivotCacheId="10720294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gn" refreshedDate="46042.531986921298" backgroundQuery="1" createdVersion="8" refreshedVersion="8" minRefreshableVersion="3" recordCount="0" supportSubquery="1" supportAdvancedDrill="1" xr:uid="{08F86BD2-B17D-4D2B-8F3C-D92CF1254FA3}">
  <cacheSource type="external" connectionId="1"/>
  <cacheFields count="3">
    <cacheField name="[Sales_Data3].[Product_Category].[Product_Category]" caption="Product_Category" numFmtId="0" hierarchy="4" level="1">
      <sharedItems count="3">
        <s v="Electronics"/>
        <s v="Furniture"/>
        <s v="Office Supplies"/>
      </sharedItems>
    </cacheField>
    <cacheField name="[Measures].[Sum of Sales]" caption="Sum of Sales" numFmtId="0" hierarchy="16" level="32767"/>
    <cacheField name="[Measures].[Average of Profit_Margin]" caption="Average of Profit_Margin" numFmtId="0" hierarchy="18" level="32767"/>
  </cacheFields>
  <cacheHierarchies count="19">
    <cacheHierarchy uniqueName="[Sales_Data3].[Order_ID]" caption="Order_ID" attribute="1" defaultMemberUniqueName="[Sales_Data3].[Order_ID].[All]" allUniqueName="[Sales_Data3].[Order_ID].[All]" dimensionUniqueName="[Sales_Data3]" displayFolder="" count="0" memberValueDatatype="130" unbalanced="0"/>
    <cacheHierarchy uniqueName="[Sales_Data3].[Order_Date]" caption="Order_Date" attribute="1" time="1" defaultMemberUniqueName="[Sales_Data3].[Order_Date].[All]" allUniqueName="[Sales_Data3].[Order_Date].[All]" dimensionUniqueName="[Sales_Data3]" displayFolder="" count="0" memberValueDatatype="7" unbalanced="0"/>
    <cacheHierarchy uniqueName="[Sales_Data3].[Year]" caption="Year" attribute="1" defaultMemberUniqueName="[Sales_Data3].[Year].[All]" allUniqueName="[Sales_Data3].[Year].[All]" dimensionUniqueName="[Sales_Data3]" displayFolder="" count="0" memberValueDatatype="20" unbalanced="0"/>
    <cacheHierarchy uniqueName="[Sales_Data3].[Month]" caption="Month" attribute="1" defaultMemberUniqueName="[Sales_Data3].[Month].[All]" allUniqueName="[Sales_Data3].[Month].[All]" dimensionUniqueName="[Sales_Data3]" displayFolder="" count="0" memberValueDatatype="130" unbalanced="0"/>
    <cacheHierarchy uniqueName="[Sales_Data3].[Product_Category]" caption="Product_Category" attribute="1" defaultMemberUniqueName="[Sales_Data3].[Product_Category].[All]" allUniqueName="[Sales_Data3].[Product_Category].[All]" dimensionUniqueName="[Sales_Data3]" displayFolder="" count="2" memberValueDatatype="130" unbalanced="0">
      <fieldsUsage count="2">
        <fieldUsage x="-1"/>
        <fieldUsage x="0"/>
      </fieldsUsage>
    </cacheHierarchy>
    <cacheHierarchy uniqueName="[Sales_Data3].[Product_Name]" caption="Product_Name" attribute="1" defaultMemberUniqueName="[Sales_Data3].[Product_Name].[All]" allUniqueName="[Sales_Data3].[Product_Name].[All]" dimensionUniqueName="[Sales_Data3]" displayFolder="" count="0" memberValueDatatype="130" unbalanced="0"/>
    <cacheHierarchy uniqueName="[Sales_Data3].[Region]" caption="Region" attribute="1" defaultMemberUniqueName="[Sales_Data3].[Region].[All]" allUniqueName="[Sales_Data3].[Region].[All]" dimensionUniqueName="[Sales_Data3]" displayFolder="" count="0" memberValueDatatype="130" unbalanced="0"/>
    <cacheHierarchy uniqueName="[Sales_Data3].[Customer_Segment]" caption="Customer_Segment" attribute="1" defaultMemberUniqueName="[Sales_Data3].[Customer_Segment].[All]" allUniqueName="[Sales_Data3].[Customer_Segment].[All]" dimensionUniqueName="[Sales_Data3]" displayFolder="" count="0" memberValueDatatype="130" unbalanced="0"/>
    <cacheHierarchy uniqueName="[Sales_Data3].[Quantity]" caption="Quantity" attribute="1" defaultMemberUniqueName="[Sales_Data3].[Quantity].[All]" allUniqueName="[Sales_Data3].[Quantity].[All]" dimensionUniqueName="[Sales_Data3]" displayFolder="" count="0" memberValueDatatype="20" unbalanced="0"/>
    <cacheHierarchy uniqueName="[Sales_Data3].[Sales]" caption="Sales" attribute="1" defaultMemberUniqueName="[Sales_Data3].[Sales].[All]" allUniqueName="[Sales_Data3].[Sales].[All]" dimensionUniqueName="[Sales_Data3]" displayFolder="" count="0" memberValueDatatype="20" unbalanced="0"/>
    <cacheHierarchy uniqueName="[Sales_Data3].[Discount]" caption="Discount" attribute="1" defaultMemberUniqueName="[Sales_Data3].[Discount].[All]" allUniqueName="[Sales_Data3].[Discount].[All]" dimensionUniqueName="[Sales_Data3]" displayFolder="" count="0" memberValueDatatype="5" unbalanced="0"/>
    <cacheHierarchy uniqueName="[Sales_Data3].[Profit]" caption="Profit" attribute="1" defaultMemberUniqueName="[Sales_Data3].[Profit].[All]" allUniqueName="[Sales_Data3].[Profit].[All]" dimensionUniqueName="[Sales_Data3]" displayFolder="" count="0" memberValueDatatype="20" unbalanced="0"/>
    <cacheHierarchy uniqueName="[Sales_Data3].[Profit_Margin]" caption="Profit_Margin" attribute="1" defaultMemberUniqueName="[Sales_Data3].[Profit_Margin].[All]" allUniqueName="[Sales_Data3].[Profit_Margin].[All]" dimensionUniqueName="[Sales_Data3]" displayFolder="" count="0" memberValueDatatype="5" unbalanced="0"/>
    <cacheHierarchy uniqueName="[Sales_Data3].[Sales_Band]" caption="Sales_Band" attribute="1" defaultMemberUniqueName="[Sales_Data3].[Sales_Band].[All]" allUniqueName="[Sales_Data3].[Sales_Band].[All]" dimensionUniqueName="[Sales_Data3]" displayFolder="" count="0" memberValueDatatype="130" unbalanced="0"/>
    <cacheHierarchy uniqueName="[Measures].[__XL_Count Sales_Data3]" caption="__XL_Count Sales_Data3" measure="1" displayFolder="" measureGroup="Sales_Data3" count="0" hidden="1"/>
    <cacheHierarchy uniqueName="[Measures].[__No measures defined]" caption="__No measures defined" measure="1" displayFolder="" count="0" hidden="1"/>
    <cacheHierarchy uniqueName="[Measures].[Sum of Sales]" caption="Sum of Sales" measure="1" displayFolder="" measureGroup="Sales_Data3"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_Margin]" caption="Sum of Profit_Margin" measure="1" displayFolder="" measureGroup="Sales_Data3" count="0" hidden="1">
      <extLst>
        <ext xmlns:x15="http://schemas.microsoft.com/office/spreadsheetml/2010/11/main" uri="{B97F6D7D-B522-45F9-BDA1-12C45D357490}">
          <x15:cacheHierarchy aggregatedColumn="12"/>
        </ext>
      </extLst>
    </cacheHierarchy>
    <cacheHierarchy uniqueName="[Measures].[Average of Profit_Margin]" caption="Average of Profit_Margin" measure="1" displayFolder="" measureGroup="Sales_Data3"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_Data3" uniqueName="[Sales_Data3]" caption="Sales_Data3"/>
  </dimensions>
  <measureGroups count="1">
    <measureGroup name="Sales_Data3" caption="Sales_Data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gn" refreshedDate="46042.582873495368" createdVersion="8" refreshedVersion="8" minRefreshableVersion="3" recordCount="2000" xr:uid="{07991F6F-EC1A-4BC0-B279-58A7229B52DB}">
  <cacheSource type="worksheet">
    <worksheetSource name="Sales_Data[Discount]"/>
  </cacheSource>
  <cacheFields count="1">
    <cacheField name="Discount" numFmtId="9">
      <sharedItems containsSemiMixedTypes="0" containsString="0" containsNumber="1" minValue="0.05" maxValue="0.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d v="2020-01-12T00:00:00"/>
    <x v="0"/>
    <x v="0"/>
    <x v="0"/>
    <s v="Bluetooth Speaker"/>
    <x v="0"/>
    <x v="0"/>
    <n v="6"/>
    <n v="4000"/>
    <n v="0.05"/>
    <n v="3800"/>
    <n v="0.95"/>
    <s v="Low"/>
  </r>
  <r>
    <s v="ORD1002"/>
    <d v="2020-01-13T00:00:00"/>
    <x v="0"/>
    <x v="0"/>
    <x v="0"/>
    <s v="Wireless Mouse"/>
    <x v="1"/>
    <x v="0"/>
    <n v="2"/>
    <n v="6400"/>
    <n v="0.1"/>
    <n v="5760"/>
    <n v="0.9"/>
    <s v="Medium"/>
  </r>
  <r>
    <s v="ORD1003"/>
    <d v="2020-01-14T00:00:00"/>
    <x v="0"/>
    <x v="0"/>
    <x v="0"/>
    <s v="Keyboard"/>
    <x v="2"/>
    <x v="0"/>
    <n v="7"/>
    <n v="13900"/>
    <n v="0.15000000000000002"/>
    <n v="11815"/>
    <n v="0.85"/>
    <s v="High"/>
  </r>
  <r>
    <s v="ORD1004"/>
    <d v="2020-01-15T00:00:00"/>
    <x v="0"/>
    <x v="0"/>
    <x v="0"/>
    <s v="Laptop Stand"/>
    <x v="3"/>
    <x v="0"/>
    <n v="9"/>
    <n v="9500"/>
    <n v="0.2"/>
    <n v="7600"/>
    <n v="0.8"/>
    <s v="Medium"/>
  </r>
  <r>
    <s v="ORD1005"/>
    <d v="2020-01-16T00:00:00"/>
    <x v="0"/>
    <x v="0"/>
    <x v="0"/>
    <s v="USB Flash Drive"/>
    <x v="0"/>
    <x v="0"/>
    <n v="10"/>
    <n v="5500"/>
    <n v="0.25"/>
    <n v="4125"/>
    <n v="0.75"/>
    <s v="Medium"/>
  </r>
  <r>
    <s v="ORD1006"/>
    <d v="2020-01-17T00:00:00"/>
    <x v="0"/>
    <x v="0"/>
    <x v="0"/>
    <s v="External Hard Disk"/>
    <x v="1"/>
    <x v="0"/>
    <n v="3"/>
    <n v="9300"/>
    <n v="0.05"/>
    <n v="8835"/>
    <n v="0.95"/>
    <s v="Medium"/>
  </r>
  <r>
    <s v="ORD1007"/>
    <d v="2020-01-18T00:00:00"/>
    <x v="0"/>
    <x v="0"/>
    <x v="0"/>
    <s v="Webcam"/>
    <x v="2"/>
    <x v="0"/>
    <n v="9"/>
    <n v="13500"/>
    <n v="0.1"/>
    <n v="12150"/>
    <n v="0.9"/>
    <s v="High"/>
  </r>
  <r>
    <s v="ORD1008"/>
    <d v="2020-01-19T00:00:00"/>
    <x v="0"/>
    <x v="0"/>
    <x v="0"/>
    <s v="Noise Cancelling Headphones"/>
    <x v="3"/>
    <x v="0"/>
    <n v="3"/>
    <n v="12400"/>
    <n v="0.15000000000000002"/>
    <n v="10540"/>
    <n v="0.85"/>
    <s v="High"/>
  </r>
  <r>
    <s v="ORD1009"/>
    <d v="2020-01-20T00:00:00"/>
    <x v="0"/>
    <x v="0"/>
    <x v="0"/>
    <s v="Smart Watch"/>
    <x v="0"/>
    <x v="0"/>
    <n v="9"/>
    <n v="9400"/>
    <n v="0.2"/>
    <n v="7520"/>
    <n v="0.8"/>
    <s v="Medium"/>
  </r>
  <r>
    <s v="ORD1010"/>
    <d v="2020-01-21T00:00:00"/>
    <x v="0"/>
    <x v="0"/>
    <x v="0"/>
    <s v="Portable Power Bank"/>
    <x v="1"/>
    <x v="0"/>
    <n v="1"/>
    <n v="5400"/>
    <n v="0.25"/>
    <n v="4050"/>
    <n v="0.75"/>
    <s v="Medium"/>
  </r>
  <r>
    <s v="ORD1011"/>
    <d v="2020-01-22T00:00:00"/>
    <x v="0"/>
    <x v="0"/>
    <x v="1"/>
    <s v="Office Chair"/>
    <x v="2"/>
    <x v="1"/>
    <n v="8"/>
    <n v="6200"/>
    <n v="0.05"/>
    <n v="5890"/>
    <n v="0.95"/>
    <s v="Medium"/>
  </r>
  <r>
    <s v="ORD1012"/>
    <d v="2020-01-23T00:00:00"/>
    <x v="0"/>
    <x v="0"/>
    <x v="1"/>
    <s v="Study Table"/>
    <x v="3"/>
    <x v="1"/>
    <n v="2"/>
    <n v="14500"/>
    <n v="0.1"/>
    <n v="13050"/>
    <n v="0.9"/>
    <s v="High"/>
  </r>
  <r>
    <s v="ORD1013"/>
    <d v="2020-01-24T00:00:00"/>
    <x v="0"/>
    <x v="0"/>
    <x v="1"/>
    <s v="Wooden Bookshelf"/>
    <x v="0"/>
    <x v="1"/>
    <n v="8"/>
    <n v="14300"/>
    <n v="0.15000000000000002"/>
    <n v="12155"/>
    <n v="0.85"/>
    <s v="High"/>
  </r>
  <r>
    <s v="ORD1014"/>
    <d v="2020-01-25T00:00:00"/>
    <x v="0"/>
    <x v="0"/>
    <x v="1"/>
    <s v="Computer Desk"/>
    <x v="1"/>
    <x v="1"/>
    <n v="10"/>
    <n v="13500"/>
    <n v="0.2"/>
    <n v="10800"/>
    <n v="0.8"/>
    <s v="High"/>
  </r>
  <r>
    <s v="ORD1015"/>
    <d v="2020-01-26T00:00:00"/>
    <x v="0"/>
    <x v="0"/>
    <x v="1"/>
    <s v="Filing Cabinet"/>
    <x v="2"/>
    <x v="1"/>
    <n v="10"/>
    <n v="12500"/>
    <n v="0.25"/>
    <n v="9375"/>
    <n v="0.75"/>
    <s v="High"/>
  </r>
  <r>
    <s v="ORD1016"/>
    <d v="2020-01-27T00:00:00"/>
    <x v="0"/>
    <x v="0"/>
    <x v="1"/>
    <s v="Visitor Chair"/>
    <x v="3"/>
    <x v="1"/>
    <n v="8"/>
    <n v="5500"/>
    <n v="0.05"/>
    <n v="5225"/>
    <n v="0.95"/>
    <s v="Medium"/>
  </r>
  <r>
    <s v="ORD1017"/>
    <d v="2020-01-28T00:00:00"/>
    <x v="0"/>
    <x v="0"/>
    <x v="1"/>
    <s v="Conference Table"/>
    <x v="0"/>
    <x v="1"/>
    <n v="5"/>
    <n v="12500"/>
    <n v="0.1"/>
    <n v="11250"/>
    <n v="0.9"/>
    <s v="High"/>
  </r>
  <r>
    <s v="ORD1018"/>
    <d v="2020-01-29T00:00:00"/>
    <x v="0"/>
    <x v="0"/>
    <x v="1"/>
    <s v="Drawer Unit"/>
    <x v="1"/>
    <x v="1"/>
    <n v="5"/>
    <n v="4900"/>
    <n v="0.15000000000000002"/>
    <n v="4165"/>
    <n v="0.85"/>
    <s v="Low"/>
  </r>
  <r>
    <s v="ORD1019"/>
    <d v="2020-01-30T00:00:00"/>
    <x v="0"/>
    <x v="0"/>
    <x v="1"/>
    <s v="Ergonomic Stool"/>
    <x v="2"/>
    <x v="1"/>
    <n v="7"/>
    <n v="12700"/>
    <n v="0.2"/>
    <n v="10160"/>
    <n v="0.8"/>
    <s v="High"/>
  </r>
  <r>
    <s v="ORD1020"/>
    <d v="2020-01-31T00:00:00"/>
    <x v="0"/>
    <x v="0"/>
    <x v="1"/>
    <s v="Office Sofa"/>
    <x v="3"/>
    <x v="1"/>
    <n v="4"/>
    <n v="5700"/>
    <n v="0.25"/>
    <n v="4275"/>
    <n v="0.75"/>
    <s v="Medium"/>
  </r>
  <r>
    <s v="ORD1021"/>
    <d v="2020-02-01T00:00:00"/>
    <x v="0"/>
    <x v="1"/>
    <x v="2"/>
    <s v="Ball Pen Pack"/>
    <x v="0"/>
    <x v="2"/>
    <n v="9"/>
    <n v="4100"/>
    <n v="0.05"/>
    <n v="3895"/>
    <n v="0.95"/>
    <s v="Low"/>
  </r>
  <r>
    <s v="ORD1022"/>
    <d v="2020-02-02T00:00:00"/>
    <x v="0"/>
    <x v="1"/>
    <x v="2"/>
    <s v="Notebook"/>
    <x v="1"/>
    <x v="2"/>
    <n v="2"/>
    <n v="9400"/>
    <n v="0.1"/>
    <n v="8460"/>
    <n v="0.9"/>
    <s v="Medium"/>
  </r>
  <r>
    <s v="ORD1023"/>
    <d v="2020-02-03T00:00:00"/>
    <x v="0"/>
    <x v="1"/>
    <x v="2"/>
    <s v="Printer Paper Ream"/>
    <x v="2"/>
    <x v="2"/>
    <n v="2"/>
    <n v="14400"/>
    <n v="0.15000000000000002"/>
    <n v="12240"/>
    <n v="0.85"/>
    <s v="High"/>
  </r>
  <r>
    <s v="ORD1024"/>
    <d v="2020-02-04T00:00:00"/>
    <x v="0"/>
    <x v="1"/>
    <x v="2"/>
    <s v="Stapler"/>
    <x v="3"/>
    <x v="2"/>
    <n v="1"/>
    <n v="5300"/>
    <n v="0.2"/>
    <n v="4240"/>
    <n v="0.8"/>
    <s v="Medium"/>
  </r>
  <r>
    <s v="ORD1025"/>
    <d v="2020-02-05T00:00:00"/>
    <x v="0"/>
    <x v="1"/>
    <x v="2"/>
    <s v="Paper Clips Box"/>
    <x v="0"/>
    <x v="2"/>
    <n v="10"/>
    <n v="4000"/>
    <n v="0.25"/>
    <n v="3000"/>
    <n v="0.75"/>
    <s v="Low"/>
  </r>
  <r>
    <s v="ORD1026"/>
    <d v="2020-02-06T00:00:00"/>
    <x v="0"/>
    <x v="1"/>
    <x v="2"/>
    <s v="Highlighter Set"/>
    <x v="1"/>
    <x v="2"/>
    <n v="7"/>
    <n v="12800"/>
    <n v="0.05"/>
    <n v="12160"/>
    <n v="0.95"/>
    <s v="High"/>
  </r>
  <r>
    <s v="ORD1027"/>
    <d v="2020-02-07T00:00:00"/>
    <x v="0"/>
    <x v="1"/>
    <x v="2"/>
    <s v="Desk Organizer"/>
    <x v="2"/>
    <x v="2"/>
    <n v="3"/>
    <n v="10400"/>
    <n v="0.1"/>
    <n v="9360"/>
    <n v="0.9"/>
    <s v="High"/>
  </r>
  <r>
    <s v="ORD1028"/>
    <d v="2020-02-08T00:00:00"/>
    <x v="0"/>
    <x v="1"/>
    <x v="2"/>
    <s v="Calculator"/>
    <x v="3"/>
    <x v="2"/>
    <n v="2"/>
    <n v="13200"/>
    <n v="0.15000000000000002"/>
    <n v="11220"/>
    <n v="0.85"/>
    <s v="High"/>
  </r>
  <r>
    <s v="ORD1029"/>
    <d v="2020-02-09T00:00:00"/>
    <x v="0"/>
    <x v="1"/>
    <x v="2"/>
    <s v="Sticky Notes"/>
    <x v="0"/>
    <x v="2"/>
    <n v="6"/>
    <n v="10000"/>
    <n v="0.2"/>
    <n v="8000"/>
    <n v="0.8"/>
    <s v="Medium"/>
  </r>
  <r>
    <s v="ORD1030"/>
    <d v="2020-02-10T00:00:00"/>
    <x v="0"/>
    <x v="1"/>
    <x v="2"/>
    <s v="Whiteboard Marker"/>
    <x v="1"/>
    <x v="2"/>
    <n v="9"/>
    <n v="13400"/>
    <n v="0.25"/>
    <n v="10050"/>
    <n v="0.75"/>
    <s v="High"/>
  </r>
  <r>
    <s v="ORD1031"/>
    <d v="2020-02-11T00:00:00"/>
    <x v="0"/>
    <x v="1"/>
    <x v="0"/>
    <s v="Bluetooth Speaker"/>
    <x v="2"/>
    <x v="0"/>
    <n v="2"/>
    <n v="7900"/>
    <n v="0.05"/>
    <n v="7505"/>
    <n v="0.95"/>
    <s v="Medium"/>
  </r>
  <r>
    <s v="ORD1032"/>
    <d v="2020-02-12T00:00:00"/>
    <x v="0"/>
    <x v="1"/>
    <x v="0"/>
    <s v="Wireless Mouse"/>
    <x v="3"/>
    <x v="0"/>
    <n v="8"/>
    <n v="8900"/>
    <n v="0.1"/>
    <n v="8010"/>
    <n v="0.9"/>
    <s v="Medium"/>
  </r>
  <r>
    <s v="ORD1033"/>
    <d v="2020-02-13T00:00:00"/>
    <x v="0"/>
    <x v="1"/>
    <x v="0"/>
    <s v="Keyboard"/>
    <x v="0"/>
    <x v="0"/>
    <n v="5"/>
    <n v="7100"/>
    <n v="0.15000000000000002"/>
    <n v="6035"/>
    <n v="0.85"/>
    <s v="Medium"/>
  </r>
  <r>
    <s v="ORD1034"/>
    <d v="2020-02-14T00:00:00"/>
    <x v="0"/>
    <x v="1"/>
    <x v="0"/>
    <s v="Laptop Stand"/>
    <x v="1"/>
    <x v="0"/>
    <n v="10"/>
    <n v="4700"/>
    <n v="0.2"/>
    <n v="3760"/>
    <n v="0.8"/>
    <s v="Low"/>
  </r>
  <r>
    <s v="ORD1035"/>
    <d v="2020-02-15T00:00:00"/>
    <x v="0"/>
    <x v="1"/>
    <x v="0"/>
    <s v="USB Flash Drive"/>
    <x v="2"/>
    <x v="0"/>
    <n v="1"/>
    <n v="5100"/>
    <n v="0.25"/>
    <n v="3825"/>
    <n v="0.75"/>
    <s v="Medium"/>
  </r>
  <r>
    <s v="ORD1036"/>
    <d v="2020-02-16T00:00:00"/>
    <x v="0"/>
    <x v="1"/>
    <x v="0"/>
    <s v="External Hard Disk"/>
    <x v="3"/>
    <x v="0"/>
    <n v="9"/>
    <n v="14900"/>
    <n v="0.05"/>
    <n v="14155"/>
    <n v="0.95"/>
    <s v="High"/>
  </r>
  <r>
    <s v="ORD1037"/>
    <d v="2020-02-17T00:00:00"/>
    <x v="0"/>
    <x v="1"/>
    <x v="0"/>
    <s v="Webcam"/>
    <x v="0"/>
    <x v="0"/>
    <n v="2"/>
    <n v="13300"/>
    <n v="0.1"/>
    <n v="11970"/>
    <n v="0.9"/>
    <s v="High"/>
  </r>
  <r>
    <s v="ORD1038"/>
    <d v="2020-02-18T00:00:00"/>
    <x v="0"/>
    <x v="1"/>
    <x v="0"/>
    <s v="Noise Cancelling Headphones"/>
    <x v="1"/>
    <x v="0"/>
    <n v="7"/>
    <n v="4600"/>
    <n v="0.15000000000000002"/>
    <n v="3910"/>
    <n v="0.85"/>
    <s v="Low"/>
  </r>
  <r>
    <s v="ORD1039"/>
    <d v="2020-02-19T00:00:00"/>
    <x v="0"/>
    <x v="1"/>
    <x v="0"/>
    <s v="Smart Watch"/>
    <x v="2"/>
    <x v="0"/>
    <n v="6"/>
    <n v="5700"/>
    <n v="0.2"/>
    <n v="4560"/>
    <n v="0.8"/>
    <s v="Medium"/>
  </r>
  <r>
    <s v="ORD1040"/>
    <d v="2020-02-20T00:00:00"/>
    <x v="0"/>
    <x v="1"/>
    <x v="0"/>
    <s v="Portable Power Bank"/>
    <x v="3"/>
    <x v="0"/>
    <n v="9"/>
    <n v="8200"/>
    <n v="0.25"/>
    <n v="6150"/>
    <n v="0.75"/>
    <s v="Medium"/>
  </r>
  <r>
    <s v="ORD1041"/>
    <d v="2020-02-21T00:00:00"/>
    <x v="0"/>
    <x v="1"/>
    <x v="1"/>
    <s v="Office Chair"/>
    <x v="0"/>
    <x v="1"/>
    <n v="8"/>
    <n v="8200"/>
    <n v="0.05"/>
    <n v="7790"/>
    <n v="0.95"/>
    <s v="Medium"/>
  </r>
  <r>
    <s v="ORD1042"/>
    <d v="2020-02-22T00:00:00"/>
    <x v="0"/>
    <x v="1"/>
    <x v="1"/>
    <s v="Study Table"/>
    <x v="1"/>
    <x v="1"/>
    <n v="10"/>
    <n v="5900"/>
    <n v="0.1"/>
    <n v="5310"/>
    <n v="0.9"/>
    <s v="Medium"/>
  </r>
  <r>
    <s v="ORD1043"/>
    <d v="2020-02-23T00:00:00"/>
    <x v="0"/>
    <x v="1"/>
    <x v="1"/>
    <s v="Wooden Bookshelf"/>
    <x v="2"/>
    <x v="1"/>
    <n v="10"/>
    <n v="14100"/>
    <n v="0.15000000000000002"/>
    <n v="11985"/>
    <n v="0.85"/>
    <s v="High"/>
  </r>
  <r>
    <s v="ORD1044"/>
    <d v="2020-02-24T00:00:00"/>
    <x v="0"/>
    <x v="1"/>
    <x v="1"/>
    <s v="Computer Desk"/>
    <x v="3"/>
    <x v="1"/>
    <n v="3"/>
    <n v="7400"/>
    <n v="0.2"/>
    <n v="5920"/>
    <n v="0.8"/>
    <s v="Medium"/>
  </r>
  <r>
    <s v="ORD1045"/>
    <d v="2020-02-25T00:00:00"/>
    <x v="0"/>
    <x v="1"/>
    <x v="1"/>
    <s v="Filing Cabinet"/>
    <x v="0"/>
    <x v="1"/>
    <n v="2"/>
    <n v="15000"/>
    <n v="0.25"/>
    <n v="11250"/>
    <n v="0.75"/>
    <s v="High"/>
  </r>
  <r>
    <s v="ORD1046"/>
    <d v="2020-02-26T00:00:00"/>
    <x v="0"/>
    <x v="1"/>
    <x v="1"/>
    <s v="Visitor Chair"/>
    <x v="1"/>
    <x v="1"/>
    <n v="9"/>
    <n v="6800"/>
    <n v="0.05"/>
    <n v="6460"/>
    <n v="0.95"/>
    <s v="Medium"/>
  </r>
  <r>
    <s v="ORD1047"/>
    <d v="2020-02-27T00:00:00"/>
    <x v="0"/>
    <x v="1"/>
    <x v="1"/>
    <s v="Conference Table"/>
    <x v="2"/>
    <x v="1"/>
    <n v="6"/>
    <n v="7800"/>
    <n v="0.1"/>
    <n v="7020"/>
    <n v="0.9"/>
    <s v="Medium"/>
  </r>
  <r>
    <s v="ORD1048"/>
    <d v="2020-02-28T00:00:00"/>
    <x v="0"/>
    <x v="1"/>
    <x v="1"/>
    <s v="Drawer Unit"/>
    <x v="3"/>
    <x v="1"/>
    <n v="10"/>
    <n v="11600"/>
    <n v="0.15000000000000002"/>
    <n v="9860"/>
    <n v="0.85"/>
    <s v="High"/>
  </r>
  <r>
    <s v="ORD1049"/>
    <d v="2020-02-29T00:00:00"/>
    <x v="0"/>
    <x v="1"/>
    <x v="1"/>
    <s v="Ergonomic Stool"/>
    <x v="0"/>
    <x v="1"/>
    <n v="8"/>
    <n v="12500"/>
    <n v="0.2"/>
    <n v="10000"/>
    <n v="0.8"/>
    <s v="High"/>
  </r>
  <r>
    <s v="ORD1050"/>
    <d v="2020-03-01T00:00:00"/>
    <x v="0"/>
    <x v="2"/>
    <x v="1"/>
    <s v="Office Sofa"/>
    <x v="1"/>
    <x v="1"/>
    <n v="7"/>
    <n v="11700"/>
    <n v="0.25"/>
    <n v="8775"/>
    <n v="0.75"/>
    <s v="High"/>
  </r>
  <r>
    <s v="ORD1051"/>
    <d v="2020-03-02T00:00:00"/>
    <x v="0"/>
    <x v="2"/>
    <x v="2"/>
    <s v="Ball Pen Pack"/>
    <x v="2"/>
    <x v="2"/>
    <n v="10"/>
    <n v="10800"/>
    <n v="0.05"/>
    <n v="10260"/>
    <n v="0.95"/>
    <s v="High"/>
  </r>
  <r>
    <s v="ORD1052"/>
    <d v="2020-03-03T00:00:00"/>
    <x v="0"/>
    <x v="2"/>
    <x v="2"/>
    <s v="Notebook"/>
    <x v="3"/>
    <x v="2"/>
    <n v="7"/>
    <n v="9100"/>
    <n v="0.1"/>
    <n v="8190"/>
    <n v="0.9"/>
    <s v="Medium"/>
  </r>
  <r>
    <s v="ORD1053"/>
    <d v="2020-03-04T00:00:00"/>
    <x v="0"/>
    <x v="2"/>
    <x v="2"/>
    <s v="Printer Paper Ream"/>
    <x v="0"/>
    <x v="2"/>
    <n v="1"/>
    <n v="7400"/>
    <n v="0.15000000000000002"/>
    <n v="6290"/>
    <n v="0.85"/>
    <s v="Medium"/>
  </r>
  <r>
    <s v="ORD1054"/>
    <d v="2020-03-05T00:00:00"/>
    <x v="0"/>
    <x v="2"/>
    <x v="2"/>
    <s v="Stapler"/>
    <x v="1"/>
    <x v="2"/>
    <n v="4"/>
    <n v="14800"/>
    <n v="0.2"/>
    <n v="11840"/>
    <n v="0.8"/>
    <s v="High"/>
  </r>
  <r>
    <s v="ORD1055"/>
    <d v="2020-03-06T00:00:00"/>
    <x v="0"/>
    <x v="2"/>
    <x v="2"/>
    <s v="Paper Clips Box"/>
    <x v="2"/>
    <x v="2"/>
    <n v="7"/>
    <n v="9400"/>
    <n v="0.25"/>
    <n v="7050"/>
    <n v="0.75"/>
    <s v="Medium"/>
  </r>
  <r>
    <s v="ORD1056"/>
    <d v="2020-03-07T00:00:00"/>
    <x v="0"/>
    <x v="2"/>
    <x v="2"/>
    <s v="Highlighter Set"/>
    <x v="3"/>
    <x v="2"/>
    <n v="10"/>
    <n v="4100"/>
    <n v="0.05"/>
    <n v="3895"/>
    <n v="0.95"/>
    <s v="Low"/>
  </r>
  <r>
    <s v="ORD1057"/>
    <d v="2020-03-08T00:00:00"/>
    <x v="0"/>
    <x v="2"/>
    <x v="2"/>
    <s v="Desk Organizer"/>
    <x v="0"/>
    <x v="2"/>
    <n v="7"/>
    <n v="14800"/>
    <n v="0.1"/>
    <n v="13320"/>
    <n v="0.9"/>
    <s v="High"/>
  </r>
  <r>
    <s v="ORD1058"/>
    <d v="2020-03-09T00:00:00"/>
    <x v="0"/>
    <x v="2"/>
    <x v="2"/>
    <s v="Calculator"/>
    <x v="1"/>
    <x v="2"/>
    <n v="7"/>
    <n v="4200"/>
    <n v="0.15000000000000002"/>
    <n v="3570"/>
    <n v="0.85"/>
    <s v="Low"/>
  </r>
  <r>
    <s v="ORD1059"/>
    <d v="2020-03-10T00:00:00"/>
    <x v="0"/>
    <x v="2"/>
    <x v="2"/>
    <s v="Sticky Notes"/>
    <x v="2"/>
    <x v="2"/>
    <n v="10"/>
    <n v="14900"/>
    <n v="0.2"/>
    <n v="11920"/>
    <n v="0.8"/>
    <s v="High"/>
  </r>
  <r>
    <s v="ORD1060"/>
    <d v="2020-03-11T00:00:00"/>
    <x v="0"/>
    <x v="2"/>
    <x v="2"/>
    <s v="Whiteboard Marker"/>
    <x v="3"/>
    <x v="2"/>
    <n v="1"/>
    <n v="6700"/>
    <n v="0.25"/>
    <n v="5025"/>
    <n v="0.75"/>
    <s v="Medium"/>
  </r>
  <r>
    <s v="ORD1061"/>
    <d v="2020-03-12T00:00:00"/>
    <x v="0"/>
    <x v="2"/>
    <x v="0"/>
    <s v="Bluetooth Speaker"/>
    <x v="0"/>
    <x v="0"/>
    <n v="2"/>
    <n v="8300"/>
    <n v="0.05"/>
    <n v="7885"/>
    <n v="0.95"/>
    <s v="Medium"/>
  </r>
  <r>
    <s v="ORD1062"/>
    <d v="2020-03-13T00:00:00"/>
    <x v="0"/>
    <x v="2"/>
    <x v="0"/>
    <s v="Wireless Mouse"/>
    <x v="1"/>
    <x v="0"/>
    <n v="8"/>
    <n v="6500"/>
    <n v="0.1"/>
    <n v="5850"/>
    <n v="0.9"/>
    <s v="Medium"/>
  </r>
  <r>
    <s v="ORD1063"/>
    <d v="2020-03-14T00:00:00"/>
    <x v="0"/>
    <x v="2"/>
    <x v="0"/>
    <s v="Keyboard"/>
    <x v="2"/>
    <x v="0"/>
    <n v="5"/>
    <n v="6600"/>
    <n v="0.15000000000000002"/>
    <n v="5610"/>
    <n v="0.85"/>
    <s v="Medium"/>
  </r>
  <r>
    <s v="ORD1064"/>
    <d v="2020-03-15T00:00:00"/>
    <x v="0"/>
    <x v="2"/>
    <x v="0"/>
    <s v="Laptop Stand"/>
    <x v="3"/>
    <x v="0"/>
    <n v="2"/>
    <n v="8700"/>
    <n v="0.2"/>
    <n v="6960"/>
    <n v="0.8"/>
    <s v="Medium"/>
  </r>
  <r>
    <s v="ORD1065"/>
    <d v="2020-03-16T00:00:00"/>
    <x v="0"/>
    <x v="2"/>
    <x v="0"/>
    <s v="USB Flash Drive"/>
    <x v="0"/>
    <x v="0"/>
    <n v="3"/>
    <n v="14500"/>
    <n v="0.25"/>
    <n v="10875"/>
    <n v="0.75"/>
    <s v="High"/>
  </r>
  <r>
    <s v="ORD1066"/>
    <d v="2020-03-17T00:00:00"/>
    <x v="0"/>
    <x v="2"/>
    <x v="0"/>
    <s v="External Hard Disk"/>
    <x v="1"/>
    <x v="0"/>
    <n v="4"/>
    <n v="5300"/>
    <n v="0.05"/>
    <n v="5035"/>
    <n v="0.95"/>
    <s v="Medium"/>
  </r>
  <r>
    <s v="ORD1067"/>
    <d v="2020-03-18T00:00:00"/>
    <x v="0"/>
    <x v="2"/>
    <x v="0"/>
    <s v="Webcam"/>
    <x v="2"/>
    <x v="0"/>
    <n v="6"/>
    <n v="11900"/>
    <n v="0.1"/>
    <n v="10710"/>
    <n v="0.9"/>
    <s v="High"/>
  </r>
  <r>
    <s v="ORD1068"/>
    <d v="2020-03-19T00:00:00"/>
    <x v="0"/>
    <x v="2"/>
    <x v="0"/>
    <s v="Noise Cancelling Headphones"/>
    <x v="3"/>
    <x v="0"/>
    <n v="1"/>
    <n v="6600"/>
    <n v="0.15000000000000002"/>
    <n v="5610"/>
    <n v="0.85"/>
    <s v="Medium"/>
  </r>
  <r>
    <s v="ORD1069"/>
    <d v="2020-03-20T00:00:00"/>
    <x v="0"/>
    <x v="2"/>
    <x v="0"/>
    <s v="Smart Watch"/>
    <x v="0"/>
    <x v="0"/>
    <n v="9"/>
    <n v="9300"/>
    <n v="0.2"/>
    <n v="7440"/>
    <n v="0.8"/>
    <s v="Medium"/>
  </r>
  <r>
    <s v="ORD1070"/>
    <d v="2020-03-21T00:00:00"/>
    <x v="0"/>
    <x v="2"/>
    <x v="0"/>
    <s v="Portable Power Bank"/>
    <x v="1"/>
    <x v="0"/>
    <n v="9"/>
    <n v="14900"/>
    <n v="0.25"/>
    <n v="11175"/>
    <n v="0.75"/>
    <s v="High"/>
  </r>
  <r>
    <s v="ORD1071"/>
    <d v="2020-03-22T00:00:00"/>
    <x v="0"/>
    <x v="2"/>
    <x v="1"/>
    <s v="Office Chair"/>
    <x v="2"/>
    <x v="1"/>
    <n v="2"/>
    <n v="14500"/>
    <n v="0.05"/>
    <n v="13775"/>
    <n v="0.95"/>
    <s v="High"/>
  </r>
  <r>
    <s v="ORD1072"/>
    <d v="2020-03-23T00:00:00"/>
    <x v="0"/>
    <x v="2"/>
    <x v="1"/>
    <s v="Study Table"/>
    <x v="3"/>
    <x v="1"/>
    <n v="3"/>
    <n v="12500"/>
    <n v="0.1"/>
    <n v="11250"/>
    <n v="0.9"/>
    <s v="High"/>
  </r>
  <r>
    <s v="ORD1073"/>
    <d v="2020-03-24T00:00:00"/>
    <x v="0"/>
    <x v="2"/>
    <x v="1"/>
    <s v="Wooden Bookshelf"/>
    <x v="0"/>
    <x v="1"/>
    <n v="4"/>
    <n v="14800"/>
    <n v="0.15000000000000002"/>
    <n v="12580"/>
    <n v="0.85"/>
    <s v="High"/>
  </r>
  <r>
    <s v="ORD1074"/>
    <d v="2020-03-25T00:00:00"/>
    <x v="0"/>
    <x v="2"/>
    <x v="1"/>
    <s v="Computer Desk"/>
    <x v="1"/>
    <x v="1"/>
    <n v="4"/>
    <n v="8400"/>
    <n v="0.2"/>
    <n v="6720"/>
    <n v="0.8"/>
    <s v="Medium"/>
  </r>
  <r>
    <s v="ORD1075"/>
    <d v="2020-03-26T00:00:00"/>
    <x v="0"/>
    <x v="2"/>
    <x v="1"/>
    <s v="Filing Cabinet"/>
    <x v="2"/>
    <x v="1"/>
    <n v="10"/>
    <n v="11400"/>
    <n v="0.25"/>
    <n v="8550"/>
    <n v="0.75"/>
    <s v="High"/>
  </r>
  <r>
    <s v="ORD1076"/>
    <d v="2020-03-27T00:00:00"/>
    <x v="0"/>
    <x v="2"/>
    <x v="1"/>
    <s v="Visitor Chair"/>
    <x v="3"/>
    <x v="1"/>
    <n v="7"/>
    <n v="10700"/>
    <n v="0.05"/>
    <n v="10165"/>
    <n v="0.95"/>
    <s v="High"/>
  </r>
  <r>
    <s v="ORD1077"/>
    <d v="2020-03-28T00:00:00"/>
    <x v="0"/>
    <x v="2"/>
    <x v="1"/>
    <s v="Conference Table"/>
    <x v="0"/>
    <x v="1"/>
    <n v="7"/>
    <n v="4300"/>
    <n v="0.1"/>
    <n v="3870"/>
    <n v="0.9"/>
    <s v="Low"/>
  </r>
  <r>
    <s v="ORD1078"/>
    <d v="2020-03-29T00:00:00"/>
    <x v="0"/>
    <x v="2"/>
    <x v="1"/>
    <s v="Drawer Unit"/>
    <x v="1"/>
    <x v="1"/>
    <n v="2"/>
    <n v="12700"/>
    <n v="0.15000000000000002"/>
    <n v="10795"/>
    <n v="0.85"/>
    <s v="High"/>
  </r>
  <r>
    <s v="ORD1079"/>
    <d v="2020-03-30T00:00:00"/>
    <x v="0"/>
    <x v="2"/>
    <x v="1"/>
    <s v="Ergonomic Stool"/>
    <x v="2"/>
    <x v="1"/>
    <n v="4"/>
    <n v="4600"/>
    <n v="0.2"/>
    <n v="3680"/>
    <n v="0.8"/>
    <s v="Low"/>
  </r>
  <r>
    <s v="ORD1080"/>
    <d v="2020-03-31T00:00:00"/>
    <x v="0"/>
    <x v="2"/>
    <x v="1"/>
    <s v="Office Sofa"/>
    <x v="3"/>
    <x v="1"/>
    <n v="9"/>
    <n v="10200"/>
    <n v="0.25"/>
    <n v="7650"/>
    <n v="0.75"/>
    <s v="High"/>
  </r>
  <r>
    <s v="ORD1081"/>
    <d v="2020-04-01T00:00:00"/>
    <x v="0"/>
    <x v="3"/>
    <x v="2"/>
    <s v="Ball Pen Pack"/>
    <x v="0"/>
    <x v="2"/>
    <n v="1"/>
    <n v="12400"/>
    <n v="0.05"/>
    <n v="11780"/>
    <n v="0.95"/>
    <s v="High"/>
  </r>
  <r>
    <s v="ORD1082"/>
    <d v="2020-04-02T00:00:00"/>
    <x v="0"/>
    <x v="3"/>
    <x v="2"/>
    <s v="Notebook"/>
    <x v="1"/>
    <x v="2"/>
    <n v="4"/>
    <n v="10200"/>
    <n v="0.1"/>
    <n v="9180"/>
    <n v="0.9"/>
    <s v="High"/>
  </r>
  <r>
    <s v="ORD1083"/>
    <d v="2020-04-03T00:00:00"/>
    <x v="0"/>
    <x v="3"/>
    <x v="2"/>
    <s v="Printer Paper Ream"/>
    <x v="2"/>
    <x v="2"/>
    <n v="8"/>
    <n v="12300"/>
    <n v="0.15000000000000002"/>
    <n v="10455"/>
    <n v="0.85"/>
    <s v="High"/>
  </r>
  <r>
    <s v="ORD1084"/>
    <d v="2020-04-04T00:00:00"/>
    <x v="0"/>
    <x v="3"/>
    <x v="2"/>
    <s v="Stapler"/>
    <x v="3"/>
    <x v="2"/>
    <n v="5"/>
    <n v="8100"/>
    <n v="0.2"/>
    <n v="6480"/>
    <n v="0.8"/>
    <s v="Medium"/>
  </r>
  <r>
    <s v="ORD1085"/>
    <d v="2020-04-05T00:00:00"/>
    <x v="0"/>
    <x v="3"/>
    <x v="2"/>
    <s v="Paper Clips Box"/>
    <x v="0"/>
    <x v="2"/>
    <n v="4"/>
    <n v="13400"/>
    <n v="0.25"/>
    <n v="10050"/>
    <n v="0.75"/>
    <s v="High"/>
  </r>
  <r>
    <s v="ORD1086"/>
    <d v="2020-04-06T00:00:00"/>
    <x v="0"/>
    <x v="3"/>
    <x v="2"/>
    <s v="Highlighter Set"/>
    <x v="1"/>
    <x v="2"/>
    <n v="6"/>
    <n v="14900"/>
    <n v="0.05"/>
    <n v="14155"/>
    <n v="0.95"/>
    <s v="High"/>
  </r>
  <r>
    <s v="ORD1087"/>
    <d v="2020-04-07T00:00:00"/>
    <x v="0"/>
    <x v="3"/>
    <x v="2"/>
    <s v="Desk Organizer"/>
    <x v="2"/>
    <x v="2"/>
    <n v="9"/>
    <n v="10800"/>
    <n v="0.1"/>
    <n v="9720"/>
    <n v="0.9"/>
    <s v="High"/>
  </r>
  <r>
    <s v="ORD1088"/>
    <d v="2020-04-08T00:00:00"/>
    <x v="0"/>
    <x v="3"/>
    <x v="2"/>
    <s v="Calculator"/>
    <x v="3"/>
    <x v="2"/>
    <n v="1"/>
    <n v="5100"/>
    <n v="0.15000000000000002"/>
    <n v="4335"/>
    <n v="0.85"/>
    <s v="Medium"/>
  </r>
  <r>
    <s v="ORD1089"/>
    <d v="2020-04-09T00:00:00"/>
    <x v="0"/>
    <x v="3"/>
    <x v="2"/>
    <s v="Sticky Notes"/>
    <x v="0"/>
    <x v="2"/>
    <n v="2"/>
    <n v="6600"/>
    <n v="0.2"/>
    <n v="5280"/>
    <n v="0.8"/>
    <s v="Medium"/>
  </r>
  <r>
    <s v="ORD1090"/>
    <d v="2020-04-10T00:00:00"/>
    <x v="0"/>
    <x v="3"/>
    <x v="2"/>
    <s v="Whiteboard Marker"/>
    <x v="1"/>
    <x v="2"/>
    <n v="6"/>
    <n v="14000"/>
    <n v="0.25"/>
    <n v="10500"/>
    <n v="0.75"/>
    <s v="High"/>
  </r>
  <r>
    <s v="ORD1091"/>
    <d v="2020-04-11T00:00:00"/>
    <x v="0"/>
    <x v="3"/>
    <x v="0"/>
    <s v="Bluetooth Speaker"/>
    <x v="2"/>
    <x v="0"/>
    <n v="8"/>
    <n v="9400"/>
    <n v="0.05"/>
    <n v="8930"/>
    <n v="0.95"/>
    <s v="Medium"/>
  </r>
  <r>
    <s v="ORD1092"/>
    <d v="2020-04-12T00:00:00"/>
    <x v="0"/>
    <x v="3"/>
    <x v="0"/>
    <s v="Wireless Mouse"/>
    <x v="3"/>
    <x v="0"/>
    <n v="2"/>
    <n v="4800"/>
    <n v="0.1"/>
    <n v="4320"/>
    <n v="0.9"/>
    <s v="Low"/>
  </r>
  <r>
    <s v="ORD1093"/>
    <d v="2020-04-13T00:00:00"/>
    <x v="0"/>
    <x v="3"/>
    <x v="0"/>
    <s v="Keyboard"/>
    <x v="0"/>
    <x v="0"/>
    <n v="6"/>
    <n v="14700"/>
    <n v="0.15000000000000002"/>
    <n v="12495"/>
    <n v="0.85"/>
    <s v="High"/>
  </r>
  <r>
    <s v="ORD1094"/>
    <d v="2020-04-14T00:00:00"/>
    <x v="0"/>
    <x v="3"/>
    <x v="0"/>
    <s v="Laptop Stand"/>
    <x v="1"/>
    <x v="0"/>
    <n v="4"/>
    <n v="10200"/>
    <n v="0.2"/>
    <n v="8160"/>
    <n v="0.8"/>
    <s v="High"/>
  </r>
  <r>
    <s v="ORD1095"/>
    <d v="2020-04-15T00:00:00"/>
    <x v="0"/>
    <x v="3"/>
    <x v="0"/>
    <s v="USB Flash Drive"/>
    <x v="2"/>
    <x v="0"/>
    <n v="3"/>
    <n v="11100"/>
    <n v="0.25"/>
    <n v="8325"/>
    <n v="0.75"/>
    <s v="High"/>
  </r>
  <r>
    <s v="ORD1096"/>
    <d v="2020-04-16T00:00:00"/>
    <x v="0"/>
    <x v="3"/>
    <x v="0"/>
    <s v="External Hard Disk"/>
    <x v="3"/>
    <x v="0"/>
    <n v="6"/>
    <n v="7400"/>
    <n v="0.05"/>
    <n v="7030"/>
    <n v="0.95"/>
    <s v="Medium"/>
  </r>
  <r>
    <s v="ORD1097"/>
    <d v="2020-04-17T00:00:00"/>
    <x v="0"/>
    <x v="3"/>
    <x v="0"/>
    <s v="Webcam"/>
    <x v="0"/>
    <x v="0"/>
    <n v="5"/>
    <n v="7400"/>
    <n v="0.1"/>
    <n v="6660"/>
    <n v="0.9"/>
    <s v="Medium"/>
  </r>
  <r>
    <s v="ORD1098"/>
    <d v="2020-04-18T00:00:00"/>
    <x v="0"/>
    <x v="3"/>
    <x v="0"/>
    <s v="Noise Cancelling Headphones"/>
    <x v="1"/>
    <x v="0"/>
    <n v="8"/>
    <n v="8000"/>
    <n v="0.15000000000000002"/>
    <n v="6800"/>
    <n v="0.85"/>
    <s v="Medium"/>
  </r>
  <r>
    <s v="ORD1099"/>
    <d v="2020-04-19T00:00:00"/>
    <x v="0"/>
    <x v="3"/>
    <x v="0"/>
    <s v="Smart Watch"/>
    <x v="2"/>
    <x v="0"/>
    <n v="8"/>
    <n v="7600"/>
    <n v="0.2"/>
    <n v="6080"/>
    <n v="0.8"/>
    <s v="Medium"/>
  </r>
  <r>
    <s v="ORD1100"/>
    <d v="2020-04-20T00:00:00"/>
    <x v="0"/>
    <x v="3"/>
    <x v="0"/>
    <s v="Portable Power Bank"/>
    <x v="3"/>
    <x v="0"/>
    <n v="4"/>
    <n v="10800"/>
    <n v="0.25"/>
    <n v="8100"/>
    <n v="0.75"/>
    <s v="High"/>
  </r>
  <r>
    <s v="ORD1101"/>
    <d v="2020-04-21T00:00:00"/>
    <x v="0"/>
    <x v="3"/>
    <x v="1"/>
    <s v="Office Chair"/>
    <x v="0"/>
    <x v="1"/>
    <n v="3"/>
    <n v="13900"/>
    <n v="0.05"/>
    <n v="13205"/>
    <n v="0.95"/>
    <s v="High"/>
  </r>
  <r>
    <s v="ORD1102"/>
    <d v="2020-04-22T00:00:00"/>
    <x v="0"/>
    <x v="3"/>
    <x v="1"/>
    <s v="Study Table"/>
    <x v="1"/>
    <x v="1"/>
    <n v="7"/>
    <n v="6600"/>
    <n v="0.1"/>
    <n v="5940"/>
    <n v="0.9"/>
    <s v="Medium"/>
  </r>
  <r>
    <s v="ORD1103"/>
    <d v="2020-04-23T00:00:00"/>
    <x v="0"/>
    <x v="3"/>
    <x v="1"/>
    <s v="Wooden Bookshelf"/>
    <x v="2"/>
    <x v="1"/>
    <n v="4"/>
    <n v="9200"/>
    <n v="0.15000000000000002"/>
    <n v="7820"/>
    <n v="0.85"/>
    <s v="Medium"/>
  </r>
  <r>
    <s v="ORD1104"/>
    <d v="2020-04-24T00:00:00"/>
    <x v="0"/>
    <x v="3"/>
    <x v="1"/>
    <s v="Computer Desk"/>
    <x v="3"/>
    <x v="1"/>
    <n v="9"/>
    <n v="5100"/>
    <n v="0.2"/>
    <n v="4080"/>
    <n v="0.8"/>
    <s v="Medium"/>
  </r>
  <r>
    <s v="ORD1105"/>
    <d v="2020-04-25T00:00:00"/>
    <x v="0"/>
    <x v="3"/>
    <x v="1"/>
    <s v="Filing Cabinet"/>
    <x v="0"/>
    <x v="1"/>
    <n v="9"/>
    <n v="11900"/>
    <n v="0.25"/>
    <n v="8925"/>
    <n v="0.75"/>
    <s v="High"/>
  </r>
  <r>
    <s v="ORD1106"/>
    <d v="2020-04-26T00:00:00"/>
    <x v="0"/>
    <x v="3"/>
    <x v="1"/>
    <s v="Visitor Chair"/>
    <x v="1"/>
    <x v="1"/>
    <n v="4"/>
    <n v="13000"/>
    <n v="0.05"/>
    <n v="12350"/>
    <n v="0.95"/>
    <s v="High"/>
  </r>
  <r>
    <s v="ORD1107"/>
    <d v="2020-04-27T00:00:00"/>
    <x v="0"/>
    <x v="3"/>
    <x v="1"/>
    <s v="Conference Table"/>
    <x v="2"/>
    <x v="1"/>
    <n v="8"/>
    <n v="10000"/>
    <n v="0.1"/>
    <n v="9000"/>
    <n v="0.9"/>
    <s v="Medium"/>
  </r>
  <r>
    <s v="ORD1108"/>
    <d v="2020-04-28T00:00:00"/>
    <x v="0"/>
    <x v="3"/>
    <x v="1"/>
    <s v="Drawer Unit"/>
    <x v="3"/>
    <x v="1"/>
    <n v="7"/>
    <n v="10400"/>
    <n v="0.15000000000000002"/>
    <n v="8840"/>
    <n v="0.85"/>
    <s v="High"/>
  </r>
  <r>
    <s v="ORD1109"/>
    <d v="2020-04-29T00:00:00"/>
    <x v="0"/>
    <x v="3"/>
    <x v="1"/>
    <s v="Ergonomic Stool"/>
    <x v="0"/>
    <x v="1"/>
    <n v="10"/>
    <n v="8400"/>
    <n v="0.2"/>
    <n v="6720"/>
    <n v="0.8"/>
    <s v="Medium"/>
  </r>
  <r>
    <s v="ORD1110"/>
    <d v="2020-04-30T00:00:00"/>
    <x v="0"/>
    <x v="3"/>
    <x v="1"/>
    <s v="Office Sofa"/>
    <x v="1"/>
    <x v="1"/>
    <n v="6"/>
    <n v="12300"/>
    <n v="0.25"/>
    <n v="9225"/>
    <n v="0.75"/>
    <s v="High"/>
  </r>
  <r>
    <s v="ORD1111"/>
    <d v="2020-05-01T00:00:00"/>
    <x v="0"/>
    <x v="4"/>
    <x v="2"/>
    <s v="Ball Pen Pack"/>
    <x v="2"/>
    <x v="2"/>
    <n v="4"/>
    <n v="10400"/>
    <n v="0.05"/>
    <n v="9880"/>
    <n v="0.95"/>
    <s v="High"/>
  </r>
  <r>
    <s v="ORD1112"/>
    <d v="2020-05-02T00:00:00"/>
    <x v="0"/>
    <x v="4"/>
    <x v="2"/>
    <s v="Notebook"/>
    <x v="3"/>
    <x v="2"/>
    <n v="9"/>
    <n v="13500"/>
    <n v="0.1"/>
    <n v="12150"/>
    <n v="0.9"/>
    <s v="High"/>
  </r>
  <r>
    <s v="ORD1113"/>
    <d v="2020-05-03T00:00:00"/>
    <x v="0"/>
    <x v="4"/>
    <x v="2"/>
    <s v="Printer Paper Ream"/>
    <x v="0"/>
    <x v="2"/>
    <n v="7"/>
    <n v="10300"/>
    <n v="0.15000000000000002"/>
    <n v="8755"/>
    <n v="0.85"/>
    <s v="High"/>
  </r>
  <r>
    <s v="ORD1114"/>
    <d v="2020-05-04T00:00:00"/>
    <x v="0"/>
    <x v="4"/>
    <x v="2"/>
    <s v="Stapler"/>
    <x v="1"/>
    <x v="2"/>
    <n v="8"/>
    <n v="11700"/>
    <n v="0.2"/>
    <n v="9360"/>
    <n v="0.8"/>
    <s v="High"/>
  </r>
  <r>
    <s v="ORD1115"/>
    <d v="2020-05-05T00:00:00"/>
    <x v="0"/>
    <x v="4"/>
    <x v="2"/>
    <s v="Paper Clips Box"/>
    <x v="2"/>
    <x v="2"/>
    <n v="2"/>
    <n v="10400"/>
    <n v="0.25"/>
    <n v="7800"/>
    <n v="0.75"/>
    <s v="High"/>
  </r>
  <r>
    <s v="ORD1116"/>
    <d v="2020-05-06T00:00:00"/>
    <x v="0"/>
    <x v="4"/>
    <x v="2"/>
    <s v="Highlighter Set"/>
    <x v="3"/>
    <x v="2"/>
    <n v="2"/>
    <n v="5400"/>
    <n v="0.05"/>
    <n v="5130"/>
    <n v="0.95"/>
    <s v="Medium"/>
  </r>
  <r>
    <s v="ORD1117"/>
    <d v="2020-05-07T00:00:00"/>
    <x v="0"/>
    <x v="4"/>
    <x v="2"/>
    <s v="Desk Organizer"/>
    <x v="0"/>
    <x v="2"/>
    <n v="7"/>
    <n v="4400"/>
    <n v="0.1"/>
    <n v="3960"/>
    <n v="0.9"/>
    <s v="Low"/>
  </r>
  <r>
    <s v="ORD1118"/>
    <d v="2020-05-08T00:00:00"/>
    <x v="0"/>
    <x v="4"/>
    <x v="2"/>
    <s v="Calculator"/>
    <x v="1"/>
    <x v="2"/>
    <n v="10"/>
    <n v="13700"/>
    <n v="0.15000000000000002"/>
    <n v="11645"/>
    <n v="0.85"/>
    <s v="High"/>
  </r>
  <r>
    <s v="ORD1119"/>
    <d v="2020-05-09T00:00:00"/>
    <x v="0"/>
    <x v="4"/>
    <x v="2"/>
    <s v="Sticky Notes"/>
    <x v="2"/>
    <x v="2"/>
    <n v="2"/>
    <n v="8700"/>
    <n v="0.2"/>
    <n v="6960"/>
    <n v="0.8"/>
    <s v="Medium"/>
  </r>
  <r>
    <s v="ORD1120"/>
    <d v="2020-05-10T00:00:00"/>
    <x v="0"/>
    <x v="4"/>
    <x v="2"/>
    <s v="Whiteboard Marker"/>
    <x v="3"/>
    <x v="2"/>
    <n v="3"/>
    <n v="10500"/>
    <n v="0.25"/>
    <n v="7875"/>
    <n v="0.75"/>
    <s v="High"/>
  </r>
  <r>
    <s v="ORD1121"/>
    <d v="2020-05-11T00:00:00"/>
    <x v="0"/>
    <x v="4"/>
    <x v="0"/>
    <s v="Bluetooth Speaker"/>
    <x v="0"/>
    <x v="0"/>
    <n v="7"/>
    <n v="11800"/>
    <n v="0.05"/>
    <n v="11210"/>
    <n v="0.95"/>
    <s v="High"/>
  </r>
  <r>
    <s v="ORD1122"/>
    <d v="2020-05-12T00:00:00"/>
    <x v="0"/>
    <x v="4"/>
    <x v="0"/>
    <s v="Wireless Mouse"/>
    <x v="1"/>
    <x v="0"/>
    <n v="3"/>
    <n v="5500"/>
    <n v="0.1"/>
    <n v="4950"/>
    <n v="0.9"/>
    <s v="Medium"/>
  </r>
  <r>
    <s v="ORD1123"/>
    <d v="2020-05-13T00:00:00"/>
    <x v="0"/>
    <x v="4"/>
    <x v="0"/>
    <s v="Keyboard"/>
    <x v="2"/>
    <x v="0"/>
    <n v="2"/>
    <n v="14900"/>
    <n v="0.15000000000000002"/>
    <n v="12665"/>
    <n v="0.85"/>
    <s v="High"/>
  </r>
  <r>
    <s v="ORD1124"/>
    <d v="2020-05-14T00:00:00"/>
    <x v="0"/>
    <x v="4"/>
    <x v="0"/>
    <s v="Laptop Stand"/>
    <x v="3"/>
    <x v="0"/>
    <n v="2"/>
    <n v="4800"/>
    <n v="0.2"/>
    <n v="3840"/>
    <n v="0.8"/>
    <s v="Low"/>
  </r>
  <r>
    <s v="ORD1125"/>
    <d v="2020-05-15T00:00:00"/>
    <x v="0"/>
    <x v="4"/>
    <x v="0"/>
    <s v="USB Flash Drive"/>
    <x v="0"/>
    <x v="0"/>
    <n v="9"/>
    <n v="14300"/>
    <n v="0.25"/>
    <n v="10725"/>
    <n v="0.75"/>
    <s v="High"/>
  </r>
  <r>
    <s v="ORD1126"/>
    <d v="2020-05-16T00:00:00"/>
    <x v="0"/>
    <x v="4"/>
    <x v="0"/>
    <s v="External Hard Disk"/>
    <x v="1"/>
    <x v="0"/>
    <n v="6"/>
    <n v="9700"/>
    <n v="0.05"/>
    <n v="9215"/>
    <n v="0.95"/>
    <s v="Medium"/>
  </r>
  <r>
    <s v="ORD1127"/>
    <d v="2020-05-17T00:00:00"/>
    <x v="0"/>
    <x v="4"/>
    <x v="0"/>
    <s v="Webcam"/>
    <x v="2"/>
    <x v="0"/>
    <n v="4"/>
    <n v="5800"/>
    <n v="0.1"/>
    <n v="5220"/>
    <n v="0.9"/>
    <s v="Medium"/>
  </r>
  <r>
    <s v="ORD1128"/>
    <d v="2020-05-18T00:00:00"/>
    <x v="0"/>
    <x v="4"/>
    <x v="0"/>
    <s v="Noise Cancelling Headphones"/>
    <x v="3"/>
    <x v="0"/>
    <n v="9"/>
    <n v="9400"/>
    <n v="0.15000000000000002"/>
    <n v="7990"/>
    <n v="0.85"/>
    <s v="Medium"/>
  </r>
  <r>
    <s v="ORD1129"/>
    <d v="2020-05-19T00:00:00"/>
    <x v="0"/>
    <x v="4"/>
    <x v="0"/>
    <s v="Smart Watch"/>
    <x v="0"/>
    <x v="0"/>
    <n v="7"/>
    <n v="5500"/>
    <n v="0.2"/>
    <n v="4400"/>
    <n v="0.8"/>
    <s v="Medium"/>
  </r>
  <r>
    <s v="ORD1130"/>
    <d v="2020-05-20T00:00:00"/>
    <x v="0"/>
    <x v="4"/>
    <x v="0"/>
    <s v="Portable Power Bank"/>
    <x v="1"/>
    <x v="0"/>
    <n v="10"/>
    <n v="10900"/>
    <n v="0.25"/>
    <n v="8175"/>
    <n v="0.75"/>
    <s v="High"/>
  </r>
  <r>
    <s v="ORD1131"/>
    <d v="2020-05-21T00:00:00"/>
    <x v="0"/>
    <x v="4"/>
    <x v="1"/>
    <s v="Office Chair"/>
    <x v="2"/>
    <x v="1"/>
    <n v="4"/>
    <n v="11700"/>
    <n v="0.05"/>
    <n v="11115"/>
    <n v="0.95"/>
    <s v="High"/>
  </r>
  <r>
    <s v="ORD1132"/>
    <d v="2020-05-22T00:00:00"/>
    <x v="0"/>
    <x v="4"/>
    <x v="1"/>
    <s v="Study Table"/>
    <x v="3"/>
    <x v="1"/>
    <n v="6"/>
    <n v="9500"/>
    <n v="0.1"/>
    <n v="8550"/>
    <n v="0.9"/>
    <s v="Medium"/>
  </r>
  <r>
    <s v="ORD1133"/>
    <d v="2020-05-23T00:00:00"/>
    <x v="0"/>
    <x v="4"/>
    <x v="1"/>
    <s v="Wooden Bookshelf"/>
    <x v="0"/>
    <x v="1"/>
    <n v="9"/>
    <n v="9600"/>
    <n v="0.15000000000000002"/>
    <n v="8160"/>
    <n v="0.85"/>
    <s v="Medium"/>
  </r>
  <r>
    <s v="ORD1134"/>
    <d v="2020-05-24T00:00:00"/>
    <x v="0"/>
    <x v="4"/>
    <x v="1"/>
    <s v="Computer Desk"/>
    <x v="1"/>
    <x v="1"/>
    <n v="9"/>
    <n v="11600"/>
    <n v="0.2"/>
    <n v="9280"/>
    <n v="0.8"/>
    <s v="High"/>
  </r>
  <r>
    <s v="ORD1135"/>
    <d v="2020-05-25T00:00:00"/>
    <x v="0"/>
    <x v="4"/>
    <x v="1"/>
    <s v="Filing Cabinet"/>
    <x v="2"/>
    <x v="1"/>
    <n v="5"/>
    <n v="5700"/>
    <n v="0.25"/>
    <n v="4275"/>
    <n v="0.75"/>
    <s v="Medium"/>
  </r>
  <r>
    <s v="ORD1136"/>
    <d v="2020-05-26T00:00:00"/>
    <x v="0"/>
    <x v="4"/>
    <x v="1"/>
    <s v="Visitor Chair"/>
    <x v="3"/>
    <x v="1"/>
    <n v="4"/>
    <n v="13200"/>
    <n v="0.05"/>
    <n v="12540"/>
    <n v="0.95"/>
    <s v="High"/>
  </r>
  <r>
    <s v="ORD1137"/>
    <d v="2020-05-27T00:00:00"/>
    <x v="0"/>
    <x v="4"/>
    <x v="1"/>
    <s v="Conference Table"/>
    <x v="0"/>
    <x v="1"/>
    <n v="9"/>
    <n v="9800"/>
    <n v="0.1"/>
    <n v="8820"/>
    <n v="0.9"/>
    <s v="Medium"/>
  </r>
  <r>
    <s v="ORD1138"/>
    <d v="2020-05-28T00:00:00"/>
    <x v="0"/>
    <x v="4"/>
    <x v="1"/>
    <s v="Drawer Unit"/>
    <x v="1"/>
    <x v="1"/>
    <n v="8"/>
    <n v="14600"/>
    <n v="0.15000000000000002"/>
    <n v="12410"/>
    <n v="0.85"/>
    <s v="High"/>
  </r>
  <r>
    <s v="ORD1139"/>
    <d v="2020-05-29T00:00:00"/>
    <x v="0"/>
    <x v="4"/>
    <x v="1"/>
    <s v="Ergonomic Stool"/>
    <x v="2"/>
    <x v="1"/>
    <n v="10"/>
    <n v="4600"/>
    <n v="0.2"/>
    <n v="3680"/>
    <n v="0.8"/>
    <s v="Low"/>
  </r>
  <r>
    <s v="ORD1140"/>
    <d v="2020-05-30T00:00:00"/>
    <x v="0"/>
    <x v="4"/>
    <x v="1"/>
    <s v="Office Sofa"/>
    <x v="3"/>
    <x v="1"/>
    <n v="7"/>
    <n v="4000"/>
    <n v="0.25"/>
    <n v="3000"/>
    <n v="0.75"/>
    <s v="Low"/>
  </r>
  <r>
    <s v="ORD1141"/>
    <d v="2020-05-31T00:00:00"/>
    <x v="0"/>
    <x v="4"/>
    <x v="2"/>
    <s v="Ball Pen Pack"/>
    <x v="0"/>
    <x v="2"/>
    <n v="1"/>
    <n v="9100"/>
    <n v="0.05"/>
    <n v="8645"/>
    <n v="0.95"/>
    <s v="Medium"/>
  </r>
  <r>
    <s v="ORD1142"/>
    <d v="2020-06-01T00:00:00"/>
    <x v="0"/>
    <x v="5"/>
    <x v="2"/>
    <s v="Notebook"/>
    <x v="1"/>
    <x v="2"/>
    <n v="6"/>
    <n v="6300"/>
    <n v="0.1"/>
    <n v="5670"/>
    <n v="0.9"/>
    <s v="Medium"/>
  </r>
  <r>
    <s v="ORD1143"/>
    <d v="2020-06-02T00:00:00"/>
    <x v="0"/>
    <x v="5"/>
    <x v="2"/>
    <s v="Printer Paper Ream"/>
    <x v="2"/>
    <x v="2"/>
    <n v="4"/>
    <n v="10700"/>
    <n v="0.15000000000000002"/>
    <n v="9095"/>
    <n v="0.85"/>
    <s v="High"/>
  </r>
  <r>
    <s v="ORD1144"/>
    <d v="2020-06-03T00:00:00"/>
    <x v="0"/>
    <x v="5"/>
    <x v="2"/>
    <s v="Stapler"/>
    <x v="3"/>
    <x v="2"/>
    <n v="2"/>
    <n v="6500"/>
    <n v="0.2"/>
    <n v="5200"/>
    <n v="0.8"/>
    <s v="Medium"/>
  </r>
  <r>
    <s v="ORD1145"/>
    <d v="2020-06-04T00:00:00"/>
    <x v="0"/>
    <x v="5"/>
    <x v="2"/>
    <s v="Paper Clips Box"/>
    <x v="0"/>
    <x v="2"/>
    <n v="4"/>
    <n v="5100"/>
    <n v="0.25"/>
    <n v="3825"/>
    <n v="0.75"/>
    <s v="Medium"/>
  </r>
  <r>
    <s v="ORD1146"/>
    <d v="2020-06-05T00:00:00"/>
    <x v="0"/>
    <x v="5"/>
    <x v="2"/>
    <s v="Highlighter Set"/>
    <x v="1"/>
    <x v="2"/>
    <n v="8"/>
    <n v="14700"/>
    <n v="0.05"/>
    <n v="13965"/>
    <n v="0.95"/>
    <s v="High"/>
  </r>
  <r>
    <s v="ORD1147"/>
    <d v="2020-06-06T00:00:00"/>
    <x v="0"/>
    <x v="5"/>
    <x v="2"/>
    <s v="Desk Organizer"/>
    <x v="2"/>
    <x v="2"/>
    <n v="7"/>
    <n v="9600"/>
    <n v="0.1"/>
    <n v="8640"/>
    <n v="0.9"/>
    <s v="Medium"/>
  </r>
  <r>
    <s v="ORD1148"/>
    <d v="2020-06-07T00:00:00"/>
    <x v="0"/>
    <x v="5"/>
    <x v="2"/>
    <s v="Calculator"/>
    <x v="3"/>
    <x v="2"/>
    <n v="4"/>
    <n v="8900"/>
    <n v="0.15000000000000002"/>
    <n v="7565"/>
    <n v="0.85"/>
    <s v="Medium"/>
  </r>
  <r>
    <s v="ORD1149"/>
    <d v="2020-06-08T00:00:00"/>
    <x v="0"/>
    <x v="5"/>
    <x v="2"/>
    <s v="Sticky Notes"/>
    <x v="0"/>
    <x v="2"/>
    <n v="1"/>
    <n v="5000"/>
    <n v="0.2"/>
    <n v="4000"/>
    <n v="0.8"/>
    <s v="Low"/>
  </r>
  <r>
    <s v="ORD1150"/>
    <d v="2020-06-09T00:00:00"/>
    <x v="0"/>
    <x v="5"/>
    <x v="2"/>
    <s v="Whiteboard Marker"/>
    <x v="1"/>
    <x v="2"/>
    <n v="7"/>
    <n v="9200"/>
    <n v="0.25"/>
    <n v="6900"/>
    <n v="0.75"/>
    <s v="Medium"/>
  </r>
  <r>
    <s v="ORD1151"/>
    <d v="2020-06-10T00:00:00"/>
    <x v="0"/>
    <x v="5"/>
    <x v="0"/>
    <s v="Bluetooth Speaker"/>
    <x v="2"/>
    <x v="0"/>
    <n v="4"/>
    <n v="4400"/>
    <n v="0.05"/>
    <n v="4180"/>
    <n v="0.95"/>
    <s v="Low"/>
  </r>
  <r>
    <s v="ORD1152"/>
    <d v="2020-06-11T00:00:00"/>
    <x v="0"/>
    <x v="5"/>
    <x v="0"/>
    <s v="Wireless Mouse"/>
    <x v="3"/>
    <x v="0"/>
    <n v="2"/>
    <n v="5700"/>
    <n v="0.1"/>
    <n v="5130"/>
    <n v="0.9"/>
    <s v="Medium"/>
  </r>
  <r>
    <s v="ORD1153"/>
    <d v="2020-06-12T00:00:00"/>
    <x v="0"/>
    <x v="5"/>
    <x v="0"/>
    <s v="Keyboard"/>
    <x v="0"/>
    <x v="0"/>
    <n v="6"/>
    <n v="8800"/>
    <n v="0.15000000000000002"/>
    <n v="7480"/>
    <n v="0.85"/>
    <s v="Medium"/>
  </r>
  <r>
    <s v="ORD1154"/>
    <d v="2020-06-13T00:00:00"/>
    <x v="0"/>
    <x v="5"/>
    <x v="0"/>
    <s v="Laptop Stand"/>
    <x v="1"/>
    <x v="0"/>
    <n v="5"/>
    <n v="8300"/>
    <n v="0.2"/>
    <n v="6640"/>
    <n v="0.8"/>
    <s v="Medium"/>
  </r>
  <r>
    <s v="ORD1155"/>
    <d v="2020-06-14T00:00:00"/>
    <x v="0"/>
    <x v="5"/>
    <x v="0"/>
    <s v="USB Flash Drive"/>
    <x v="2"/>
    <x v="0"/>
    <n v="8"/>
    <n v="6000"/>
    <n v="0.25"/>
    <n v="4500"/>
    <n v="0.75"/>
    <s v="Medium"/>
  </r>
  <r>
    <s v="ORD1156"/>
    <d v="2020-06-15T00:00:00"/>
    <x v="0"/>
    <x v="5"/>
    <x v="0"/>
    <s v="External Hard Disk"/>
    <x v="3"/>
    <x v="0"/>
    <n v="9"/>
    <n v="6800"/>
    <n v="0.05"/>
    <n v="6460"/>
    <n v="0.95"/>
    <s v="Medium"/>
  </r>
  <r>
    <s v="ORD1157"/>
    <d v="2020-06-16T00:00:00"/>
    <x v="0"/>
    <x v="5"/>
    <x v="0"/>
    <s v="Webcam"/>
    <x v="0"/>
    <x v="0"/>
    <n v="8"/>
    <n v="12300"/>
    <n v="0.1"/>
    <n v="11070"/>
    <n v="0.9"/>
    <s v="High"/>
  </r>
  <r>
    <s v="ORD1158"/>
    <d v="2020-06-17T00:00:00"/>
    <x v="0"/>
    <x v="5"/>
    <x v="0"/>
    <s v="Noise Cancelling Headphones"/>
    <x v="1"/>
    <x v="0"/>
    <n v="7"/>
    <n v="8600"/>
    <n v="0.15000000000000002"/>
    <n v="7310"/>
    <n v="0.85"/>
    <s v="Medium"/>
  </r>
  <r>
    <s v="ORD1159"/>
    <d v="2020-06-18T00:00:00"/>
    <x v="0"/>
    <x v="5"/>
    <x v="0"/>
    <s v="Smart Watch"/>
    <x v="2"/>
    <x v="0"/>
    <n v="1"/>
    <n v="7200"/>
    <n v="0.2"/>
    <n v="5760"/>
    <n v="0.8"/>
    <s v="Medium"/>
  </r>
  <r>
    <s v="ORD1160"/>
    <d v="2020-06-19T00:00:00"/>
    <x v="0"/>
    <x v="5"/>
    <x v="0"/>
    <s v="Portable Power Bank"/>
    <x v="3"/>
    <x v="0"/>
    <n v="8"/>
    <n v="8300"/>
    <n v="0.25"/>
    <n v="6225"/>
    <n v="0.75"/>
    <s v="Medium"/>
  </r>
  <r>
    <s v="ORD1161"/>
    <d v="2020-06-20T00:00:00"/>
    <x v="0"/>
    <x v="5"/>
    <x v="1"/>
    <s v="Office Chair"/>
    <x v="0"/>
    <x v="1"/>
    <n v="9"/>
    <n v="9000"/>
    <n v="0.05"/>
    <n v="8550"/>
    <n v="0.95"/>
    <s v="Medium"/>
  </r>
  <r>
    <s v="ORD1162"/>
    <d v="2020-06-21T00:00:00"/>
    <x v="0"/>
    <x v="5"/>
    <x v="1"/>
    <s v="Study Table"/>
    <x v="1"/>
    <x v="1"/>
    <n v="3"/>
    <n v="10300"/>
    <n v="0.1"/>
    <n v="9270"/>
    <n v="0.9"/>
    <s v="High"/>
  </r>
  <r>
    <s v="ORD1163"/>
    <d v="2020-06-22T00:00:00"/>
    <x v="0"/>
    <x v="5"/>
    <x v="1"/>
    <s v="Wooden Bookshelf"/>
    <x v="2"/>
    <x v="1"/>
    <n v="3"/>
    <n v="10100"/>
    <n v="0.15000000000000002"/>
    <n v="8585"/>
    <n v="0.85"/>
    <s v="High"/>
  </r>
  <r>
    <s v="ORD1164"/>
    <d v="2020-06-23T00:00:00"/>
    <x v="0"/>
    <x v="5"/>
    <x v="1"/>
    <s v="Computer Desk"/>
    <x v="3"/>
    <x v="1"/>
    <n v="1"/>
    <n v="7700"/>
    <n v="0.2"/>
    <n v="6160"/>
    <n v="0.8"/>
    <s v="Medium"/>
  </r>
  <r>
    <s v="ORD1165"/>
    <d v="2020-06-24T00:00:00"/>
    <x v="0"/>
    <x v="5"/>
    <x v="1"/>
    <s v="Filing Cabinet"/>
    <x v="0"/>
    <x v="1"/>
    <n v="5"/>
    <n v="14000"/>
    <n v="0.25"/>
    <n v="10500"/>
    <n v="0.75"/>
    <s v="High"/>
  </r>
  <r>
    <s v="ORD1166"/>
    <d v="2020-06-25T00:00:00"/>
    <x v="0"/>
    <x v="5"/>
    <x v="1"/>
    <s v="Visitor Chair"/>
    <x v="1"/>
    <x v="1"/>
    <n v="8"/>
    <n v="13400"/>
    <n v="0.05"/>
    <n v="12730"/>
    <n v="0.95"/>
    <s v="High"/>
  </r>
  <r>
    <s v="ORD1167"/>
    <d v="2020-06-26T00:00:00"/>
    <x v="0"/>
    <x v="5"/>
    <x v="1"/>
    <s v="Conference Table"/>
    <x v="2"/>
    <x v="1"/>
    <n v="9"/>
    <n v="4600"/>
    <n v="0.1"/>
    <n v="4140"/>
    <n v="0.9"/>
    <s v="Low"/>
  </r>
  <r>
    <s v="ORD1168"/>
    <d v="2020-06-27T00:00:00"/>
    <x v="0"/>
    <x v="5"/>
    <x v="1"/>
    <s v="Drawer Unit"/>
    <x v="3"/>
    <x v="1"/>
    <n v="10"/>
    <n v="12400"/>
    <n v="0.15000000000000002"/>
    <n v="10540"/>
    <n v="0.85"/>
    <s v="High"/>
  </r>
  <r>
    <s v="ORD1169"/>
    <d v="2020-06-28T00:00:00"/>
    <x v="0"/>
    <x v="5"/>
    <x v="1"/>
    <s v="Ergonomic Stool"/>
    <x v="0"/>
    <x v="1"/>
    <n v="7"/>
    <n v="14000"/>
    <n v="0.2"/>
    <n v="11200"/>
    <n v="0.8"/>
    <s v="High"/>
  </r>
  <r>
    <s v="ORD1170"/>
    <d v="2020-06-29T00:00:00"/>
    <x v="0"/>
    <x v="5"/>
    <x v="1"/>
    <s v="Office Sofa"/>
    <x v="1"/>
    <x v="1"/>
    <n v="4"/>
    <n v="7200"/>
    <n v="0.25"/>
    <n v="5400"/>
    <n v="0.75"/>
    <s v="Medium"/>
  </r>
  <r>
    <s v="ORD1171"/>
    <d v="2020-06-30T00:00:00"/>
    <x v="0"/>
    <x v="5"/>
    <x v="2"/>
    <s v="Ball Pen Pack"/>
    <x v="2"/>
    <x v="2"/>
    <n v="7"/>
    <n v="10700"/>
    <n v="0.05"/>
    <n v="10165"/>
    <n v="0.95"/>
    <s v="High"/>
  </r>
  <r>
    <s v="ORD1172"/>
    <d v="2020-07-01T00:00:00"/>
    <x v="0"/>
    <x v="6"/>
    <x v="2"/>
    <s v="Notebook"/>
    <x v="3"/>
    <x v="2"/>
    <n v="4"/>
    <n v="6900"/>
    <n v="0.1"/>
    <n v="6210"/>
    <n v="0.9"/>
    <s v="Medium"/>
  </r>
  <r>
    <s v="ORD1173"/>
    <d v="2020-07-02T00:00:00"/>
    <x v="0"/>
    <x v="6"/>
    <x v="2"/>
    <s v="Printer Paper Ream"/>
    <x v="0"/>
    <x v="2"/>
    <n v="1"/>
    <n v="8500"/>
    <n v="0.15000000000000002"/>
    <n v="7225"/>
    <n v="0.85"/>
    <s v="Medium"/>
  </r>
  <r>
    <s v="ORD1174"/>
    <d v="2020-07-03T00:00:00"/>
    <x v="0"/>
    <x v="6"/>
    <x v="2"/>
    <s v="Stapler"/>
    <x v="1"/>
    <x v="2"/>
    <n v="9"/>
    <n v="13500"/>
    <n v="0.2"/>
    <n v="10800"/>
    <n v="0.8"/>
    <s v="High"/>
  </r>
  <r>
    <s v="ORD1175"/>
    <d v="2020-07-04T00:00:00"/>
    <x v="0"/>
    <x v="6"/>
    <x v="2"/>
    <s v="Paper Clips Box"/>
    <x v="2"/>
    <x v="2"/>
    <n v="4"/>
    <n v="7900"/>
    <n v="0.25"/>
    <n v="5925"/>
    <n v="0.75"/>
    <s v="Medium"/>
  </r>
  <r>
    <s v="ORD1176"/>
    <d v="2020-07-05T00:00:00"/>
    <x v="0"/>
    <x v="6"/>
    <x v="2"/>
    <s v="Highlighter Set"/>
    <x v="3"/>
    <x v="2"/>
    <n v="4"/>
    <n v="12100"/>
    <n v="0.05"/>
    <n v="11495"/>
    <n v="0.95"/>
    <s v="High"/>
  </r>
  <r>
    <s v="ORD1177"/>
    <d v="2020-07-06T00:00:00"/>
    <x v="0"/>
    <x v="6"/>
    <x v="2"/>
    <s v="Desk Organizer"/>
    <x v="0"/>
    <x v="2"/>
    <n v="9"/>
    <n v="13800"/>
    <n v="0.1"/>
    <n v="12420"/>
    <n v="0.9"/>
    <s v="High"/>
  </r>
  <r>
    <s v="ORD1178"/>
    <d v="2020-07-07T00:00:00"/>
    <x v="0"/>
    <x v="6"/>
    <x v="2"/>
    <s v="Calculator"/>
    <x v="1"/>
    <x v="2"/>
    <n v="9"/>
    <n v="6100"/>
    <n v="0.15000000000000002"/>
    <n v="5185"/>
    <n v="0.85"/>
    <s v="Medium"/>
  </r>
  <r>
    <s v="ORD1179"/>
    <d v="2020-07-08T00:00:00"/>
    <x v="0"/>
    <x v="6"/>
    <x v="2"/>
    <s v="Sticky Notes"/>
    <x v="2"/>
    <x v="2"/>
    <n v="6"/>
    <n v="13000"/>
    <n v="0.2"/>
    <n v="10400"/>
    <n v="0.8"/>
    <s v="High"/>
  </r>
  <r>
    <s v="ORD1180"/>
    <d v="2020-07-09T00:00:00"/>
    <x v="0"/>
    <x v="6"/>
    <x v="2"/>
    <s v="Whiteboard Marker"/>
    <x v="3"/>
    <x v="2"/>
    <n v="7"/>
    <n v="6500"/>
    <n v="0.25"/>
    <n v="4875"/>
    <n v="0.75"/>
    <s v="Medium"/>
  </r>
  <r>
    <s v="ORD1181"/>
    <d v="2020-07-10T00:00:00"/>
    <x v="0"/>
    <x v="6"/>
    <x v="0"/>
    <s v="Bluetooth Speaker"/>
    <x v="0"/>
    <x v="0"/>
    <n v="10"/>
    <n v="8500"/>
    <n v="0.05"/>
    <n v="8075"/>
    <n v="0.95"/>
    <s v="Medium"/>
  </r>
  <r>
    <s v="ORD1182"/>
    <d v="2020-07-11T00:00:00"/>
    <x v="0"/>
    <x v="6"/>
    <x v="0"/>
    <s v="Wireless Mouse"/>
    <x v="1"/>
    <x v="0"/>
    <n v="10"/>
    <n v="9400"/>
    <n v="0.1"/>
    <n v="8460"/>
    <n v="0.9"/>
    <s v="Medium"/>
  </r>
  <r>
    <s v="ORD1183"/>
    <d v="2020-07-12T00:00:00"/>
    <x v="0"/>
    <x v="6"/>
    <x v="0"/>
    <s v="Keyboard"/>
    <x v="2"/>
    <x v="0"/>
    <n v="4"/>
    <n v="12900"/>
    <n v="0.15000000000000002"/>
    <n v="10965"/>
    <n v="0.85"/>
    <s v="High"/>
  </r>
  <r>
    <s v="ORD1184"/>
    <d v="2020-07-13T00:00:00"/>
    <x v="0"/>
    <x v="6"/>
    <x v="0"/>
    <s v="Laptop Stand"/>
    <x v="3"/>
    <x v="0"/>
    <n v="2"/>
    <n v="14200"/>
    <n v="0.2"/>
    <n v="11360"/>
    <n v="0.8"/>
    <s v="High"/>
  </r>
  <r>
    <s v="ORD1185"/>
    <d v="2020-07-14T00:00:00"/>
    <x v="0"/>
    <x v="6"/>
    <x v="0"/>
    <s v="USB Flash Drive"/>
    <x v="0"/>
    <x v="0"/>
    <n v="9"/>
    <n v="7200"/>
    <n v="0.25"/>
    <n v="5400"/>
    <n v="0.75"/>
    <s v="Medium"/>
  </r>
  <r>
    <s v="ORD1186"/>
    <d v="2020-07-15T00:00:00"/>
    <x v="0"/>
    <x v="6"/>
    <x v="0"/>
    <s v="External Hard Disk"/>
    <x v="1"/>
    <x v="0"/>
    <n v="3"/>
    <n v="7300"/>
    <n v="0.05"/>
    <n v="6935"/>
    <n v="0.95"/>
    <s v="Medium"/>
  </r>
  <r>
    <s v="ORD1187"/>
    <d v="2020-07-16T00:00:00"/>
    <x v="0"/>
    <x v="6"/>
    <x v="0"/>
    <s v="Webcam"/>
    <x v="2"/>
    <x v="0"/>
    <n v="4"/>
    <n v="10600"/>
    <n v="0.1"/>
    <n v="9540"/>
    <n v="0.9"/>
    <s v="High"/>
  </r>
  <r>
    <s v="ORD1188"/>
    <d v="2020-07-17T00:00:00"/>
    <x v="0"/>
    <x v="6"/>
    <x v="0"/>
    <s v="Noise Cancelling Headphones"/>
    <x v="3"/>
    <x v="0"/>
    <n v="5"/>
    <n v="14000"/>
    <n v="0.15000000000000002"/>
    <n v="11900"/>
    <n v="0.85"/>
    <s v="High"/>
  </r>
  <r>
    <s v="ORD1189"/>
    <d v="2020-07-18T00:00:00"/>
    <x v="0"/>
    <x v="6"/>
    <x v="0"/>
    <s v="Smart Watch"/>
    <x v="0"/>
    <x v="0"/>
    <n v="2"/>
    <n v="11200"/>
    <n v="0.2"/>
    <n v="8960"/>
    <n v="0.8"/>
    <s v="High"/>
  </r>
  <r>
    <s v="ORD1190"/>
    <d v="2020-07-19T00:00:00"/>
    <x v="0"/>
    <x v="6"/>
    <x v="0"/>
    <s v="Portable Power Bank"/>
    <x v="1"/>
    <x v="0"/>
    <n v="4"/>
    <n v="14800"/>
    <n v="0.25"/>
    <n v="11100"/>
    <n v="0.75"/>
    <s v="High"/>
  </r>
  <r>
    <s v="ORD1191"/>
    <d v="2020-07-20T00:00:00"/>
    <x v="0"/>
    <x v="6"/>
    <x v="1"/>
    <s v="Office Chair"/>
    <x v="2"/>
    <x v="1"/>
    <n v="3"/>
    <n v="8700"/>
    <n v="0.05"/>
    <n v="8265"/>
    <n v="0.95"/>
    <s v="Medium"/>
  </r>
  <r>
    <s v="ORD1192"/>
    <d v="2020-07-21T00:00:00"/>
    <x v="0"/>
    <x v="6"/>
    <x v="1"/>
    <s v="Study Table"/>
    <x v="3"/>
    <x v="1"/>
    <n v="2"/>
    <n v="8700"/>
    <n v="0.1"/>
    <n v="7830"/>
    <n v="0.9"/>
    <s v="Medium"/>
  </r>
  <r>
    <s v="ORD1193"/>
    <d v="2020-07-22T00:00:00"/>
    <x v="0"/>
    <x v="6"/>
    <x v="1"/>
    <s v="Wooden Bookshelf"/>
    <x v="0"/>
    <x v="1"/>
    <n v="1"/>
    <n v="14800"/>
    <n v="0.15000000000000002"/>
    <n v="12580"/>
    <n v="0.85"/>
    <s v="High"/>
  </r>
  <r>
    <s v="ORD1194"/>
    <d v="2020-07-23T00:00:00"/>
    <x v="0"/>
    <x v="6"/>
    <x v="1"/>
    <s v="Computer Desk"/>
    <x v="1"/>
    <x v="1"/>
    <n v="2"/>
    <n v="12700"/>
    <n v="0.2"/>
    <n v="10160"/>
    <n v="0.8"/>
    <s v="High"/>
  </r>
  <r>
    <s v="ORD1195"/>
    <d v="2020-07-24T00:00:00"/>
    <x v="0"/>
    <x v="6"/>
    <x v="1"/>
    <s v="Filing Cabinet"/>
    <x v="2"/>
    <x v="1"/>
    <n v="10"/>
    <n v="10300"/>
    <n v="0.25"/>
    <n v="7725"/>
    <n v="0.75"/>
    <s v="High"/>
  </r>
  <r>
    <s v="ORD1196"/>
    <d v="2020-07-25T00:00:00"/>
    <x v="0"/>
    <x v="6"/>
    <x v="1"/>
    <s v="Visitor Chair"/>
    <x v="3"/>
    <x v="1"/>
    <n v="9"/>
    <n v="8500"/>
    <n v="0.05"/>
    <n v="8075"/>
    <n v="0.95"/>
    <s v="Medium"/>
  </r>
  <r>
    <s v="ORD1197"/>
    <d v="2020-07-26T00:00:00"/>
    <x v="0"/>
    <x v="6"/>
    <x v="1"/>
    <s v="Conference Table"/>
    <x v="0"/>
    <x v="1"/>
    <n v="1"/>
    <n v="11900"/>
    <n v="0.1"/>
    <n v="10710"/>
    <n v="0.9"/>
    <s v="High"/>
  </r>
  <r>
    <s v="ORD1198"/>
    <d v="2020-07-27T00:00:00"/>
    <x v="0"/>
    <x v="6"/>
    <x v="1"/>
    <s v="Drawer Unit"/>
    <x v="1"/>
    <x v="1"/>
    <n v="8"/>
    <n v="10300"/>
    <n v="0.15000000000000002"/>
    <n v="8755"/>
    <n v="0.85"/>
    <s v="High"/>
  </r>
  <r>
    <s v="ORD1199"/>
    <d v="2020-07-28T00:00:00"/>
    <x v="0"/>
    <x v="6"/>
    <x v="1"/>
    <s v="Ergonomic Stool"/>
    <x v="2"/>
    <x v="1"/>
    <n v="7"/>
    <n v="5600"/>
    <n v="0.2"/>
    <n v="4480"/>
    <n v="0.8"/>
    <s v="Medium"/>
  </r>
  <r>
    <s v="ORD1200"/>
    <d v="2020-07-29T00:00:00"/>
    <x v="0"/>
    <x v="6"/>
    <x v="1"/>
    <s v="Office Sofa"/>
    <x v="3"/>
    <x v="1"/>
    <n v="3"/>
    <n v="10900"/>
    <n v="0.25"/>
    <n v="8175"/>
    <n v="0.75"/>
    <s v="High"/>
  </r>
  <r>
    <s v="ORD1201"/>
    <d v="2020-07-30T00:00:00"/>
    <x v="0"/>
    <x v="6"/>
    <x v="2"/>
    <s v="Ball Pen Pack"/>
    <x v="0"/>
    <x v="2"/>
    <n v="2"/>
    <n v="8600"/>
    <n v="0.05"/>
    <n v="8170"/>
    <n v="0.95"/>
    <s v="Medium"/>
  </r>
  <r>
    <s v="ORD1202"/>
    <d v="2020-07-31T00:00:00"/>
    <x v="0"/>
    <x v="6"/>
    <x v="2"/>
    <s v="Notebook"/>
    <x v="1"/>
    <x v="2"/>
    <n v="2"/>
    <n v="9400"/>
    <n v="0.1"/>
    <n v="8460"/>
    <n v="0.9"/>
    <s v="Medium"/>
  </r>
  <r>
    <s v="ORD1203"/>
    <d v="2020-08-01T00:00:00"/>
    <x v="0"/>
    <x v="7"/>
    <x v="2"/>
    <s v="Printer Paper Ream"/>
    <x v="2"/>
    <x v="2"/>
    <n v="4"/>
    <n v="11800"/>
    <n v="0.15000000000000002"/>
    <n v="10030"/>
    <n v="0.85"/>
    <s v="High"/>
  </r>
  <r>
    <s v="ORD1204"/>
    <d v="2020-08-02T00:00:00"/>
    <x v="0"/>
    <x v="7"/>
    <x v="2"/>
    <s v="Stapler"/>
    <x v="3"/>
    <x v="2"/>
    <n v="1"/>
    <n v="10800"/>
    <n v="0.2"/>
    <n v="8640"/>
    <n v="0.8"/>
    <s v="High"/>
  </r>
  <r>
    <s v="ORD1205"/>
    <d v="2020-08-03T00:00:00"/>
    <x v="0"/>
    <x v="7"/>
    <x v="2"/>
    <s v="Paper Clips Box"/>
    <x v="0"/>
    <x v="2"/>
    <n v="7"/>
    <n v="6500"/>
    <n v="0.25"/>
    <n v="4875"/>
    <n v="0.75"/>
    <s v="Medium"/>
  </r>
  <r>
    <s v="ORD1206"/>
    <d v="2020-08-04T00:00:00"/>
    <x v="0"/>
    <x v="7"/>
    <x v="2"/>
    <s v="Highlighter Set"/>
    <x v="1"/>
    <x v="2"/>
    <n v="4"/>
    <n v="5000"/>
    <n v="0.05"/>
    <n v="4750"/>
    <n v="0.95"/>
    <s v="Low"/>
  </r>
  <r>
    <s v="ORD1207"/>
    <d v="2020-08-05T00:00:00"/>
    <x v="0"/>
    <x v="7"/>
    <x v="2"/>
    <s v="Desk Organizer"/>
    <x v="2"/>
    <x v="2"/>
    <n v="2"/>
    <n v="4300"/>
    <n v="0.1"/>
    <n v="3870"/>
    <n v="0.9"/>
    <s v="Low"/>
  </r>
  <r>
    <s v="ORD1208"/>
    <d v="2020-08-06T00:00:00"/>
    <x v="0"/>
    <x v="7"/>
    <x v="2"/>
    <s v="Calculator"/>
    <x v="3"/>
    <x v="2"/>
    <n v="4"/>
    <n v="11700"/>
    <n v="0.15000000000000002"/>
    <n v="9945"/>
    <n v="0.85"/>
    <s v="High"/>
  </r>
  <r>
    <s v="ORD1209"/>
    <d v="2020-08-07T00:00:00"/>
    <x v="0"/>
    <x v="7"/>
    <x v="2"/>
    <s v="Sticky Notes"/>
    <x v="0"/>
    <x v="2"/>
    <n v="10"/>
    <n v="10600"/>
    <n v="0.2"/>
    <n v="8480"/>
    <n v="0.8"/>
    <s v="High"/>
  </r>
  <r>
    <s v="ORD1210"/>
    <d v="2020-08-08T00:00:00"/>
    <x v="0"/>
    <x v="7"/>
    <x v="2"/>
    <s v="Whiteboard Marker"/>
    <x v="1"/>
    <x v="2"/>
    <n v="4"/>
    <n v="14500"/>
    <n v="0.25"/>
    <n v="10875"/>
    <n v="0.75"/>
    <s v="High"/>
  </r>
  <r>
    <s v="ORD1211"/>
    <d v="2020-08-09T00:00:00"/>
    <x v="0"/>
    <x v="7"/>
    <x v="0"/>
    <s v="Bluetooth Speaker"/>
    <x v="2"/>
    <x v="0"/>
    <n v="9"/>
    <n v="14600"/>
    <n v="0.05"/>
    <n v="13870"/>
    <n v="0.95"/>
    <s v="High"/>
  </r>
  <r>
    <s v="ORD1212"/>
    <d v="2020-08-10T00:00:00"/>
    <x v="0"/>
    <x v="7"/>
    <x v="0"/>
    <s v="Wireless Mouse"/>
    <x v="3"/>
    <x v="0"/>
    <n v="2"/>
    <n v="11700"/>
    <n v="0.1"/>
    <n v="10530"/>
    <n v="0.9"/>
    <s v="High"/>
  </r>
  <r>
    <s v="ORD1213"/>
    <d v="2020-08-11T00:00:00"/>
    <x v="0"/>
    <x v="7"/>
    <x v="0"/>
    <s v="Keyboard"/>
    <x v="0"/>
    <x v="0"/>
    <n v="3"/>
    <n v="11000"/>
    <n v="0.15000000000000002"/>
    <n v="9350"/>
    <n v="0.85"/>
    <s v="High"/>
  </r>
  <r>
    <s v="ORD1214"/>
    <d v="2020-08-12T00:00:00"/>
    <x v="0"/>
    <x v="7"/>
    <x v="0"/>
    <s v="Laptop Stand"/>
    <x v="1"/>
    <x v="0"/>
    <n v="9"/>
    <n v="6700"/>
    <n v="0.2"/>
    <n v="5360"/>
    <n v="0.8"/>
    <s v="Medium"/>
  </r>
  <r>
    <s v="ORD1215"/>
    <d v="2020-08-13T00:00:00"/>
    <x v="0"/>
    <x v="7"/>
    <x v="0"/>
    <s v="USB Flash Drive"/>
    <x v="2"/>
    <x v="0"/>
    <n v="2"/>
    <n v="10600"/>
    <n v="0.25"/>
    <n v="7950"/>
    <n v="0.75"/>
    <s v="High"/>
  </r>
  <r>
    <s v="ORD1216"/>
    <d v="2020-08-14T00:00:00"/>
    <x v="0"/>
    <x v="7"/>
    <x v="0"/>
    <s v="External Hard Disk"/>
    <x v="3"/>
    <x v="0"/>
    <n v="1"/>
    <n v="11300"/>
    <n v="0.05"/>
    <n v="10735"/>
    <n v="0.95"/>
    <s v="High"/>
  </r>
  <r>
    <s v="ORD1217"/>
    <d v="2020-08-15T00:00:00"/>
    <x v="0"/>
    <x v="7"/>
    <x v="0"/>
    <s v="Webcam"/>
    <x v="0"/>
    <x v="0"/>
    <n v="4"/>
    <n v="6400"/>
    <n v="0.1"/>
    <n v="5760"/>
    <n v="0.9"/>
    <s v="Medium"/>
  </r>
  <r>
    <s v="ORD1218"/>
    <d v="2020-08-16T00:00:00"/>
    <x v="0"/>
    <x v="7"/>
    <x v="0"/>
    <s v="Noise Cancelling Headphones"/>
    <x v="1"/>
    <x v="0"/>
    <n v="2"/>
    <n v="6600"/>
    <n v="0.15000000000000002"/>
    <n v="5610"/>
    <n v="0.85"/>
    <s v="Medium"/>
  </r>
  <r>
    <s v="ORD1219"/>
    <d v="2020-08-17T00:00:00"/>
    <x v="0"/>
    <x v="7"/>
    <x v="0"/>
    <s v="Smart Watch"/>
    <x v="2"/>
    <x v="0"/>
    <n v="5"/>
    <n v="11700"/>
    <n v="0.2"/>
    <n v="9360"/>
    <n v="0.8"/>
    <s v="High"/>
  </r>
  <r>
    <s v="ORD1220"/>
    <d v="2020-08-18T00:00:00"/>
    <x v="0"/>
    <x v="7"/>
    <x v="0"/>
    <s v="Portable Power Bank"/>
    <x v="3"/>
    <x v="0"/>
    <n v="6"/>
    <n v="13300"/>
    <n v="0.25"/>
    <n v="9975"/>
    <n v="0.75"/>
    <s v="High"/>
  </r>
  <r>
    <s v="ORD1221"/>
    <d v="2020-08-19T00:00:00"/>
    <x v="0"/>
    <x v="7"/>
    <x v="1"/>
    <s v="Office Chair"/>
    <x v="0"/>
    <x v="1"/>
    <n v="6"/>
    <n v="9100"/>
    <n v="0.05"/>
    <n v="8645"/>
    <n v="0.95"/>
    <s v="Medium"/>
  </r>
  <r>
    <s v="ORD1222"/>
    <d v="2020-08-20T00:00:00"/>
    <x v="0"/>
    <x v="7"/>
    <x v="1"/>
    <s v="Study Table"/>
    <x v="1"/>
    <x v="1"/>
    <n v="1"/>
    <n v="10100"/>
    <n v="0.1"/>
    <n v="9090"/>
    <n v="0.9"/>
    <s v="High"/>
  </r>
  <r>
    <s v="ORD1223"/>
    <d v="2020-08-21T00:00:00"/>
    <x v="0"/>
    <x v="7"/>
    <x v="1"/>
    <s v="Wooden Bookshelf"/>
    <x v="2"/>
    <x v="1"/>
    <n v="5"/>
    <n v="4200"/>
    <n v="0.15000000000000002"/>
    <n v="3570"/>
    <n v="0.85"/>
    <s v="Low"/>
  </r>
  <r>
    <s v="ORD1224"/>
    <d v="2020-08-22T00:00:00"/>
    <x v="0"/>
    <x v="7"/>
    <x v="1"/>
    <s v="Computer Desk"/>
    <x v="3"/>
    <x v="1"/>
    <n v="1"/>
    <n v="13000"/>
    <n v="0.2"/>
    <n v="10400"/>
    <n v="0.8"/>
    <s v="High"/>
  </r>
  <r>
    <s v="ORD1225"/>
    <d v="2020-08-23T00:00:00"/>
    <x v="0"/>
    <x v="7"/>
    <x v="1"/>
    <s v="Filing Cabinet"/>
    <x v="0"/>
    <x v="1"/>
    <n v="6"/>
    <n v="11500"/>
    <n v="0.25"/>
    <n v="8625"/>
    <n v="0.75"/>
    <s v="High"/>
  </r>
  <r>
    <s v="ORD1226"/>
    <d v="2020-08-24T00:00:00"/>
    <x v="0"/>
    <x v="7"/>
    <x v="1"/>
    <s v="Visitor Chair"/>
    <x v="1"/>
    <x v="1"/>
    <n v="4"/>
    <n v="6700"/>
    <n v="0.05"/>
    <n v="6365"/>
    <n v="0.95"/>
    <s v="Medium"/>
  </r>
  <r>
    <s v="ORD1227"/>
    <d v="2020-08-25T00:00:00"/>
    <x v="0"/>
    <x v="7"/>
    <x v="1"/>
    <s v="Conference Table"/>
    <x v="2"/>
    <x v="1"/>
    <n v="7"/>
    <n v="8400"/>
    <n v="0.1"/>
    <n v="7560"/>
    <n v="0.9"/>
    <s v="Medium"/>
  </r>
  <r>
    <s v="ORD1228"/>
    <d v="2020-08-26T00:00:00"/>
    <x v="0"/>
    <x v="7"/>
    <x v="1"/>
    <s v="Drawer Unit"/>
    <x v="3"/>
    <x v="1"/>
    <n v="10"/>
    <n v="12400"/>
    <n v="0.15000000000000002"/>
    <n v="10540"/>
    <n v="0.85"/>
    <s v="High"/>
  </r>
  <r>
    <s v="ORD1229"/>
    <d v="2020-08-27T00:00:00"/>
    <x v="0"/>
    <x v="7"/>
    <x v="1"/>
    <s v="Ergonomic Stool"/>
    <x v="0"/>
    <x v="1"/>
    <n v="10"/>
    <n v="12300"/>
    <n v="0.2"/>
    <n v="9840"/>
    <n v="0.8"/>
    <s v="High"/>
  </r>
  <r>
    <s v="ORD1230"/>
    <d v="2020-08-28T00:00:00"/>
    <x v="0"/>
    <x v="7"/>
    <x v="1"/>
    <s v="Office Sofa"/>
    <x v="1"/>
    <x v="1"/>
    <n v="4"/>
    <n v="14500"/>
    <n v="0.25"/>
    <n v="10875"/>
    <n v="0.75"/>
    <s v="High"/>
  </r>
  <r>
    <s v="ORD1231"/>
    <d v="2020-08-29T00:00:00"/>
    <x v="0"/>
    <x v="7"/>
    <x v="2"/>
    <s v="Ball Pen Pack"/>
    <x v="2"/>
    <x v="2"/>
    <n v="2"/>
    <n v="9800"/>
    <n v="0.05"/>
    <n v="9310"/>
    <n v="0.95"/>
    <s v="Medium"/>
  </r>
  <r>
    <s v="ORD1232"/>
    <d v="2020-08-30T00:00:00"/>
    <x v="0"/>
    <x v="7"/>
    <x v="2"/>
    <s v="Notebook"/>
    <x v="3"/>
    <x v="2"/>
    <n v="4"/>
    <n v="12200"/>
    <n v="0.1"/>
    <n v="10980"/>
    <n v="0.9"/>
    <s v="High"/>
  </r>
  <r>
    <s v="ORD1233"/>
    <d v="2020-08-31T00:00:00"/>
    <x v="0"/>
    <x v="7"/>
    <x v="2"/>
    <s v="Printer Paper Ream"/>
    <x v="0"/>
    <x v="2"/>
    <n v="4"/>
    <n v="4200"/>
    <n v="0.15000000000000002"/>
    <n v="3570"/>
    <n v="0.85"/>
    <s v="Low"/>
  </r>
  <r>
    <s v="ORD1234"/>
    <d v="2020-09-01T00:00:00"/>
    <x v="0"/>
    <x v="8"/>
    <x v="2"/>
    <s v="Stapler"/>
    <x v="1"/>
    <x v="2"/>
    <n v="7"/>
    <n v="5800"/>
    <n v="0.2"/>
    <n v="4640"/>
    <n v="0.8"/>
    <s v="Medium"/>
  </r>
  <r>
    <s v="ORD1235"/>
    <d v="2020-09-02T00:00:00"/>
    <x v="0"/>
    <x v="8"/>
    <x v="2"/>
    <s v="Paper Clips Box"/>
    <x v="2"/>
    <x v="2"/>
    <n v="4"/>
    <n v="6800"/>
    <n v="0.25"/>
    <n v="5100"/>
    <n v="0.75"/>
    <s v="Medium"/>
  </r>
  <r>
    <s v="ORD1236"/>
    <d v="2020-09-03T00:00:00"/>
    <x v="0"/>
    <x v="8"/>
    <x v="2"/>
    <s v="Highlighter Set"/>
    <x v="3"/>
    <x v="2"/>
    <n v="10"/>
    <n v="10300"/>
    <n v="0.05"/>
    <n v="9785"/>
    <n v="0.95"/>
    <s v="High"/>
  </r>
  <r>
    <s v="ORD1237"/>
    <d v="2020-09-04T00:00:00"/>
    <x v="0"/>
    <x v="8"/>
    <x v="2"/>
    <s v="Desk Organizer"/>
    <x v="0"/>
    <x v="2"/>
    <n v="4"/>
    <n v="10800"/>
    <n v="0.1"/>
    <n v="9720"/>
    <n v="0.9"/>
    <s v="High"/>
  </r>
  <r>
    <s v="ORD1238"/>
    <d v="2020-09-05T00:00:00"/>
    <x v="0"/>
    <x v="8"/>
    <x v="2"/>
    <s v="Calculator"/>
    <x v="1"/>
    <x v="2"/>
    <n v="4"/>
    <n v="7500"/>
    <n v="0.15000000000000002"/>
    <n v="6375"/>
    <n v="0.85"/>
    <s v="Medium"/>
  </r>
  <r>
    <s v="ORD1239"/>
    <d v="2020-09-06T00:00:00"/>
    <x v="0"/>
    <x v="8"/>
    <x v="2"/>
    <s v="Sticky Notes"/>
    <x v="2"/>
    <x v="2"/>
    <n v="8"/>
    <n v="6800"/>
    <n v="0.2"/>
    <n v="5440"/>
    <n v="0.8"/>
    <s v="Medium"/>
  </r>
  <r>
    <s v="ORD1240"/>
    <d v="2020-09-07T00:00:00"/>
    <x v="0"/>
    <x v="8"/>
    <x v="2"/>
    <s v="Whiteboard Marker"/>
    <x v="3"/>
    <x v="2"/>
    <n v="1"/>
    <n v="4900"/>
    <n v="0.25"/>
    <n v="3675"/>
    <n v="0.75"/>
    <s v="Low"/>
  </r>
  <r>
    <s v="ORD1241"/>
    <d v="2020-09-08T00:00:00"/>
    <x v="0"/>
    <x v="8"/>
    <x v="0"/>
    <s v="Bluetooth Speaker"/>
    <x v="0"/>
    <x v="0"/>
    <n v="9"/>
    <n v="8700"/>
    <n v="0.05"/>
    <n v="8265"/>
    <n v="0.95"/>
    <s v="Medium"/>
  </r>
  <r>
    <s v="ORD1242"/>
    <d v="2020-09-09T00:00:00"/>
    <x v="0"/>
    <x v="8"/>
    <x v="0"/>
    <s v="Wireless Mouse"/>
    <x v="1"/>
    <x v="0"/>
    <n v="8"/>
    <n v="5500"/>
    <n v="0.1"/>
    <n v="4950"/>
    <n v="0.9"/>
    <s v="Medium"/>
  </r>
  <r>
    <s v="ORD1243"/>
    <d v="2020-09-10T00:00:00"/>
    <x v="0"/>
    <x v="8"/>
    <x v="0"/>
    <s v="Keyboard"/>
    <x v="2"/>
    <x v="0"/>
    <n v="3"/>
    <n v="14500"/>
    <n v="0.15000000000000002"/>
    <n v="12325"/>
    <n v="0.85"/>
    <s v="High"/>
  </r>
  <r>
    <s v="ORD1244"/>
    <d v="2020-09-11T00:00:00"/>
    <x v="0"/>
    <x v="8"/>
    <x v="0"/>
    <s v="Laptop Stand"/>
    <x v="3"/>
    <x v="0"/>
    <n v="3"/>
    <n v="10700"/>
    <n v="0.2"/>
    <n v="8560"/>
    <n v="0.8"/>
    <s v="High"/>
  </r>
  <r>
    <s v="ORD1245"/>
    <d v="2020-09-12T00:00:00"/>
    <x v="0"/>
    <x v="8"/>
    <x v="0"/>
    <s v="USB Flash Drive"/>
    <x v="0"/>
    <x v="0"/>
    <n v="2"/>
    <n v="6800"/>
    <n v="0.25"/>
    <n v="5100"/>
    <n v="0.75"/>
    <s v="Medium"/>
  </r>
  <r>
    <s v="ORD1246"/>
    <d v="2020-09-13T00:00:00"/>
    <x v="0"/>
    <x v="8"/>
    <x v="0"/>
    <s v="External Hard Disk"/>
    <x v="1"/>
    <x v="0"/>
    <n v="1"/>
    <n v="5700"/>
    <n v="0.05"/>
    <n v="5415"/>
    <n v="0.95"/>
    <s v="Medium"/>
  </r>
  <r>
    <s v="ORD1247"/>
    <d v="2020-09-14T00:00:00"/>
    <x v="0"/>
    <x v="8"/>
    <x v="0"/>
    <s v="Webcam"/>
    <x v="2"/>
    <x v="0"/>
    <n v="9"/>
    <n v="4300"/>
    <n v="0.1"/>
    <n v="3870"/>
    <n v="0.9"/>
    <s v="Low"/>
  </r>
  <r>
    <s v="ORD1248"/>
    <d v="2020-09-15T00:00:00"/>
    <x v="0"/>
    <x v="8"/>
    <x v="0"/>
    <s v="Noise Cancelling Headphones"/>
    <x v="3"/>
    <x v="0"/>
    <n v="8"/>
    <n v="14600"/>
    <n v="0.15000000000000002"/>
    <n v="12410"/>
    <n v="0.85"/>
    <s v="High"/>
  </r>
  <r>
    <s v="ORD1249"/>
    <d v="2020-09-16T00:00:00"/>
    <x v="0"/>
    <x v="8"/>
    <x v="0"/>
    <s v="Smart Watch"/>
    <x v="0"/>
    <x v="0"/>
    <n v="3"/>
    <n v="11400"/>
    <n v="0.2"/>
    <n v="9120"/>
    <n v="0.8"/>
    <s v="High"/>
  </r>
  <r>
    <s v="ORD1250"/>
    <d v="2020-09-17T00:00:00"/>
    <x v="0"/>
    <x v="8"/>
    <x v="0"/>
    <s v="Portable Power Bank"/>
    <x v="1"/>
    <x v="0"/>
    <n v="10"/>
    <n v="12500"/>
    <n v="0.25"/>
    <n v="9375"/>
    <n v="0.75"/>
    <s v="High"/>
  </r>
  <r>
    <s v="ORD1251"/>
    <d v="2020-09-18T00:00:00"/>
    <x v="0"/>
    <x v="8"/>
    <x v="1"/>
    <s v="Office Chair"/>
    <x v="2"/>
    <x v="1"/>
    <n v="9"/>
    <n v="9400"/>
    <n v="0.05"/>
    <n v="8930"/>
    <n v="0.95"/>
    <s v="Medium"/>
  </r>
  <r>
    <s v="ORD1252"/>
    <d v="2020-09-19T00:00:00"/>
    <x v="0"/>
    <x v="8"/>
    <x v="1"/>
    <s v="Study Table"/>
    <x v="3"/>
    <x v="1"/>
    <n v="9"/>
    <n v="10400"/>
    <n v="0.1"/>
    <n v="9360"/>
    <n v="0.9"/>
    <s v="High"/>
  </r>
  <r>
    <s v="ORD1253"/>
    <d v="2020-09-20T00:00:00"/>
    <x v="0"/>
    <x v="8"/>
    <x v="1"/>
    <s v="Wooden Bookshelf"/>
    <x v="0"/>
    <x v="1"/>
    <n v="1"/>
    <n v="12500"/>
    <n v="0.15000000000000002"/>
    <n v="10625"/>
    <n v="0.85"/>
    <s v="High"/>
  </r>
  <r>
    <s v="ORD1254"/>
    <d v="2020-09-21T00:00:00"/>
    <x v="0"/>
    <x v="8"/>
    <x v="1"/>
    <s v="Computer Desk"/>
    <x v="1"/>
    <x v="1"/>
    <n v="5"/>
    <n v="5600"/>
    <n v="0.2"/>
    <n v="4480"/>
    <n v="0.8"/>
    <s v="Medium"/>
  </r>
  <r>
    <s v="ORD1255"/>
    <d v="2020-09-22T00:00:00"/>
    <x v="0"/>
    <x v="8"/>
    <x v="1"/>
    <s v="Filing Cabinet"/>
    <x v="2"/>
    <x v="1"/>
    <n v="10"/>
    <n v="4700"/>
    <n v="0.25"/>
    <n v="3525"/>
    <n v="0.75"/>
    <s v="Low"/>
  </r>
  <r>
    <s v="ORD1256"/>
    <d v="2020-09-23T00:00:00"/>
    <x v="0"/>
    <x v="8"/>
    <x v="1"/>
    <s v="Visitor Chair"/>
    <x v="3"/>
    <x v="1"/>
    <n v="1"/>
    <n v="11500"/>
    <n v="0.05"/>
    <n v="10925"/>
    <n v="0.95"/>
    <s v="High"/>
  </r>
  <r>
    <s v="ORD1257"/>
    <d v="2020-09-24T00:00:00"/>
    <x v="0"/>
    <x v="8"/>
    <x v="1"/>
    <s v="Conference Table"/>
    <x v="0"/>
    <x v="1"/>
    <n v="2"/>
    <n v="12500"/>
    <n v="0.1"/>
    <n v="11250"/>
    <n v="0.9"/>
    <s v="High"/>
  </r>
  <r>
    <s v="ORD1258"/>
    <d v="2020-09-25T00:00:00"/>
    <x v="0"/>
    <x v="8"/>
    <x v="1"/>
    <s v="Drawer Unit"/>
    <x v="1"/>
    <x v="1"/>
    <n v="6"/>
    <n v="11900"/>
    <n v="0.15000000000000002"/>
    <n v="10115"/>
    <n v="0.85"/>
    <s v="High"/>
  </r>
  <r>
    <s v="ORD1259"/>
    <d v="2020-09-26T00:00:00"/>
    <x v="0"/>
    <x v="8"/>
    <x v="1"/>
    <s v="Ergonomic Stool"/>
    <x v="2"/>
    <x v="1"/>
    <n v="9"/>
    <n v="14400"/>
    <n v="0.2"/>
    <n v="11520"/>
    <n v="0.8"/>
    <s v="High"/>
  </r>
  <r>
    <s v="ORD1260"/>
    <d v="2020-09-27T00:00:00"/>
    <x v="0"/>
    <x v="8"/>
    <x v="1"/>
    <s v="Office Sofa"/>
    <x v="3"/>
    <x v="1"/>
    <n v="8"/>
    <n v="11900"/>
    <n v="0.25"/>
    <n v="8925"/>
    <n v="0.75"/>
    <s v="High"/>
  </r>
  <r>
    <s v="ORD1261"/>
    <d v="2020-09-28T00:00:00"/>
    <x v="0"/>
    <x v="8"/>
    <x v="2"/>
    <s v="Ball Pen Pack"/>
    <x v="0"/>
    <x v="2"/>
    <n v="9"/>
    <n v="11900"/>
    <n v="0.05"/>
    <n v="11305"/>
    <n v="0.95"/>
    <s v="High"/>
  </r>
  <r>
    <s v="ORD1262"/>
    <d v="2020-09-29T00:00:00"/>
    <x v="0"/>
    <x v="8"/>
    <x v="2"/>
    <s v="Notebook"/>
    <x v="1"/>
    <x v="2"/>
    <n v="3"/>
    <n v="9000"/>
    <n v="0.1"/>
    <n v="8100"/>
    <n v="0.9"/>
    <s v="Medium"/>
  </r>
  <r>
    <s v="ORD1263"/>
    <d v="2020-09-30T00:00:00"/>
    <x v="0"/>
    <x v="8"/>
    <x v="2"/>
    <s v="Printer Paper Ream"/>
    <x v="2"/>
    <x v="2"/>
    <n v="10"/>
    <n v="8100"/>
    <n v="0.15000000000000002"/>
    <n v="6885"/>
    <n v="0.85"/>
    <s v="Medium"/>
  </r>
  <r>
    <s v="ORD1264"/>
    <d v="2020-10-01T00:00:00"/>
    <x v="0"/>
    <x v="9"/>
    <x v="2"/>
    <s v="Stapler"/>
    <x v="3"/>
    <x v="2"/>
    <n v="10"/>
    <n v="12800"/>
    <n v="0.2"/>
    <n v="10240"/>
    <n v="0.8"/>
    <s v="High"/>
  </r>
  <r>
    <s v="ORD1265"/>
    <d v="2020-10-02T00:00:00"/>
    <x v="0"/>
    <x v="9"/>
    <x v="2"/>
    <s v="Paper Clips Box"/>
    <x v="0"/>
    <x v="2"/>
    <n v="8"/>
    <n v="4200"/>
    <n v="0.25"/>
    <n v="3150"/>
    <n v="0.75"/>
    <s v="Low"/>
  </r>
  <r>
    <s v="ORD1266"/>
    <d v="2020-10-03T00:00:00"/>
    <x v="0"/>
    <x v="9"/>
    <x v="2"/>
    <s v="Highlighter Set"/>
    <x v="1"/>
    <x v="2"/>
    <n v="6"/>
    <n v="13400"/>
    <n v="0.05"/>
    <n v="12730"/>
    <n v="0.95"/>
    <s v="High"/>
  </r>
  <r>
    <s v="ORD1267"/>
    <d v="2020-10-04T00:00:00"/>
    <x v="0"/>
    <x v="9"/>
    <x v="2"/>
    <s v="Desk Organizer"/>
    <x v="2"/>
    <x v="2"/>
    <n v="4"/>
    <n v="4200"/>
    <n v="0.1"/>
    <n v="3780"/>
    <n v="0.9"/>
    <s v="Low"/>
  </r>
  <r>
    <s v="ORD1268"/>
    <d v="2020-10-05T00:00:00"/>
    <x v="0"/>
    <x v="9"/>
    <x v="2"/>
    <s v="Calculator"/>
    <x v="3"/>
    <x v="2"/>
    <n v="3"/>
    <n v="13800"/>
    <n v="0.15000000000000002"/>
    <n v="11730"/>
    <n v="0.85"/>
    <s v="High"/>
  </r>
  <r>
    <s v="ORD1269"/>
    <d v="2020-10-06T00:00:00"/>
    <x v="0"/>
    <x v="9"/>
    <x v="2"/>
    <s v="Sticky Notes"/>
    <x v="0"/>
    <x v="2"/>
    <n v="2"/>
    <n v="7400"/>
    <n v="0.2"/>
    <n v="5920"/>
    <n v="0.8"/>
    <s v="Medium"/>
  </r>
  <r>
    <s v="ORD1270"/>
    <d v="2020-10-07T00:00:00"/>
    <x v="0"/>
    <x v="9"/>
    <x v="2"/>
    <s v="Whiteboard Marker"/>
    <x v="1"/>
    <x v="2"/>
    <n v="8"/>
    <n v="10900"/>
    <n v="0.25"/>
    <n v="8175"/>
    <n v="0.75"/>
    <s v="High"/>
  </r>
  <r>
    <s v="ORD1271"/>
    <d v="2020-10-08T00:00:00"/>
    <x v="0"/>
    <x v="9"/>
    <x v="0"/>
    <s v="Bluetooth Speaker"/>
    <x v="2"/>
    <x v="0"/>
    <n v="8"/>
    <n v="11000"/>
    <n v="0.05"/>
    <n v="10450"/>
    <n v="0.95"/>
    <s v="High"/>
  </r>
  <r>
    <s v="ORD1272"/>
    <d v="2020-10-09T00:00:00"/>
    <x v="0"/>
    <x v="9"/>
    <x v="0"/>
    <s v="Wireless Mouse"/>
    <x v="3"/>
    <x v="0"/>
    <n v="6"/>
    <n v="7400"/>
    <n v="0.1"/>
    <n v="6660"/>
    <n v="0.9"/>
    <s v="Medium"/>
  </r>
  <r>
    <s v="ORD1273"/>
    <d v="2020-10-10T00:00:00"/>
    <x v="0"/>
    <x v="9"/>
    <x v="0"/>
    <s v="Keyboard"/>
    <x v="0"/>
    <x v="0"/>
    <n v="6"/>
    <n v="7100"/>
    <n v="0.15000000000000002"/>
    <n v="6035"/>
    <n v="0.85"/>
    <s v="Medium"/>
  </r>
  <r>
    <s v="ORD1274"/>
    <d v="2020-10-11T00:00:00"/>
    <x v="0"/>
    <x v="9"/>
    <x v="0"/>
    <s v="Laptop Stand"/>
    <x v="1"/>
    <x v="0"/>
    <n v="3"/>
    <n v="10000"/>
    <n v="0.2"/>
    <n v="8000"/>
    <n v="0.8"/>
    <s v="Medium"/>
  </r>
  <r>
    <s v="ORD1275"/>
    <d v="2020-10-12T00:00:00"/>
    <x v="0"/>
    <x v="9"/>
    <x v="0"/>
    <s v="USB Flash Drive"/>
    <x v="2"/>
    <x v="0"/>
    <n v="4"/>
    <n v="12800"/>
    <n v="0.25"/>
    <n v="9600"/>
    <n v="0.75"/>
    <s v="High"/>
  </r>
  <r>
    <s v="ORD1276"/>
    <d v="2020-10-13T00:00:00"/>
    <x v="0"/>
    <x v="9"/>
    <x v="0"/>
    <s v="External Hard Disk"/>
    <x v="3"/>
    <x v="0"/>
    <n v="2"/>
    <n v="4900"/>
    <n v="0.05"/>
    <n v="4655"/>
    <n v="0.95"/>
    <s v="Low"/>
  </r>
  <r>
    <s v="ORD1277"/>
    <d v="2020-10-14T00:00:00"/>
    <x v="0"/>
    <x v="9"/>
    <x v="0"/>
    <s v="Webcam"/>
    <x v="0"/>
    <x v="0"/>
    <n v="2"/>
    <n v="7400"/>
    <n v="0.1"/>
    <n v="6660"/>
    <n v="0.9"/>
    <s v="Medium"/>
  </r>
  <r>
    <s v="ORD1278"/>
    <d v="2020-10-15T00:00:00"/>
    <x v="0"/>
    <x v="9"/>
    <x v="0"/>
    <s v="Noise Cancelling Headphones"/>
    <x v="1"/>
    <x v="0"/>
    <n v="4"/>
    <n v="4200"/>
    <n v="0.15000000000000002"/>
    <n v="3570"/>
    <n v="0.85"/>
    <s v="Low"/>
  </r>
  <r>
    <s v="ORD1279"/>
    <d v="2020-10-16T00:00:00"/>
    <x v="0"/>
    <x v="9"/>
    <x v="0"/>
    <s v="Smart Watch"/>
    <x v="2"/>
    <x v="0"/>
    <n v="6"/>
    <n v="5600"/>
    <n v="0.2"/>
    <n v="4480"/>
    <n v="0.8"/>
    <s v="Medium"/>
  </r>
  <r>
    <s v="ORD1280"/>
    <d v="2020-10-17T00:00:00"/>
    <x v="0"/>
    <x v="9"/>
    <x v="0"/>
    <s v="Portable Power Bank"/>
    <x v="3"/>
    <x v="0"/>
    <n v="3"/>
    <n v="9200"/>
    <n v="0.25"/>
    <n v="6900"/>
    <n v="0.75"/>
    <s v="Medium"/>
  </r>
  <r>
    <s v="ORD1281"/>
    <d v="2020-10-18T00:00:00"/>
    <x v="0"/>
    <x v="9"/>
    <x v="1"/>
    <s v="Office Chair"/>
    <x v="0"/>
    <x v="1"/>
    <n v="7"/>
    <n v="6800"/>
    <n v="0.05"/>
    <n v="6460"/>
    <n v="0.95"/>
    <s v="Medium"/>
  </r>
  <r>
    <s v="ORD1282"/>
    <d v="2020-10-19T00:00:00"/>
    <x v="0"/>
    <x v="9"/>
    <x v="1"/>
    <s v="Study Table"/>
    <x v="1"/>
    <x v="1"/>
    <n v="1"/>
    <n v="6300"/>
    <n v="0.1"/>
    <n v="5670"/>
    <n v="0.9"/>
    <s v="Medium"/>
  </r>
  <r>
    <s v="ORD1283"/>
    <d v="2020-10-20T00:00:00"/>
    <x v="0"/>
    <x v="9"/>
    <x v="1"/>
    <s v="Wooden Bookshelf"/>
    <x v="2"/>
    <x v="1"/>
    <n v="6"/>
    <n v="11800"/>
    <n v="0.15000000000000002"/>
    <n v="10030"/>
    <n v="0.85"/>
    <s v="High"/>
  </r>
  <r>
    <s v="ORD1284"/>
    <d v="2020-10-21T00:00:00"/>
    <x v="0"/>
    <x v="9"/>
    <x v="1"/>
    <s v="Computer Desk"/>
    <x v="3"/>
    <x v="1"/>
    <n v="8"/>
    <n v="5500"/>
    <n v="0.2"/>
    <n v="4400"/>
    <n v="0.8"/>
    <s v="Medium"/>
  </r>
  <r>
    <s v="ORD1285"/>
    <d v="2020-10-22T00:00:00"/>
    <x v="0"/>
    <x v="9"/>
    <x v="1"/>
    <s v="Filing Cabinet"/>
    <x v="0"/>
    <x v="1"/>
    <n v="2"/>
    <n v="4700"/>
    <n v="0.25"/>
    <n v="3525"/>
    <n v="0.75"/>
    <s v="Low"/>
  </r>
  <r>
    <s v="ORD1286"/>
    <d v="2020-10-23T00:00:00"/>
    <x v="0"/>
    <x v="9"/>
    <x v="1"/>
    <s v="Visitor Chair"/>
    <x v="1"/>
    <x v="1"/>
    <n v="1"/>
    <n v="6000"/>
    <n v="0.05"/>
    <n v="5700"/>
    <n v="0.95"/>
    <s v="Medium"/>
  </r>
  <r>
    <s v="ORD1287"/>
    <d v="2020-10-24T00:00:00"/>
    <x v="0"/>
    <x v="9"/>
    <x v="1"/>
    <s v="Conference Table"/>
    <x v="2"/>
    <x v="1"/>
    <n v="10"/>
    <n v="13600"/>
    <n v="0.1"/>
    <n v="12240"/>
    <n v="0.9"/>
    <s v="High"/>
  </r>
  <r>
    <s v="ORD1288"/>
    <d v="2020-10-25T00:00:00"/>
    <x v="0"/>
    <x v="9"/>
    <x v="1"/>
    <s v="Drawer Unit"/>
    <x v="3"/>
    <x v="1"/>
    <n v="5"/>
    <n v="11300"/>
    <n v="0.15000000000000002"/>
    <n v="9605"/>
    <n v="0.85"/>
    <s v="High"/>
  </r>
  <r>
    <s v="ORD1289"/>
    <d v="2020-10-26T00:00:00"/>
    <x v="0"/>
    <x v="9"/>
    <x v="1"/>
    <s v="Ergonomic Stool"/>
    <x v="0"/>
    <x v="1"/>
    <n v="2"/>
    <n v="9900"/>
    <n v="0.2"/>
    <n v="7920"/>
    <n v="0.8"/>
    <s v="Medium"/>
  </r>
  <r>
    <s v="ORD1290"/>
    <d v="2020-10-27T00:00:00"/>
    <x v="0"/>
    <x v="9"/>
    <x v="1"/>
    <s v="Office Sofa"/>
    <x v="1"/>
    <x v="1"/>
    <n v="8"/>
    <n v="5000"/>
    <n v="0.25"/>
    <n v="3750"/>
    <n v="0.75"/>
    <s v="Low"/>
  </r>
  <r>
    <s v="ORD1291"/>
    <d v="2020-10-28T00:00:00"/>
    <x v="0"/>
    <x v="9"/>
    <x v="2"/>
    <s v="Ball Pen Pack"/>
    <x v="2"/>
    <x v="2"/>
    <n v="5"/>
    <n v="11300"/>
    <n v="0.05"/>
    <n v="10735"/>
    <n v="0.95"/>
    <s v="High"/>
  </r>
  <r>
    <s v="ORD1292"/>
    <d v="2020-10-29T00:00:00"/>
    <x v="0"/>
    <x v="9"/>
    <x v="2"/>
    <s v="Notebook"/>
    <x v="3"/>
    <x v="2"/>
    <n v="8"/>
    <n v="7700"/>
    <n v="0.1"/>
    <n v="6930"/>
    <n v="0.9"/>
    <s v="Medium"/>
  </r>
  <r>
    <s v="ORD1293"/>
    <d v="2020-10-30T00:00:00"/>
    <x v="0"/>
    <x v="9"/>
    <x v="2"/>
    <s v="Printer Paper Ream"/>
    <x v="0"/>
    <x v="2"/>
    <n v="8"/>
    <n v="7900"/>
    <n v="0.15000000000000002"/>
    <n v="6715"/>
    <n v="0.85"/>
    <s v="Medium"/>
  </r>
  <r>
    <s v="ORD1294"/>
    <d v="2020-10-31T00:00:00"/>
    <x v="0"/>
    <x v="9"/>
    <x v="2"/>
    <s v="Stapler"/>
    <x v="1"/>
    <x v="2"/>
    <n v="10"/>
    <n v="9600"/>
    <n v="0.2"/>
    <n v="7680"/>
    <n v="0.8"/>
    <s v="Medium"/>
  </r>
  <r>
    <s v="ORD1295"/>
    <d v="2020-11-01T00:00:00"/>
    <x v="0"/>
    <x v="10"/>
    <x v="2"/>
    <s v="Paper Clips Box"/>
    <x v="2"/>
    <x v="2"/>
    <n v="8"/>
    <n v="4700"/>
    <n v="0.25"/>
    <n v="3525"/>
    <n v="0.75"/>
    <s v="Low"/>
  </r>
  <r>
    <s v="ORD1296"/>
    <d v="2020-11-02T00:00:00"/>
    <x v="0"/>
    <x v="10"/>
    <x v="2"/>
    <s v="Highlighter Set"/>
    <x v="3"/>
    <x v="2"/>
    <n v="3"/>
    <n v="4700"/>
    <n v="0.05"/>
    <n v="4465"/>
    <n v="0.95"/>
    <s v="Low"/>
  </r>
  <r>
    <s v="ORD1297"/>
    <d v="2020-11-03T00:00:00"/>
    <x v="0"/>
    <x v="10"/>
    <x v="2"/>
    <s v="Desk Organizer"/>
    <x v="0"/>
    <x v="2"/>
    <n v="3"/>
    <n v="11900"/>
    <n v="0.1"/>
    <n v="10710"/>
    <n v="0.9"/>
    <s v="High"/>
  </r>
  <r>
    <s v="ORD1298"/>
    <d v="2020-11-04T00:00:00"/>
    <x v="0"/>
    <x v="10"/>
    <x v="2"/>
    <s v="Calculator"/>
    <x v="1"/>
    <x v="2"/>
    <n v="6"/>
    <n v="14300"/>
    <n v="0.15000000000000002"/>
    <n v="12155"/>
    <n v="0.85"/>
    <s v="High"/>
  </r>
  <r>
    <s v="ORD1299"/>
    <d v="2020-11-05T00:00:00"/>
    <x v="0"/>
    <x v="10"/>
    <x v="2"/>
    <s v="Sticky Notes"/>
    <x v="2"/>
    <x v="2"/>
    <n v="6"/>
    <n v="13300"/>
    <n v="0.2"/>
    <n v="10640"/>
    <n v="0.8"/>
    <s v="High"/>
  </r>
  <r>
    <s v="ORD1300"/>
    <d v="2020-11-06T00:00:00"/>
    <x v="0"/>
    <x v="10"/>
    <x v="2"/>
    <s v="Whiteboard Marker"/>
    <x v="3"/>
    <x v="2"/>
    <n v="10"/>
    <n v="7500"/>
    <n v="0.25"/>
    <n v="5625"/>
    <n v="0.75"/>
    <s v="Medium"/>
  </r>
  <r>
    <s v="ORD1301"/>
    <d v="2020-11-07T00:00:00"/>
    <x v="0"/>
    <x v="10"/>
    <x v="0"/>
    <s v="Bluetooth Speaker"/>
    <x v="0"/>
    <x v="0"/>
    <n v="2"/>
    <n v="4900"/>
    <n v="0.05"/>
    <n v="4655"/>
    <n v="0.95"/>
    <s v="Low"/>
  </r>
  <r>
    <s v="ORD1302"/>
    <d v="2020-11-08T00:00:00"/>
    <x v="0"/>
    <x v="10"/>
    <x v="0"/>
    <s v="Wireless Mouse"/>
    <x v="1"/>
    <x v="0"/>
    <n v="3"/>
    <n v="5100"/>
    <n v="0.1"/>
    <n v="4590"/>
    <n v="0.9"/>
    <s v="Medium"/>
  </r>
  <r>
    <s v="ORD1303"/>
    <d v="2020-11-09T00:00:00"/>
    <x v="0"/>
    <x v="10"/>
    <x v="0"/>
    <s v="Keyboard"/>
    <x v="2"/>
    <x v="0"/>
    <n v="2"/>
    <n v="14300"/>
    <n v="0.15000000000000002"/>
    <n v="12155"/>
    <n v="0.85"/>
    <s v="High"/>
  </r>
  <r>
    <s v="ORD1304"/>
    <d v="2020-11-10T00:00:00"/>
    <x v="0"/>
    <x v="10"/>
    <x v="0"/>
    <s v="Laptop Stand"/>
    <x v="3"/>
    <x v="0"/>
    <n v="3"/>
    <n v="7600"/>
    <n v="0.2"/>
    <n v="6080"/>
    <n v="0.8"/>
    <s v="Medium"/>
  </r>
  <r>
    <s v="ORD1305"/>
    <d v="2020-11-11T00:00:00"/>
    <x v="0"/>
    <x v="10"/>
    <x v="0"/>
    <s v="USB Flash Drive"/>
    <x v="0"/>
    <x v="0"/>
    <n v="7"/>
    <n v="5900"/>
    <n v="0.25"/>
    <n v="4425"/>
    <n v="0.75"/>
    <s v="Medium"/>
  </r>
  <r>
    <s v="ORD1306"/>
    <d v="2020-11-12T00:00:00"/>
    <x v="0"/>
    <x v="10"/>
    <x v="0"/>
    <s v="External Hard Disk"/>
    <x v="1"/>
    <x v="0"/>
    <n v="8"/>
    <n v="4100"/>
    <n v="0.05"/>
    <n v="3895"/>
    <n v="0.95"/>
    <s v="Low"/>
  </r>
  <r>
    <s v="ORD1307"/>
    <d v="2020-11-13T00:00:00"/>
    <x v="0"/>
    <x v="10"/>
    <x v="0"/>
    <s v="Webcam"/>
    <x v="2"/>
    <x v="0"/>
    <n v="6"/>
    <n v="10700"/>
    <n v="0.1"/>
    <n v="9630"/>
    <n v="0.9"/>
    <s v="High"/>
  </r>
  <r>
    <s v="ORD1308"/>
    <d v="2020-11-14T00:00:00"/>
    <x v="0"/>
    <x v="10"/>
    <x v="0"/>
    <s v="Noise Cancelling Headphones"/>
    <x v="3"/>
    <x v="0"/>
    <n v="10"/>
    <n v="6600"/>
    <n v="0.15000000000000002"/>
    <n v="5610"/>
    <n v="0.85"/>
    <s v="Medium"/>
  </r>
  <r>
    <s v="ORD1309"/>
    <d v="2020-11-15T00:00:00"/>
    <x v="0"/>
    <x v="10"/>
    <x v="0"/>
    <s v="Smart Watch"/>
    <x v="0"/>
    <x v="0"/>
    <n v="1"/>
    <n v="7400"/>
    <n v="0.2"/>
    <n v="5920"/>
    <n v="0.8"/>
    <s v="Medium"/>
  </r>
  <r>
    <s v="ORD1310"/>
    <d v="2020-11-16T00:00:00"/>
    <x v="0"/>
    <x v="10"/>
    <x v="0"/>
    <s v="Portable Power Bank"/>
    <x v="1"/>
    <x v="0"/>
    <n v="5"/>
    <n v="13800"/>
    <n v="0.25"/>
    <n v="10350"/>
    <n v="0.75"/>
    <s v="High"/>
  </r>
  <r>
    <s v="ORD1311"/>
    <d v="2020-11-17T00:00:00"/>
    <x v="0"/>
    <x v="10"/>
    <x v="1"/>
    <s v="Office Chair"/>
    <x v="2"/>
    <x v="1"/>
    <n v="4"/>
    <n v="9500"/>
    <n v="0.05"/>
    <n v="9025"/>
    <n v="0.95"/>
    <s v="Medium"/>
  </r>
  <r>
    <s v="ORD1312"/>
    <d v="2020-11-18T00:00:00"/>
    <x v="0"/>
    <x v="10"/>
    <x v="1"/>
    <s v="Study Table"/>
    <x v="3"/>
    <x v="1"/>
    <n v="8"/>
    <n v="12100"/>
    <n v="0.1"/>
    <n v="10890"/>
    <n v="0.9"/>
    <s v="High"/>
  </r>
  <r>
    <s v="ORD1313"/>
    <d v="2020-11-19T00:00:00"/>
    <x v="0"/>
    <x v="10"/>
    <x v="1"/>
    <s v="Wooden Bookshelf"/>
    <x v="0"/>
    <x v="1"/>
    <n v="1"/>
    <n v="11900"/>
    <n v="0.15000000000000002"/>
    <n v="10115"/>
    <n v="0.85"/>
    <s v="High"/>
  </r>
  <r>
    <s v="ORD1314"/>
    <d v="2020-11-20T00:00:00"/>
    <x v="0"/>
    <x v="10"/>
    <x v="1"/>
    <s v="Computer Desk"/>
    <x v="1"/>
    <x v="1"/>
    <n v="4"/>
    <n v="14200"/>
    <n v="0.2"/>
    <n v="11360"/>
    <n v="0.8"/>
    <s v="High"/>
  </r>
  <r>
    <s v="ORD1315"/>
    <d v="2020-11-21T00:00:00"/>
    <x v="0"/>
    <x v="10"/>
    <x v="1"/>
    <s v="Filing Cabinet"/>
    <x v="2"/>
    <x v="1"/>
    <n v="8"/>
    <n v="15000"/>
    <n v="0.25"/>
    <n v="11250"/>
    <n v="0.75"/>
    <s v="High"/>
  </r>
  <r>
    <s v="ORD1316"/>
    <d v="2020-11-22T00:00:00"/>
    <x v="0"/>
    <x v="10"/>
    <x v="1"/>
    <s v="Visitor Chair"/>
    <x v="3"/>
    <x v="1"/>
    <n v="6"/>
    <n v="12800"/>
    <n v="0.05"/>
    <n v="12160"/>
    <n v="0.95"/>
    <s v="High"/>
  </r>
  <r>
    <s v="ORD1317"/>
    <d v="2020-11-23T00:00:00"/>
    <x v="0"/>
    <x v="10"/>
    <x v="1"/>
    <s v="Conference Table"/>
    <x v="0"/>
    <x v="1"/>
    <n v="7"/>
    <n v="5000"/>
    <n v="0.1"/>
    <n v="4500"/>
    <n v="0.9"/>
    <s v="Low"/>
  </r>
  <r>
    <s v="ORD1318"/>
    <d v="2020-11-24T00:00:00"/>
    <x v="0"/>
    <x v="10"/>
    <x v="1"/>
    <s v="Drawer Unit"/>
    <x v="1"/>
    <x v="1"/>
    <n v="2"/>
    <n v="12700"/>
    <n v="0.15000000000000002"/>
    <n v="10795"/>
    <n v="0.85"/>
    <s v="High"/>
  </r>
  <r>
    <s v="ORD1319"/>
    <d v="2020-11-25T00:00:00"/>
    <x v="0"/>
    <x v="10"/>
    <x v="1"/>
    <s v="Ergonomic Stool"/>
    <x v="2"/>
    <x v="1"/>
    <n v="5"/>
    <n v="11600"/>
    <n v="0.2"/>
    <n v="9280"/>
    <n v="0.8"/>
    <s v="High"/>
  </r>
  <r>
    <s v="ORD1320"/>
    <d v="2020-11-26T00:00:00"/>
    <x v="0"/>
    <x v="10"/>
    <x v="1"/>
    <s v="Office Sofa"/>
    <x v="3"/>
    <x v="1"/>
    <n v="4"/>
    <n v="10200"/>
    <n v="0.25"/>
    <n v="7650"/>
    <n v="0.75"/>
    <s v="High"/>
  </r>
  <r>
    <s v="ORD1321"/>
    <d v="2020-11-27T00:00:00"/>
    <x v="0"/>
    <x v="10"/>
    <x v="2"/>
    <s v="Ball Pen Pack"/>
    <x v="0"/>
    <x v="2"/>
    <n v="5"/>
    <n v="14100"/>
    <n v="0.05"/>
    <n v="13395"/>
    <n v="0.95"/>
    <s v="High"/>
  </r>
  <r>
    <s v="ORD1322"/>
    <d v="2020-11-28T00:00:00"/>
    <x v="0"/>
    <x v="10"/>
    <x v="2"/>
    <s v="Notebook"/>
    <x v="1"/>
    <x v="2"/>
    <n v="2"/>
    <n v="7900"/>
    <n v="0.1"/>
    <n v="7110"/>
    <n v="0.9"/>
    <s v="Medium"/>
  </r>
  <r>
    <s v="ORD1323"/>
    <d v="2020-11-29T00:00:00"/>
    <x v="0"/>
    <x v="10"/>
    <x v="2"/>
    <s v="Printer Paper Ream"/>
    <x v="2"/>
    <x v="2"/>
    <n v="3"/>
    <n v="14600"/>
    <n v="0.15000000000000002"/>
    <n v="12410"/>
    <n v="0.85"/>
    <s v="High"/>
  </r>
  <r>
    <s v="ORD1324"/>
    <d v="2020-11-30T00:00:00"/>
    <x v="0"/>
    <x v="10"/>
    <x v="2"/>
    <s v="Stapler"/>
    <x v="3"/>
    <x v="2"/>
    <n v="2"/>
    <n v="7100"/>
    <n v="0.2"/>
    <n v="5680"/>
    <n v="0.8"/>
    <s v="Medium"/>
  </r>
  <r>
    <s v="ORD1325"/>
    <d v="2020-12-01T00:00:00"/>
    <x v="0"/>
    <x v="11"/>
    <x v="2"/>
    <s v="Paper Clips Box"/>
    <x v="0"/>
    <x v="2"/>
    <n v="9"/>
    <n v="5700"/>
    <n v="0.25"/>
    <n v="4275"/>
    <n v="0.75"/>
    <s v="Medium"/>
  </r>
  <r>
    <s v="ORD1326"/>
    <d v="2020-12-02T00:00:00"/>
    <x v="0"/>
    <x v="11"/>
    <x v="2"/>
    <s v="Highlighter Set"/>
    <x v="1"/>
    <x v="2"/>
    <n v="8"/>
    <n v="11500"/>
    <n v="0.05"/>
    <n v="10925"/>
    <n v="0.95"/>
    <s v="High"/>
  </r>
  <r>
    <s v="ORD1327"/>
    <d v="2020-12-03T00:00:00"/>
    <x v="0"/>
    <x v="11"/>
    <x v="2"/>
    <s v="Desk Organizer"/>
    <x v="2"/>
    <x v="2"/>
    <n v="2"/>
    <n v="10900"/>
    <n v="0.1"/>
    <n v="9810"/>
    <n v="0.9"/>
    <s v="High"/>
  </r>
  <r>
    <s v="ORD1328"/>
    <d v="2020-12-04T00:00:00"/>
    <x v="0"/>
    <x v="11"/>
    <x v="2"/>
    <s v="Calculator"/>
    <x v="3"/>
    <x v="2"/>
    <n v="2"/>
    <n v="12800"/>
    <n v="0.15000000000000002"/>
    <n v="10880"/>
    <n v="0.85"/>
    <s v="High"/>
  </r>
  <r>
    <s v="ORD1329"/>
    <d v="2020-12-05T00:00:00"/>
    <x v="0"/>
    <x v="11"/>
    <x v="2"/>
    <s v="Sticky Notes"/>
    <x v="0"/>
    <x v="2"/>
    <n v="10"/>
    <n v="4600"/>
    <n v="0.2"/>
    <n v="3680"/>
    <n v="0.8"/>
    <s v="Low"/>
  </r>
  <r>
    <s v="ORD1330"/>
    <d v="2020-12-06T00:00:00"/>
    <x v="0"/>
    <x v="11"/>
    <x v="2"/>
    <s v="Whiteboard Marker"/>
    <x v="1"/>
    <x v="2"/>
    <n v="7"/>
    <n v="11100"/>
    <n v="0.25"/>
    <n v="8325"/>
    <n v="0.75"/>
    <s v="High"/>
  </r>
  <r>
    <s v="ORD1331"/>
    <d v="2020-12-07T00:00:00"/>
    <x v="0"/>
    <x v="11"/>
    <x v="0"/>
    <s v="Bluetooth Speaker"/>
    <x v="2"/>
    <x v="0"/>
    <n v="8"/>
    <n v="7400"/>
    <n v="0.05"/>
    <n v="7030"/>
    <n v="0.95"/>
    <s v="Medium"/>
  </r>
  <r>
    <s v="ORD1332"/>
    <d v="2020-12-08T00:00:00"/>
    <x v="0"/>
    <x v="11"/>
    <x v="0"/>
    <s v="Wireless Mouse"/>
    <x v="3"/>
    <x v="0"/>
    <n v="8"/>
    <n v="6900"/>
    <n v="0.1"/>
    <n v="6210"/>
    <n v="0.9"/>
    <s v="Medium"/>
  </r>
  <r>
    <s v="ORD1333"/>
    <d v="2020-12-09T00:00:00"/>
    <x v="0"/>
    <x v="11"/>
    <x v="0"/>
    <s v="Keyboard"/>
    <x v="0"/>
    <x v="0"/>
    <n v="7"/>
    <n v="6700"/>
    <n v="0.15000000000000002"/>
    <n v="5695"/>
    <n v="0.85"/>
    <s v="Medium"/>
  </r>
  <r>
    <s v="ORD1334"/>
    <d v="2020-12-10T00:00:00"/>
    <x v="0"/>
    <x v="11"/>
    <x v="0"/>
    <s v="Laptop Stand"/>
    <x v="1"/>
    <x v="0"/>
    <n v="4"/>
    <n v="4900"/>
    <n v="0.2"/>
    <n v="3920"/>
    <n v="0.8"/>
    <s v="Low"/>
  </r>
  <r>
    <s v="ORD1335"/>
    <d v="2020-12-11T00:00:00"/>
    <x v="0"/>
    <x v="11"/>
    <x v="0"/>
    <s v="USB Flash Drive"/>
    <x v="2"/>
    <x v="0"/>
    <n v="6"/>
    <n v="11100"/>
    <n v="0.25"/>
    <n v="8325"/>
    <n v="0.75"/>
    <s v="High"/>
  </r>
  <r>
    <s v="ORD1336"/>
    <d v="2020-12-12T00:00:00"/>
    <x v="0"/>
    <x v="11"/>
    <x v="0"/>
    <s v="External Hard Disk"/>
    <x v="3"/>
    <x v="0"/>
    <n v="7"/>
    <n v="13200"/>
    <n v="0.05"/>
    <n v="12540"/>
    <n v="0.95"/>
    <s v="High"/>
  </r>
  <r>
    <s v="ORD1337"/>
    <d v="2020-12-13T00:00:00"/>
    <x v="0"/>
    <x v="11"/>
    <x v="0"/>
    <s v="Webcam"/>
    <x v="0"/>
    <x v="0"/>
    <n v="3"/>
    <n v="5000"/>
    <n v="0.1"/>
    <n v="4500"/>
    <n v="0.9"/>
    <s v="Low"/>
  </r>
  <r>
    <s v="ORD1338"/>
    <d v="2020-12-14T00:00:00"/>
    <x v="0"/>
    <x v="11"/>
    <x v="0"/>
    <s v="Noise Cancelling Headphones"/>
    <x v="1"/>
    <x v="0"/>
    <n v="9"/>
    <n v="5600"/>
    <n v="0.15000000000000002"/>
    <n v="4760"/>
    <n v="0.85"/>
    <s v="Medium"/>
  </r>
  <r>
    <s v="ORD1339"/>
    <d v="2020-12-15T00:00:00"/>
    <x v="0"/>
    <x v="11"/>
    <x v="0"/>
    <s v="Smart Watch"/>
    <x v="2"/>
    <x v="0"/>
    <n v="3"/>
    <n v="10100"/>
    <n v="0.2"/>
    <n v="8080"/>
    <n v="0.8"/>
    <s v="High"/>
  </r>
  <r>
    <s v="ORD1340"/>
    <d v="2020-12-16T00:00:00"/>
    <x v="0"/>
    <x v="11"/>
    <x v="0"/>
    <s v="Portable Power Bank"/>
    <x v="3"/>
    <x v="0"/>
    <n v="2"/>
    <n v="7600"/>
    <n v="0.25"/>
    <n v="5700"/>
    <n v="0.75"/>
    <s v="Medium"/>
  </r>
  <r>
    <s v="ORD1341"/>
    <d v="2020-12-17T00:00:00"/>
    <x v="0"/>
    <x v="11"/>
    <x v="1"/>
    <s v="Office Chair"/>
    <x v="0"/>
    <x v="1"/>
    <n v="10"/>
    <n v="14200"/>
    <n v="0.05"/>
    <n v="13490"/>
    <n v="0.95"/>
    <s v="High"/>
  </r>
  <r>
    <s v="ORD1342"/>
    <d v="2020-12-18T00:00:00"/>
    <x v="0"/>
    <x v="11"/>
    <x v="1"/>
    <s v="Study Table"/>
    <x v="1"/>
    <x v="1"/>
    <n v="8"/>
    <n v="4200"/>
    <n v="0.1"/>
    <n v="3780"/>
    <n v="0.9"/>
    <s v="Low"/>
  </r>
  <r>
    <s v="ORD1343"/>
    <d v="2020-12-19T00:00:00"/>
    <x v="0"/>
    <x v="11"/>
    <x v="1"/>
    <s v="Wooden Bookshelf"/>
    <x v="2"/>
    <x v="1"/>
    <n v="9"/>
    <n v="8600"/>
    <n v="0.15000000000000002"/>
    <n v="7310"/>
    <n v="0.85"/>
    <s v="Medium"/>
  </r>
  <r>
    <s v="ORD1344"/>
    <d v="2020-12-20T00:00:00"/>
    <x v="0"/>
    <x v="11"/>
    <x v="1"/>
    <s v="Computer Desk"/>
    <x v="3"/>
    <x v="1"/>
    <n v="1"/>
    <n v="6600"/>
    <n v="0.2"/>
    <n v="5280"/>
    <n v="0.8"/>
    <s v="Medium"/>
  </r>
  <r>
    <s v="ORD1345"/>
    <d v="2020-12-21T00:00:00"/>
    <x v="0"/>
    <x v="11"/>
    <x v="1"/>
    <s v="Filing Cabinet"/>
    <x v="0"/>
    <x v="1"/>
    <n v="1"/>
    <n v="4100"/>
    <n v="0.25"/>
    <n v="3075"/>
    <n v="0.75"/>
    <s v="Low"/>
  </r>
  <r>
    <s v="ORD1346"/>
    <d v="2020-12-22T00:00:00"/>
    <x v="0"/>
    <x v="11"/>
    <x v="1"/>
    <s v="Visitor Chair"/>
    <x v="1"/>
    <x v="1"/>
    <n v="9"/>
    <n v="11400"/>
    <n v="0.05"/>
    <n v="10830"/>
    <n v="0.95"/>
    <s v="High"/>
  </r>
  <r>
    <s v="ORD1347"/>
    <d v="2020-12-23T00:00:00"/>
    <x v="0"/>
    <x v="11"/>
    <x v="1"/>
    <s v="Conference Table"/>
    <x v="2"/>
    <x v="1"/>
    <n v="2"/>
    <n v="12300"/>
    <n v="0.1"/>
    <n v="11070"/>
    <n v="0.9"/>
    <s v="High"/>
  </r>
  <r>
    <s v="ORD1348"/>
    <d v="2020-12-24T00:00:00"/>
    <x v="0"/>
    <x v="11"/>
    <x v="1"/>
    <s v="Drawer Unit"/>
    <x v="3"/>
    <x v="1"/>
    <n v="10"/>
    <n v="5700"/>
    <n v="0.15000000000000002"/>
    <n v="4845"/>
    <n v="0.85"/>
    <s v="Medium"/>
  </r>
  <r>
    <s v="ORD1349"/>
    <d v="2020-12-25T00:00:00"/>
    <x v="0"/>
    <x v="11"/>
    <x v="1"/>
    <s v="Ergonomic Stool"/>
    <x v="0"/>
    <x v="1"/>
    <n v="4"/>
    <n v="7200"/>
    <n v="0.2"/>
    <n v="5760"/>
    <n v="0.8"/>
    <s v="Medium"/>
  </r>
  <r>
    <s v="ORD1350"/>
    <d v="2020-12-26T00:00:00"/>
    <x v="0"/>
    <x v="11"/>
    <x v="1"/>
    <s v="Office Sofa"/>
    <x v="1"/>
    <x v="1"/>
    <n v="9"/>
    <n v="4100"/>
    <n v="0.25"/>
    <n v="3075"/>
    <n v="0.75"/>
    <s v="Low"/>
  </r>
  <r>
    <s v="ORD1351"/>
    <d v="2020-12-27T00:00:00"/>
    <x v="0"/>
    <x v="11"/>
    <x v="2"/>
    <s v="Ball Pen Pack"/>
    <x v="2"/>
    <x v="2"/>
    <n v="6"/>
    <n v="14100"/>
    <n v="0.05"/>
    <n v="13395"/>
    <n v="0.95"/>
    <s v="High"/>
  </r>
  <r>
    <s v="ORD1352"/>
    <d v="2020-12-28T00:00:00"/>
    <x v="0"/>
    <x v="11"/>
    <x v="2"/>
    <s v="Notebook"/>
    <x v="3"/>
    <x v="2"/>
    <n v="4"/>
    <n v="7900"/>
    <n v="0.1"/>
    <n v="7110"/>
    <n v="0.9"/>
    <s v="Medium"/>
  </r>
  <r>
    <s v="ORD1353"/>
    <d v="2020-12-29T00:00:00"/>
    <x v="0"/>
    <x v="11"/>
    <x v="2"/>
    <s v="Printer Paper Ream"/>
    <x v="0"/>
    <x v="2"/>
    <n v="5"/>
    <n v="5600"/>
    <n v="0.15000000000000002"/>
    <n v="4760"/>
    <n v="0.85"/>
    <s v="Medium"/>
  </r>
  <r>
    <s v="ORD1354"/>
    <d v="2020-12-30T00:00:00"/>
    <x v="0"/>
    <x v="11"/>
    <x v="2"/>
    <s v="Stapler"/>
    <x v="1"/>
    <x v="2"/>
    <n v="3"/>
    <n v="9400"/>
    <n v="0.2"/>
    <n v="7520"/>
    <n v="0.8"/>
    <s v="Medium"/>
  </r>
  <r>
    <s v="ORD1355"/>
    <d v="2020-12-31T00:00:00"/>
    <x v="0"/>
    <x v="11"/>
    <x v="2"/>
    <s v="Paper Clips Box"/>
    <x v="2"/>
    <x v="2"/>
    <n v="10"/>
    <n v="13500"/>
    <n v="0.25"/>
    <n v="10125"/>
    <n v="0.75"/>
    <s v="High"/>
  </r>
  <r>
    <s v="ORD1356"/>
    <d v="2021-01-01T00:00:00"/>
    <x v="1"/>
    <x v="0"/>
    <x v="2"/>
    <s v="Highlighter Set"/>
    <x v="3"/>
    <x v="2"/>
    <n v="5"/>
    <n v="14700"/>
    <n v="0.05"/>
    <n v="13965"/>
    <n v="0.95"/>
    <s v="High"/>
  </r>
  <r>
    <s v="ORD1357"/>
    <d v="2021-01-02T00:00:00"/>
    <x v="1"/>
    <x v="0"/>
    <x v="2"/>
    <s v="Desk Organizer"/>
    <x v="0"/>
    <x v="2"/>
    <n v="7"/>
    <n v="7200"/>
    <n v="0.1"/>
    <n v="6480"/>
    <n v="0.9"/>
    <s v="Medium"/>
  </r>
  <r>
    <s v="ORD1358"/>
    <d v="2021-01-03T00:00:00"/>
    <x v="1"/>
    <x v="0"/>
    <x v="2"/>
    <s v="Calculator"/>
    <x v="1"/>
    <x v="2"/>
    <n v="2"/>
    <n v="11900"/>
    <n v="0.15000000000000002"/>
    <n v="10115"/>
    <n v="0.85"/>
    <s v="High"/>
  </r>
  <r>
    <s v="ORD1359"/>
    <d v="2021-01-04T00:00:00"/>
    <x v="1"/>
    <x v="0"/>
    <x v="2"/>
    <s v="Sticky Notes"/>
    <x v="2"/>
    <x v="2"/>
    <n v="6"/>
    <n v="4600"/>
    <n v="0.2"/>
    <n v="3680"/>
    <n v="0.8"/>
    <s v="Low"/>
  </r>
  <r>
    <s v="ORD1360"/>
    <d v="2021-01-05T00:00:00"/>
    <x v="1"/>
    <x v="0"/>
    <x v="2"/>
    <s v="Whiteboard Marker"/>
    <x v="3"/>
    <x v="2"/>
    <n v="9"/>
    <n v="10800"/>
    <n v="0.25"/>
    <n v="8100"/>
    <n v="0.75"/>
    <s v="High"/>
  </r>
  <r>
    <s v="ORD1361"/>
    <d v="2021-01-06T00:00:00"/>
    <x v="1"/>
    <x v="0"/>
    <x v="0"/>
    <s v="Bluetooth Speaker"/>
    <x v="0"/>
    <x v="0"/>
    <n v="5"/>
    <n v="10600"/>
    <n v="0.05"/>
    <n v="10070"/>
    <n v="0.95"/>
    <s v="High"/>
  </r>
  <r>
    <s v="ORD1362"/>
    <d v="2021-01-07T00:00:00"/>
    <x v="1"/>
    <x v="0"/>
    <x v="0"/>
    <s v="Wireless Mouse"/>
    <x v="1"/>
    <x v="0"/>
    <n v="2"/>
    <n v="4600"/>
    <n v="0.1"/>
    <n v="4140"/>
    <n v="0.9"/>
    <s v="Low"/>
  </r>
  <r>
    <s v="ORD1363"/>
    <d v="2021-01-08T00:00:00"/>
    <x v="1"/>
    <x v="0"/>
    <x v="0"/>
    <s v="Keyboard"/>
    <x v="2"/>
    <x v="0"/>
    <n v="9"/>
    <n v="12100"/>
    <n v="0.15000000000000002"/>
    <n v="10285"/>
    <n v="0.85"/>
    <s v="High"/>
  </r>
  <r>
    <s v="ORD1364"/>
    <d v="2021-01-09T00:00:00"/>
    <x v="1"/>
    <x v="0"/>
    <x v="0"/>
    <s v="Laptop Stand"/>
    <x v="3"/>
    <x v="0"/>
    <n v="10"/>
    <n v="14700"/>
    <n v="0.2"/>
    <n v="11760"/>
    <n v="0.8"/>
    <s v="High"/>
  </r>
  <r>
    <s v="ORD1365"/>
    <d v="2021-01-10T00:00:00"/>
    <x v="1"/>
    <x v="0"/>
    <x v="0"/>
    <s v="USB Flash Drive"/>
    <x v="0"/>
    <x v="0"/>
    <n v="1"/>
    <n v="12200"/>
    <n v="0.25"/>
    <n v="9150"/>
    <n v="0.75"/>
    <s v="High"/>
  </r>
  <r>
    <s v="ORD1366"/>
    <d v="2021-01-11T00:00:00"/>
    <x v="1"/>
    <x v="0"/>
    <x v="0"/>
    <s v="External Hard Disk"/>
    <x v="1"/>
    <x v="0"/>
    <n v="2"/>
    <n v="13500"/>
    <n v="0.05"/>
    <n v="12825"/>
    <n v="0.95"/>
    <s v="High"/>
  </r>
  <r>
    <s v="ORD1367"/>
    <d v="2021-01-12T00:00:00"/>
    <x v="1"/>
    <x v="0"/>
    <x v="0"/>
    <s v="Webcam"/>
    <x v="2"/>
    <x v="0"/>
    <n v="2"/>
    <n v="11500"/>
    <n v="0.1"/>
    <n v="10350"/>
    <n v="0.9"/>
    <s v="High"/>
  </r>
  <r>
    <s v="ORD1368"/>
    <d v="2021-01-13T00:00:00"/>
    <x v="1"/>
    <x v="0"/>
    <x v="0"/>
    <s v="Noise Cancelling Headphones"/>
    <x v="3"/>
    <x v="0"/>
    <n v="5"/>
    <n v="13900"/>
    <n v="0.15000000000000002"/>
    <n v="11815"/>
    <n v="0.85"/>
    <s v="High"/>
  </r>
  <r>
    <s v="ORD1369"/>
    <d v="2021-01-14T00:00:00"/>
    <x v="1"/>
    <x v="0"/>
    <x v="0"/>
    <s v="Smart Watch"/>
    <x v="0"/>
    <x v="0"/>
    <n v="1"/>
    <n v="8600"/>
    <n v="0.2"/>
    <n v="6880"/>
    <n v="0.8"/>
    <s v="Medium"/>
  </r>
  <r>
    <s v="ORD1370"/>
    <d v="2021-01-15T00:00:00"/>
    <x v="1"/>
    <x v="0"/>
    <x v="0"/>
    <s v="Portable Power Bank"/>
    <x v="1"/>
    <x v="0"/>
    <n v="8"/>
    <n v="9500"/>
    <n v="0.25"/>
    <n v="7125"/>
    <n v="0.75"/>
    <s v="Medium"/>
  </r>
  <r>
    <s v="ORD1371"/>
    <d v="2021-01-16T00:00:00"/>
    <x v="1"/>
    <x v="0"/>
    <x v="1"/>
    <s v="Office Chair"/>
    <x v="2"/>
    <x v="1"/>
    <n v="10"/>
    <n v="13800"/>
    <n v="0.05"/>
    <n v="13110"/>
    <n v="0.95"/>
    <s v="High"/>
  </r>
  <r>
    <s v="ORD1372"/>
    <d v="2021-01-17T00:00:00"/>
    <x v="1"/>
    <x v="0"/>
    <x v="1"/>
    <s v="Study Table"/>
    <x v="3"/>
    <x v="1"/>
    <n v="9"/>
    <n v="6000"/>
    <n v="0.1"/>
    <n v="5400"/>
    <n v="0.9"/>
    <s v="Medium"/>
  </r>
  <r>
    <s v="ORD1373"/>
    <d v="2021-01-18T00:00:00"/>
    <x v="1"/>
    <x v="0"/>
    <x v="1"/>
    <s v="Wooden Bookshelf"/>
    <x v="0"/>
    <x v="1"/>
    <n v="2"/>
    <n v="5500"/>
    <n v="0.15000000000000002"/>
    <n v="4675"/>
    <n v="0.85"/>
    <s v="Medium"/>
  </r>
  <r>
    <s v="ORD1374"/>
    <d v="2021-01-19T00:00:00"/>
    <x v="1"/>
    <x v="0"/>
    <x v="1"/>
    <s v="Computer Desk"/>
    <x v="1"/>
    <x v="1"/>
    <n v="5"/>
    <n v="9900"/>
    <n v="0.2"/>
    <n v="7920"/>
    <n v="0.8"/>
    <s v="Medium"/>
  </r>
  <r>
    <s v="ORD1375"/>
    <d v="2021-01-20T00:00:00"/>
    <x v="1"/>
    <x v="0"/>
    <x v="1"/>
    <s v="Filing Cabinet"/>
    <x v="2"/>
    <x v="1"/>
    <n v="1"/>
    <n v="6700"/>
    <n v="0.25"/>
    <n v="5025"/>
    <n v="0.75"/>
    <s v="Medium"/>
  </r>
  <r>
    <s v="ORD1376"/>
    <d v="2021-01-21T00:00:00"/>
    <x v="1"/>
    <x v="0"/>
    <x v="1"/>
    <s v="Visitor Chair"/>
    <x v="3"/>
    <x v="1"/>
    <n v="9"/>
    <n v="7000"/>
    <n v="0.05"/>
    <n v="6650"/>
    <n v="0.95"/>
    <s v="Medium"/>
  </r>
  <r>
    <s v="ORD1377"/>
    <d v="2021-01-22T00:00:00"/>
    <x v="1"/>
    <x v="0"/>
    <x v="1"/>
    <s v="Conference Table"/>
    <x v="0"/>
    <x v="1"/>
    <n v="8"/>
    <n v="14800"/>
    <n v="0.1"/>
    <n v="13320"/>
    <n v="0.9"/>
    <s v="High"/>
  </r>
  <r>
    <s v="ORD1378"/>
    <d v="2021-01-23T00:00:00"/>
    <x v="1"/>
    <x v="0"/>
    <x v="1"/>
    <s v="Drawer Unit"/>
    <x v="1"/>
    <x v="1"/>
    <n v="7"/>
    <n v="13800"/>
    <n v="0.15000000000000002"/>
    <n v="11730"/>
    <n v="0.85"/>
    <s v="High"/>
  </r>
  <r>
    <s v="ORD1379"/>
    <d v="2021-01-24T00:00:00"/>
    <x v="1"/>
    <x v="0"/>
    <x v="1"/>
    <s v="Ergonomic Stool"/>
    <x v="2"/>
    <x v="1"/>
    <n v="1"/>
    <n v="11300"/>
    <n v="0.2"/>
    <n v="9040"/>
    <n v="0.8"/>
    <s v="High"/>
  </r>
  <r>
    <s v="ORD1380"/>
    <d v="2021-01-25T00:00:00"/>
    <x v="1"/>
    <x v="0"/>
    <x v="1"/>
    <s v="Office Sofa"/>
    <x v="3"/>
    <x v="1"/>
    <n v="6"/>
    <n v="8400"/>
    <n v="0.25"/>
    <n v="6300"/>
    <n v="0.75"/>
    <s v="Medium"/>
  </r>
  <r>
    <s v="ORD1381"/>
    <d v="2021-01-26T00:00:00"/>
    <x v="1"/>
    <x v="0"/>
    <x v="2"/>
    <s v="Ball Pen Pack"/>
    <x v="0"/>
    <x v="2"/>
    <n v="7"/>
    <n v="5400"/>
    <n v="0.05"/>
    <n v="5130"/>
    <n v="0.95"/>
    <s v="Medium"/>
  </r>
  <r>
    <s v="ORD1382"/>
    <d v="2021-01-27T00:00:00"/>
    <x v="1"/>
    <x v="0"/>
    <x v="2"/>
    <s v="Notebook"/>
    <x v="1"/>
    <x v="2"/>
    <n v="2"/>
    <n v="15000"/>
    <n v="0.1"/>
    <n v="13500"/>
    <n v="0.9"/>
    <s v="High"/>
  </r>
  <r>
    <s v="ORD1383"/>
    <d v="2021-01-28T00:00:00"/>
    <x v="1"/>
    <x v="0"/>
    <x v="2"/>
    <s v="Printer Paper Ream"/>
    <x v="2"/>
    <x v="2"/>
    <n v="9"/>
    <n v="14300"/>
    <n v="0.15000000000000002"/>
    <n v="12155"/>
    <n v="0.85"/>
    <s v="High"/>
  </r>
  <r>
    <s v="ORD1384"/>
    <d v="2021-01-29T00:00:00"/>
    <x v="1"/>
    <x v="0"/>
    <x v="2"/>
    <s v="Stapler"/>
    <x v="3"/>
    <x v="2"/>
    <n v="6"/>
    <n v="8700"/>
    <n v="0.2"/>
    <n v="6960"/>
    <n v="0.8"/>
    <s v="Medium"/>
  </r>
  <r>
    <s v="ORD1385"/>
    <d v="2021-01-30T00:00:00"/>
    <x v="1"/>
    <x v="0"/>
    <x v="2"/>
    <s v="Paper Clips Box"/>
    <x v="0"/>
    <x v="2"/>
    <n v="1"/>
    <n v="8600"/>
    <n v="0.25"/>
    <n v="6450"/>
    <n v="0.75"/>
    <s v="Medium"/>
  </r>
  <r>
    <s v="ORD1386"/>
    <d v="2021-01-31T00:00:00"/>
    <x v="1"/>
    <x v="0"/>
    <x v="2"/>
    <s v="Highlighter Set"/>
    <x v="1"/>
    <x v="2"/>
    <n v="10"/>
    <n v="10300"/>
    <n v="0.05"/>
    <n v="9785"/>
    <n v="0.95"/>
    <s v="High"/>
  </r>
  <r>
    <s v="ORD1387"/>
    <d v="2021-02-01T00:00:00"/>
    <x v="1"/>
    <x v="1"/>
    <x v="2"/>
    <s v="Desk Organizer"/>
    <x v="2"/>
    <x v="2"/>
    <n v="10"/>
    <n v="13700"/>
    <n v="0.1"/>
    <n v="12330"/>
    <n v="0.9"/>
    <s v="High"/>
  </r>
  <r>
    <s v="ORD1388"/>
    <d v="2021-02-02T00:00:00"/>
    <x v="1"/>
    <x v="1"/>
    <x v="2"/>
    <s v="Calculator"/>
    <x v="3"/>
    <x v="2"/>
    <n v="3"/>
    <n v="13500"/>
    <n v="0.15000000000000002"/>
    <n v="11475"/>
    <n v="0.85"/>
    <s v="High"/>
  </r>
  <r>
    <s v="ORD1389"/>
    <d v="2021-02-03T00:00:00"/>
    <x v="1"/>
    <x v="1"/>
    <x v="2"/>
    <s v="Sticky Notes"/>
    <x v="0"/>
    <x v="2"/>
    <n v="6"/>
    <n v="8000"/>
    <n v="0.2"/>
    <n v="6400"/>
    <n v="0.8"/>
    <s v="Medium"/>
  </r>
  <r>
    <s v="ORD1390"/>
    <d v="2021-02-04T00:00:00"/>
    <x v="1"/>
    <x v="1"/>
    <x v="2"/>
    <s v="Whiteboard Marker"/>
    <x v="1"/>
    <x v="2"/>
    <n v="1"/>
    <n v="9900"/>
    <n v="0.25"/>
    <n v="7425"/>
    <n v="0.75"/>
    <s v="Medium"/>
  </r>
  <r>
    <s v="ORD1391"/>
    <d v="2021-02-05T00:00:00"/>
    <x v="1"/>
    <x v="1"/>
    <x v="0"/>
    <s v="Bluetooth Speaker"/>
    <x v="2"/>
    <x v="0"/>
    <n v="5"/>
    <n v="6100"/>
    <n v="0.05"/>
    <n v="5795"/>
    <n v="0.95"/>
    <s v="Medium"/>
  </r>
  <r>
    <s v="ORD1392"/>
    <d v="2021-02-06T00:00:00"/>
    <x v="1"/>
    <x v="1"/>
    <x v="0"/>
    <s v="Wireless Mouse"/>
    <x v="3"/>
    <x v="0"/>
    <n v="5"/>
    <n v="10000"/>
    <n v="0.1"/>
    <n v="9000"/>
    <n v="0.9"/>
    <s v="Medium"/>
  </r>
  <r>
    <s v="ORD1393"/>
    <d v="2021-02-07T00:00:00"/>
    <x v="1"/>
    <x v="1"/>
    <x v="0"/>
    <s v="Keyboard"/>
    <x v="0"/>
    <x v="0"/>
    <n v="8"/>
    <n v="13300"/>
    <n v="0.15000000000000002"/>
    <n v="11305"/>
    <n v="0.85"/>
    <s v="High"/>
  </r>
  <r>
    <s v="ORD1394"/>
    <d v="2021-02-08T00:00:00"/>
    <x v="1"/>
    <x v="1"/>
    <x v="0"/>
    <s v="Laptop Stand"/>
    <x v="1"/>
    <x v="0"/>
    <n v="7"/>
    <n v="6200"/>
    <n v="0.2"/>
    <n v="4960"/>
    <n v="0.8"/>
    <s v="Medium"/>
  </r>
  <r>
    <s v="ORD1395"/>
    <d v="2021-02-09T00:00:00"/>
    <x v="1"/>
    <x v="1"/>
    <x v="0"/>
    <s v="USB Flash Drive"/>
    <x v="2"/>
    <x v="0"/>
    <n v="1"/>
    <n v="14800"/>
    <n v="0.25"/>
    <n v="11100"/>
    <n v="0.75"/>
    <s v="High"/>
  </r>
  <r>
    <s v="ORD1396"/>
    <d v="2021-02-10T00:00:00"/>
    <x v="1"/>
    <x v="1"/>
    <x v="0"/>
    <s v="External Hard Disk"/>
    <x v="3"/>
    <x v="0"/>
    <n v="5"/>
    <n v="13300"/>
    <n v="0.05"/>
    <n v="12635"/>
    <n v="0.95"/>
    <s v="High"/>
  </r>
  <r>
    <s v="ORD1397"/>
    <d v="2021-02-11T00:00:00"/>
    <x v="1"/>
    <x v="1"/>
    <x v="0"/>
    <s v="Webcam"/>
    <x v="0"/>
    <x v="0"/>
    <n v="5"/>
    <n v="8900"/>
    <n v="0.1"/>
    <n v="8010"/>
    <n v="0.9"/>
    <s v="Medium"/>
  </r>
  <r>
    <s v="ORD1398"/>
    <d v="2021-02-12T00:00:00"/>
    <x v="1"/>
    <x v="1"/>
    <x v="0"/>
    <s v="Noise Cancelling Headphones"/>
    <x v="1"/>
    <x v="0"/>
    <n v="6"/>
    <n v="11800"/>
    <n v="0.15000000000000002"/>
    <n v="10030"/>
    <n v="0.85"/>
    <s v="High"/>
  </r>
  <r>
    <s v="ORD1399"/>
    <d v="2021-02-13T00:00:00"/>
    <x v="1"/>
    <x v="1"/>
    <x v="0"/>
    <s v="Smart Watch"/>
    <x v="2"/>
    <x v="0"/>
    <n v="9"/>
    <n v="13700"/>
    <n v="0.2"/>
    <n v="10960"/>
    <n v="0.8"/>
    <s v="High"/>
  </r>
  <r>
    <s v="ORD1400"/>
    <d v="2021-02-14T00:00:00"/>
    <x v="1"/>
    <x v="1"/>
    <x v="0"/>
    <s v="Portable Power Bank"/>
    <x v="3"/>
    <x v="0"/>
    <n v="2"/>
    <n v="10600"/>
    <n v="0.25"/>
    <n v="7950"/>
    <n v="0.75"/>
    <s v="High"/>
  </r>
  <r>
    <s v="ORD1401"/>
    <d v="2021-02-15T00:00:00"/>
    <x v="1"/>
    <x v="1"/>
    <x v="1"/>
    <s v="Office Chair"/>
    <x v="0"/>
    <x v="1"/>
    <n v="3"/>
    <n v="12600"/>
    <n v="0.05"/>
    <n v="11970"/>
    <n v="0.95"/>
    <s v="High"/>
  </r>
  <r>
    <s v="ORD1402"/>
    <d v="2021-02-16T00:00:00"/>
    <x v="1"/>
    <x v="1"/>
    <x v="1"/>
    <s v="Study Table"/>
    <x v="1"/>
    <x v="1"/>
    <n v="10"/>
    <n v="9200"/>
    <n v="0.1"/>
    <n v="8280"/>
    <n v="0.9"/>
    <s v="Medium"/>
  </r>
  <r>
    <s v="ORD1403"/>
    <d v="2021-02-17T00:00:00"/>
    <x v="1"/>
    <x v="1"/>
    <x v="1"/>
    <s v="Wooden Bookshelf"/>
    <x v="2"/>
    <x v="1"/>
    <n v="7"/>
    <n v="7400"/>
    <n v="0.15000000000000002"/>
    <n v="6290"/>
    <n v="0.85"/>
    <s v="Medium"/>
  </r>
  <r>
    <s v="ORD1404"/>
    <d v="2021-02-18T00:00:00"/>
    <x v="1"/>
    <x v="1"/>
    <x v="1"/>
    <s v="Computer Desk"/>
    <x v="3"/>
    <x v="1"/>
    <n v="6"/>
    <n v="9900"/>
    <n v="0.2"/>
    <n v="7920"/>
    <n v="0.8"/>
    <s v="Medium"/>
  </r>
  <r>
    <s v="ORD1405"/>
    <d v="2021-02-19T00:00:00"/>
    <x v="1"/>
    <x v="1"/>
    <x v="1"/>
    <s v="Filing Cabinet"/>
    <x v="0"/>
    <x v="1"/>
    <n v="6"/>
    <n v="8200"/>
    <n v="0.25"/>
    <n v="6150"/>
    <n v="0.75"/>
    <s v="Medium"/>
  </r>
  <r>
    <s v="ORD1406"/>
    <d v="2021-02-20T00:00:00"/>
    <x v="1"/>
    <x v="1"/>
    <x v="1"/>
    <s v="Visitor Chair"/>
    <x v="1"/>
    <x v="1"/>
    <n v="10"/>
    <n v="12600"/>
    <n v="0.05"/>
    <n v="11970"/>
    <n v="0.95"/>
    <s v="High"/>
  </r>
  <r>
    <s v="ORD1407"/>
    <d v="2021-02-21T00:00:00"/>
    <x v="1"/>
    <x v="1"/>
    <x v="1"/>
    <s v="Conference Table"/>
    <x v="2"/>
    <x v="1"/>
    <n v="2"/>
    <n v="12800"/>
    <n v="0.1"/>
    <n v="11520"/>
    <n v="0.9"/>
    <s v="High"/>
  </r>
  <r>
    <s v="ORD1408"/>
    <d v="2021-02-22T00:00:00"/>
    <x v="1"/>
    <x v="1"/>
    <x v="1"/>
    <s v="Drawer Unit"/>
    <x v="3"/>
    <x v="1"/>
    <n v="2"/>
    <n v="6100"/>
    <n v="0.15000000000000002"/>
    <n v="5185"/>
    <n v="0.85"/>
    <s v="Medium"/>
  </r>
  <r>
    <s v="ORD1409"/>
    <d v="2021-02-23T00:00:00"/>
    <x v="1"/>
    <x v="1"/>
    <x v="1"/>
    <s v="Ergonomic Stool"/>
    <x v="0"/>
    <x v="1"/>
    <n v="3"/>
    <n v="6800"/>
    <n v="0.2"/>
    <n v="5440"/>
    <n v="0.8"/>
    <s v="Medium"/>
  </r>
  <r>
    <s v="ORD1410"/>
    <d v="2021-02-24T00:00:00"/>
    <x v="1"/>
    <x v="1"/>
    <x v="1"/>
    <s v="Office Sofa"/>
    <x v="1"/>
    <x v="1"/>
    <n v="7"/>
    <n v="5800"/>
    <n v="0.25"/>
    <n v="4350"/>
    <n v="0.75"/>
    <s v="Medium"/>
  </r>
  <r>
    <s v="ORD1411"/>
    <d v="2021-02-25T00:00:00"/>
    <x v="1"/>
    <x v="1"/>
    <x v="2"/>
    <s v="Ball Pen Pack"/>
    <x v="2"/>
    <x v="2"/>
    <n v="3"/>
    <n v="10800"/>
    <n v="0.05"/>
    <n v="10260"/>
    <n v="0.95"/>
    <s v="High"/>
  </r>
  <r>
    <s v="ORD1412"/>
    <d v="2021-02-26T00:00:00"/>
    <x v="1"/>
    <x v="1"/>
    <x v="2"/>
    <s v="Notebook"/>
    <x v="3"/>
    <x v="2"/>
    <n v="1"/>
    <n v="8300"/>
    <n v="0.1"/>
    <n v="7470"/>
    <n v="0.9"/>
    <s v="Medium"/>
  </r>
  <r>
    <s v="ORD1413"/>
    <d v="2021-02-27T00:00:00"/>
    <x v="1"/>
    <x v="1"/>
    <x v="2"/>
    <s v="Printer Paper Ream"/>
    <x v="0"/>
    <x v="2"/>
    <n v="3"/>
    <n v="13800"/>
    <n v="0.15000000000000002"/>
    <n v="11730"/>
    <n v="0.85"/>
    <s v="High"/>
  </r>
  <r>
    <s v="ORD1414"/>
    <d v="2021-02-28T00:00:00"/>
    <x v="1"/>
    <x v="1"/>
    <x v="2"/>
    <s v="Stapler"/>
    <x v="1"/>
    <x v="2"/>
    <n v="2"/>
    <n v="7600"/>
    <n v="0.2"/>
    <n v="6080"/>
    <n v="0.8"/>
    <s v="Medium"/>
  </r>
  <r>
    <s v="ORD1415"/>
    <d v="2021-03-01T00:00:00"/>
    <x v="1"/>
    <x v="2"/>
    <x v="2"/>
    <s v="Paper Clips Box"/>
    <x v="2"/>
    <x v="2"/>
    <n v="2"/>
    <n v="13700"/>
    <n v="0.25"/>
    <n v="10275"/>
    <n v="0.75"/>
    <s v="High"/>
  </r>
  <r>
    <s v="ORD1416"/>
    <d v="2021-03-02T00:00:00"/>
    <x v="1"/>
    <x v="2"/>
    <x v="2"/>
    <s v="Highlighter Set"/>
    <x v="3"/>
    <x v="2"/>
    <n v="3"/>
    <n v="13600"/>
    <n v="0.05"/>
    <n v="12920"/>
    <n v="0.95"/>
    <s v="High"/>
  </r>
  <r>
    <s v="ORD1417"/>
    <d v="2021-03-03T00:00:00"/>
    <x v="1"/>
    <x v="2"/>
    <x v="2"/>
    <s v="Desk Organizer"/>
    <x v="0"/>
    <x v="2"/>
    <n v="1"/>
    <n v="7500"/>
    <n v="0.1"/>
    <n v="6750"/>
    <n v="0.9"/>
    <s v="Medium"/>
  </r>
  <r>
    <s v="ORD1418"/>
    <d v="2021-03-04T00:00:00"/>
    <x v="1"/>
    <x v="2"/>
    <x v="2"/>
    <s v="Calculator"/>
    <x v="1"/>
    <x v="2"/>
    <n v="6"/>
    <n v="7400"/>
    <n v="0.15000000000000002"/>
    <n v="6290"/>
    <n v="0.85"/>
    <s v="Medium"/>
  </r>
  <r>
    <s v="ORD1419"/>
    <d v="2021-03-05T00:00:00"/>
    <x v="1"/>
    <x v="2"/>
    <x v="2"/>
    <s v="Sticky Notes"/>
    <x v="2"/>
    <x v="2"/>
    <n v="9"/>
    <n v="6100"/>
    <n v="0.2"/>
    <n v="4880"/>
    <n v="0.8"/>
    <s v="Medium"/>
  </r>
  <r>
    <s v="ORD1420"/>
    <d v="2021-03-06T00:00:00"/>
    <x v="1"/>
    <x v="2"/>
    <x v="2"/>
    <s v="Whiteboard Marker"/>
    <x v="3"/>
    <x v="2"/>
    <n v="7"/>
    <n v="7800"/>
    <n v="0.25"/>
    <n v="5850"/>
    <n v="0.75"/>
    <s v="Medium"/>
  </r>
  <r>
    <s v="ORD1421"/>
    <d v="2021-03-07T00:00:00"/>
    <x v="1"/>
    <x v="2"/>
    <x v="0"/>
    <s v="Bluetooth Speaker"/>
    <x v="0"/>
    <x v="0"/>
    <n v="4"/>
    <n v="8100"/>
    <n v="0.05"/>
    <n v="7695"/>
    <n v="0.95"/>
    <s v="Medium"/>
  </r>
  <r>
    <s v="ORD1422"/>
    <d v="2021-03-08T00:00:00"/>
    <x v="1"/>
    <x v="2"/>
    <x v="0"/>
    <s v="Wireless Mouse"/>
    <x v="1"/>
    <x v="0"/>
    <n v="6"/>
    <n v="6000"/>
    <n v="0.1"/>
    <n v="5400"/>
    <n v="0.9"/>
    <s v="Medium"/>
  </r>
  <r>
    <s v="ORD1423"/>
    <d v="2021-03-09T00:00:00"/>
    <x v="1"/>
    <x v="2"/>
    <x v="0"/>
    <s v="Keyboard"/>
    <x v="2"/>
    <x v="0"/>
    <n v="5"/>
    <n v="7500"/>
    <n v="0.15000000000000002"/>
    <n v="6375"/>
    <n v="0.85"/>
    <s v="Medium"/>
  </r>
  <r>
    <s v="ORD1424"/>
    <d v="2021-03-10T00:00:00"/>
    <x v="1"/>
    <x v="2"/>
    <x v="0"/>
    <s v="Laptop Stand"/>
    <x v="3"/>
    <x v="0"/>
    <n v="2"/>
    <n v="14200"/>
    <n v="0.2"/>
    <n v="11360"/>
    <n v="0.8"/>
    <s v="High"/>
  </r>
  <r>
    <s v="ORD1425"/>
    <d v="2021-03-11T00:00:00"/>
    <x v="1"/>
    <x v="2"/>
    <x v="0"/>
    <s v="USB Flash Drive"/>
    <x v="0"/>
    <x v="0"/>
    <n v="8"/>
    <n v="14600"/>
    <n v="0.25"/>
    <n v="10950"/>
    <n v="0.75"/>
    <s v="High"/>
  </r>
  <r>
    <s v="ORD1426"/>
    <d v="2021-03-12T00:00:00"/>
    <x v="1"/>
    <x v="2"/>
    <x v="0"/>
    <s v="External Hard Disk"/>
    <x v="1"/>
    <x v="0"/>
    <n v="2"/>
    <n v="11300"/>
    <n v="0.05"/>
    <n v="10735"/>
    <n v="0.95"/>
    <s v="High"/>
  </r>
  <r>
    <s v="ORD1427"/>
    <d v="2021-03-13T00:00:00"/>
    <x v="1"/>
    <x v="2"/>
    <x v="0"/>
    <s v="Webcam"/>
    <x v="2"/>
    <x v="0"/>
    <n v="5"/>
    <n v="13400"/>
    <n v="0.1"/>
    <n v="12060"/>
    <n v="0.9"/>
    <s v="High"/>
  </r>
  <r>
    <s v="ORD1428"/>
    <d v="2021-03-14T00:00:00"/>
    <x v="1"/>
    <x v="2"/>
    <x v="0"/>
    <s v="Noise Cancelling Headphones"/>
    <x v="3"/>
    <x v="0"/>
    <n v="7"/>
    <n v="8200"/>
    <n v="0.15000000000000002"/>
    <n v="6970"/>
    <n v="0.85"/>
    <s v="Medium"/>
  </r>
  <r>
    <s v="ORD1429"/>
    <d v="2021-03-15T00:00:00"/>
    <x v="1"/>
    <x v="2"/>
    <x v="0"/>
    <s v="Smart Watch"/>
    <x v="0"/>
    <x v="0"/>
    <n v="9"/>
    <n v="11900"/>
    <n v="0.2"/>
    <n v="9520"/>
    <n v="0.8"/>
    <s v="High"/>
  </r>
  <r>
    <s v="ORD1430"/>
    <d v="2021-03-16T00:00:00"/>
    <x v="1"/>
    <x v="2"/>
    <x v="0"/>
    <s v="Portable Power Bank"/>
    <x v="1"/>
    <x v="0"/>
    <n v="7"/>
    <n v="7000"/>
    <n v="0.25"/>
    <n v="5250"/>
    <n v="0.75"/>
    <s v="Medium"/>
  </r>
  <r>
    <s v="ORD1431"/>
    <d v="2021-03-17T00:00:00"/>
    <x v="1"/>
    <x v="2"/>
    <x v="1"/>
    <s v="Office Chair"/>
    <x v="2"/>
    <x v="1"/>
    <n v="1"/>
    <n v="13300"/>
    <n v="0.05"/>
    <n v="12635"/>
    <n v="0.95"/>
    <s v="High"/>
  </r>
  <r>
    <s v="ORD1432"/>
    <d v="2021-03-18T00:00:00"/>
    <x v="1"/>
    <x v="2"/>
    <x v="1"/>
    <s v="Study Table"/>
    <x v="3"/>
    <x v="1"/>
    <n v="8"/>
    <n v="8800"/>
    <n v="0.1"/>
    <n v="7920"/>
    <n v="0.9"/>
    <s v="Medium"/>
  </r>
  <r>
    <s v="ORD1433"/>
    <d v="2021-03-19T00:00:00"/>
    <x v="1"/>
    <x v="2"/>
    <x v="1"/>
    <s v="Wooden Bookshelf"/>
    <x v="0"/>
    <x v="1"/>
    <n v="6"/>
    <n v="5500"/>
    <n v="0.15000000000000002"/>
    <n v="4675"/>
    <n v="0.85"/>
    <s v="Medium"/>
  </r>
  <r>
    <s v="ORD1434"/>
    <d v="2021-03-20T00:00:00"/>
    <x v="1"/>
    <x v="2"/>
    <x v="1"/>
    <s v="Computer Desk"/>
    <x v="1"/>
    <x v="1"/>
    <n v="7"/>
    <n v="9200"/>
    <n v="0.2"/>
    <n v="7360"/>
    <n v="0.8"/>
    <s v="Medium"/>
  </r>
  <r>
    <s v="ORD1435"/>
    <d v="2021-03-21T00:00:00"/>
    <x v="1"/>
    <x v="2"/>
    <x v="1"/>
    <s v="Filing Cabinet"/>
    <x v="2"/>
    <x v="1"/>
    <n v="3"/>
    <n v="12100"/>
    <n v="0.25"/>
    <n v="9075"/>
    <n v="0.75"/>
    <s v="High"/>
  </r>
  <r>
    <s v="ORD1436"/>
    <d v="2021-03-22T00:00:00"/>
    <x v="1"/>
    <x v="2"/>
    <x v="1"/>
    <s v="Visitor Chair"/>
    <x v="3"/>
    <x v="1"/>
    <n v="1"/>
    <n v="11100"/>
    <n v="0.05"/>
    <n v="10545"/>
    <n v="0.95"/>
    <s v="High"/>
  </r>
  <r>
    <s v="ORD1437"/>
    <d v="2021-03-23T00:00:00"/>
    <x v="1"/>
    <x v="2"/>
    <x v="1"/>
    <s v="Conference Table"/>
    <x v="0"/>
    <x v="1"/>
    <n v="5"/>
    <n v="14800"/>
    <n v="0.1"/>
    <n v="13320"/>
    <n v="0.9"/>
    <s v="High"/>
  </r>
  <r>
    <s v="ORD1438"/>
    <d v="2021-03-24T00:00:00"/>
    <x v="1"/>
    <x v="2"/>
    <x v="1"/>
    <s v="Drawer Unit"/>
    <x v="1"/>
    <x v="1"/>
    <n v="6"/>
    <n v="12400"/>
    <n v="0.15000000000000002"/>
    <n v="10540"/>
    <n v="0.85"/>
    <s v="High"/>
  </r>
  <r>
    <s v="ORD1439"/>
    <d v="2021-03-25T00:00:00"/>
    <x v="1"/>
    <x v="2"/>
    <x v="1"/>
    <s v="Ergonomic Stool"/>
    <x v="2"/>
    <x v="1"/>
    <n v="5"/>
    <n v="9700"/>
    <n v="0.2"/>
    <n v="7760"/>
    <n v="0.8"/>
    <s v="Medium"/>
  </r>
  <r>
    <s v="ORD1440"/>
    <d v="2021-03-26T00:00:00"/>
    <x v="1"/>
    <x v="2"/>
    <x v="1"/>
    <s v="Office Sofa"/>
    <x v="3"/>
    <x v="1"/>
    <n v="2"/>
    <n v="13900"/>
    <n v="0.25"/>
    <n v="10425"/>
    <n v="0.75"/>
    <s v="High"/>
  </r>
  <r>
    <s v="ORD1441"/>
    <d v="2021-03-27T00:00:00"/>
    <x v="1"/>
    <x v="2"/>
    <x v="2"/>
    <s v="Ball Pen Pack"/>
    <x v="0"/>
    <x v="2"/>
    <n v="3"/>
    <n v="13100"/>
    <n v="0.05"/>
    <n v="12445"/>
    <n v="0.95"/>
    <s v="High"/>
  </r>
  <r>
    <s v="ORD1442"/>
    <d v="2021-03-28T00:00:00"/>
    <x v="1"/>
    <x v="2"/>
    <x v="2"/>
    <s v="Notebook"/>
    <x v="1"/>
    <x v="2"/>
    <n v="6"/>
    <n v="9800"/>
    <n v="0.1"/>
    <n v="8820"/>
    <n v="0.9"/>
    <s v="Medium"/>
  </r>
  <r>
    <s v="ORD1443"/>
    <d v="2021-03-29T00:00:00"/>
    <x v="1"/>
    <x v="2"/>
    <x v="2"/>
    <s v="Printer Paper Ream"/>
    <x v="2"/>
    <x v="2"/>
    <n v="3"/>
    <n v="5400"/>
    <n v="0.15000000000000002"/>
    <n v="4590"/>
    <n v="0.85"/>
    <s v="Medium"/>
  </r>
  <r>
    <s v="ORD1444"/>
    <d v="2021-03-30T00:00:00"/>
    <x v="1"/>
    <x v="2"/>
    <x v="2"/>
    <s v="Stapler"/>
    <x v="3"/>
    <x v="2"/>
    <n v="9"/>
    <n v="4300"/>
    <n v="0.2"/>
    <n v="3440"/>
    <n v="0.8"/>
    <s v="Low"/>
  </r>
  <r>
    <s v="ORD1445"/>
    <d v="2021-03-31T00:00:00"/>
    <x v="1"/>
    <x v="2"/>
    <x v="2"/>
    <s v="Paper Clips Box"/>
    <x v="0"/>
    <x v="2"/>
    <n v="7"/>
    <n v="6700"/>
    <n v="0.25"/>
    <n v="5025"/>
    <n v="0.75"/>
    <s v="Medium"/>
  </r>
  <r>
    <s v="ORD1446"/>
    <d v="2021-04-01T00:00:00"/>
    <x v="1"/>
    <x v="3"/>
    <x v="2"/>
    <s v="Highlighter Set"/>
    <x v="1"/>
    <x v="2"/>
    <n v="5"/>
    <n v="6800"/>
    <n v="0.05"/>
    <n v="6460"/>
    <n v="0.95"/>
    <s v="Medium"/>
  </r>
  <r>
    <s v="ORD1447"/>
    <d v="2021-04-02T00:00:00"/>
    <x v="1"/>
    <x v="3"/>
    <x v="2"/>
    <s v="Desk Organizer"/>
    <x v="2"/>
    <x v="2"/>
    <n v="7"/>
    <n v="11700"/>
    <n v="0.1"/>
    <n v="10530"/>
    <n v="0.9"/>
    <s v="High"/>
  </r>
  <r>
    <s v="ORD1448"/>
    <d v="2021-04-03T00:00:00"/>
    <x v="1"/>
    <x v="3"/>
    <x v="2"/>
    <s v="Calculator"/>
    <x v="3"/>
    <x v="2"/>
    <n v="3"/>
    <n v="12300"/>
    <n v="0.15000000000000002"/>
    <n v="10455"/>
    <n v="0.85"/>
    <s v="High"/>
  </r>
  <r>
    <s v="ORD1449"/>
    <d v="2021-04-04T00:00:00"/>
    <x v="1"/>
    <x v="3"/>
    <x v="2"/>
    <s v="Sticky Notes"/>
    <x v="0"/>
    <x v="2"/>
    <n v="5"/>
    <n v="5700"/>
    <n v="0.2"/>
    <n v="4560"/>
    <n v="0.8"/>
    <s v="Medium"/>
  </r>
  <r>
    <s v="ORD1450"/>
    <d v="2021-04-05T00:00:00"/>
    <x v="1"/>
    <x v="3"/>
    <x v="2"/>
    <s v="Whiteboard Marker"/>
    <x v="1"/>
    <x v="2"/>
    <n v="5"/>
    <n v="9700"/>
    <n v="0.25"/>
    <n v="7275"/>
    <n v="0.75"/>
    <s v="Medium"/>
  </r>
  <r>
    <s v="ORD1451"/>
    <d v="2021-04-06T00:00:00"/>
    <x v="1"/>
    <x v="3"/>
    <x v="0"/>
    <s v="Bluetooth Speaker"/>
    <x v="2"/>
    <x v="0"/>
    <n v="9"/>
    <n v="4400"/>
    <n v="0.05"/>
    <n v="4180"/>
    <n v="0.95"/>
    <s v="Low"/>
  </r>
  <r>
    <s v="ORD1452"/>
    <d v="2021-04-07T00:00:00"/>
    <x v="1"/>
    <x v="3"/>
    <x v="0"/>
    <s v="Wireless Mouse"/>
    <x v="3"/>
    <x v="0"/>
    <n v="7"/>
    <n v="4200"/>
    <n v="0.1"/>
    <n v="3780"/>
    <n v="0.9"/>
    <s v="Low"/>
  </r>
  <r>
    <s v="ORD1453"/>
    <d v="2021-04-08T00:00:00"/>
    <x v="1"/>
    <x v="3"/>
    <x v="0"/>
    <s v="Keyboard"/>
    <x v="0"/>
    <x v="0"/>
    <n v="5"/>
    <n v="14200"/>
    <n v="0.15000000000000002"/>
    <n v="12070"/>
    <n v="0.85"/>
    <s v="High"/>
  </r>
  <r>
    <s v="ORD1454"/>
    <d v="2021-04-09T00:00:00"/>
    <x v="1"/>
    <x v="3"/>
    <x v="0"/>
    <s v="Laptop Stand"/>
    <x v="1"/>
    <x v="0"/>
    <n v="2"/>
    <n v="8600"/>
    <n v="0.2"/>
    <n v="6880"/>
    <n v="0.8"/>
    <s v="Medium"/>
  </r>
  <r>
    <s v="ORD1455"/>
    <d v="2021-04-10T00:00:00"/>
    <x v="1"/>
    <x v="3"/>
    <x v="0"/>
    <s v="USB Flash Drive"/>
    <x v="2"/>
    <x v="0"/>
    <n v="10"/>
    <n v="7300"/>
    <n v="0.25"/>
    <n v="5475"/>
    <n v="0.75"/>
    <s v="Medium"/>
  </r>
  <r>
    <s v="ORD1456"/>
    <d v="2021-04-11T00:00:00"/>
    <x v="1"/>
    <x v="3"/>
    <x v="0"/>
    <s v="External Hard Disk"/>
    <x v="3"/>
    <x v="0"/>
    <n v="4"/>
    <n v="9800"/>
    <n v="0.05"/>
    <n v="9310"/>
    <n v="0.95"/>
    <s v="Medium"/>
  </r>
  <r>
    <s v="ORD1457"/>
    <d v="2021-04-12T00:00:00"/>
    <x v="1"/>
    <x v="3"/>
    <x v="0"/>
    <s v="Webcam"/>
    <x v="0"/>
    <x v="0"/>
    <n v="1"/>
    <n v="6900"/>
    <n v="0.1"/>
    <n v="6210"/>
    <n v="0.9"/>
    <s v="Medium"/>
  </r>
  <r>
    <s v="ORD1458"/>
    <d v="2021-04-13T00:00:00"/>
    <x v="1"/>
    <x v="3"/>
    <x v="0"/>
    <s v="Noise Cancelling Headphones"/>
    <x v="1"/>
    <x v="0"/>
    <n v="10"/>
    <n v="11100"/>
    <n v="0.15000000000000002"/>
    <n v="9435"/>
    <n v="0.85"/>
    <s v="High"/>
  </r>
  <r>
    <s v="ORD1459"/>
    <d v="2021-04-14T00:00:00"/>
    <x v="1"/>
    <x v="3"/>
    <x v="0"/>
    <s v="Smart Watch"/>
    <x v="2"/>
    <x v="0"/>
    <n v="2"/>
    <n v="11700"/>
    <n v="0.2"/>
    <n v="9360"/>
    <n v="0.8"/>
    <s v="High"/>
  </r>
  <r>
    <s v="ORD1460"/>
    <d v="2021-04-15T00:00:00"/>
    <x v="1"/>
    <x v="3"/>
    <x v="0"/>
    <s v="Portable Power Bank"/>
    <x v="3"/>
    <x v="0"/>
    <n v="7"/>
    <n v="14100"/>
    <n v="0.25"/>
    <n v="10575"/>
    <n v="0.75"/>
    <s v="High"/>
  </r>
  <r>
    <s v="ORD1461"/>
    <d v="2021-04-16T00:00:00"/>
    <x v="1"/>
    <x v="3"/>
    <x v="1"/>
    <s v="Office Chair"/>
    <x v="0"/>
    <x v="1"/>
    <n v="10"/>
    <n v="11100"/>
    <n v="0.05"/>
    <n v="10545"/>
    <n v="0.95"/>
    <s v="High"/>
  </r>
  <r>
    <s v="ORD1462"/>
    <d v="2021-04-17T00:00:00"/>
    <x v="1"/>
    <x v="3"/>
    <x v="1"/>
    <s v="Study Table"/>
    <x v="1"/>
    <x v="1"/>
    <n v="3"/>
    <n v="8700"/>
    <n v="0.1"/>
    <n v="7830"/>
    <n v="0.9"/>
    <s v="Medium"/>
  </r>
  <r>
    <s v="ORD1463"/>
    <d v="2021-04-18T00:00:00"/>
    <x v="1"/>
    <x v="3"/>
    <x v="1"/>
    <s v="Wooden Bookshelf"/>
    <x v="2"/>
    <x v="1"/>
    <n v="2"/>
    <n v="8900"/>
    <n v="0.15000000000000002"/>
    <n v="7565"/>
    <n v="0.85"/>
    <s v="Medium"/>
  </r>
  <r>
    <s v="ORD1464"/>
    <d v="2021-04-19T00:00:00"/>
    <x v="1"/>
    <x v="3"/>
    <x v="1"/>
    <s v="Computer Desk"/>
    <x v="3"/>
    <x v="1"/>
    <n v="3"/>
    <n v="5300"/>
    <n v="0.2"/>
    <n v="4240"/>
    <n v="0.8"/>
    <s v="Medium"/>
  </r>
  <r>
    <s v="ORD1465"/>
    <d v="2021-04-20T00:00:00"/>
    <x v="1"/>
    <x v="3"/>
    <x v="1"/>
    <s v="Filing Cabinet"/>
    <x v="0"/>
    <x v="1"/>
    <n v="4"/>
    <n v="7300"/>
    <n v="0.25"/>
    <n v="5475"/>
    <n v="0.75"/>
    <s v="Medium"/>
  </r>
  <r>
    <s v="ORD1466"/>
    <d v="2021-04-21T00:00:00"/>
    <x v="1"/>
    <x v="3"/>
    <x v="1"/>
    <s v="Visitor Chair"/>
    <x v="1"/>
    <x v="1"/>
    <n v="4"/>
    <n v="11300"/>
    <n v="0.05"/>
    <n v="10735"/>
    <n v="0.95"/>
    <s v="High"/>
  </r>
  <r>
    <s v="ORD1467"/>
    <d v="2021-04-22T00:00:00"/>
    <x v="1"/>
    <x v="3"/>
    <x v="1"/>
    <s v="Conference Table"/>
    <x v="2"/>
    <x v="1"/>
    <n v="7"/>
    <n v="6900"/>
    <n v="0.1"/>
    <n v="6210"/>
    <n v="0.9"/>
    <s v="Medium"/>
  </r>
  <r>
    <s v="ORD1468"/>
    <d v="2021-04-23T00:00:00"/>
    <x v="1"/>
    <x v="3"/>
    <x v="1"/>
    <s v="Drawer Unit"/>
    <x v="3"/>
    <x v="1"/>
    <n v="3"/>
    <n v="4600"/>
    <n v="0.15000000000000002"/>
    <n v="3910"/>
    <n v="0.85"/>
    <s v="Low"/>
  </r>
  <r>
    <s v="ORD1469"/>
    <d v="2021-04-24T00:00:00"/>
    <x v="1"/>
    <x v="3"/>
    <x v="1"/>
    <s v="Ergonomic Stool"/>
    <x v="0"/>
    <x v="1"/>
    <n v="9"/>
    <n v="4600"/>
    <n v="0.2"/>
    <n v="3680"/>
    <n v="0.8"/>
    <s v="Low"/>
  </r>
  <r>
    <s v="ORD1470"/>
    <d v="2021-04-25T00:00:00"/>
    <x v="1"/>
    <x v="3"/>
    <x v="1"/>
    <s v="Office Sofa"/>
    <x v="1"/>
    <x v="1"/>
    <n v="9"/>
    <n v="12500"/>
    <n v="0.25"/>
    <n v="9375"/>
    <n v="0.75"/>
    <s v="High"/>
  </r>
  <r>
    <s v="ORD1471"/>
    <d v="2021-04-26T00:00:00"/>
    <x v="1"/>
    <x v="3"/>
    <x v="2"/>
    <s v="Ball Pen Pack"/>
    <x v="2"/>
    <x v="2"/>
    <n v="3"/>
    <n v="12700"/>
    <n v="0.05"/>
    <n v="12065"/>
    <n v="0.95"/>
    <s v="High"/>
  </r>
  <r>
    <s v="ORD1472"/>
    <d v="2021-04-27T00:00:00"/>
    <x v="1"/>
    <x v="3"/>
    <x v="2"/>
    <s v="Notebook"/>
    <x v="3"/>
    <x v="2"/>
    <n v="9"/>
    <n v="4000"/>
    <n v="0.1"/>
    <n v="3600"/>
    <n v="0.9"/>
    <s v="Low"/>
  </r>
  <r>
    <s v="ORD1473"/>
    <d v="2021-04-28T00:00:00"/>
    <x v="1"/>
    <x v="3"/>
    <x v="2"/>
    <s v="Printer Paper Ream"/>
    <x v="0"/>
    <x v="2"/>
    <n v="9"/>
    <n v="12700"/>
    <n v="0.15000000000000002"/>
    <n v="10795"/>
    <n v="0.85"/>
    <s v="High"/>
  </r>
  <r>
    <s v="ORD1474"/>
    <d v="2021-04-29T00:00:00"/>
    <x v="1"/>
    <x v="3"/>
    <x v="2"/>
    <s v="Stapler"/>
    <x v="1"/>
    <x v="2"/>
    <n v="3"/>
    <n v="6900"/>
    <n v="0.2"/>
    <n v="5520"/>
    <n v="0.8"/>
    <s v="Medium"/>
  </r>
  <r>
    <s v="ORD1475"/>
    <d v="2021-04-30T00:00:00"/>
    <x v="1"/>
    <x v="3"/>
    <x v="2"/>
    <s v="Paper Clips Box"/>
    <x v="2"/>
    <x v="2"/>
    <n v="4"/>
    <n v="4000"/>
    <n v="0.25"/>
    <n v="3000"/>
    <n v="0.75"/>
    <s v="Low"/>
  </r>
  <r>
    <s v="ORD1476"/>
    <d v="2021-05-01T00:00:00"/>
    <x v="1"/>
    <x v="4"/>
    <x v="2"/>
    <s v="Highlighter Set"/>
    <x v="3"/>
    <x v="2"/>
    <n v="2"/>
    <n v="12900"/>
    <n v="0.05"/>
    <n v="12255"/>
    <n v="0.95"/>
    <s v="High"/>
  </r>
  <r>
    <s v="ORD1477"/>
    <d v="2021-05-02T00:00:00"/>
    <x v="1"/>
    <x v="4"/>
    <x v="2"/>
    <s v="Desk Organizer"/>
    <x v="0"/>
    <x v="2"/>
    <n v="6"/>
    <n v="9200"/>
    <n v="0.1"/>
    <n v="8280"/>
    <n v="0.9"/>
    <s v="Medium"/>
  </r>
  <r>
    <s v="ORD1478"/>
    <d v="2021-05-03T00:00:00"/>
    <x v="1"/>
    <x v="4"/>
    <x v="2"/>
    <s v="Calculator"/>
    <x v="1"/>
    <x v="2"/>
    <n v="5"/>
    <n v="12300"/>
    <n v="0.15000000000000002"/>
    <n v="10455"/>
    <n v="0.85"/>
    <s v="High"/>
  </r>
  <r>
    <s v="ORD1479"/>
    <d v="2021-05-04T00:00:00"/>
    <x v="1"/>
    <x v="4"/>
    <x v="2"/>
    <s v="Sticky Notes"/>
    <x v="2"/>
    <x v="2"/>
    <n v="9"/>
    <n v="4100"/>
    <n v="0.2"/>
    <n v="3280"/>
    <n v="0.8"/>
    <s v="Low"/>
  </r>
  <r>
    <s v="ORD1480"/>
    <d v="2021-05-05T00:00:00"/>
    <x v="1"/>
    <x v="4"/>
    <x v="2"/>
    <s v="Whiteboard Marker"/>
    <x v="3"/>
    <x v="2"/>
    <n v="3"/>
    <n v="10600"/>
    <n v="0.25"/>
    <n v="7950"/>
    <n v="0.75"/>
    <s v="High"/>
  </r>
  <r>
    <s v="ORD1481"/>
    <d v="2021-05-06T00:00:00"/>
    <x v="1"/>
    <x v="4"/>
    <x v="0"/>
    <s v="Bluetooth Speaker"/>
    <x v="0"/>
    <x v="0"/>
    <n v="7"/>
    <n v="9600"/>
    <n v="0.05"/>
    <n v="9120"/>
    <n v="0.95"/>
    <s v="Medium"/>
  </r>
  <r>
    <s v="ORD1482"/>
    <d v="2021-05-07T00:00:00"/>
    <x v="1"/>
    <x v="4"/>
    <x v="0"/>
    <s v="Wireless Mouse"/>
    <x v="1"/>
    <x v="0"/>
    <n v="2"/>
    <n v="13100"/>
    <n v="0.1"/>
    <n v="11790"/>
    <n v="0.9"/>
    <s v="High"/>
  </r>
  <r>
    <s v="ORD1483"/>
    <d v="2021-05-08T00:00:00"/>
    <x v="1"/>
    <x v="4"/>
    <x v="0"/>
    <s v="Keyboard"/>
    <x v="2"/>
    <x v="0"/>
    <n v="9"/>
    <n v="12500"/>
    <n v="0.15000000000000002"/>
    <n v="10625"/>
    <n v="0.85"/>
    <s v="High"/>
  </r>
  <r>
    <s v="ORD1484"/>
    <d v="2021-05-09T00:00:00"/>
    <x v="1"/>
    <x v="4"/>
    <x v="0"/>
    <s v="Laptop Stand"/>
    <x v="3"/>
    <x v="0"/>
    <n v="7"/>
    <n v="9300"/>
    <n v="0.2"/>
    <n v="7440"/>
    <n v="0.8"/>
    <s v="Medium"/>
  </r>
  <r>
    <s v="ORD1485"/>
    <d v="2021-05-10T00:00:00"/>
    <x v="1"/>
    <x v="4"/>
    <x v="0"/>
    <s v="USB Flash Drive"/>
    <x v="0"/>
    <x v="0"/>
    <n v="9"/>
    <n v="11100"/>
    <n v="0.25"/>
    <n v="8325"/>
    <n v="0.75"/>
    <s v="High"/>
  </r>
  <r>
    <s v="ORD1486"/>
    <d v="2021-05-11T00:00:00"/>
    <x v="1"/>
    <x v="4"/>
    <x v="0"/>
    <s v="External Hard Disk"/>
    <x v="1"/>
    <x v="0"/>
    <n v="9"/>
    <n v="10600"/>
    <n v="0.05"/>
    <n v="10070"/>
    <n v="0.95"/>
    <s v="High"/>
  </r>
  <r>
    <s v="ORD1487"/>
    <d v="2021-05-12T00:00:00"/>
    <x v="1"/>
    <x v="4"/>
    <x v="0"/>
    <s v="Webcam"/>
    <x v="2"/>
    <x v="0"/>
    <n v="10"/>
    <n v="10600"/>
    <n v="0.1"/>
    <n v="9540"/>
    <n v="0.9"/>
    <s v="High"/>
  </r>
  <r>
    <s v="ORD1488"/>
    <d v="2021-05-13T00:00:00"/>
    <x v="1"/>
    <x v="4"/>
    <x v="0"/>
    <s v="Noise Cancelling Headphones"/>
    <x v="3"/>
    <x v="0"/>
    <n v="7"/>
    <n v="11800"/>
    <n v="0.15000000000000002"/>
    <n v="10030"/>
    <n v="0.85"/>
    <s v="High"/>
  </r>
  <r>
    <s v="ORD1489"/>
    <d v="2021-05-14T00:00:00"/>
    <x v="1"/>
    <x v="4"/>
    <x v="0"/>
    <s v="Smart Watch"/>
    <x v="0"/>
    <x v="0"/>
    <n v="4"/>
    <n v="5100"/>
    <n v="0.2"/>
    <n v="4080"/>
    <n v="0.8"/>
    <s v="Medium"/>
  </r>
  <r>
    <s v="ORD1490"/>
    <d v="2021-05-15T00:00:00"/>
    <x v="1"/>
    <x v="4"/>
    <x v="0"/>
    <s v="Portable Power Bank"/>
    <x v="1"/>
    <x v="0"/>
    <n v="7"/>
    <n v="11300"/>
    <n v="0.25"/>
    <n v="8475"/>
    <n v="0.75"/>
    <s v="High"/>
  </r>
  <r>
    <s v="ORD1491"/>
    <d v="2021-05-16T00:00:00"/>
    <x v="1"/>
    <x v="4"/>
    <x v="1"/>
    <s v="Office Chair"/>
    <x v="2"/>
    <x v="1"/>
    <n v="10"/>
    <n v="13500"/>
    <n v="0.05"/>
    <n v="12825"/>
    <n v="0.95"/>
    <s v="High"/>
  </r>
  <r>
    <s v="ORD1492"/>
    <d v="2021-05-17T00:00:00"/>
    <x v="1"/>
    <x v="4"/>
    <x v="1"/>
    <s v="Study Table"/>
    <x v="3"/>
    <x v="1"/>
    <n v="10"/>
    <n v="12600"/>
    <n v="0.1"/>
    <n v="11340"/>
    <n v="0.9"/>
    <s v="High"/>
  </r>
  <r>
    <s v="ORD1493"/>
    <d v="2021-05-18T00:00:00"/>
    <x v="1"/>
    <x v="4"/>
    <x v="1"/>
    <s v="Wooden Bookshelf"/>
    <x v="0"/>
    <x v="1"/>
    <n v="7"/>
    <n v="9100"/>
    <n v="0.15000000000000002"/>
    <n v="7735"/>
    <n v="0.85"/>
    <s v="Medium"/>
  </r>
  <r>
    <s v="ORD1494"/>
    <d v="2021-05-19T00:00:00"/>
    <x v="1"/>
    <x v="4"/>
    <x v="1"/>
    <s v="Computer Desk"/>
    <x v="1"/>
    <x v="1"/>
    <n v="10"/>
    <n v="4500"/>
    <n v="0.2"/>
    <n v="3600"/>
    <n v="0.8"/>
    <s v="Low"/>
  </r>
  <r>
    <s v="ORD1495"/>
    <d v="2021-05-20T00:00:00"/>
    <x v="1"/>
    <x v="4"/>
    <x v="1"/>
    <s v="Filing Cabinet"/>
    <x v="2"/>
    <x v="1"/>
    <n v="9"/>
    <n v="13900"/>
    <n v="0.25"/>
    <n v="10425"/>
    <n v="0.75"/>
    <s v="High"/>
  </r>
  <r>
    <s v="ORD1496"/>
    <d v="2021-05-21T00:00:00"/>
    <x v="1"/>
    <x v="4"/>
    <x v="1"/>
    <s v="Visitor Chair"/>
    <x v="3"/>
    <x v="1"/>
    <n v="8"/>
    <n v="10700"/>
    <n v="0.05"/>
    <n v="10165"/>
    <n v="0.95"/>
    <s v="High"/>
  </r>
  <r>
    <s v="ORD1497"/>
    <d v="2021-05-22T00:00:00"/>
    <x v="1"/>
    <x v="4"/>
    <x v="1"/>
    <s v="Conference Table"/>
    <x v="0"/>
    <x v="1"/>
    <n v="9"/>
    <n v="4000"/>
    <n v="0.1"/>
    <n v="3600"/>
    <n v="0.9"/>
    <s v="Low"/>
  </r>
  <r>
    <s v="ORD1498"/>
    <d v="2021-05-23T00:00:00"/>
    <x v="1"/>
    <x v="4"/>
    <x v="1"/>
    <s v="Drawer Unit"/>
    <x v="1"/>
    <x v="1"/>
    <n v="8"/>
    <n v="9900"/>
    <n v="0.15000000000000002"/>
    <n v="8415"/>
    <n v="0.85"/>
    <s v="Medium"/>
  </r>
  <r>
    <s v="ORD1499"/>
    <d v="2021-05-24T00:00:00"/>
    <x v="1"/>
    <x v="4"/>
    <x v="1"/>
    <s v="Ergonomic Stool"/>
    <x v="2"/>
    <x v="1"/>
    <n v="9"/>
    <n v="14900"/>
    <n v="0.2"/>
    <n v="11920"/>
    <n v="0.8"/>
    <s v="High"/>
  </r>
  <r>
    <s v="ORD1500"/>
    <d v="2021-05-25T00:00:00"/>
    <x v="1"/>
    <x v="4"/>
    <x v="1"/>
    <s v="Office Sofa"/>
    <x v="3"/>
    <x v="1"/>
    <n v="5"/>
    <n v="5000"/>
    <n v="0.25"/>
    <n v="3750"/>
    <n v="0.75"/>
    <s v="Low"/>
  </r>
  <r>
    <s v="ORD1501"/>
    <d v="2021-05-26T00:00:00"/>
    <x v="1"/>
    <x v="4"/>
    <x v="2"/>
    <s v="Ball Pen Pack"/>
    <x v="0"/>
    <x v="2"/>
    <n v="5"/>
    <n v="14900"/>
    <n v="0.05"/>
    <n v="14155"/>
    <n v="0.95"/>
    <s v="High"/>
  </r>
  <r>
    <s v="ORD1502"/>
    <d v="2021-05-27T00:00:00"/>
    <x v="1"/>
    <x v="4"/>
    <x v="2"/>
    <s v="Notebook"/>
    <x v="1"/>
    <x v="2"/>
    <n v="9"/>
    <n v="5400"/>
    <n v="0.1"/>
    <n v="4860"/>
    <n v="0.9"/>
    <s v="Medium"/>
  </r>
  <r>
    <s v="ORD1503"/>
    <d v="2021-05-28T00:00:00"/>
    <x v="1"/>
    <x v="4"/>
    <x v="2"/>
    <s v="Printer Paper Ream"/>
    <x v="2"/>
    <x v="2"/>
    <n v="2"/>
    <n v="12000"/>
    <n v="0.15000000000000002"/>
    <n v="10200"/>
    <n v="0.85"/>
    <s v="High"/>
  </r>
  <r>
    <s v="ORD1504"/>
    <d v="2021-05-29T00:00:00"/>
    <x v="1"/>
    <x v="4"/>
    <x v="2"/>
    <s v="Stapler"/>
    <x v="3"/>
    <x v="2"/>
    <n v="9"/>
    <n v="6600"/>
    <n v="0.2"/>
    <n v="5280"/>
    <n v="0.8"/>
    <s v="Medium"/>
  </r>
  <r>
    <s v="ORD1505"/>
    <d v="2021-05-30T00:00:00"/>
    <x v="1"/>
    <x v="4"/>
    <x v="2"/>
    <s v="Paper Clips Box"/>
    <x v="0"/>
    <x v="2"/>
    <n v="2"/>
    <n v="9100"/>
    <n v="0.25"/>
    <n v="6825"/>
    <n v="0.75"/>
    <s v="Medium"/>
  </r>
  <r>
    <s v="ORD1506"/>
    <d v="2021-05-31T00:00:00"/>
    <x v="1"/>
    <x v="4"/>
    <x v="2"/>
    <s v="Highlighter Set"/>
    <x v="1"/>
    <x v="2"/>
    <n v="4"/>
    <n v="5300"/>
    <n v="0.05"/>
    <n v="5035"/>
    <n v="0.95"/>
    <s v="Medium"/>
  </r>
  <r>
    <s v="ORD1507"/>
    <d v="2021-06-01T00:00:00"/>
    <x v="1"/>
    <x v="5"/>
    <x v="2"/>
    <s v="Desk Organizer"/>
    <x v="2"/>
    <x v="2"/>
    <n v="3"/>
    <n v="10800"/>
    <n v="0.1"/>
    <n v="9720"/>
    <n v="0.9"/>
    <s v="High"/>
  </r>
  <r>
    <s v="ORD1508"/>
    <d v="2021-06-02T00:00:00"/>
    <x v="1"/>
    <x v="5"/>
    <x v="2"/>
    <s v="Calculator"/>
    <x v="3"/>
    <x v="2"/>
    <n v="3"/>
    <n v="11600"/>
    <n v="0.15000000000000002"/>
    <n v="9860"/>
    <n v="0.85"/>
    <s v="High"/>
  </r>
  <r>
    <s v="ORD1509"/>
    <d v="2021-06-03T00:00:00"/>
    <x v="1"/>
    <x v="5"/>
    <x v="2"/>
    <s v="Sticky Notes"/>
    <x v="0"/>
    <x v="2"/>
    <n v="4"/>
    <n v="11000"/>
    <n v="0.2"/>
    <n v="8800"/>
    <n v="0.8"/>
    <s v="High"/>
  </r>
  <r>
    <s v="ORD1510"/>
    <d v="2021-06-04T00:00:00"/>
    <x v="1"/>
    <x v="5"/>
    <x v="2"/>
    <s v="Whiteboard Marker"/>
    <x v="1"/>
    <x v="2"/>
    <n v="10"/>
    <n v="5900"/>
    <n v="0.25"/>
    <n v="4425"/>
    <n v="0.75"/>
    <s v="Medium"/>
  </r>
  <r>
    <s v="ORD1511"/>
    <d v="2021-06-05T00:00:00"/>
    <x v="1"/>
    <x v="5"/>
    <x v="0"/>
    <s v="Bluetooth Speaker"/>
    <x v="2"/>
    <x v="0"/>
    <n v="1"/>
    <n v="12000"/>
    <n v="0.05"/>
    <n v="11400"/>
    <n v="0.95"/>
    <s v="High"/>
  </r>
  <r>
    <s v="ORD1512"/>
    <d v="2021-06-06T00:00:00"/>
    <x v="1"/>
    <x v="5"/>
    <x v="0"/>
    <s v="Wireless Mouse"/>
    <x v="3"/>
    <x v="0"/>
    <n v="8"/>
    <n v="5300"/>
    <n v="0.1"/>
    <n v="4770"/>
    <n v="0.9"/>
    <s v="Medium"/>
  </r>
  <r>
    <s v="ORD1513"/>
    <d v="2021-06-07T00:00:00"/>
    <x v="1"/>
    <x v="5"/>
    <x v="0"/>
    <s v="Keyboard"/>
    <x v="0"/>
    <x v="0"/>
    <n v="3"/>
    <n v="11700"/>
    <n v="0.15000000000000002"/>
    <n v="9945"/>
    <n v="0.85"/>
    <s v="High"/>
  </r>
  <r>
    <s v="ORD1514"/>
    <d v="2021-06-08T00:00:00"/>
    <x v="1"/>
    <x v="5"/>
    <x v="0"/>
    <s v="Laptop Stand"/>
    <x v="1"/>
    <x v="0"/>
    <n v="8"/>
    <n v="9800"/>
    <n v="0.2"/>
    <n v="7840"/>
    <n v="0.8"/>
    <s v="Medium"/>
  </r>
  <r>
    <s v="ORD1515"/>
    <d v="2021-06-09T00:00:00"/>
    <x v="1"/>
    <x v="5"/>
    <x v="0"/>
    <s v="USB Flash Drive"/>
    <x v="2"/>
    <x v="0"/>
    <n v="6"/>
    <n v="11000"/>
    <n v="0.25"/>
    <n v="8250"/>
    <n v="0.75"/>
    <s v="High"/>
  </r>
  <r>
    <s v="ORD1516"/>
    <d v="2021-06-10T00:00:00"/>
    <x v="1"/>
    <x v="5"/>
    <x v="0"/>
    <s v="External Hard Disk"/>
    <x v="3"/>
    <x v="0"/>
    <n v="3"/>
    <n v="12000"/>
    <n v="0.05"/>
    <n v="11400"/>
    <n v="0.95"/>
    <s v="High"/>
  </r>
  <r>
    <s v="ORD1517"/>
    <d v="2021-06-11T00:00:00"/>
    <x v="1"/>
    <x v="5"/>
    <x v="0"/>
    <s v="Webcam"/>
    <x v="0"/>
    <x v="0"/>
    <n v="1"/>
    <n v="11400"/>
    <n v="0.1"/>
    <n v="10260"/>
    <n v="0.9"/>
    <s v="High"/>
  </r>
  <r>
    <s v="ORD1518"/>
    <d v="2021-06-12T00:00:00"/>
    <x v="1"/>
    <x v="5"/>
    <x v="0"/>
    <s v="Noise Cancelling Headphones"/>
    <x v="1"/>
    <x v="0"/>
    <n v="5"/>
    <n v="10000"/>
    <n v="0.15000000000000002"/>
    <n v="8500"/>
    <n v="0.85"/>
    <s v="Medium"/>
  </r>
  <r>
    <s v="ORD1519"/>
    <d v="2021-06-13T00:00:00"/>
    <x v="1"/>
    <x v="5"/>
    <x v="0"/>
    <s v="Smart Watch"/>
    <x v="2"/>
    <x v="0"/>
    <n v="4"/>
    <n v="7300"/>
    <n v="0.2"/>
    <n v="5840"/>
    <n v="0.8"/>
    <s v="Medium"/>
  </r>
  <r>
    <s v="ORD1520"/>
    <d v="2021-06-14T00:00:00"/>
    <x v="1"/>
    <x v="5"/>
    <x v="0"/>
    <s v="Portable Power Bank"/>
    <x v="3"/>
    <x v="0"/>
    <n v="3"/>
    <n v="5300"/>
    <n v="0.25"/>
    <n v="3975"/>
    <n v="0.75"/>
    <s v="Medium"/>
  </r>
  <r>
    <s v="ORD1521"/>
    <d v="2021-06-15T00:00:00"/>
    <x v="1"/>
    <x v="5"/>
    <x v="1"/>
    <s v="Office Chair"/>
    <x v="0"/>
    <x v="1"/>
    <n v="3"/>
    <n v="12400"/>
    <n v="0.05"/>
    <n v="11780"/>
    <n v="0.95"/>
    <s v="High"/>
  </r>
  <r>
    <s v="ORD1522"/>
    <d v="2021-06-16T00:00:00"/>
    <x v="1"/>
    <x v="5"/>
    <x v="1"/>
    <s v="Study Table"/>
    <x v="1"/>
    <x v="1"/>
    <n v="6"/>
    <n v="13800"/>
    <n v="0.1"/>
    <n v="12420"/>
    <n v="0.9"/>
    <s v="High"/>
  </r>
  <r>
    <s v="ORD1523"/>
    <d v="2021-06-17T00:00:00"/>
    <x v="1"/>
    <x v="5"/>
    <x v="1"/>
    <s v="Wooden Bookshelf"/>
    <x v="2"/>
    <x v="1"/>
    <n v="4"/>
    <n v="11500"/>
    <n v="0.15000000000000002"/>
    <n v="9775"/>
    <n v="0.85"/>
    <s v="High"/>
  </r>
  <r>
    <s v="ORD1524"/>
    <d v="2021-06-18T00:00:00"/>
    <x v="1"/>
    <x v="5"/>
    <x v="1"/>
    <s v="Computer Desk"/>
    <x v="3"/>
    <x v="1"/>
    <n v="6"/>
    <n v="8300"/>
    <n v="0.2"/>
    <n v="6640"/>
    <n v="0.8"/>
    <s v="Medium"/>
  </r>
  <r>
    <s v="ORD1525"/>
    <d v="2021-06-19T00:00:00"/>
    <x v="1"/>
    <x v="5"/>
    <x v="1"/>
    <s v="Filing Cabinet"/>
    <x v="0"/>
    <x v="1"/>
    <n v="3"/>
    <n v="14300"/>
    <n v="0.25"/>
    <n v="10725"/>
    <n v="0.75"/>
    <s v="High"/>
  </r>
  <r>
    <s v="ORD1526"/>
    <d v="2021-06-20T00:00:00"/>
    <x v="1"/>
    <x v="5"/>
    <x v="1"/>
    <s v="Visitor Chair"/>
    <x v="1"/>
    <x v="1"/>
    <n v="3"/>
    <n v="7200"/>
    <n v="0.05"/>
    <n v="6840"/>
    <n v="0.95"/>
    <s v="Medium"/>
  </r>
  <r>
    <s v="ORD1527"/>
    <d v="2021-06-21T00:00:00"/>
    <x v="1"/>
    <x v="5"/>
    <x v="1"/>
    <s v="Conference Table"/>
    <x v="2"/>
    <x v="1"/>
    <n v="2"/>
    <n v="9700"/>
    <n v="0.1"/>
    <n v="8730"/>
    <n v="0.9"/>
    <s v="Medium"/>
  </r>
  <r>
    <s v="ORD1528"/>
    <d v="2021-06-22T00:00:00"/>
    <x v="1"/>
    <x v="5"/>
    <x v="1"/>
    <s v="Drawer Unit"/>
    <x v="3"/>
    <x v="1"/>
    <n v="6"/>
    <n v="7200"/>
    <n v="0.15000000000000002"/>
    <n v="6120"/>
    <n v="0.85"/>
    <s v="Medium"/>
  </r>
  <r>
    <s v="ORD1529"/>
    <d v="2021-06-23T00:00:00"/>
    <x v="1"/>
    <x v="5"/>
    <x v="1"/>
    <s v="Ergonomic Stool"/>
    <x v="0"/>
    <x v="1"/>
    <n v="10"/>
    <n v="6000"/>
    <n v="0.2"/>
    <n v="4800"/>
    <n v="0.8"/>
    <s v="Medium"/>
  </r>
  <r>
    <s v="ORD1530"/>
    <d v="2021-06-24T00:00:00"/>
    <x v="1"/>
    <x v="5"/>
    <x v="1"/>
    <s v="Office Sofa"/>
    <x v="1"/>
    <x v="1"/>
    <n v="5"/>
    <n v="6200"/>
    <n v="0.25"/>
    <n v="4650"/>
    <n v="0.75"/>
    <s v="Medium"/>
  </r>
  <r>
    <s v="ORD1531"/>
    <d v="2021-06-25T00:00:00"/>
    <x v="1"/>
    <x v="5"/>
    <x v="2"/>
    <s v="Ball Pen Pack"/>
    <x v="2"/>
    <x v="2"/>
    <n v="5"/>
    <n v="13600"/>
    <n v="0.05"/>
    <n v="12920"/>
    <n v="0.95"/>
    <s v="High"/>
  </r>
  <r>
    <s v="ORD1532"/>
    <d v="2021-06-26T00:00:00"/>
    <x v="1"/>
    <x v="5"/>
    <x v="2"/>
    <s v="Notebook"/>
    <x v="3"/>
    <x v="2"/>
    <n v="9"/>
    <n v="7700"/>
    <n v="0.1"/>
    <n v="6930"/>
    <n v="0.9"/>
    <s v="Medium"/>
  </r>
  <r>
    <s v="ORD1533"/>
    <d v="2021-06-27T00:00:00"/>
    <x v="1"/>
    <x v="5"/>
    <x v="2"/>
    <s v="Printer Paper Ream"/>
    <x v="0"/>
    <x v="2"/>
    <n v="5"/>
    <n v="13500"/>
    <n v="0.15000000000000002"/>
    <n v="11475"/>
    <n v="0.85"/>
    <s v="High"/>
  </r>
  <r>
    <s v="ORD1534"/>
    <d v="2021-06-28T00:00:00"/>
    <x v="1"/>
    <x v="5"/>
    <x v="2"/>
    <s v="Stapler"/>
    <x v="1"/>
    <x v="2"/>
    <n v="5"/>
    <n v="9400"/>
    <n v="0.2"/>
    <n v="7520"/>
    <n v="0.8"/>
    <s v="Medium"/>
  </r>
  <r>
    <s v="ORD1535"/>
    <d v="2021-06-29T00:00:00"/>
    <x v="1"/>
    <x v="5"/>
    <x v="2"/>
    <s v="Paper Clips Box"/>
    <x v="2"/>
    <x v="2"/>
    <n v="10"/>
    <n v="5600"/>
    <n v="0.25"/>
    <n v="4200"/>
    <n v="0.75"/>
    <s v="Medium"/>
  </r>
  <r>
    <s v="ORD1536"/>
    <d v="2021-06-30T00:00:00"/>
    <x v="1"/>
    <x v="5"/>
    <x v="2"/>
    <s v="Highlighter Set"/>
    <x v="3"/>
    <x v="2"/>
    <n v="7"/>
    <n v="13100"/>
    <n v="0.05"/>
    <n v="12445"/>
    <n v="0.95"/>
    <s v="High"/>
  </r>
  <r>
    <s v="ORD1537"/>
    <d v="2021-07-01T00:00:00"/>
    <x v="1"/>
    <x v="6"/>
    <x v="2"/>
    <s v="Desk Organizer"/>
    <x v="0"/>
    <x v="2"/>
    <n v="6"/>
    <n v="4600"/>
    <n v="0.1"/>
    <n v="4140"/>
    <n v="0.9"/>
    <s v="Low"/>
  </r>
  <r>
    <s v="ORD1538"/>
    <d v="2021-07-02T00:00:00"/>
    <x v="1"/>
    <x v="6"/>
    <x v="2"/>
    <s v="Calculator"/>
    <x v="1"/>
    <x v="2"/>
    <n v="4"/>
    <n v="12400"/>
    <n v="0.15000000000000002"/>
    <n v="10540"/>
    <n v="0.85"/>
    <s v="High"/>
  </r>
  <r>
    <s v="ORD1539"/>
    <d v="2021-07-03T00:00:00"/>
    <x v="1"/>
    <x v="6"/>
    <x v="2"/>
    <s v="Sticky Notes"/>
    <x v="2"/>
    <x v="2"/>
    <n v="8"/>
    <n v="5800"/>
    <n v="0.2"/>
    <n v="4640"/>
    <n v="0.8"/>
    <s v="Medium"/>
  </r>
  <r>
    <s v="ORD1540"/>
    <d v="2021-07-04T00:00:00"/>
    <x v="1"/>
    <x v="6"/>
    <x v="2"/>
    <s v="Whiteboard Marker"/>
    <x v="3"/>
    <x v="2"/>
    <n v="1"/>
    <n v="12200"/>
    <n v="0.25"/>
    <n v="9150"/>
    <n v="0.75"/>
    <s v="High"/>
  </r>
  <r>
    <s v="ORD1541"/>
    <d v="2021-07-05T00:00:00"/>
    <x v="1"/>
    <x v="6"/>
    <x v="0"/>
    <s v="Bluetooth Speaker"/>
    <x v="0"/>
    <x v="0"/>
    <n v="8"/>
    <n v="7100"/>
    <n v="0.05"/>
    <n v="6745"/>
    <n v="0.95"/>
    <s v="Medium"/>
  </r>
  <r>
    <s v="ORD1542"/>
    <d v="2021-07-06T00:00:00"/>
    <x v="1"/>
    <x v="6"/>
    <x v="0"/>
    <s v="Wireless Mouse"/>
    <x v="1"/>
    <x v="0"/>
    <n v="3"/>
    <n v="8500"/>
    <n v="0.1"/>
    <n v="7650"/>
    <n v="0.9"/>
    <s v="Medium"/>
  </r>
  <r>
    <s v="ORD1543"/>
    <d v="2021-07-07T00:00:00"/>
    <x v="1"/>
    <x v="6"/>
    <x v="0"/>
    <s v="Keyboard"/>
    <x v="2"/>
    <x v="0"/>
    <n v="10"/>
    <n v="9600"/>
    <n v="0.15000000000000002"/>
    <n v="8160"/>
    <n v="0.85"/>
    <s v="Medium"/>
  </r>
  <r>
    <s v="ORD1544"/>
    <d v="2021-07-08T00:00:00"/>
    <x v="1"/>
    <x v="6"/>
    <x v="0"/>
    <s v="Laptop Stand"/>
    <x v="3"/>
    <x v="0"/>
    <n v="9"/>
    <n v="12600"/>
    <n v="0.2"/>
    <n v="10080"/>
    <n v="0.8"/>
    <s v="High"/>
  </r>
  <r>
    <s v="ORD1545"/>
    <d v="2021-07-09T00:00:00"/>
    <x v="1"/>
    <x v="6"/>
    <x v="0"/>
    <s v="USB Flash Drive"/>
    <x v="0"/>
    <x v="0"/>
    <n v="7"/>
    <n v="11800"/>
    <n v="0.25"/>
    <n v="8850"/>
    <n v="0.75"/>
    <s v="High"/>
  </r>
  <r>
    <s v="ORD1546"/>
    <d v="2021-07-10T00:00:00"/>
    <x v="1"/>
    <x v="6"/>
    <x v="0"/>
    <s v="External Hard Disk"/>
    <x v="1"/>
    <x v="0"/>
    <n v="5"/>
    <n v="14800"/>
    <n v="0.05"/>
    <n v="14060"/>
    <n v="0.95"/>
    <s v="High"/>
  </r>
  <r>
    <s v="ORD1547"/>
    <d v="2021-07-11T00:00:00"/>
    <x v="1"/>
    <x v="6"/>
    <x v="0"/>
    <s v="Webcam"/>
    <x v="2"/>
    <x v="0"/>
    <n v="5"/>
    <n v="14200"/>
    <n v="0.1"/>
    <n v="12780"/>
    <n v="0.9"/>
    <s v="High"/>
  </r>
  <r>
    <s v="ORD1548"/>
    <d v="2021-07-12T00:00:00"/>
    <x v="1"/>
    <x v="6"/>
    <x v="0"/>
    <s v="Noise Cancelling Headphones"/>
    <x v="3"/>
    <x v="0"/>
    <n v="1"/>
    <n v="7100"/>
    <n v="0.15000000000000002"/>
    <n v="6035"/>
    <n v="0.85"/>
    <s v="Medium"/>
  </r>
  <r>
    <s v="ORD1549"/>
    <d v="2021-07-13T00:00:00"/>
    <x v="1"/>
    <x v="6"/>
    <x v="0"/>
    <s v="Smart Watch"/>
    <x v="0"/>
    <x v="0"/>
    <n v="1"/>
    <n v="11800"/>
    <n v="0.2"/>
    <n v="9440"/>
    <n v="0.8"/>
    <s v="High"/>
  </r>
  <r>
    <s v="ORD1550"/>
    <d v="2021-07-14T00:00:00"/>
    <x v="1"/>
    <x v="6"/>
    <x v="0"/>
    <s v="Portable Power Bank"/>
    <x v="1"/>
    <x v="0"/>
    <n v="2"/>
    <n v="14400"/>
    <n v="0.25"/>
    <n v="10800"/>
    <n v="0.75"/>
    <s v="High"/>
  </r>
  <r>
    <s v="ORD1551"/>
    <d v="2021-07-15T00:00:00"/>
    <x v="1"/>
    <x v="6"/>
    <x v="1"/>
    <s v="Office Chair"/>
    <x v="2"/>
    <x v="1"/>
    <n v="2"/>
    <n v="5400"/>
    <n v="0.05"/>
    <n v="5130"/>
    <n v="0.95"/>
    <s v="Medium"/>
  </r>
  <r>
    <s v="ORD1552"/>
    <d v="2021-07-16T00:00:00"/>
    <x v="1"/>
    <x v="6"/>
    <x v="1"/>
    <s v="Study Table"/>
    <x v="3"/>
    <x v="1"/>
    <n v="4"/>
    <n v="12900"/>
    <n v="0.1"/>
    <n v="11610"/>
    <n v="0.9"/>
    <s v="High"/>
  </r>
  <r>
    <s v="ORD1553"/>
    <d v="2021-07-17T00:00:00"/>
    <x v="1"/>
    <x v="6"/>
    <x v="1"/>
    <s v="Wooden Bookshelf"/>
    <x v="0"/>
    <x v="1"/>
    <n v="2"/>
    <n v="6500"/>
    <n v="0.15000000000000002"/>
    <n v="5525"/>
    <n v="0.85"/>
    <s v="Medium"/>
  </r>
  <r>
    <s v="ORD1554"/>
    <d v="2021-07-18T00:00:00"/>
    <x v="1"/>
    <x v="6"/>
    <x v="1"/>
    <s v="Computer Desk"/>
    <x v="1"/>
    <x v="1"/>
    <n v="4"/>
    <n v="7300"/>
    <n v="0.2"/>
    <n v="5840"/>
    <n v="0.8"/>
    <s v="Medium"/>
  </r>
  <r>
    <s v="ORD1555"/>
    <d v="2021-07-19T00:00:00"/>
    <x v="1"/>
    <x v="6"/>
    <x v="1"/>
    <s v="Filing Cabinet"/>
    <x v="2"/>
    <x v="1"/>
    <n v="9"/>
    <n v="14100"/>
    <n v="0.25"/>
    <n v="10575"/>
    <n v="0.75"/>
    <s v="High"/>
  </r>
  <r>
    <s v="ORD1556"/>
    <d v="2021-07-20T00:00:00"/>
    <x v="1"/>
    <x v="6"/>
    <x v="1"/>
    <s v="Visitor Chair"/>
    <x v="3"/>
    <x v="1"/>
    <n v="1"/>
    <n v="13500"/>
    <n v="0.05"/>
    <n v="12825"/>
    <n v="0.95"/>
    <s v="High"/>
  </r>
  <r>
    <s v="ORD1557"/>
    <d v="2021-07-21T00:00:00"/>
    <x v="1"/>
    <x v="6"/>
    <x v="1"/>
    <s v="Conference Table"/>
    <x v="0"/>
    <x v="1"/>
    <n v="2"/>
    <n v="13600"/>
    <n v="0.1"/>
    <n v="12240"/>
    <n v="0.9"/>
    <s v="High"/>
  </r>
  <r>
    <s v="ORD1558"/>
    <d v="2021-07-22T00:00:00"/>
    <x v="1"/>
    <x v="6"/>
    <x v="1"/>
    <s v="Drawer Unit"/>
    <x v="1"/>
    <x v="1"/>
    <n v="4"/>
    <n v="7100"/>
    <n v="0.15000000000000002"/>
    <n v="6035"/>
    <n v="0.85"/>
    <s v="Medium"/>
  </r>
  <r>
    <s v="ORD1559"/>
    <d v="2021-07-23T00:00:00"/>
    <x v="1"/>
    <x v="6"/>
    <x v="1"/>
    <s v="Ergonomic Stool"/>
    <x v="2"/>
    <x v="1"/>
    <n v="6"/>
    <n v="13000"/>
    <n v="0.2"/>
    <n v="10400"/>
    <n v="0.8"/>
    <s v="High"/>
  </r>
  <r>
    <s v="ORD1560"/>
    <d v="2021-07-24T00:00:00"/>
    <x v="1"/>
    <x v="6"/>
    <x v="1"/>
    <s v="Office Sofa"/>
    <x v="3"/>
    <x v="1"/>
    <n v="5"/>
    <n v="6900"/>
    <n v="0.25"/>
    <n v="5175"/>
    <n v="0.75"/>
    <s v="Medium"/>
  </r>
  <r>
    <s v="ORD1561"/>
    <d v="2021-07-25T00:00:00"/>
    <x v="1"/>
    <x v="6"/>
    <x v="2"/>
    <s v="Ball Pen Pack"/>
    <x v="0"/>
    <x v="2"/>
    <n v="5"/>
    <n v="11900"/>
    <n v="0.05"/>
    <n v="11305"/>
    <n v="0.95"/>
    <s v="High"/>
  </r>
  <r>
    <s v="ORD1562"/>
    <d v="2021-07-26T00:00:00"/>
    <x v="1"/>
    <x v="6"/>
    <x v="2"/>
    <s v="Notebook"/>
    <x v="1"/>
    <x v="2"/>
    <n v="7"/>
    <n v="13600"/>
    <n v="0.1"/>
    <n v="12240"/>
    <n v="0.9"/>
    <s v="High"/>
  </r>
  <r>
    <s v="ORD1563"/>
    <d v="2021-07-27T00:00:00"/>
    <x v="1"/>
    <x v="6"/>
    <x v="2"/>
    <s v="Printer Paper Ream"/>
    <x v="2"/>
    <x v="2"/>
    <n v="10"/>
    <n v="12500"/>
    <n v="0.15000000000000002"/>
    <n v="10625"/>
    <n v="0.85"/>
    <s v="High"/>
  </r>
  <r>
    <s v="ORD1564"/>
    <d v="2021-07-28T00:00:00"/>
    <x v="1"/>
    <x v="6"/>
    <x v="2"/>
    <s v="Stapler"/>
    <x v="3"/>
    <x v="2"/>
    <n v="8"/>
    <n v="7200"/>
    <n v="0.2"/>
    <n v="5760"/>
    <n v="0.8"/>
    <s v="Medium"/>
  </r>
  <r>
    <s v="ORD1565"/>
    <d v="2021-07-29T00:00:00"/>
    <x v="1"/>
    <x v="6"/>
    <x v="2"/>
    <s v="Paper Clips Box"/>
    <x v="0"/>
    <x v="2"/>
    <n v="7"/>
    <n v="11000"/>
    <n v="0.25"/>
    <n v="8250"/>
    <n v="0.75"/>
    <s v="High"/>
  </r>
  <r>
    <s v="ORD1566"/>
    <d v="2021-07-30T00:00:00"/>
    <x v="1"/>
    <x v="6"/>
    <x v="2"/>
    <s v="Highlighter Set"/>
    <x v="1"/>
    <x v="2"/>
    <n v="1"/>
    <n v="10800"/>
    <n v="0.05"/>
    <n v="10260"/>
    <n v="0.95"/>
    <s v="High"/>
  </r>
  <r>
    <s v="ORD1567"/>
    <d v="2021-07-31T00:00:00"/>
    <x v="1"/>
    <x v="6"/>
    <x v="2"/>
    <s v="Desk Organizer"/>
    <x v="2"/>
    <x v="2"/>
    <n v="8"/>
    <n v="13900"/>
    <n v="0.1"/>
    <n v="12510"/>
    <n v="0.9"/>
    <s v="High"/>
  </r>
  <r>
    <s v="ORD1568"/>
    <d v="2021-08-01T00:00:00"/>
    <x v="1"/>
    <x v="7"/>
    <x v="2"/>
    <s v="Calculator"/>
    <x v="3"/>
    <x v="2"/>
    <n v="8"/>
    <n v="12700"/>
    <n v="0.15000000000000002"/>
    <n v="10795"/>
    <n v="0.85"/>
    <s v="High"/>
  </r>
  <r>
    <s v="ORD1569"/>
    <d v="2021-08-02T00:00:00"/>
    <x v="1"/>
    <x v="7"/>
    <x v="2"/>
    <s v="Sticky Notes"/>
    <x v="0"/>
    <x v="2"/>
    <n v="7"/>
    <n v="11500"/>
    <n v="0.2"/>
    <n v="9200"/>
    <n v="0.8"/>
    <s v="High"/>
  </r>
  <r>
    <s v="ORD1570"/>
    <d v="2021-08-03T00:00:00"/>
    <x v="1"/>
    <x v="7"/>
    <x v="2"/>
    <s v="Whiteboard Marker"/>
    <x v="1"/>
    <x v="2"/>
    <n v="7"/>
    <n v="7600"/>
    <n v="0.25"/>
    <n v="5700"/>
    <n v="0.75"/>
    <s v="Medium"/>
  </r>
  <r>
    <s v="ORD1571"/>
    <d v="2021-08-04T00:00:00"/>
    <x v="1"/>
    <x v="7"/>
    <x v="0"/>
    <s v="Bluetooth Speaker"/>
    <x v="2"/>
    <x v="0"/>
    <n v="1"/>
    <n v="14500"/>
    <n v="0.05"/>
    <n v="13775"/>
    <n v="0.95"/>
    <s v="High"/>
  </r>
  <r>
    <s v="ORD1572"/>
    <d v="2021-08-05T00:00:00"/>
    <x v="1"/>
    <x v="7"/>
    <x v="0"/>
    <s v="Wireless Mouse"/>
    <x v="3"/>
    <x v="0"/>
    <n v="6"/>
    <n v="5800"/>
    <n v="0.1"/>
    <n v="5220"/>
    <n v="0.9"/>
    <s v="Medium"/>
  </r>
  <r>
    <s v="ORD1573"/>
    <d v="2021-08-06T00:00:00"/>
    <x v="1"/>
    <x v="7"/>
    <x v="0"/>
    <s v="Keyboard"/>
    <x v="0"/>
    <x v="0"/>
    <n v="6"/>
    <n v="10700"/>
    <n v="0.15000000000000002"/>
    <n v="9095"/>
    <n v="0.85"/>
    <s v="High"/>
  </r>
  <r>
    <s v="ORD1574"/>
    <d v="2021-08-07T00:00:00"/>
    <x v="1"/>
    <x v="7"/>
    <x v="0"/>
    <s v="Laptop Stand"/>
    <x v="1"/>
    <x v="0"/>
    <n v="5"/>
    <n v="4900"/>
    <n v="0.2"/>
    <n v="3920"/>
    <n v="0.8"/>
    <s v="Low"/>
  </r>
  <r>
    <s v="ORD1575"/>
    <d v="2021-08-08T00:00:00"/>
    <x v="1"/>
    <x v="7"/>
    <x v="0"/>
    <s v="USB Flash Drive"/>
    <x v="2"/>
    <x v="0"/>
    <n v="10"/>
    <n v="8400"/>
    <n v="0.25"/>
    <n v="6300"/>
    <n v="0.75"/>
    <s v="Medium"/>
  </r>
  <r>
    <s v="ORD1576"/>
    <d v="2021-08-09T00:00:00"/>
    <x v="1"/>
    <x v="7"/>
    <x v="0"/>
    <s v="External Hard Disk"/>
    <x v="3"/>
    <x v="0"/>
    <n v="5"/>
    <n v="10800"/>
    <n v="0.05"/>
    <n v="10260"/>
    <n v="0.95"/>
    <s v="High"/>
  </r>
  <r>
    <s v="ORD1577"/>
    <d v="2021-08-10T00:00:00"/>
    <x v="1"/>
    <x v="7"/>
    <x v="0"/>
    <s v="Webcam"/>
    <x v="0"/>
    <x v="0"/>
    <n v="5"/>
    <n v="13500"/>
    <n v="0.1"/>
    <n v="12150"/>
    <n v="0.9"/>
    <s v="High"/>
  </r>
  <r>
    <s v="ORD1578"/>
    <d v="2021-08-11T00:00:00"/>
    <x v="1"/>
    <x v="7"/>
    <x v="0"/>
    <s v="Noise Cancelling Headphones"/>
    <x v="1"/>
    <x v="0"/>
    <n v="8"/>
    <n v="9600"/>
    <n v="0.15000000000000002"/>
    <n v="8160"/>
    <n v="0.85"/>
    <s v="Medium"/>
  </r>
  <r>
    <s v="ORD1579"/>
    <d v="2021-08-12T00:00:00"/>
    <x v="1"/>
    <x v="7"/>
    <x v="0"/>
    <s v="Smart Watch"/>
    <x v="2"/>
    <x v="0"/>
    <n v="6"/>
    <n v="8100"/>
    <n v="0.2"/>
    <n v="6480"/>
    <n v="0.8"/>
    <s v="Medium"/>
  </r>
  <r>
    <s v="ORD1580"/>
    <d v="2021-08-13T00:00:00"/>
    <x v="1"/>
    <x v="7"/>
    <x v="0"/>
    <s v="Portable Power Bank"/>
    <x v="3"/>
    <x v="0"/>
    <n v="6"/>
    <n v="5400"/>
    <n v="0.25"/>
    <n v="4050"/>
    <n v="0.75"/>
    <s v="Medium"/>
  </r>
  <r>
    <s v="ORD1581"/>
    <d v="2021-08-14T00:00:00"/>
    <x v="1"/>
    <x v="7"/>
    <x v="1"/>
    <s v="Office Chair"/>
    <x v="0"/>
    <x v="1"/>
    <n v="4"/>
    <n v="5200"/>
    <n v="0.05"/>
    <n v="4940"/>
    <n v="0.95"/>
    <s v="Medium"/>
  </r>
  <r>
    <s v="ORD1582"/>
    <d v="2021-08-15T00:00:00"/>
    <x v="1"/>
    <x v="7"/>
    <x v="1"/>
    <s v="Study Table"/>
    <x v="1"/>
    <x v="1"/>
    <n v="10"/>
    <n v="6300"/>
    <n v="0.1"/>
    <n v="5670"/>
    <n v="0.9"/>
    <s v="Medium"/>
  </r>
  <r>
    <s v="ORD1583"/>
    <d v="2021-08-16T00:00:00"/>
    <x v="1"/>
    <x v="7"/>
    <x v="1"/>
    <s v="Wooden Bookshelf"/>
    <x v="2"/>
    <x v="1"/>
    <n v="9"/>
    <n v="8200"/>
    <n v="0.15000000000000002"/>
    <n v="6970"/>
    <n v="0.85"/>
    <s v="Medium"/>
  </r>
  <r>
    <s v="ORD1584"/>
    <d v="2021-08-17T00:00:00"/>
    <x v="1"/>
    <x v="7"/>
    <x v="1"/>
    <s v="Computer Desk"/>
    <x v="3"/>
    <x v="1"/>
    <n v="7"/>
    <n v="13000"/>
    <n v="0.2"/>
    <n v="10400"/>
    <n v="0.8"/>
    <s v="High"/>
  </r>
  <r>
    <s v="ORD1585"/>
    <d v="2021-08-18T00:00:00"/>
    <x v="1"/>
    <x v="7"/>
    <x v="1"/>
    <s v="Filing Cabinet"/>
    <x v="0"/>
    <x v="1"/>
    <n v="6"/>
    <n v="11500"/>
    <n v="0.25"/>
    <n v="8625"/>
    <n v="0.75"/>
    <s v="High"/>
  </r>
  <r>
    <s v="ORD1586"/>
    <d v="2021-08-19T00:00:00"/>
    <x v="1"/>
    <x v="7"/>
    <x v="1"/>
    <s v="Visitor Chair"/>
    <x v="1"/>
    <x v="1"/>
    <n v="1"/>
    <n v="8300"/>
    <n v="0.05"/>
    <n v="7885"/>
    <n v="0.95"/>
    <s v="Medium"/>
  </r>
  <r>
    <s v="ORD1587"/>
    <d v="2021-08-20T00:00:00"/>
    <x v="1"/>
    <x v="7"/>
    <x v="1"/>
    <s v="Conference Table"/>
    <x v="2"/>
    <x v="1"/>
    <n v="10"/>
    <n v="6700"/>
    <n v="0.1"/>
    <n v="6030"/>
    <n v="0.9"/>
    <s v="Medium"/>
  </r>
  <r>
    <s v="ORD1588"/>
    <d v="2021-08-21T00:00:00"/>
    <x v="1"/>
    <x v="7"/>
    <x v="1"/>
    <s v="Drawer Unit"/>
    <x v="3"/>
    <x v="1"/>
    <n v="4"/>
    <n v="13300"/>
    <n v="0.15000000000000002"/>
    <n v="11305"/>
    <n v="0.85"/>
    <s v="High"/>
  </r>
  <r>
    <s v="ORD1589"/>
    <d v="2021-08-22T00:00:00"/>
    <x v="1"/>
    <x v="7"/>
    <x v="1"/>
    <s v="Ergonomic Stool"/>
    <x v="0"/>
    <x v="1"/>
    <n v="7"/>
    <n v="6100"/>
    <n v="0.2"/>
    <n v="4880"/>
    <n v="0.8"/>
    <s v="Medium"/>
  </r>
  <r>
    <s v="ORD1590"/>
    <d v="2021-08-23T00:00:00"/>
    <x v="1"/>
    <x v="7"/>
    <x v="1"/>
    <s v="Office Sofa"/>
    <x v="1"/>
    <x v="1"/>
    <n v="5"/>
    <n v="12500"/>
    <n v="0.25"/>
    <n v="9375"/>
    <n v="0.75"/>
    <s v="High"/>
  </r>
  <r>
    <s v="ORD1591"/>
    <d v="2021-08-24T00:00:00"/>
    <x v="1"/>
    <x v="7"/>
    <x v="2"/>
    <s v="Ball Pen Pack"/>
    <x v="2"/>
    <x v="2"/>
    <n v="3"/>
    <n v="4100"/>
    <n v="0.05"/>
    <n v="3895"/>
    <n v="0.95"/>
    <s v="Low"/>
  </r>
  <r>
    <s v="ORD1592"/>
    <d v="2021-08-25T00:00:00"/>
    <x v="1"/>
    <x v="7"/>
    <x v="2"/>
    <s v="Notebook"/>
    <x v="3"/>
    <x v="2"/>
    <n v="7"/>
    <n v="9300"/>
    <n v="0.1"/>
    <n v="8370"/>
    <n v="0.9"/>
    <s v="Medium"/>
  </r>
  <r>
    <s v="ORD1593"/>
    <d v="2021-08-26T00:00:00"/>
    <x v="1"/>
    <x v="7"/>
    <x v="2"/>
    <s v="Printer Paper Ream"/>
    <x v="0"/>
    <x v="2"/>
    <n v="9"/>
    <n v="14100"/>
    <n v="0.15000000000000002"/>
    <n v="11985"/>
    <n v="0.85"/>
    <s v="High"/>
  </r>
  <r>
    <s v="ORD1594"/>
    <d v="2021-08-27T00:00:00"/>
    <x v="1"/>
    <x v="7"/>
    <x v="2"/>
    <s v="Stapler"/>
    <x v="1"/>
    <x v="2"/>
    <n v="9"/>
    <n v="13100"/>
    <n v="0.2"/>
    <n v="10480"/>
    <n v="0.8"/>
    <s v="High"/>
  </r>
  <r>
    <s v="ORD1595"/>
    <d v="2021-08-28T00:00:00"/>
    <x v="1"/>
    <x v="7"/>
    <x v="2"/>
    <s v="Paper Clips Box"/>
    <x v="2"/>
    <x v="2"/>
    <n v="8"/>
    <n v="14400"/>
    <n v="0.25"/>
    <n v="10800"/>
    <n v="0.75"/>
    <s v="High"/>
  </r>
  <r>
    <s v="ORD1596"/>
    <d v="2021-08-29T00:00:00"/>
    <x v="1"/>
    <x v="7"/>
    <x v="2"/>
    <s v="Highlighter Set"/>
    <x v="3"/>
    <x v="2"/>
    <n v="1"/>
    <n v="14900"/>
    <n v="0.05"/>
    <n v="14155"/>
    <n v="0.95"/>
    <s v="High"/>
  </r>
  <r>
    <s v="ORD1597"/>
    <d v="2021-08-30T00:00:00"/>
    <x v="1"/>
    <x v="7"/>
    <x v="2"/>
    <s v="Desk Organizer"/>
    <x v="0"/>
    <x v="2"/>
    <n v="2"/>
    <n v="4700"/>
    <n v="0.1"/>
    <n v="4230"/>
    <n v="0.9"/>
    <s v="Low"/>
  </r>
  <r>
    <s v="ORD1598"/>
    <d v="2021-08-31T00:00:00"/>
    <x v="1"/>
    <x v="7"/>
    <x v="2"/>
    <s v="Calculator"/>
    <x v="1"/>
    <x v="2"/>
    <n v="4"/>
    <n v="14400"/>
    <n v="0.15000000000000002"/>
    <n v="12240"/>
    <n v="0.85"/>
    <s v="High"/>
  </r>
  <r>
    <s v="ORD1599"/>
    <d v="2021-09-01T00:00:00"/>
    <x v="1"/>
    <x v="8"/>
    <x v="2"/>
    <s v="Sticky Notes"/>
    <x v="2"/>
    <x v="2"/>
    <n v="9"/>
    <n v="13800"/>
    <n v="0.2"/>
    <n v="11040"/>
    <n v="0.8"/>
    <s v="High"/>
  </r>
  <r>
    <s v="ORD1600"/>
    <d v="2021-09-02T00:00:00"/>
    <x v="1"/>
    <x v="8"/>
    <x v="2"/>
    <s v="Whiteboard Marker"/>
    <x v="3"/>
    <x v="2"/>
    <n v="6"/>
    <n v="4000"/>
    <n v="0.25"/>
    <n v="3000"/>
    <n v="0.75"/>
    <s v="Low"/>
  </r>
  <r>
    <s v="ORD1601"/>
    <d v="2021-09-03T00:00:00"/>
    <x v="1"/>
    <x v="8"/>
    <x v="0"/>
    <s v="Bluetooth Speaker"/>
    <x v="0"/>
    <x v="0"/>
    <n v="2"/>
    <n v="12100"/>
    <n v="0.05"/>
    <n v="11495"/>
    <n v="0.95"/>
    <s v="High"/>
  </r>
  <r>
    <s v="ORD1602"/>
    <d v="2021-09-04T00:00:00"/>
    <x v="1"/>
    <x v="8"/>
    <x v="0"/>
    <s v="Wireless Mouse"/>
    <x v="1"/>
    <x v="0"/>
    <n v="6"/>
    <n v="8700"/>
    <n v="0.1"/>
    <n v="7830"/>
    <n v="0.9"/>
    <s v="Medium"/>
  </r>
  <r>
    <s v="ORD1603"/>
    <d v="2021-09-05T00:00:00"/>
    <x v="1"/>
    <x v="8"/>
    <x v="0"/>
    <s v="Keyboard"/>
    <x v="2"/>
    <x v="0"/>
    <n v="2"/>
    <n v="11100"/>
    <n v="0.15000000000000002"/>
    <n v="9435"/>
    <n v="0.85"/>
    <s v="High"/>
  </r>
  <r>
    <s v="ORD1604"/>
    <d v="2021-09-06T00:00:00"/>
    <x v="1"/>
    <x v="8"/>
    <x v="0"/>
    <s v="Laptop Stand"/>
    <x v="3"/>
    <x v="0"/>
    <n v="4"/>
    <n v="11700"/>
    <n v="0.2"/>
    <n v="9360"/>
    <n v="0.8"/>
    <s v="High"/>
  </r>
  <r>
    <s v="ORD1605"/>
    <d v="2021-09-07T00:00:00"/>
    <x v="1"/>
    <x v="8"/>
    <x v="0"/>
    <s v="USB Flash Drive"/>
    <x v="0"/>
    <x v="0"/>
    <n v="7"/>
    <n v="13200"/>
    <n v="0.25"/>
    <n v="9900"/>
    <n v="0.75"/>
    <s v="High"/>
  </r>
  <r>
    <s v="ORD1606"/>
    <d v="2021-09-08T00:00:00"/>
    <x v="1"/>
    <x v="8"/>
    <x v="0"/>
    <s v="External Hard Disk"/>
    <x v="1"/>
    <x v="0"/>
    <n v="1"/>
    <n v="5700"/>
    <n v="0.05"/>
    <n v="5415"/>
    <n v="0.95"/>
    <s v="Medium"/>
  </r>
  <r>
    <s v="ORD1607"/>
    <d v="2021-09-09T00:00:00"/>
    <x v="1"/>
    <x v="8"/>
    <x v="0"/>
    <s v="Webcam"/>
    <x v="2"/>
    <x v="0"/>
    <n v="5"/>
    <n v="7800"/>
    <n v="0.1"/>
    <n v="7020"/>
    <n v="0.9"/>
    <s v="Medium"/>
  </r>
  <r>
    <s v="ORD1608"/>
    <d v="2021-09-10T00:00:00"/>
    <x v="1"/>
    <x v="8"/>
    <x v="0"/>
    <s v="Noise Cancelling Headphones"/>
    <x v="3"/>
    <x v="0"/>
    <n v="4"/>
    <n v="10600"/>
    <n v="0.15000000000000002"/>
    <n v="9010"/>
    <n v="0.85"/>
    <s v="High"/>
  </r>
  <r>
    <s v="ORD1609"/>
    <d v="2021-09-11T00:00:00"/>
    <x v="1"/>
    <x v="8"/>
    <x v="0"/>
    <s v="Smart Watch"/>
    <x v="0"/>
    <x v="0"/>
    <n v="2"/>
    <n v="9200"/>
    <n v="0.2"/>
    <n v="7360"/>
    <n v="0.8"/>
    <s v="Medium"/>
  </r>
  <r>
    <s v="ORD1610"/>
    <d v="2021-09-12T00:00:00"/>
    <x v="1"/>
    <x v="8"/>
    <x v="0"/>
    <s v="Portable Power Bank"/>
    <x v="1"/>
    <x v="0"/>
    <n v="8"/>
    <n v="5900"/>
    <n v="0.25"/>
    <n v="4425"/>
    <n v="0.75"/>
    <s v="Medium"/>
  </r>
  <r>
    <s v="ORD1611"/>
    <d v="2021-09-13T00:00:00"/>
    <x v="1"/>
    <x v="8"/>
    <x v="1"/>
    <s v="Office Chair"/>
    <x v="2"/>
    <x v="1"/>
    <n v="3"/>
    <n v="4400"/>
    <n v="0.05"/>
    <n v="4180"/>
    <n v="0.95"/>
    <s v="Low"/>
  </r>
  <r>
    <s v="ORD1612"/>
    <d v="2021-09-14T00:00:00"/>
    <x v="1"/>
    <x v="8"/>
    <x v="1"/>
    <s v="Study Table"/>
    <x v="3"/>
    <x v="1"/>
    <n v="8"/>
    <n v="6400"/>
    <n v="0.1"/>
    <n v="5760"/>
    <n v="0.9"/>
    <s v="Medium"/>
  </r>
  <r>
    <s v="ORD1613"/>
    <d v="2021-09-15T00:00:00"/>
    <x v="1"/>
    <x v="8"/>
    <x v="1"/>
    <s v="Wooden Bookshelf"/>
    <x v="0"/>
    <x v="1"/>
    <n v="5"/>
    <n v="7500"/>
    <n v="0.15000000000000002"/>
    <n v="6375"/>
    <n v="0.85"/>
    <s v="Medium"/>
  </r>
  <r>
    <s v="ORD1614"/>
    <d v="2021-09-16T00:00:00"/>
    <x v="1"/>
    <x v="8"/>
    <x v="1"/>
    <s v="Computer Desk"/>
    <x v="1"/>
    <x v="1"/>
    <n v="8"/>
    <n v="14100"/>
    <n v="0.2"/>
    <n v="11280"/>
    <n v="0.8"/>
    <s v="High"/>
  </r>
  <r>
    <s v="ORD1615"/>
    <d v="2021-09-17T00:00:00"/>
    <x v="1"/>
    <x v="8"/>
    <x v="1"/>
    <s v="Filing Cabinet"/>
    <x v="2"/>
    <x v="1"/>
    <n v="6"/>
    <n v="4500"/>
    <n v="0.25"/>
    <n v="3375"/>
    <n v="0.75"/>
    <s v="Low"/>
  </r>
  <r>
    <s v="ORD1616"/>
    <d v="2021-09-18T00:00:00"/>
    <x v="1"/>
    <x v="8"/>
    <x v="1"/>
    <s v="Visitor Chair"/>
    <x v="3"/>
    <x v="1"/>
    <n v="2"/>
    <n v="12500"/>
    <n v="0.05"/>
    <n v="11875"/>
    <n v="0.95"/>
    <s v="High"/>
  </r>
  <r>
    <s v="ORD1617"/>
    <d v="2021-09-19T00:00:00"/>
    <x v="1"/>
    <x v="8"/>
    <x v="1"/>
    <s v="Conference Table"/>
    <x v="0"/>
    <x v="1"/>
    <n v="1"/>
    <n v="7400"/>
    <n v="0.1"/>
    <n v="6660"/>
    <n v="0.9"/>
    <s v="Medium"/>
  </r>
  <r>
    <s v="ORD1618"/>
    <d v="2021-09-20T00:00:00"/>
    <x v="1"/>
    <x v="8"/>
    <x v="1"/>
    <s v="Drawer Unit"/>
    <x v="1"/>
    <x v="1"/>
    <n v="8"/>
    <n v="6800"/>
    <n v="0.15000000000000002"/>
    <n v="5780"/>
    <n v="0.85"/>
    <s v="Medium"/>
  </r>
  <r>
    <s v="ORD1619"/>
    <d v="2021-09-21T00:00:00"/>
    <x v="1"/>
    <x v="8"/>
    <x v="1"/>
    <s v="Ergonomic Stool"/>
    <x v="2"/>
    <x v="1"/>
    <n v="7"/>
    <n v="14600"/>
    <n v="0.2"/>
    <n v="11680"/>
    <n v="0.8"/>
    <s v="High"/>
  </r>
  <r>
    <s v="ORD1620"/>
    <d v="2021-09-22T00:00:00"/>
    <x v="1"/>
    <x v="8"/>
    <x v="1"/>
    <s v="Office Sofa"/>
    <x v="3"/>
    <x v="1"/>
    <n v="9"/>
    <n v="12300"/>
    <n v="0.25"/>
    <n v="9225"/>
    <n v="0.75"/>
    <s v="High"/>
  </r>
  <r>
    <s v="ORD1621"/>
    <d v="2021-09-23T00:00:00"/>
    <x v="1"/>
    <x v="8"/>
    <x v="2"/>
    <s v="Ball Pen Pack"/>
    <x v="0"/>
    <x v="2"/>
    <n v="6"/>
    <n v="11600"/>
    <n v="0.05"/>
    <n v="11020"/>
    <n v="0.95"/>
    <s v="High"/>
  </r>
  <r>
    <s v="ORD1622"/>
    <d v="2021-09-24T00:00:00"/>
    <x v="1"/>
    <x v="8"/>
    <x v="2"/>
    <s v="Notebook"/>
    <x v="1"/>
    <x v="2"/>
    <n v="7"/>
    <n v="14700"/>
    <n v="0.1"/>
    <n v="13230"/>
    <n v="0.9"/>
    <s v="High"/>
  </r>
  <r>
    <s v="ORD1623"/>
    <d v="2021-09-25T00:00:00"/>
    <x v="1"/>
    <x v="8"/>
    <x v="2"/>
    <s v="Printer Paper Ream"/>
    <x v="2"/>
    <x v="2"/>
    <n v="7"/>
    <n v="14100"/>
    <n v="0.15000000000000002"/>
    <n v="11985"/>
    <n v="0.85"/>
    <s v="High"/>
  </r>
  <r>
    <s v="ORD1624"/>
    <d v="2021-09-26T00:00:00"/>
    <x v="1"/>
    <x v="8"/>
    <x v="2"/>
    <s v="Stapler"/>
    <x v="3"/>
    <x v="2"/>
    <n v="5"/>
    <n v="11500"/>
    <n v="0.2"/>
    <n v="9200"/>
    <n v="0.8"/>
    <s v="High"/>
  </r>
  <r>
    <s v="ORD1625"/>
    <d v="2021-09-27T00:00:00"/>
    <x v="1"/>
    <x v="8"/>
    <x v="2"/>
    <s v="Paper Clips Box"/>
    <x v="0"/>
    <x v="2"/>
    <n v="1"/>
    <n v="7600"/>
    <n v="0.25"/>
    <n v="5700"/>
    <n v="0.75"/>
    <s v="Medium"/>
  </r>
  <r>
    <s v="ORD1626"/>
    <d v="2021-09-28T00:00:00"/>
    <x v="1"/>
    <x v="8"/>
    <x v="2"/>
    <s v="Highlighter Set"/>
    <x v="1"/>
    <x v="2"/>
    <n v="4"/>
    <n v="7100"/>
    <n v="0.05"/>
    <n v="6745"/>
    <n v="0.95"/>
    <s v="Medium"/>
  </r>
  <r>
    <s v="ORD1627"/>
    <d v="2021-09-29T00:00:00"/>
    <x v="1"/>
    <x v="8"/>
    <x v="2"/>
    <s v="Desk Organizer"/>
    <x v="2"/>
    <x v="2"/>
    <n v="1"/>
    <n v="4700"/>
    <n v="0.1"/>
    <n v="4230"/>
    <n v="0.9"/>
    <s v="Low"/>
  </r>
  <r>
    <s v="ORD1628"/>
    <d v="2021-09-30T00:00:00"/>
    <x v="1"/>
    <x v="8"/>
    <x v="2"/>
    <s v="Calculator"/>
    <x v="3"/>
    <x v="2"/>
    <n v="2"/>
    <n v="10400"/>
    <n v="0.15000000000000002"/>
    <n v="8840"/>
    <n v="0.85"/>
    <s v="High"/>
  </r>
  <r>
    <s v="ORD1629"/>
    <d v="2021-10-01T00:00:00"/>
    <x v="1"/>
    <x v="9"/>
    <x v="2"/>
    <s v="Sticky Notes"/>
    <x v="0"/>
    <x v="2"/>
    <n v="1"/>
    <n v="9900"/>
    <n v="0.2"/>
    <n v="7920"/>
    <n v="0.8"/>
    <s v="Medium"/>
  </r>
  <r>
    <s v="ORD1630"/>
    <d v="2021-10-02T00:00:00"/>
    <x v="1"/>
    <x v="9"/>
    <x v="2"/>
    <s v="Whiteboard Marker"/>
    <x v="1"/>
    <x v="2"/>
    <n v="6"/>
    <n v="8400"/>
    <n v="0.25"/>
    <n v="6300"/>
    <n v="0.75"/>
    <s v="Medium"/>
  </r>
  <r>
    <s v="ORD1631"/>
    <d v="2021-10-03T00:00:00"/>
    <x v="1"/>
    <x v="9"/>
    <x v="0"/>
    <s v="Bluetooth Speaker"/>
    <x v="2"/>
    <x v="0"/>
    <n v="8"/>
    <n v="4300"/>
    <n v="0.05"/>
    <n v="4085"/>
    <n v="0.95"/>
    <s v="Low"/>
  </r>
  <r>
    <s v="ORD1632"/>
    <d v="2021-10-04T00:00:00"/>
    <x v="1"/>
    <x v="9"/>
    <x v="0"/>
    <s v="Wireless Mouse"/>
    <x v="3"/>
    <x v="0"/>
    <n v="9"/>
    <n v="7400"/>
    <n v="0.1"/>
    <n v="6660"/>
    <n v="0.9"/>
    <s v="Medium"/>
  </r>
  <r>
    <s v="ORD1633"/>
    <d v="2021-10-05T00:00:00"/>
    <x v="1"/>
    <x v="9"/>
    <x v="0"/>
    <s v="Keyboard"/>
    <x v="0"/>
    <x v="0"/>
    <n v="1"/>
    <n v="5500"/>
    <n v="0.15000000000000002"/>
    <n v="4675"/>
    <n v="0.85"/>
    <s v="Medium"/>
  </r>
  <r>
    <s v="ORD1634"/>
    <d v="2021-10-06T00:00:00"/>
    <x v="1"/>
    <x v="9"/>
    <x v="0"/>
    <s v="Laptop Stand"/>
    <x v="1"/>
    <x v="0"/>
    <n v="2"/>
    <n v="12800"/>
    <n v="0.2"/>
    <n v="10240"/>
    <n v="0.8"/>
    <s v="High"/>
  </r>
  <r>
    <s v="ORD1635"/>
    <d v="2021-10-07T00:00:00"/>
    <x v="1"/>
    <x v="9"/>
    <x v="0"/>
    <s v="USB Flash Drive"/>
    <x v="2"/>
    <x v="0"/>
    <n v="9"/>
    <n v="13700"/>
    <n v="0.25"/>
    <n v="10275"/>
    <n v="0.75"/>
    <s v="High"/>
  </r>
  <r>
    <s v="ORD1636"/>
    <d v="2021-10-08T00:00:00"/>
    <x v="1"/>
    <x v="9"/>
    <x v="0"/>
    <s v="External Hard Disk"/>
    <x v="3"/>
    <x v="0"/>
    <n v="3"/>
    <n v="10800"/>
    <n v="0.05"/>
    <n v="10260"/>
    <n v="0.95"/>
    <s v="High"/>
  </r>
  <r>
    <s v="ORD1637"/>
    <d v="2021-10-09T00:00:00"/>
    <x v="1"/>
    <x v="9"/>
    <x v="0"/>
    <s v="Webcam"/>
    <x v="0"/>
    <x v="0"/>
    <n v="9"/>
    <n v="5600"/>
    <n v="0.1"/>
    <n v="5040"/>
    <n v="0.9"/>
    <s v="Medium"/>
  </r>
  <r>
    <s v="ORD1638"/>
    <d v="2021-10-10T00:00:00"/>
    <x v="1"/>
    <x v="9"/>
    <x v="0"/>
    <s v="Noise Cancelling Headphones"/>
    <x v="1"/>
    <x v="0"/>
    <n v="3"/>
    <n v="12500"/>
    <n v="0.15000000000000002"/>
    <n v="10625"/>
    <n v="0.85"/>
    <s v="High"/>
  </r>
  <r>
    <s v="ORD1639"/>
    <d v="2021-10-11T00:00:00"/>
    <x v="1"/>
    <x v="9"/>
    <x v="0"/>
    <s v="Smart Watch"/>
    <x v="2"/>
    <x v="0"/>
    <n v="7"/>
    <n v="9000"/>
    <n v="0.2"/>
    <n v="7200"/>
    <n v="0.8"/>
    <s v="Medium"/>
  </r>
  <r>
    <s v="ORD1640"/>
    <d v="2021-10-12T00:00:00"/>
    <x v="1"/>
    <x v="9"/>
    <x v="0"/>
    <s v="Portable Power Bank"/>
    <x v="3"/>
    <x v="0"/>
    <n v="5"/>
    <n v="12000"/>
    <n v="0.25"/>
    <n v="9000"/>
    <n v="0.75"/>
    <s v="High"/>
  </r>
  <r>
    <s v="ORD1641"/>
    <d v="2021-10-13T00:00:00"/>
    <x v="1"/>
    <x v="9"/>
    <x v="1"/>
    <s v="Office Chair"/>
    <x v="0"/>
    <x v="1"/>
    <n v="3"/>
    <n v="8200"/>
    <n v="0.05"/>
    <n v="7790"/>
    <n v="0.95"/>
    <s v="Medium"/>
  </r>
  <r>
    <s v="ORD1642"/>
    <d v="2021-10-14T00:00:00"/>
    <x v="1"/>
    <x v="9"/>
    <x v="1"/>
    <s v="Study Table"/>
    <x v="1"/>
    <x v="1"/>
    <n v="4"/>
    <n v="9400"/>
    <n v="0.1"/>
    <n v="8460"/>
    <n v="0.9"/>
    <s v="Medium"/>
  </r>
  <r>
    <s v="ORD1643"/>
    <d v="2021-10-15T00:00:00"/>
    <x v="1"/>
    <x v="9"/>
    <x v="1"/>
    <s v="Wooden Bookshelf"/>
    <x v="2"/>
    <x v="1"/>
    <n v="6"/>
    <n v="12400"/>
    <n v="0.15000000000000002"/>
    <n v="10540"/>
    <n v="0.85"/>
    <s v="High"/>
  </r>
  <r>
    <s v="ORD1644"/>
    <d v="2021-10-16T00:00:00"/>
    <x v="1"/>
    <x v="9"/>
    <x v="1"/>
    <s v="Computer Desk"/>
    <x v="3"/>
    <x v="1"/>
    <n v="1"/>
    <n v="10200"/>
    <n v="0.2"/>
    <n v="8160"/>
    <n v="0.8"/>
    <s v="High"/>
  </r>
  <r>
    <s v="ORD1645"/>
    <d v="2021-10-17T00:00:00"/>
    <x v="1"/>
    <x v="9"/>
    <x v="1"/>
    <s v="Filing Cabinet"/>
    <x v="0"/>
    <x v="1"/>
    <n v="9"/>
    <n v="11000"/>
    <n v="0.25"/>
    <n v="8250"/>
    <n v="0.75"/>
    <s v="High"/>
  </r>
  <r>
    <s v="ORD1646"/>
    <d v="2021-10-18T00:00:00"/>
    <x v="1"/>
    <x v="9"/>
    <x v="1"/>
    <s v="Visitor Chair"/>
    <x v="1"/>
    <x v="1"/>
    <n v="7"/>
    <n v="13100"/>
    <n v="0.05"/>
    <n v="12445"/>
    <n v="0.95"/>
    <s v="High"/>
  </r>
  <r>
    <s v="ORD1647"/>
    <d v="2021-10-19T00:00:00"/>
    <x v="1"/>
    <x v="9"/>
    <x v="1"/>
    <s v="Conference Table"/>
    <x v="2"/>
    <x v="1"/>
    <n v="8"/>
    <n v="13700"/>
    <n v="0.1"/>
    <n v="12330"/>
    <n v="0.9"/>
    <s v="High"/>
  </r>
  <r>
    <s v="ORD1648"/>
    <d v="2021-10-20T00:00:00"/>
    <x v="1"/>
    <x v="9"/>
    <x v="1"/>
    <s v="Drawer Unit"/>
    <x v="3"/>
    <x v="1"/>
    <n v="3"/>
    <n v="12100"/>
    <n v="0.15000000000000002"/>
    <n v="10285"/>
    <n v="0.85"/>
    <s v="High"/>
  </r>
  <r>
    <s v="ORD1649"/>
    <d v="2021-10-21T00:00:00"/>
    <x v="1"/>
    <x v="9"/>
    <x v="1"/>
    <s v="Ergonomic Stool"/>
    <x v="0"/>
    <x v="1"/>
    <n v="7"/>
    <n v="9600"/>
    <n v="0.2"/>
    <n v="7680"/>
    <n v="0.8"/>
    <s v="Medium"/>
  </r>
  <r>
    <s v="ORD1650"/>
    <d v="2021-10-22T00:00:00"/>
    <x v="1"/>
    <x v="9"/>
    <x v="1"/>
    <s v="Office Sofa"/>
    <x v="1"/>
    <x v="1"/>
    <n v="1"/>
    <n v="9000"/>
    <n v="0.25"/>
    <n v="6750"/>
    <n v="0.75"/>
    <s v="Medium"/>
  </r>
  <r>
    <s v="ORD1651"/>
    <d v="2021-10-23T00:00:00"/>
    <x v="1"/>
    <x v="9"/>
    <x v="2"/>
    <s v="Ball Pen Pack"/>
    <x v="2"/>
    <x v="2"/>
    <n v="8"/>
    <n v="6800"/>
    <n v="0.05"/>
    <n v="6460"/>
    <n v="0.95"/>
    <s v="Medium"/>
  </r>
  <r>
    <s v="ORD1652"/>
    <d v="2021-10-24T00:00:00"/>
    <x v="1"/>
    <x v="9"/>
    <x v="2"/>
    <s v="Notebook"/>
    <x v="3"/>
    <x v="2"/>
    <n v="4"/>
    <n v="8200"/>
    <n v="0.1"/>
    <n v="7380"/>
    <n v="0.9"/>
    <s v="Medium"/>
  </r>
  <r>
    <s v="ORD1653"/>
    <d v="2021-10-25T00:00:00"/>
    <x v="1"/>
    <x v="9"/>
    <x v="2"/>
    <s v="Printer Paper Ream"/>
    <x v="0"/>
    <x v="2"/>
    <n v="3"/>
    <n v="7400"/>
    <n v="0.15000000000000002"/>
    <n v="6290"/>
    <n v="0.85"/>
    <s v="Medium"/>
  </r>
  <r>
    <s v="ORD1654"/>
    <d v="2021-10-26T00:00:00"/>
    <x v="1"/>
    <x v="9"/>
    <x v="2"/>
    <s v="Stapler"/>
    <x v="1"/>
    <x v="2"/>
    <n v="2"/>
    <n v="8800"/>
    <n v="0.2"/>
    <n v="7040"/>
    <n v="0.8"/>
    <s v="Medium"/>
  </r>
  <r>
    <s v="ORD1655"/>
    <d v="2021-10-27T00:00:00"/>
    <x v="1"/>
    <x v="9"/>
    <x v="2"/>
    <s v="Paper Clips Box"/>
    <x v="2"/>
    <x v="2"/>
    <n v="9"/>
    <n v="9300"/>
    <n v="0.25"/>
    <n v="6975"/>
    <n v="0.75"/>
    <s v="Medium"/>
  </r>
  <r>
    <s v="ORD1656"/>
    <d v="2021-10-28T00:00:00"/>
    <x v="1"/>
    <x v="9"/>
    <x v="2"/>
    <s v="Highlighter Set"/>
    <x v="3"/>
    <x v="2"/>
    <n v="9"/>
    <n v="7900"/>
    <n v="0.05"/>
    <n v="7505"/>
    <n v="0.95"/>
    <s v="Medium"/>
  </r>
  <r>
    <s v="ORD1657"/>
    <d v="2021-10-29T00:00:00"/>
    <x v="1"/>
    <x v="9"/>
    <x v="2"/>
    <s v="Desk Organizer"/>
    <x v="0"/>
    <x v="2"/>
    <n v="1"/>
    <n v="15000"/>
    <n v="0.1"/>
    <n v="13500"/>
    <n v="0.9"/>
    <s v="High"/>
  </r>
  <r>
    <s v="ORD1658"/>
    <d v="2021-10-30T00:00:00"/>
    <x v="1"/>
    <x v="9"/>
    <x v="2"/>
    <s v="Calculator"/>
    <x v="1"/>
    <x v="2"/>
    <n v="5"/>
    <n v="11100"/>
    <n v="0.15000000000000002"/>
    <n v="9435"/>
    <n v="0.85"/>
    <s v="High"/>
  </r>
  <r>
    <s v="ORD1659"/>
    <d v="2021-10-31T00:00:00"/>
    <x v="1"/>
    <x v="9"/>
    <x v="2"/>
    <s v="Sticky Notes"/>
    <x v="2"/>
    <x v="2"/>
    <n v="2"/>
    <n v="5000"/>
    <n v="0.2"/>
    <n v="4000"/>
    <n v="0.8"/>
    <s v="Low"/>
  </r>
  <r>
    <s v="ORD1660"/>
    <d v="2021-11-01T00:00:00"/>
    <x v="1"/>
    <x v="10"/>
    <x v="2"/>
    <s v="Whiteboard Marker"/>
    <x v="3"/>
    <x v="2"/>
    <n v="10"/>
    <n v="11500"/>
    <n v="0.25"/>
    <n v="8625"/>
    <n v="0.75"/>
    <s v="High"/>
  </r>
  <r>
    <s v="ORD1661"/>
    <d v="2021-11-02T00:00:00"/>
    <x v="1"/>
    <x v="10"/>
    <x v="0"/>
    <s v="Bluetooth Speaker"/>
    <x v="0"/>
    <x v="0"/>
    <n v="10"/>
    <n v="8500"/>
    <n v="0.05"/>
    <n v="8075"/>
    <n v="0.95"/>
    <s v="Medium"/>
  </r>
  <r>
    <s v="ORD1662"/>
    <d v="2021-11-03T00:00:00"/>
    <x v="1"/>
    <x v="10"/>
    <x v="0"/>
    <s v="Wireless Mouse"/>
    <x v="1"/>
    <x v="0"/>
    <n v="7"/>
    <n v="12000"/>
    <n v="0.1"/>
    <n v="10800"/>
    <n v="0.9"/>
    <s v="High"/>
  </r>
  <r>
    <s v="ORD1663"/>
    <d v="2021-11-04T00:00:00"/>
    <x v="1"/>
    <x v="10"/>
    <x v="0"/>
    <s v="Keyboard"/>
    <x v="2"/>
    <x v="0"/>
    <n v="9"/>
    <n v="5300"/>
    <n v="0.15000000000000002"/>
    <n v="4505"/>
    <n v="0.85"/>
    <s v="Medium"/>
  </r>
  <r>
    <s v="ORD1664"/>
    <d v="2021-11-05T00:00:00"/>
    <x v="1"/>
    <x v="10"/>
    <x v="0"/>
    <s v="Laptop Stand"/>
    <x v="3"/>
    <x v="0"/>
    <n v="3"/>
    <n v="4800"/>
    <n v="0.2"/>
    <n v="3840"/>
    <n v="0.8"/>
    <s v="Low"/>
  </r>
  <r>
    <s v="ORD1665"/>
    <d v="2021-11-06T00:00:00"/>
    <x v="1"/>
    <x v="10"/>
    <x v="0"/>
    <s v="USB Flash Drive"/>
    <x v="0"/>
    <x v="0"/>
    <n v="9"/>
    <n v="14200"/>
    <n v="0.25"/>
    <n v="10650"/>
    <n v="0.75"/>
    <s v="High"/>
  </r>
  <r>
    <s v="ORD1666"/>
    <d v="2021-11-07T00:00:00"/>
    <x v="1"/>
    <x v="10"/>
    <x v="0"/>
    <s v="External Hard Disk"/>
    <x v="1"/>
    <x v="0"/>
    <n v="9"/>
    <n v="13700"/>
    <n v="0.05"/>
    <n v="13015"/>
    <n v="0.95"/>
    <s v="High"/>
  </r>
  <r>
    <s v="ORD1667"/>
    <d v="2021-11-08T00:00:00"/>
    <x v="1"/>
    <x v="10"/>
    <x v="0"/>
    <s v="Webcam"/>
    <x v="2"/>
    <x v="0"/>
    <n v="7"/>
    <n v="12800"/>
    <n v="0.1"/>
    <n v="11520"/>
    <n v="0.9"/>
    <s v="High"/>
  </r>
  <r>
    <s v="ORD1668"/>
    <d v="2021-11-09T00:00:00"/>
    <x v="1"/>
    <x v="10"/>
    <x v="0"/>
    <s v="Noise Cancelling Headphones"/>
    <x v="3"/>
    <x v="0"/>
    <n v="1"/>
    <n v="8800"/>
    <n v="0.15000000000000002"/>
    <n v="7480"/>
    <n v="0.85"/>
    <s v="Medium"/>
  </r>
  <r>
    <s v="ORD1669"/>
    <d v="2021-11-10T00:00:00"/>
    <x v="1"/>
    <x v="10"/>
    <x v="0"/>
    <s v="Smart Watch"/>
    <x v="0"/>
    <x v="0"/>
    <n v="3"/>
    <n v="9100"/>
    <n v="0.2"/>
    <n v="7280"/>
    <n v="0.8"/>
    <s v="Medium"/>
  </r>
  <r>
    <s v="ORD1670"/>
    <d v="2021-11-11T00:00:00"/>
    <x v="1"/>
    <x v="10"/>
    <x v="0"/>
    <s v="Portable Power Bank"/>
    <x v="1"/>
    <x v="0"/>
    <n v="5"/>
    <n v="8000"/>
    <n v="0.25"/>
    <n v="6000"/>
    <n v="0.75"/>
    <s v="Medium"/>
  </r>
  <r>
    <s v="ORD1671"/>
    <d v="2021-11-12T00:00:00"/>
    <x v="1"/>
    <x v="10"/>
    <x v="1"/>
    <s v="Office Chair"/>
    <x v="2"/>
    <x v="1"/>
    <n v="10"/>
    <n v="12400"/>
    <n v="0.05"/>
    <n v="11780"/>
    <n v="0.95"/>
    <s v="High"/>
  </r>
  <r>
    <s v="ORD1672"/>
    <d v="2021-11-13T00:00:00"/>
    <x v="1"/>
    <x v="10"/>
    <x v="1"/>
    <s v="Study Table"/>
    <x v="3"/>
    <x v="1"/>
    <n v="6"/>
    <n v="9100"/>
    <n v="0.1"/>
    <n v="8190"/>
    <n v="0.9"/>
    <s v="Medium"/>
  </r>
  <r>
    <s v="ORD1673"/>
    <d v="2021-11-14T00:00:00"/>
    <x v="1"/>
    <x v="10"/>
    <x v="1"/>
    <s v="Wooden Bookshelf"/>
    <x v="0"/>
    <x v="1"/>
    <n v="5"/>
    <n v="7700"/>
    <n v="0.15000000000000002"/>
    <n v="6545"/>
    <n v="0.85"/>
    <s v="Medium"/>
  </r>
  <r>
    <s v="ORD1674"/>
    <d v="2021-11-15T00:00:00"/>
    <x v="1"/>
    <x v="10"/>
    <x v="1"/>
    <s v="Computer Desk"/>
    <x v="1"/>
    <x v="1"/>
    <n v="6"/>
    <n v="15000"/>
    <n v="0.2"/>
    <n v="12000"/>
    <n v="0.8"/>
    <s v="High"/>
  </r>
  <r>
    <s v="ORD1675"/>
    <d v="2021-11-16T00:00:00"/>
    <x v="1"/>
    <x v="10"/>
    <x v="1"/>
    <s v="Filing Cabinet"/>
    <x v="2"/>
    <x v="1"/>
    <n v="4"/>
    <n v="10900"/>
    <n v="0.25"/>
    <n v="8175"/>
    <n v="0.75"/>
    <s v="High"/>
  </r>
  <r>
    <s v="ORD1676"/>
    <d v="2021-11-17T00:00:00"/>
    <x v="1"/>
    <x v="10"/>
    <x v="1"/>
    <s v="Visitor Chair"/>
    <x v="3"/>
    <x v="1"/>
    <n v="5"/>
    <n v="10700"/>
    <n v="0.05"/>
    <n v="10165"/>
    <n v="0.95"/>
    <s v="High"/>
  </r>
  <r>
    <s v="ORD1677"/>
    <d v="2021-11-18T00:00:00"/>
    <x v="1"/>
    <x v="10"/>
    <x v="1"/>
    <s v="Conference Table"/>
    <x v="0"/>
    <x v="1"/>
    <n v="1"/>
    <n v="7700"/>
    <n v="0.1"/>
    <n v="6930"/>
    <n v="0.9"/>
    <s v="Medium"/>
  </r>
  <r>
    <s v="ORD1678"/>
    <d v="2021-11-19T00:00:00"/>
    <x v="1"/>
    <x v="10"/>
    <x v="1"/>
    <s v="Drawer Unit"/>
    <x v="1"/>
    <x v="1"/>
    <n v="2"/>
    <n v="4400"/>
    <n v="0.15000000000000002"/>
    <n v="3740"/>
    <n v="0.85"/>
    <s v="Low"/>
  </r>
  <r>
    <s v="ORD1679"/>
    <d v="2021-11-20T00:00:00"/>
    <x v="1"/>
    <x v="10"/>
    <x v="1"/>
    <s v="Ergonomic Stool"/>
    <x v="2"/>
    <x v="1"/>
    <n v="9"/>
    <n v="9000"/>
    <n v="0.2"/>
    <n v="7200"/>
    <n v="0.8"/>
    <s v="Medium"/>
  </r>
  <r>
    <s v="ORD1680"/>
    <d v="2021-11-21T00:00:00"/>
    <x v="1"/>
    <x v="10"/>
    <x v="1"/>
    <s v="Office Sofa"/>
    <x v="3"/>
    <x v="1"/>
    <n v="8"/>
    <n v="4900"/>
    <n v="0.25"/>
    <n v="3675"/>
    <n v="0.75"/>
    <s v="Low"/>
  </r>
  <r>
    <s v="ORD1681"/>
    <d v="2021-11-22T00:00:00"/>
    <x v="1"/>
    <x v="10"/>
    <x v="2"/>
    <s v="Ball Pen Pack"/>
    <x v="0"/>
    <x v="2"/>
    <n v="4"/>
    <n v="10400"/>
    <n v="0.05"/>
    <n v="9880"/>
    <n v="0.95"/>
    <s v="High"/>
  </r>
  <r>
    <s v="ORD1682"/>
    <d v="2021-11-23T00:00:00"/>
    <x v="1"/>
    <x v="10"/>
    <x v="2"/>
    <s v="Notebook"/>
    <x v="1"/>
    <x v="2"/>
    <n v="10"/>
    <n v="11100"/>
    <n v="0.1"/>
    <n v="9990"/>
    <n v="0.9"/>
    <s v="High"/>
  </r>
  <r>
    <s v="ORD1683"/>
    <d v="2021-11-24T00:00:00"/>
    <x v="1"/>
    <x v="10"/>
    <x v="2"/>
    <s v="Printer Paper Ream"/>
    <x v="2"/>
    <x v="2"/>
    <n v="6"/>
    <n v="6900"/>
    <n v="0.15000000000000002"/>
    <n v="5865"/>
    <n v="0.85"/>
    <s v="Medium"/>
  </r>
  <r>
    <s v="ORD1684"/>
    <d v="2021-11-25T00:00:00"/>
    <x v="1"/>
    <x v="10"/>
    <x v="2"/>
    <s v="Stapler"/>
    <x v="3"/>
    <x v="2"/>
    <n v="1"/>
    <n v="14500"/>
    <n v="0.2"/>
    <n v="11600"/>
    <n v="0.8"/>
    <s v="High"/>
  </r>
  <r>
    <s v="ORD1685"/>
    <d v="2021-11-26T00:00:00"/>
    <x v="1"/>
    <x v="10"/>
    <x v="2"/>
    <s v="Paper Clips Box"/>
    <x v="0"/>
    <x v="2"/>
    <n v="4"/>
    <n v="10200"/>
    <n v="0.25"/>
    <n v="7650"/>
    <n v="0.75"/>
    <s v="High"/>
  </r>
  <r>
    <s v="ORD1686"/>
    <d v="2021-11-27T00:00:00"/>
    <x v="1"/>
    <x v="10"/>
    <x v="2"/>
    <s v="Highlighter Set"/>
    <x v="1"/>
    <x v="2"/>
    <n v="7"/>
    <n v="5000"/>
    <n v="0.05"/>
    <n v="4750"/>
    <n v="0.95"/>
    <s v="Low"/>
  </r>
  <r>
    <s v="ORD1687"/>
    <d v="2021-11-28T00:00:00"/>
    <x v="1"/>
    <x v="10"/>
    <x v="2"/>
    <s v="Desk Organizer"/>
    <x v="2"/>
    <x v="2"/>
    <n v="10"/>
    <n v="13600"/>
    <n v="0.1"/>
    <n v="12240"/>
    <n v="0.9"/>
    <s v="High"/>
  </r>
  <r>
    <s v="ORD1688"/>
    <d v="2021-11-29T00:00:00"/>
    <x v="1"/>
    <x v="10"/>
    <x v="2"/>
    <s v="Calculator"/>
    <x v="3"/>
    <x v="2"/>
    <n v="5"/>
    <n v="13100"/>
    <n v="0.15000000000000002"/>
    <n v="11135"/>
    <n v="0.85"/>
    <s v="High"/>
  </r>
  <r>
    <s v="ORD1689"/>
    <d v="2021-11-30T00:00:00"/>
    <x v="1"/>
    <x v="10"/>
    <x v="2"/>
    <s v="Sticky Notes"/>
    <x v="0"/>
    <x v="2"/>
    <n v="8"/>
    <n v="11600"/>
    <n v="0.2"/>
    <n v="9280"/>
    <n v="0.8"/>
    <s v="High"/>
  </r>
  <r>
    <s v="ORD1690"/>
    <d v="2021-12-01T00:00:00"/>
    <x v="1"/>
    <x v="11"/>
    <x v="2"/>
    <s v="Whiteboard Marker"/>
    <x v="1"/>
    <x v="2"/>
    <n v="7"/>
    <n v="4800"/>
    <n v="0.25"/>
    <n v="3600"/>
    <n v="0.75"/>
    <s v="Low"/>
  </r>
  <r>
    <s v="ORD1691"/>
    <d v="2021-12-02T00:00:00"/>
    <x v="1"/>
    <x v="11"/>
    <x v="0"/>
    <s v="Bluetooth Speaker"/>
    <x v="2"/>
    <x v="0"/>
    <n v="6"/>
    <n v="13000"/>
    <n v="0.05"/>
    <n v="12350"/>
    <n v="0.95"/>
    <s v="High"/>
  </r>
  <r>
    <s v="ORD1692"/>
    <d v="2021-12-03T00:00:00"/>
    <x v="1"/>
    <x v="11"/>
    <x v="0"/>
    <s v="Wireless Mouse"/>
    <x v="3"/>
    <x v="0"/>
    <n v="8"/>
    <n v="7100"/>
    <n v="0.1"/>
    <n v="6390"/>
    <n v="0.9"/>
    <s v="Medium"/>
  </r>
  <r>
    <s v="ORD1693"/>
    <d v="2021-12-04T00:00:00"/>
    <x v="1"/>
    <x v="11"/>
    <x v="0"/>
    <s v="Keyboard"/>
    <x v="0"/>
    <x v="0"/>
    <n v="7"/>
    <n v="13200"/>
    <n v="0.15000000000000002"/>
    <n v="11220"/>
    <n v="0.85"/>
    <s v="High"/>
  </r>
  <r>
    <s v="ORD1694"/>
    <d v="2021-12-05T00:00:00"/>
    <x v="1"/>
    <x v="11"/>
    <x v="0"/>
    <s v="Laptop Stand"/>
    <x v="1"/>
    <x v="0"/>
    <n v="7"/>
    <n v="8400"/>
    <n v="0.2"/>
    <n v="6720"/>
    <n v="0.8"/>
    <s v="Medium"/>
  </r>
  <r>
    <s v="ORD1695"/>
    <d v="2021-12-06T00:00:00"/>
    <x v="1"/>
    <x v="11"/>
    <x v="0"/>
    <s v="USB Flash Drive"/>
    <x v="2"/>
    <x v="0"/>
    <n v="6"/>
    <n v="12600"/>
    <n v="0.25"/>
    <n v="9450"/>
    <n v="0.75"/>
    <s v="High"/>
  </r>
  <r>
    <s v="ORD1696"/>
    <d v="2021-12-07T00:00:00"/>
    <x v="1"/>
    <x v="11"/>
    <x v="0"/>
    <s v="External Hard Disk"/>
    <x v="3"/>
    <x v="0"/>
    <n v="2"/>
    <n v="4800"/>
    <n v="0.05"/>
    <n v="4560"/>
    <n v="0.95"/>
    <s v="Low"/>
  </r>
  <r>
    <s v="ORD1697"/>
    <d v="2021-12-08T00:00:00"/>
    <x v="1"/>
    <x v="11"/>
    <x v="0"/>
    <s v="Webcam"/>
    <x v="0"/>
    <x v="0"/>
    <n v="4"/>
    <n v="12900"/>
    <n v="0.1"/>
    <n v="11610"/>
    <n v="0.9"/>
    <s v="High"/>
  </r>
  <r>
    <s v="ORD1698"/>
    <d v="2021-12-09T00:00:00"/>
    <x v="1"/>
    <x v="11"/>
    <x v="0"/>
    <s v="Noise Cancelling Headphones"/>
    <x v="1"/>
    <x v="0"/>
    <n v="6"/>
    <n v="6000"/>
    <n v="0.15000000000000002"/>
    <n v="5100"/>
    <n v="0.85"/>
    <s v="Medium"/>
  </r>
  <r>
    <s v="ORD1699"/>
    <d v="2021-12-10T00:00:00"/>
    <x v="1"/>
    <x v="11"/>
    <x v="0"/>
    <s v="Smart Watch"/>
    <x v="2"/>
    <x v="0"/>
    <n v="4"/>
    <n v="11000"/>
    <n v="0.2"/>
    <n v="8800"/>
    <n v="0.8"/>
    <s v="High"/>
  </r>
  <r>
    <s v="ORD1700"/>
    <d v="2021-12-11T00:00:00"/>
    <x v="1"/>
    <x v="11"/>
    <x v="0"/>
    <s v="Portable Power Bank"/>
    <x v="3"/>
    <x v="0"/>
    <n v="7"/>
    <n v="6100"/>
    <n v="0.25"/>
    <n v="4575"/>
    <n v="0.75"/>
    <s v="Medium"/>
  </r>
  <r>
    <s v="ORD1701"/>
    <d v="2021-12-12T00:00:00"/>
    <x v="1"/>
    <x v="11"/>
    <x v="1"/>
    <s v="Office Chair"/>
    <x v="0"/>
    <x v="1"/>
    <n v="1"/>
    <n v="6200"/>
    <n v="0.05"/>
    <n v="5890"/>
    <n v="0.95"/>
    <s v="Medium"/>
  </r>
  <r>
    <s v="ORD1702"/>
    <d v="2021-12-13T00:00:00"/>
    <x v="1"/>
    <x v="11"/>
    <x v="1"/>
    <s v="Study Table"/>
    <x v="1"/>
    <x v="1"/>
    <n v="10"/>
    <n v="5000"/>
    <n v="0.1"/>
    <n v="4500"/>
    <n v="0.9"/>
    <s v="Low"/>
  </r>
  <r>
    <s v="ORD1703"/>
    <d v="2021-12-14T00:00:00"/>
    <x v="1"/>
    <x v="11"/>
    <x v="1"/>
    <s v="Wooden Bookshelf"/>
    <x v="2"/>
    <x v="1"/>
    <n v="5"/>
    <n v="7000"/>
    <n v="0.15000000000000002"/>
    <n v="5950"/>
    <n v="0.85"/>
    <s v="Medium"/>
  </r>
  <r>
    <s v="ORD1704"/>
    <d v="2021-12-15T00:00:00"/>
    <x v="1"/>
    <x v="11"/>
    <x v="1"/>
    <s v="Computer Desk"/>
    <x v="3"/>
    <x v="1"/>
    <n v="9"/>
    <n v="12000"/>
    <n v="0.2"/>
    <n v="9600"/>
    <n v="0.8"/>
    <s v="High"/>
  </r>
  <r>
    <s v="ORD1705"/>
    <d v="2021-12-16T00:00:00"/>
    <x v="1"/>
    <x v="11"/>
    <x v="1"/>
    <s v="Filing Cabinet"/>
    <x v="0"/>
    <x v="1"/>
    <n v="10"/>
    <n v="6400"/>
    <n v="0.25"/>
    <n v="4800"/>
    <n v="0.75"/>
    <s v="Medium"/>
  </r>
  <r>
    <s v="ORD1706"/>
    <d v="2021-12-17T00:00:00"/>
    <x v="1"/>
    <x v="11"/>
    <x v="1"/>
    <s v="Visitor Chair"/>
    <x v="1"/>
    <x v="1"/>
    <n v="3"/>
    <n v="4500"/>
    <n v="0.05"/>
    <n v="4275"/>
    <n v="0.95"/>
    <s v="Low"/>
  </r>
  <r>
    <s v="ORD1707"/>
    <d v="2021-12-18T00:00:00"/>
    <x v="1"/>
    <x v="11"/>
    <x v="1"/>
    <s v="Conference Table"/>
    <x v="2"/>
    <x v="1"/>
    <n v="10"/>
    <n v="7700"/>
    <n v="0.1"/>
    <n v="6930"/>
    <n v="0.9"/>
    <s v="Medium"/>
  </r>
  <r>
    <s v="ORD1708"/>
    <d v="2021-12-19T00:00:00"/>
    <x v="1"/>
    <x v="11"/>
    <x v="1"/>
    <s v="Drawer Unit"/>
    <x v="3"/>
    <x v="1"/>
    <n v="6"/>
    <n v="6800"/>
    <n v="0.15000000000000002"/>
    <n v="5780"/>
    <n v="0.85"/>
    <s v="Medium"/>
  </r>
  <r>
    <s v="ORD1709"/>
    <d v="2021-12-20T00:00:00"/>
    <x v="1"/>
    <x v="11"/>
    <x v="1"/>
    <s v="Ergonomic Stool"/>
    <x v="0"/>
    <x v="1"/>
    <n v="3"/>
    <n v="9700"/>
    <n v="0.2"/>
    <n v="7760"/>
    <n v="0.8"/>
    <s v="Medium"/>
  </r>
  <r>
    <s v="ORD1710"/>
    <d v="2021-12-21T00:00:00"/>
    <x v="1"/>
    <x v="11"/>
    <x v="1"/>
    <s v="Office Sofa"/>
    <x v="1"/>
    <x v="1"/>
    <n v="7"/>
    <n v="13800"/>
    <n v="0.25"/>
    <n v="10350"/>
    <n v="0.75"/>
    <s v="High"/>
  </r>
  <r>
    <s v="ORD1711"/>
    <d v="2021-12-22T00:00:00"/>
    <x v="1"/>
    <x v="11"/>
    <x v="2"/>
    <s v="Ball Pen Pack"/>
    <x v="2"/>
    <x v="2"/>
    <n v="2"/>
    <n v="12700"/>
    <n v="0.05"/>
    <n v="12065"/>
    <n v="0.95"/>
    <s v="High"/>
  </r>
  <r>
    <s v="ORD1712"/>
    <d v="2021-12-23T00:00:00"/>
    <x v="1"/>
    <x v="11"/>
    <x v="2"/>
    <s v="Notebook"/>
    <x v="3"/>
    <x v="2"/>
    <n v="1"/>
    <n v="9600"/>
    <n v="0.1"/>
    <n v="8640"/>
    <n v="0.9"/>
    <s v="Medium"/>
  </r>
  <r>
    <s v="ORD1713"/>
    <d v="2021-12-24T00:00:00"/>
    <x v="1"/>
    <x v="11"/>
    <x v="2"/>
    <s v="Printer Paper Ream"/>
    <x v="0"/>
    <x v="2"/>
    <n v="6"/>
    <n v="8500"/>
    <n v="0.15000000000000002"/>
    <n v="7225"/>
    <n v="0.85"/>
    <s v="Medium"/>
  </r>
  <r>
    <s v="ORD1714"/>
    <d v="2021-12-25T00:00:00"/>
    <x v="1"/>
    <x v="11"/>
    <x v="2"/>
    <s v="Stapler"/>
    <x v="1"/>
    <x v="2"/>
    <n v="10"/>
    <n v="10800"/>
    <n v="0.2"/>
    <n v="8640"/>
    <n v="0.8"/>
    <s v="High"/>
  </r>
  <r>
    <s v="ORD1715"/>
    <d v="2021-12-26T00:00:00"/>
    <x v="1"/>
    <x v="11"/>
    <x v="2"/>
    <s v="Paper Clips Box"/>
    <x v="2"/>
    <x v="2"/>
    <n v="8"/>
    <n v="7700"/>
    <n v="0.25"/>
    <n v="5775"/>
    <n v="0.75"/>
    <s v="Medium"/>
  </r>
  <r>
    <s v="ORD1716"/>
    <d v="2021-12-27T00:00:00"/>
    <x v="1"/>
    <x v="11"/>
    <x v="2"/>
    <s v="Highlighter Set"/>
    <x v="3"/>
    <x v="2"/>
    <n v="1"/>
    <n v="12500"/>
    <n v="0.05"/>
    <n v="11875"/>
    <n v="0.95"/>
    <s v="High"/>
  </r>
  <r>
    <s v="ORD1717"/>
    <d v="2021-12-28T00:00:00"/>
    <x v="1"/>
    <x v="11"/>
    <x v="2"/>
    <s v="Desk Organizer"/>
    <x v="0"/>
    <x v="2"/>
    <n v="10"/>
    <n v="8500"/>
    <n v="0.1"/>
    <n v="7650"/>
    <n v="0.9"/>
    <s v="Medium"/>
  </r>
  <r>
    <s v="ORD1718"/>
    <d v="2021-12-29T00:00:00"/>
    <x v="1"/>
    <x v="11"/>
    <x v="2"/>
    <s v="Calculator"/>
    <x v="1"/>
    <x v="2"/>
    <n v="10"/>
    <n v="6800"/>
    <n v="0.15000000000000002"/>
    <n v="5780"/>
    <n v="0.85"/>
    <s v="Medium"/>
  </r>
  <r>
    <s v="ORD1719"/>
    <d v="2021-12-30T00:00:00"/>
    <x v="1"/>
    <x v="11"/>
    <x v="2"/>
    <s v="Sticky Notes"/>
    <x v="2"/>
    <x v="2"/>
    <n v="3"/>
    <n v="14100"/>
    <n v="0.2"/>
    <n v="11280"/>
    <n v="0.8"/>
    <s v="High"/>
  </r>
  <r>
    <s v="ORD1720"/>
    <d v="2021-12-31T00:00:00"/>
    <x v="1"/>
    <x v="11"/>
    <x v="2"/>
    <s v="Whiteboard Marker"/>
    <x v="3"/>
    <x v="2"/>
    <n v="6"/>
    <n v="7300"/>
    <n v="0.25"/>
    <n v="5475"/>
    <n v="0.75"/>
    <s v="Medium"/>
  </r>
  <r>
    <s v="ORD1721"/>
    <d v="2022-01-01T00:00:00"/>
    <x v="2"/>
    <x v="0"/>
    <x v="0"/>
    <s v="Bluetooth Speaker"/>
    <x v="0"/>
    <x v="0"/>
    <n v="6"/>
    <n v="6900"/>
    <n v="0.05"/>
    <n v="6555"/>
    <n v="0.95"/>
    <s v="Medium"/>
  </r>
  <r>
    <s v="ORD1722"/>
    <d v="2022-01-02T00:00:00"/>
    <x v="2"/>
    <x v="0"/>
    <x v="0"/>
    <s v="Wireless Mouse"/>
    <x v="1"/>
    <x v="0"/>
    <n v="1"/>
    <n v="7400"/>
    <n v="0.1"/>
    <n v="6660"/>
    <n v="0.9"/>
    <s v="Medium"/>
  </r>
  <r>
    <s v="ORD1723"/>
    <d v="2022-01-03T00:00:00"/>
    <x v="2"/>
    <x v="0"/>
    <x v="0"/>
    <s v="Keyboard"/>
    <x v="2"/>
    <x v="0"/>
    <n v="2"/>
    <n v="12500"/>
    <n v="0.15000000000000002"/>
    <n v="10625"/>
    <n v="0.85"/>
    <s v="High"/>
  </r>
  <r>
    <s v="ORD1724"/>
    <d v="2022-01-04T00:00:00"/>
    <x v="2"/>
    <x v="0"/>
    <x v="0"/>
    <s v="Laptop Stand"/>
    <x v="3"/>
    <x v="0"/>
    <n v="5"/>
    <n v="14100"/>
    <n v="0.2"/>
    <n v="11280"/>
    <n v="0.8"/>
    <s v="High"/>
  </r>
  <r>
    <s v="ORD1725"/>
    <d v="2022-01-05T00:00:00"/>
    <x v="2"/>
    <x v="0"/>
    <x v="0"/>
    <s v="USB Flash Drive"/>
    <x v="0"/>
    <x v="0"/>
    <n v="8"/>
    <n v="8900"/>
    <n v="0.25"/>
    <n v="6675"/>
    <n v="0.75"/>
    <s v="Medium"/>
  </r>
  <r>
    <s v="ORD1726"/>
    <d v="2022-01-06T00:00:00"/>
    <x v="2"/>
    <x v="0"/>
    <x v="0"/>
    <s v="External Hard Disk"/>
    <x v="1"/>
    <x v="0"/>
    <n v="1"/>
    <n v="10400"/>
    <n v="0.05"/>
    <n v="9880"/>
    <n v="0.95"/>
    <s v="High"/>
  </r>
  <r>
    <s v="ORD1727"/>
    <d v="2022-01-07T00:00:00"/>
    <x v="2"/>
    <x v="0"/>
    <x v="0"/>
    <s v="Webcam"/>
    <x v="2"/>
    <x v="0"/>
    <n v="3"/>
    <n v="7700"/>
    <n v="0.1"/>
    <n v="6930"/>
    <n v="0.9"/>
    <s v="Medium"/>
  </r>
  <r>
    <s v="ORD1728"/>
    <d v="2022-01-08T00:00:00"/>
    <x v="2"/>
    <x v="0"/>
    <x v="0"/>
    <s v="Noise Cancelling Headphones"/>
    <x v="3"/>
    <x v="0"/>
    <n v="1"/>
    <n v="9300"/>
    <n v="0.15000000000000002"/>
    <n v="7905"/>
    <n v="0.85"/>
    <s v="Medium"/>
  </r>
  <r>
    <s v="ORD1729"/>
    <d v="2022-01-09T00:00:00"/>
    <x v="2"/>
    <x v="0"/>
    <x v="0"/>
    <s v="Smart Watch"/>
    <x v="0"/>
    <x v="0"/>
    <n v="9"/>
    <n v="12600"/>
    <n v="0.2"/>
    <n v="10080"/>
    <n v="0.8"/>
    <s v="High"/>
  </r>
  <r>
    <s v="ORD1730"/>
    <d v="2022-01-10T00:00:00"/>
    <x v="2"/>
    <x v="0"/>
    <x v="0"/>
    <s v="Portable Power Bank"/>
    <x v="1"/>
    <x v="0"/>
    <n v="7"/>
    <n v="7600"/>
    <n v="0.25"/>
    <n v="5700"/>
    <n v="0.75"/>
    <s v="Medium"/>
  </r>
  <r>
    <s v="ORD1731"/>
    <d v="2022-01-11T00:00:00"/>
    <x v="2"/>
    <x v="0"/>
    <x v="1"/>
    <s v="Office Chair"/>
    <x v="2"/>
    <x v="1"/>
    <n v="7"/>
    <n v="5900"/>
    <n v="0.05"/>
    <n v="5605"/>
    <n v="0.95"/>
    <s v="Medium"/>
  </r>
  <r>
    <s v="ORD1732"/>
    <d v="2022-01-12T00:00:00"/>
    <x v="2"/>
    <x v="0"/>
    <x v="1"/>
    <s v="Study Table"/>
    <x v="3"/>
    <x v="1"/>
    <n v="7"/>
    <n v="13200"/>
    <n v="0.1"/>
    <n v="11880"/>
    <n v="0.9"/>
    <s v="High"/>
  </r>
  <r>
    <s v="ORD1733"/>
    <d v="2022-01-13T00:00:00"/>
    <x v="2"/>
    <x v="0"/>
    <x v="1"/>
    <s v="Wooden Bookshelf"/>
    <x v="0"/>
    <x v="1"/>
    <n v="8"/>
    <n v="12400"/>
    <n v="0.15000000000000002"/>
    <n v="10540"/>
    <n v="0.85"/>
    <s v="High"/>
  </r>
  <r>
    <s v="ORD1734"/>
    <d v="2022-01-14T00:00:00"/>
    <x v="2"/>
    <x v="0"/>
    <x v="1"/>
    <s v="Computer Desk"/>
    <x v="1"/>
    <x v="1"/>
    <n v="5"/>
    <n v="12600"/>
    <n v="0.2"/>
    <n v="10080"/>
    <n v="0.8"/>
    <s v="High"/>
  </r>
  <r>
    <s v="ORD1735"/>
    <d v="2022-01-15T00:00:00"/>
    <x v="2"/>
    <x v="0"/>
    <x v="1"/>
    <s v="Filing Cabinet"/>
    <x v="2"/>
    <x v="1"/>
    <n v="6"/>
    <n v="10300"/>
    <n v="0.25"/>
    <n v="7725"/>
    <n v="0.75"/>
    <s v="High"/>
  </r>
  <r>
    <s v="ORD1736"/>
    <d v="2022-01-16T00:00:00"/>
    <x v="2"/>
    <x v="0"/>
    <x v="1"/>
    <s v="Visitor Chair"/>
    <x v="3"/>
    <x v="1"/>
    <n v="7"/>
    <n v="4300"/>
    <n v="0.05"/>
    <n v="4085"/>
    <n v="0.95"/>
    <s v="Low"/>
  </r>
  <r>
    <s v="ORD1737"/>
    <d v="2022-01-17T00:00:00"/>
    <x v="2"/>
    <x v="0"/>
    <x v="1"/>
    <s v="Conference Table"/>
    <x v="0"/>
    <x v="1"/>
    <n v="5"/>
    <n v="10300"/>
    <n v="0.1"/>
    <n v="9270"/>
    <n v="0.9"/>
    <s v="High"/>
  </r>
  <r>
    <s v="ORD1738"/>
    <d v="2022-01-18T00:00:00"/>
    <x v="2"/>
    <x v="0"/>
    <x v="1"/>
    <s v="Drawer Unit"/>
    <x v="1"/>
    <x v="1"/>
    <n v="9"/>
    <n v="14500"/>
    <n v="0.15000000000000002"/>
    <n v="12325"/>
    <n v="0.85"/>
    <s v="High"/>
  </r>
  <r>
    <s v="ORD1739"/>
    <d v="2022-01-19T00:00:00"/>
    <x v="2"/>
    <x v="0"/>
    <x v="1"/>
    <s v="Ergonomic Stool"/>
    <x v="2"/>
    <x v="1"/>
    <n v="9"/>
    <n v="9500"/>
    <n v="0.2"/>
    <n v="7600"/>
    <n v="0.8"/>
    <s v="Medium"/>
  </r>
  <r>
    <s v="ORD1740"/>
    <d v="2022-01-20T00:00:00"/>
    <x v="2"/>
    <x v="0"/>
    <x v="1"/>
    <s v="Office Sofa"/>
    <x v="3"/>
    <x v="1"/>
    <n v="9"/>
    <n v="6300"/>
    <n v="0.25"/>
    <n v="4725"/>
    <n v="0.75"/>
    <s v="Medium"/>
  </r>
  <r>
    <s v="ORD1741"/>
    <d v="2022-01-21T00:00:00"/>
    <x v="2"/>
    <x v="0"/>
    <x v="2"/>
    <s v="Ball Pen Pack"/>
    <x v="0"/>
    <x v="2"/>
    <n v="10"/>
    <n v="5900"/>
    <n v="0.05"/>
    <n v="5605"/>
    <n v="0.95"/>
    <s v="Medium"/>
  </r>
  <r>
    <s v="ORD1742"/>
    <d v="2022-01-22T00:00:00"/>
    <x v="2"/>
    <x v="0"/>
    <x v="2"/>
    <s v="Notebook"/>
    <x v="1"/>
    <x v="2"/>
    <n v="9"/>
    <n v="10800"/>
    <n v="0.1"/>
    <n v="9720"/>
    <n v="0.9"/>
    <s v="High"/>
  </r>
  <r>
    <s v="ORD1743"/>
    <d v="2022-01-23T00:00:00"/>
    <x v="2"/>
    <x v="0"/>
    <x v="2"/>
    <s v="Printer Paper Ream"/>
    <x v="2"/>
    <x v="2"/>
    <n v="6"/>
    <n v="11000"/>
    <n v="0.15000000000000002"/>
    <n v="9350"/>
    <n v="0.85"/>
    <s v="High"/>
  </r>
  <r>
    <s v="ORD1744"/>
    <d v="2022-01-24T00:00:00"/>
    <x v="2"/>
    <x v="0"/>
    <x v="2"/>
    <s v="Stapler"/>
    <x v="3"/>
    <x v="2"/>
    <n v="5"/>
    <n v="5000"/>
    <n v="0.2"/>
    <n v="4000"/>
    <n v="0.8"/>
    <s v="Low"/>
  </r>
  <r>
    <s v="ORD1745"/>
    <d v="2022-01-25T00:00:00"/>
    <x v="2"/>
    <x v="0"/>
    <x v="2"/>
    <s v="Paper Clips Box"/>
    <x v="0"/>
    <x v="2"/>
    <n v="6"/>
    <n v="10200"/>
    <n v="0.25"/>
    <n v="7650"/>
    <n v="0.75"/>
    <s v="High"/>
  </r>
  <r>
    <s v="ORD1746"/>
    <d v="2022-01-26T00:00:00"/>
    <x v="2"/>
    <x v="0"/>
    <x v="2"/>
    <s v="Highlighter Set"/>
    <x v="1"/>
    <x v="2"/>
    <n v="2"/>
    <n v="4600"/>
    <n v="0.05"/>
    <n v="4370"/>
    <n v="0.95"/>
    <s v="Low"/>
  </r>
  <r>
    <s v="ORD1747"/>
    <d v="2022-01-27T00:00:00"/>
    <x v="2"/>
    <x v="0"/>
    <x v="2"/>
    <s v="Desk Organizer"/>
    <x v="2"/>
    <x v="2"/>
    <n v="7"/>
    <n v="6900"/>
    <n v="0.1"/>
    <n v="6210"/>
    <n v="0.9"/>
    <s v="Medium"/>
  </r>
  <r>
    <s v="ORD1748"/>
    <d v="2022-01-28T00:00:00"/>
    <x v="2"/>
    <x v="0"/>
    <x v="2"/>
    <s v="Calculator"/>
    <x v="3"/>
    <x v="2"/>
    <n v="4"/>
    <n v="12200"/>
    <n v="0.15000000000000002"/>
    <n v="10370"/>
    <n v="0.85"/>
    <s v="High"/>
  </r>
  <r>
    <s v="ORD1749"/>
    <d v="2022-01-29T00:00:00"/>
    <x v="2"/>
    <x v="0"/>
    <x v="2"/>
    <s v="Sticky Notes"/>
    <x v="0"/>
    <x v="2"/>
    <n v="1"/>
    <n v="8600"/>
    <n v="0.2"/>
    <n v="6880"/>
    <n v="0.8"/>
    <s v="Medium"/>
  </r>
  <r>
    <s v="ORD1750"/>
    <d v="2022-01-30T00:00:00"/>
    <x v="2"/>
    <x v="0"/>
    <x v="2"/>
    <s v="Whiteboard Marker"/>
    <x v="1"/>
    <x v="2"/>
    <n v="8"/>
    <n v="6900"/>
    <n v="0.25"/>
    <n v="5175"/>
    <n v="0.75"/>
    <s v="Medium"/>
  </r>
  <r>
    <s v="ORD1751"/>
    <d v="2022-01-31T00:00:00"/>
    <x v="2"/>
    <x v="0"/>
    <x v="0"/>
    <s v="Bluetooth Speaker"/>
    <x v="2"/>
    <x v="0"/>
    <n v="9"/>
    <n v="4200"/>
    <n v="0.05"/>
    <n v="3990"/>
    <n v="0.95"/>
    <s v="Low"/>
  </r>
  <r>
    <s v="ORD1752"/>
    <d v="2022-02-01T00:00:00"/>
    <x v="2"/>
    <x v="1"/>
    <x v="0"/>
    <s v="Wireless Mouse"/>
    <x v="3"/>
    <x v="0"/>
    <n v="8"/>
    <n v="9500"/>
    <n v="0.1"/>
    <n v="8550"/>
    <n v="0.9"/>
    <s v="Medium"/>
  </r>
  <r>
    <s v="ORD1753"/>
    <d v="2022-02-02T00:00:00"/>
    <x v="2"/>
    <x v="1"/>
    <x v="0"/>
    <s v="Keyboard"/>
    <x v="0"/>
    <x v="0"/>
    <n v="4"/>
    <n v="4200"/>
    <n v="0.15000000000000002"/>
    <n v="3570"/>
    <n v="0.85"/>
    <s v="Low"/>
  </r>
  <r>
    <s v="ORD1754"/>
    <d v="2022-02-03T00:00:00"/>
    <x v="2"/>
    <x v="1"/>
    <x v="0"/>
    <s v="Laptop Stand"/>
    <x v="1"/>
    <x v="0"/>
    <n v="7"/>
    <n v="6400"/>
    <n v="0.2"/>
    <n v="5120"/>
    <n v="0.8"/>
    <s v="Medium"/>
  </r>
  <r>
    <s v="ORD1755"/>
    <d v="2022-02-04T00:00:00"/>
    <x v="2"/>
    <x v="1"/>
    <x v="0"/>
    <s v="USB Flash Drive"/>
    <x v="2"/>
    <x v="0"/>
    <n v="9"/>
    <n v="4500"/>
    <n v="0.25"/>
    <n v="3375"/>
    <n v="0.75"/>
    <s v="Low"/>
  </r>
  <r>
    <s v="ORD1756"/>
    <d v="2022-02-05T00:00:00"/>
    <x v="2"/>
    <x v="1"/>
    <x v="0"/>
    <s v="External Hard Disk"/>
    <x v="3"/>
    <x v="0"/>
    <n v="4"/>
    <n v="11500"/>
    <n v="0.05"/>
    <n v="10925"/>
    <n v="0.95"/>
    <s v="High"/>
  </r>
  <r>
    <s v="ORD1757"/>
    <d v="2022-02-06T00:00:00"/>
    <x v="2"/>
    <x v="1"/>
    <x v="0"/>
    <s v="Webcam"/>
    <x v="0"/>
    <x v="0"/>
    <n v="7"/>
    <n v="6600"/>
    <n v="0.1"/>
    <n v="5940"/>
    <n v="0.9"/>
    <s v="Medium"/>
  </r>
  <r>
    <s v="ORD1758"/>
    <d v="2022-02-07T00:00:00"/>
    <x v="2"/>
    <x v="1"/>
    <x v="0"/>
    <s v="Noise Cancelling Headphones"/>
    <x v="1"/>
    <x v="0"/>
    <n v="10"/>
    <n v="10000"/>
    <n v="0.15000000000000002"/>
    <n v="8500"/>
    <n v="0.85"/>
    <s v="Medium"/>
  </r>
  <r>
    <s v="ORD1759"/>
    <d v="2022-02-08T00:00:00"/>
    <x v="2"/>
    <x v="1"/>
    <x v="0"/>
    <s v="Smart Watch"/>
    <x v="2"/>
    <x v="0"/>
    <n v="1"/>
    <n v="10000"/>
    <n v="0.2"/>
    <n v="8000"/>
    <n v="0.8"/>
    <s v="Medium"/>
  </r>
  <r>
    <s v="ORD1760"/>
    <d v="2022-02-09T00:00:00"/>
    <x v="2"/>
    <x v="1"/>
    <x v="0"/>
    <s v="Portable Power Bank"/>
    <x v="3"/>
    <x v="0"/>
    <n v="10"/>
    <n v="8200"/>
    <n v="0.25"/>
    <n v="6150"/>
    <n v="0.75"/>
    <s v="Medium"/>
  </r>
  <r>
    <s v="ORD1761"/>
    <d v="2022-02-10T00:00:00"/>
    <x v="2"/>
    <x v="1"/>
    <x v="1"/>
    <s v="Office Chair"/>
    <x v="0"/>
    <x v="1"/>
    <n v="1"/>
    <n v="13700"/>
    <n v="0.05"/>
    <n v="13015"/>
    <n v="0.95"/>
    <s v="High"/>
  </r>
  <r>
    <s v="ORD1762"/>
    <d v="2022-02-11T00:00:00"/>
    <x v="2"/>
    <x v="1"/>
    <x v="1"/>
    <s v="Study Table"/>
    <x v="1"/>
    <x v="1"/>
    <n v="10"/>
    <n v="13800"/>
    <n v="0.1"/>
    <n v="12420"/>
    <n v="0.9"/>
    <s v="High"/>
  </r>
  <r>
    <s v="ORD1763"/>
    <d v="2022-02-12T00:00:00"/>
    <x v="2"/>
    <x v="1"/>
    <x v="1"/>
    <s v="Wooden Bookshelf"/>
    <x v="2"/>
    <x v="1"/>
    <n v="1"/>
    <n v="7800"/>
    <n v="0.15000000000000002"/>
    <n v="6630"/>
    <n v="0.85"/>
    <s v="Medium"/>
  </r>
  <r>
    <s v="ORD1764"/>
    <d v="2022-02-13T00:00:00"/>
    <x v="2"/>
    <x v="1"/>
    <x v="1"/>
    <s v="Computer Desk"/>
    <x v="3"/>
    <x v="1"/>
    <n v="6"/>
    <n v="4300"/>
    <n v="0.2"/>
    <n v="3440"/>
    <n v="0.8"/>
    <s v="Low"/>
  </r>
  <r>
    <s v="ORD1765"/>
    <d v="2022-02-14T00:00:00"/>
    <x v="2"/>
    <x v="1"/>
    <x v="1"/>
    <s v="Filing Cabinet"/>
    <x v="0"/>
    <x v="1"/>
    <n v="10"/>
    <n v="8900"/>
    <n v="0.25"/>
    <n v="6675"/>
    <n v="0.75"/>
    <s v="Medium"/>
  </r>
  <r>
    <s v="ORD1766"/>
    <d v="2022-02-15T00:00:00"/>
    <x v="2"/>
    <x v="1"/>
    <x v="1"/>
    <s v="Visitor Chair"/>
    <x v="1"/>
    <x v="1"/>
    <n v="8"/>
    <n v="10700"/>
    <n v="0.05"/>
    <n v="10165"/>
    <n v="0.95"/>
    <s v="High"/>
  </r>
  <r>
    <s v="ORD1767"/>
    <d v="2022-02-16T00:00:00"/>
    <x v="2"/>
    <x v="1"/>
    <x v="1"/>
    <s v="Conference Table"/>
    <x v="2"/>
    <x v="1"/>
    <n v="7"/>
    <n v="13100"/>
    <n v="0.1"/>
    <n v="11790"/>
    <n v="0.9"/>
    <s v="High"/>
  </r>
  <r>
    <s v="ORD1768"/>
    <d v="2022-02-17T00:00:00"/>
    <x v="2"/>
    <x v="1"/>
    <x v="1"/>
    <s v="Drawer Unit"/>
    <x v="3"/>
    <x v="1"/>
    <n v="9"/>
    <n v="6300"/>
    <n v="0.15000000000000002"/>
    <n v="5355"/>
    <n v="0.85"/>
    <s v="Medium"/>
  </r>
  <r>
    <s v="ORD1769"/>
    <d v="2022-02-18T00:00:00"/>
    <x v="2"/>
    <x v="1"/>
    <x v="1"/>
    <s v="Ergonomic Stool"/>
    <x v="0"/>
    <x v="1"/>
    <n v="2"/>
    <n v="14500"/>
    <n v="0.2"/>
    <n v="11600"/>
    <n v="0.8"/>
    <s v="High"/>
  </r>
  <r>
    <s v="ORD1770"/>
    <d v="2022-02-19T00:00:00"/>
    <x v="2"/>
    <x v="1"/>
    <x v="1"/>
    <s v="Office Sofa"/>
    <x v="1"/>
    <x v="1"/>
    <n v="1"/>
    <n v="10900"/>
    <n v="0.25"/>
    <n v="8175"/>
    <n v="0.75"/>
    <s v="High"/>
  </r>
  <r>
    <s v="ORD1771"/>
    <d v="2022-02-20T00:00:00"/>
    <x v="2"/>
    <x v="1"/>
    <x v="2"/>
    <s v="Ball Pen Pack"/>
    <x v="2"/>
    <x v="2"/>
    <n v="10"/>
    <n v="11100"/>
    <n v="0.05"/>
    <n v="10545"/>
    <n v="0.95"/>
    <s v="High"/>
  </r>
  <r>
    <s v="ORD1772"/>
    <d v="2022-02-21T00:00:00"/>
    <x v="2"/>
    <x v="1"/>
    <x v="2"/>
    <s v="Notebook"/>
    <x v="3"/>
    <x v="2"/>
    <n v="8"/>
    <n v="5300"/>
    <n v="0.1"/>
    <n v="4770"/>
    <n v="0.9"/>
    <s v="Medium"/>
  </r>
  <r>
    <s v="ORD1773"/>
    <d v="2022-02-22T00:00:00"/>
    <x v="2"/>
    <x v="1"/>
    <x v="2"/>
    <s v="Printer Paper Ream"/>
    <x v="0"/>
    <x v="2"/>
    <n v="1"/>
    <n v="13500"/>
    <n v="0.15000000000000002"/>
    <n v="11475"/>
    <n v="0.85"/>
    <s v="High"/>
  </r>
  <r>
    <s v="ORD1774"/>
    <d v="2022-02-23T00:00:00"/>
    <x v="2"/>
    <x v="1"/>
    <x v="2"/>
    <s v="Stapler"/>
    <x v="1"/>
    <x v="2"/>
    <n v="10"/>
    <n v="6100"/>
    <n v="0.2"/>
    <n v="4880"/>
    <n v="0.8"/>
    <s v="Medium"/>
  </r>
  <r>
    <s v="ORD1775"/>
    <d v="2022-02-24T00:00:00"/>
    <x v="2"/>
    <x v="1"/>
    <x v="2"/>
    <s v="Paper Clips Box"/>
    <x v="2"/>
    <x v="2"/>
    <n v="7"/>
    <n v="6600"/>
    <n v="0.25"/>
    <n v="4950"/>
    <n v="0.75"/>
    <s v="Medium"/>
  </r>
  <r>
    <s v="ORD1776"/>
    <d v="2022-02-25T00:00:00"/>
    <x v="2"/>
    <x v="1"/>
    <x v="2"/>
    <s v="Highlighter Set"/>
    <x v="3"/>
    <x v="2"/>
    <n v="8"/>
    <n v="7500"/>
    <n v="0.05"/>
    <n v="7125"/>
    <n v="0.95"/>
    <s v="Medium"/>
  </r>
  <r>
    <s v="ORD1777"/>
    <d v="2022-02-26T00:00:00"/>
    <x v="2"/>
    <x v="1"/>
    <x v="2"/>
    <s v="Desk Organizer"/>
    <x v="0"/>
    <x v="2"/>
    <n v="5"/>
    <n v="10800"/>
    <n v="0.1"/>
    <n v="9720"/>
    <n v="0.9"/>
    <s v="High"/>
  </r>
  <r>
    <s v="ORD1778"/>
    <d v="2022-02-27T00:00:00"/>
    <x v="2"/>
    <x v="1"/>
    <x v="2"/>
    <s v="Calculator"/>
    <x v="1"/>
    <x v="2"/>
    <n v="6"/>
    <n v="9000"/>
    <n v="0.15000000000000002"/>
    <n v="7650"/>
    <n v="0.85"/>
    <s v="Medium"/>
  </r>
  <r>
    <s v="ORD1779"/>
    <d v="2022-02-28T00:00:00"/>
    <x v="2"/>
    <x v="1"/>
    <x v="2"/>
    <s v="Sticky Notes"/>
    <x v="2"/>
    <x v="2"/>
    <n v="6"/>
    <n v="8900"/>
    <n v="0.2"/>
    <n v="7120"/>
    <n v="0.8"/>
    <s v="Medium"/>
  </r>
  <r>
    <s v="ORD1780"/>
    <d v="2022-03-01T00:00:00"/>
    <x v="2"/>
    <x v="2"/>
    <x v="2"/>
    <s v="Whiteboard Marker"/>
    <x v="3"/>
    <x v="2"/>
    <n v="3"/>
    <n v="10100"/>
    <n v="0.25"/>
    <n v="7575"/>
    <n v="0.75"/>
    <s v="High"/>
  </r>
  <r>
    <s v="ORD1781"/>
    <d v="2022-03-02T00:00:00"/>
    <x v="2"/>
    <x v="2"/>
    <x v="0"/>
    <s v="Bluetooth Speaker"/>
    <x v="0"/>
    <x v="0"/>
    <n v="10"/>
    <n v="6500"/>
    <n v="0.05"/>
    <n v="6175"/>
    <n v="0.95"/>
    <s v="Medium"/>
  </r>
  <r>
    <s v="ORD1782"/>
    <d v="2022-03-03T00:00:00"/>
    <x v="2"/>
    <x v="2"/>
    <x v="0"/>
    <s v="Wireless Mouse"/>
    <x v="1"/>
    <x v="0"/>
    <n v="2"/>
    <n v="11600"/>
    <n v="0.1"/>
    <n v="10440"/>
    <n v="0.9"/>
    <s v="High"/>
  </r>
  <r>
    <s v="ORD1783"/>
    <d v="2022-03-04T00:00:00"/>
    <x v="2"/>
    <x v="2"/>
    <x v="0"/>
    <s v="Keyboard"/>
    <x v="2"/>
    <x v="0"/>
    <n v="1"/>
    <n v="11600"/>
    <n v="0.15000000000000002"/>
    <n v="9860"/>
    <n v="0.85"/>
    <s v="High"/>
  </r>
  <r>
    <s v="ORD1784"/>
    <d v="2022-03-05T00:00:00"/>
    <x v="2"/>
    <x v="2"/>
    <x v="0"/>
    <s v="Laptop Stand"/>
    <x v="3"/>
    <x v="0"/>
    <n v="2"/>
    <n v="11200"/>
    <n v="0.2"/>
    <n v="8960"/>
    <n v="0.8"/>
    <s v="High"/>
  </r>
  <r>
    <s v="ORD1785"/>
    <d v="2022-03-06T00:00:00"/>
    <x v="2"/>
    <x v="2"/>
    <x v="0"/>
    <s v="USB Flash Drive"/>
    <x v="0"/>
    <x v="0"/>
    <n v="8"/>
    <n v="12600"/>
    <n v="0.25"/>
    <n v="9450"/>
    <n v="0.75"/>
    <s v="High"/>
  </r>
  <r>
    <s v="ORD1786"/>
    <d v="2022-03-07T00:00:00"/>
    <x v="2"/>
    <x v="2"/>
    <x v="0"/>
    <s v="External Hard Disk"/>
    <x v="1"/>
    <x v="0"/>
    <n v="7"/>
    <n v="12400"/>
    <n v="0.05"/>
    <n v="11780"/>
    <n v="0.95"/>
    <s v="High"/>
  </r>
  <r>
    <s v="ORD1787"/>
    <d v="2022-03-08T00:00:00"/>
    <x v="2"/>
    <x v="2"/>
    <x v="0"/>
    <s v="Webcam"/>
    <x v="2"/>
    <x v="0"/>
    <n v="8"/>
    <n v="14600"/>
    <n v="0.1"/>
    <n v="13140"/>
    <n v="0.9"/>
    <s v="High"/>
  </r>
  <r>
    <s v="ORD1788"/>
    <d v="2022-03-09T00:00:00"/>
    <x v="2"/>
    <x v="2"/>
    <x v="0"/>
    <s v="Noise Cancelling Headphones"/>
    <x v="3"/>
    <x v="0"/>
    <n v="3"/>
    <n v="5600"/>
    <n v="0.15000000000000002"/>
    <n v="4760"/>
    <n v="0.85"/>
    <s v="Medium"/>
  </r>
  <r>
    <s v="ORD1789"/>
    <d v="2022-03-10T00:00:00"/>
    <x v="2"/>
    <x v="2"/>
    <x v="0"/>
    <s v="Smart Watch"/>
    <x v="0"/>
    <x v="0"/>
    <n v="6"/>
    <n v="7400"/>
    <n v="0.2"/>
    <n v="5920"/>
    <n v="0.8"/>
    <s v="Medium"/>
  </r>
  <r>
    <s v="ORD1790"/>
    <d v="2022-03-11T00:00:00"/>
    <x v="2"/>
    <x v="2"/>
    <x v="0"/>
    <s v="Portable Power Bank"/>
    <x v="1"/>
    <x v="0"/>
    <n v="2"/>
    <n v="4600"/>
    <n v="0.25"/>
    <n v="3450"/>
    <n v="0.75"/>
    <s v="Low"/>
  </r>
  <r>
    <s v="ORD1791"/>
    <d v="2022-03-12T00:00:00"/>
    <x v="2"/>
    <x v="2"/>
    <x v="1"/>
    <s v="Office Chair"/>
    <x v="2"/>
    <x v="1"/>
    <n v="10"/>
    <n v="10800"/>
    <n v="0.05"/>
    <n v="10260"/>
    <n v="0.95"/>
    <s v="High"/>
  </r>
  <r>
    <s v="ORD1792"/>
    <d v="2022-03-13T00:00:00"/>
    <x v="2"/>
    <x v="2"/>
    <x v="1"/>
    <s v="Study Table"/>
    <x v="3"/>
    <x v="1"/>
    <n v="6"/>
    <n v="8000"/>
    <n v="0.1"/>
    <n v="7200"/>
    <n v="0.9"/>
    <s v="Medium"/>
  </r>
  <r>
    <s v="ORD1793"/>
    <d v="2022-03-14T00:00:00"/>
    <x v="2"/>
    <x v="2"/>
    <x v="1"/>
    <s v="Wooden Bookshelf"/>
    <x v="0"/>
    <x v="1"/>
    <n v="1"/>
    <n v="12600"/>
    <n v="0.15000000000000002"/>
    <n v="10710"/>
    <n v="0.85"/>
    <s v="High"/>
  </r>
  <r>
    <s v="ORD1794"/>
    <d v="2022-03-15T00:00:00"/>
    <x v="2"/>
    <x v="2"/>
    <x v="1"/>
    <s v="Computer Desk"/>
    <x v="1"/>
    <x v="1"/>
    <n v="9"/>
    <n v="6900"/>
    <n v="0.2"/>
    <n v="5520"/>
    <n v="0.8"/>
    <s v="Medium"/>
  </r>
  <r>
    <s v="ORD1795"/>
    <d v="2022-03-16T00:00:00"/>
    <x v="2"/>
    <x v="2"/>
    <x v="1"/>
    <s v="Filing Cabinet"/>
    <x v="2"/>
    <x v="1"/>
    <n v="4"/>
    <n v="8400"/>
    <n v="0.25"/>
    <n v="6300"/>
    <n v="0.75"/>
    <s v="Medium"/>
  </r>
  <r>
    <s v="ORD1796"/>
    <d v="2022-03-17T00:00:00"/>
    <x v="2"/>
    <x v="2"/>
    <x v="1"/>
    <s v="Visitor Chair"/>
    <x v="3"/>
    <x v="1"/>
    <n v="10"/>
    <n v="10900"/>
    <n v="0.05"/>
    <n v="10355"/>
    <n v="0.95"/>
    <s v="High"/>
  </r>
  <r>
    <s v="ORD1797"/>
    <d v="2022-03-18T00:00:00"/>
    <x v="2"/>
    <x v="2"/>
    <x v="1"/>
    <s v="Conference Table"/>
    <x v="0"/>
    <x v="1"/>
    <n v="4"/>
    <n v="8000"/>
    <n v="0.1"/>
    <n v="7200"/>
    <n v="0.9"/>
    <s v="Medium"/>
  </r>
  <r>
    <s v="ORD1798"/>
    <d v="2022-03-19T00:00:00"/>
    <x v="2"/>
    <x v="2"/>
    <x v="1"/>
    <s v="Drawer Unit"/>
    <x v="1"/>
    <x v="1"/>
    <n v="2"/>
    <n v="11900"/>
    <n v="0.15000000000000002"/>
    <n v="10115"/>
    <n v="0.85"/>
    <s v="High"/>
  </r>
  <r>
    <s v="ORD1799"/>
    <d v="2022-03-20T00:00:00"/>
    <x v="2"/>
    <x v="2"/>
    <x v="1"/>
    <s v="Ergonomic Stool"/>
    <x v="2"/>
    <x v="1"/>
    <n v="6"/>
    <n v="8000"/>
    <n v="0.2"/>
    <n v="6400"/>
    <n v="0.8"/>
    <s v="Medium"/>
  </r>
  <r>
    <s v="ORD1800"/>
    <d v="2022-03-21T00:00:00"/>
    <x v="2"/>
    <x v="2"/>
    <x v="1"/>
    <s v="Office Sofa"/>
    <x v="3"/>
    <x v="1"/>
    <n v="10"/>
    <n v="10000"/>
    <n v="0.25"/>
    <n v="7500"/>
    <n v="0.75"/>
    <s v="Medium"/>
  </r>
  <r>
    <s v="ORD1801"/>
    <d v="2022-03-22T00:00:00"/>
    <x v="2"/>
    <x v="2"/>
    <x v="2"/>
    <s v="Ball Pen Pack"/>
    <x v="0"/>
    <x v="2"/>
    <n v="6"/>
    <n v="11300"/>
    <n v="0.05"/>
    <n v="10735"/>
    <n v="0.95"/>
    <s v="High"/>
  </r>
  <r>
    <s v="ORD1802"/>
    <d v="2022-03-23T00:00:00"/>
    <x v="2"/>
    <x v="2"/>
    <x v="2"/>
    <s v="Notebook"/>
    <x v="1"/>
    <x v="2"/>
    <n v="7"/>
    <n v="7100"/>
    <n v="0.1"/>
    <n v="6390"/>
    <n v="0.9"/>
    <s v="Medium"/>
  </r>
  <r>
    <s v="ORD1803"/>
    <d v="2022-03-24T00:00:00"/>
    <x v="2"/>
    <x v="2"/>
    <x v="2"/>
    <s v="Printer Paper Ream"/>
    <x v="2"/>
    <x v="2"/>
    <n v="10"/>
    <n v="4300"/>
    <n v="0.15000000000000002"/>
    <n v="3655"/>
    <n v="0.85"/>
    <s v="Low"/>
  </r>
  <r>
    <s v="ORD1804"/>
    <d v="2022-03-25T00:00:00"/>
    <x v="2"/>
    <x v="2"/>
    <x v="2"/>
    <s v="Stapler"/>
    <x v="3"/>
    <x v="2"/>
    <n v="5"/>
    <n v="7900"/>
    <n v="0.2"/>
    <n v="6320"/>
    <n v="0.8"/>
    <s v="Medium"/>
  </r>
  <r>
    <s v="ORD1805"/>
    <d v="2022-03-26T00:00:00"/>
    <x v="2"/>
    <x v="2"/>
    <x v="2"/>
    <s v="Paper Clips Box"/>
    <x v="0"/>
    <x v="2"/>
    <n v="7"/>
    <n v="5400"/>
    <n v="0.25"/>
    <n v="4050"/>
    <n v="0.75"/>
    <s v="Medium"/>
  </r>
  <r>
    <s v="ORD1806"/>
    <d v="2022-03-27T00:00:00"/>
    <x v="2"/>
    <x v="2"/>
    <x v="2"/>
    <s v="Highlighter Set"/>
    <x v="1"/>
    <x v="2"/>
    <n v="2"/>
    <n v="10900"/>
    <n v="0.05"/>
    <n v="10355"/>
    <n v="0.95"/>
    <s v="High"/>
  </r>
  <r>
    <s v="ORD1807"/>
    <d v="2022-03-28T00:00:00"/>
    <x v="2"/>
    <x v="2"/>
    <x v="2"/>
    <s v="Desk Organizer"/>
    <x v="2"/>
    <x v="2"/>
    <n v="4"/>
    <n v="9800"/>
    <n v="0.1"/>
    <n v="8820"/>
    <n v="0.9"/>
    <s v="Medium"/>
  </r>
  <r>
    <s v="ORD1808"/>
    <d v="2022-03-29T00:00:00"/>
    <x v="2"/>
    <x v="2"/>
    <x v="2"/>
    <s v="Calculator"/>
    <x v="3"/>
    <x v="2"/>
    <n v="8"/>
    <n v="9500"/>
    <n v="0.15000000000000002"/>
    <n v="8075"/>
    <n v="0.85"/>
    <s v="Medium"/>
  </r>
  <r>
    <s v="ORD1809"/>
    <d v="2022-03-30T00:00:00"/>
    <x v="2"/>
    <x v="2"/>
    <x v="2"/>
    <s v="Sticky Notes"/>
    <x v="0"/>
    <x v="2"/>
    <n v="2"/>
    <n v="10600"/>
    <n v="0.2"/>
    <n v="8480"/>
    <n v="0.8"/>
    <s v="High"/>
  </r>
  <r>
    <s v="ORD1810"/>
    <d v="2022-03-31T00:00:00"/>
    <x v="2"/>
    <x v="2"/>
    <x v="2"/>
    <s v="Whiteboard Marker"/>
    <x v="1"/>
    <x v="2"/>
    <n v="5"/>
    <n v="5400"/>
    <n v="0.25"/>
    <n v="4050"/>
    <n v="0.75"/>
    <s v="Medium"/>
  </r>
  <r>
    <s v="ORD1811"/>
    <d v="2022-04-01T00:00:00"/>
    <x v="2"/>
    <x v="3"/>
    <x v="0"/>
    <s v="Bluetooth Speaker"/>
    <x v="2"/>
    <x v="0"/>
    <n v="3"/>
    <n v="9200"/>
    <n v="0.05"/>
    <n v="8740"/>
    <n v="0.95"/>
    <s v="Medium"/>
  </r>
  <r>
    <s v="ORD1812"/>
    <d v="2022-04-02T00:00:00"/>
    <x v="2"/>
    <x v="3"/>
    <x v="0"/>
    <s v="Wireless Mouse"/>
    <x v="3"/>
    <x v="0"/>
    <n v="1"/>
    <n v="5700"/>
    <n v="0.1"/>
    <n v="5130"/>
    <n v="0.9"/>
    <s v="Medium"/>
  </r>
  <r>
    <s v="ORD1813"/>
    <d v="2022-04-03T00:00:00"/>
    <x v="2"/>
    <x v="3"/>
    <x v="0"/>
    <s v="Keyboard"/>
    <x v="0"/>
    <x v="0"/>
    <n v="8"/>
    <n v="9600"/>
    <n v="0.15000000000000002"/>
    <n v="8160"/>
    <n v="0.85"/>
    <s v="Medium"/>
  </r>
  <r>
    <s v="ORD1814"/>
    <d v="2022-04-04T00:00:00"/>
    <x v="2"/>
    <x v="3"/>
    <x v="0"/>
    <s v="Laptop Stand"/>
    <x v="1"/>
    <x v="0"/>
    <n v="3"/>
    <n v="13600"/>
    <n v="0.2"/>
    <n v="10880"/>
    <n v="0.8"/>
    <s v="High"/>
  </r>
  <r>
    <s v="ORD1815"/>
    <d v="2022-04-05T00:00:00"/>
    <x v="2"/>
    <x v="3"/>
    <x v="0"/>
    <s v="USB Flash Drive"/>
    <x v="2"/>
    <x v="0"/>
    <n v="9"/>
    <n v="5600"/>
    <n v="0.25"/>
    <n v="4200"/>
    <n v="0.75"/>
    <s v="Medium"/>
  </r>
  <r>
    <s v="ORD1816"/>
    <d v="2022-04-06T00:00:00"/>
    <x v="2"/>
    <x v="3"/>
    <x v="0"/>
    <s v="External Hard Disk"/>
    <x v="3"/>
    <x v="0"/>
    <n v="5"/>
    <n v="8400"/>
    <n v="0.05"/>
    <n v="7980"/>
    <n v="0.95"/>
    <s v="Medium"/>
  </r>
  <r>
    <s v="ORD1817"/>
    <d v="2022-04-07T00:00:00"/>
    <x v="2"/>
    <x v="3"/>
    <x v="0"/>
    <s v="Webcam"/>
    <x v="0"/>
    <x v="0"/>
    <n v="7"/>
    <n v="10000"/>
    <n v="0.1"/>
    <n v="9000"/>
    <n v="0.9"/>
    <s v="Medium"/>
  </r>
  <r>
    <s v="ORD1818"/>
    <d v="2022-04-08T00:00:00"/>
    <x v="2"/>
    <x v="3"/>
    <x v="0"/>
    <s v="Noise Cancelling Headphones"/>
    <x v="1"/>
    <x v="0"/>
    <n v="5"/>
    <n v="14100"/>
    <n v="0.15000000000000002"/>
    <n v="11985"/>
    <n v="0.85"/>
    <s v="High"/>
  </r>
  <r>
    <s v="ORD1819"/>
    <d v="2022-04-09T00:00:00"/>
    <x v="2"/>
    <x v="3"/>
    <x v="0"/>
    <s v="Smart Watch"/>
    <x v="2"/>
    <x v="0"/>
    <n v="5"/>
    <n v="10200"/>
    <n v="0.2"/>
    <n v="8160"/>
    <n v="0.8"/>
    <s v="High"/>
  </r>
  <r>
    <s v="ORD1820"/>
    <d v="2022-04-10T00:00:00"/>
    <x v="2"/>
    <x v="3"/>
    <x v="0"/>
    <s v="Portable Power Bank"/>
    <x v="3"/>
    <x v="0"/>
    <n v="5"/>
    <n v="11200"/>
    <n v="0.25"/>
    <n v="8400"/>
    <n v="0.75"/>
    <s v="High"/>
  </r>
  <r>
    <s v="ORD1821"/>
    <d v="2022-04-11T00:00:00"/>
    <x v="2"/>
    <x v="3"/>
    <x v="1"/>
    <s v="Office Chair"/>
    <x v="0"/>
    <x v="1"/>
    <n v="6"/>
    <n v="11200"/>
    <n v="0.05"/>
    <n v="10640"/>
    <n v="0.95"/>
    <s v="High"/>
  </r>
  <r>
    <s v="ORD1822"/>
    <d v="2022-04-12T00:00:00"/>
    <x v="2"/>
    <x v="3"/>
    <x v="1"/>
    <s v="Study Table"/>
    <x v="1"/>
    <x v="1"/>
    <n v="9"/>
    <n v="8700"/>
    <n v="0.1"/>
    <n v="7830"/>
    <n v="0.9"/>
    <s v="Medium"/>
  </r>
  <r>
    <s v="ORD1823"/>
    <d v="2022-04-13T00:00:00"/>
    <x v="2"/>
    <x v="3"/>
    <x v="1"/>
    <s v="Wooden Bookshelf"/>
    <x v="2"/>
    <x v="1"/>
    <n v="7"/>
    <n v="4600"/>
    <n v="0.15000000000000002"/>
    <n v="3910"/>
    <n v="0.85"/>
    <s v="Low"/>
  </r>
  <r>
    <s v="ORD1824"/>
    <d v="2022-04-14T00:00:00"/>
    <x v="2"/>
    <x v="3"/>
    <x v="1"/>
    <s v="Computer Desk"/>
    <x v="3"/>
    <x v="1"/>
    <n v="10"/>
    <n v="6100"/>
    <n v="0.2"/>
    <n v="4880"/>
    <n v="0.8"/>
    <s v="Medium"/>
  </r>
  <r>
    <s v="ORD1825"/>
    <d v="2022-04-15T00:00:00"/>
    <x v="2"/>
    <x v="3"/>
    <x v="1"/>
    <s v="Filing Cabinet"/>
    <x v="0"/>
    <x v="1"/>
    <n v="2"/>
    <n v="14900"/>
    <n v="0.25"/>
    <n v="11175"/>
    <n v="0.75"/>
    <s v="High"/>
  </r>
  <r>
    <s v="ORD1826"/>
    <d v="2022-04-16T00:00:00"/>
    <x v="2"/>
    <x v="3"/>
    <x v="1"/>
    <s v="Visitor Chair"/>
    <x v="1"/>
    <x v="1"/>
    <n v="7"/>
    <n v="14200"/>
    <n v="0.05"/>
    <n v="13490"/>
    <n v="0.95"/>
    <s v="High"/>
  </r>
  <r>
    <s v="ORD1827"/>
    <d v="2022-04-17T00:00:00"/>
    <x v="2"/>
    <x v="3"/>
    <x v="1"/>
    <s v="Conference Table"/>
    <x v="2"/>
    <x v="1"/>
    <n v="9"/>
    <n v="7700"/>
    <n v="0.1"/>
    <n v="6930"/>
    <n v="0.9"/>
    <s v="Medium"/>
  </r>
  <r>
    <s v="ORD1828"/>
    <d v="2022-04-18T00:00:00"/>
    <x v="2"/>
    <x v="3"/>
    <x v="1"/>
    <s v="Drawer Unit"/>
    <x v="3"/>
    <x v="1"/>
    <n v="1"/>
    <n v="11900"/>
    <n v="0.15000000000000002"/>
    <n v="10115"/>
    <n v="0.85"/>
    <s v="High"/>
  </r>
  <r>
    <s v="ORD1829"/>
    <d v="2022-04-19T00:00:00"/>
    <x v="2"/>
    <x v="3"/>
    <x v="1"/>
    <s v="Ergonomic Stool"/>
    <x v="0"/>
    <x v="1"/>
    <n v="7"/>
    <n v="12300"/>
    <n v="0.2"/>
    <n v="9840"/>
    <n v="0.8"/>
    <s v="High"/>
  </r>
  <r>
    <s v="ORD1830"/>
    <d v="2022-04-20T00:00:00"/>
    <x v="2"/>
    <x v="3"/>
    <x v="1"/>
    <s v="Office Sofa"/>
    <x v="1"/>
    <x v="1"/>
    <n v="3"/>
    <n v="12600"/>
    <n v="0.25"/>
    <n v="9450"/>
    <n v="0.75"/>
    <s v="High"/>
  </r>
  <r>
    <s v="ORD1831"/>
    <d v="2022-04-21T00:00:00"/>
    <x v="2"/>
    <x v="3"/>
    <x v="2"/>
    <s v="Ball Pen Pack"/>
    <x v="2"/>
    <x v="2"/>
    <n v="10"/>
    <n v="5100"/>
    <n v="0.05"/>
    <n v="4845"/>
    <n v="0.95"/>
    <s v="Medium"/>
  </r>
  <r>
    <s v="ORD1832"/>
    <d v="2022-04-22T00:00:00"/>
    <x v="2"/>
    <x v="3"/>
    <x v="2"/>
    <s v="Notebook"/>
    <x v="3"/>
    <x v="2"/>
    <n v="4"/>
    <n v="5400"/>
    <n v="0.1"/>
    <n v="4860"/>
    <n v="0.9"/>
    <s v="Medium"/>
  </r>
  <r>
    <s v="ORD1833"/>
    <d v="2022-04-23T00:00:00"/>
    <x v="2"/>
    <x v="3"/>
    <x v="2"/>
    <s v="Printer Paper Ream"/>
    <x v="0"/>
    <x v="2"/>
    <n v="9"/>
    <n v="6100"/>
    <n v="0.15000000000000002"/>
    <n v="5185"/>
    <n v="0.85"/>
    <s v="Medium"/>
  </r>
  <r>
    <s v="ORD1834"/>
    <d v="2022-04-24T00:00:00"/>
    <x v="2"/>
    <x v="3"/>
    <x v="2"/>
    <s v="Stapler"/>
    <x v="1"/>
    <x v="2"/>
    <n v="3"/>
    <n v="12900"/>
    <n v="0.2"/>
    <n v="10320"/>
    <n v="0.8"/>
    <s v="High"/>
  </r>
  <r>
    <s v="ORD1835"/>
    <d v="2022-04-25T00:00:00"/>
    <x v="2"/>
    <x v="3"/>
    <x v="2"/>
    <s v="Paper Clips Box"/>
    <x v="2"/>
    <x v="2"/>
    <n v="5"/>
    <n v="9500"/>
    <n v="0.25"/>
    <n v="7125"/>
    <n v="0.75"/>
    <s v="Medium"/>
  </r>
  <r>
    <s v="ORD1836"/>
    <d v="2022-04-26T00:00:00"/>
    <x v="2"/>
    <x v="3"/>
    <x v="2"/>
    <s v="Highlighter Set"/>
    <x v="3"/>
    <x v="2"/>
    <n v="5"/>
    <n v="11400"/>
    <n v="0.05"/>
    <n v="10830"/>
    <n v="0.95"/>
    <s v="High"/>
  </r>
  <r>
    <s v="ORD1837"/>
    <d v="2022-04-27T00:00:00"/>
    <x v="2"/>
    <x v="3"/>
    <x v="2"/>
    <s v="Desk Organizer"/>
    <x v="0"/>
    <x v="2"/>
    <n v="5"/>
    <n v="5100"/>
    <n v="0.1"/>
    <n v="4590"/>
    <n v="0.9"/>
    <s v="Medium"/>
  </r>
  <r>
    <s v="ORD1838"/>
    <d v="2022-04-28T00:00:00"/>
    <x v="2"/>
    <x v="3"/>
    <x v="2"/>
    <s v="Calculator"/>
    <x v="1"/>
    <x v="2"/>
    <n v="1"/>
    <n v="12700"/>
    <n v="0.15000000000000002"/>
    <n v="10795"/>
    <n v="0.85"/>
    <s v="High"/>
  </r>
  <r>
    <s v="ORD1839"/>
    <d v="2022-04-29T00:00:00"/>
    <x v="2"/>
    <x v="3"/>
    <x v="2"/>
    <s v="Sticky Notes"/>
    <x v="2"/>
    <x v="2"/>
    <n v="8"/>
    <n v="5100"/>
    <n v="0.2"/>
    <n v="4080"/>
    <n v="0.8"/>
    <s v="Medium"/>
  </r>
  <r>
    <s v="ORD1840"/>
    <d v="2022-04-30T00:00:00"/>
    <x v="2"/>
    <x v="3"/>
    <x v="2"/>
    <s v="Whiteboard Marker"/>
    <x v="3"/>
    <x v="2"/>
    <n v="8"/>
    <n v="7800"/>
    <n v="0.25"/>
    <n v="5850"/>
    <n v="0.75"/>
    <s v="Medium"/>
  </r>
  <r>
    <s v="ORD1841"/>
    <d v="2022-05-01T00:00:00"/>
    <x v="2"/>
    <x v="4"/>
    <x v="0"/>
    <s v="Bluetooth Speaker"/>
    <x v="0"/>
    <x v="0"/>
    <n v="1"/>
    <n v="9000"/>
    <n v="0.05"/>
    <n v="8550"/>
    <n v="0.95"/>
    <s v="Medium"/>
  </r>
  <r>
    <s v="ORD1842"/>
    <d v="2022-05-02T00:00:00"/>
    <x v="2"/>
    <x v="4"/>
    <x v="0"/>
    <s v="Wireless Mouse"/>
    <x v="1"/>
    <x v="0"/>
    <n v="5"/>
    <n v="13700"/>
    <n v="0.1"/>
    <n v="12330"/>
    <n v="0.9"/>
    <s v="High"/>
  </r>
  <r>
    <s v="ORD1843"/>
    <d v="2022-05-03T00:00:00"/>
    <x v="2"/>
    <x v="4"/>
    <x v="0"/>
    <s v="Keyboard"/>
    <x v="2"/>
    <x v="0"/>
    <n v="4"/>
    <n v="13100"/>
    <n v="0.15000000000000002"/>
    <n v="11135"/>
    <n v="0.85"/>
    <s v="High"/>
  </r>
  <r>
    <s v="ORD1844"/>
    <d v="2022-05-04T00:00:00"/>
    <x v="2"/>
    <x v="4"/>
    <x v="0"/>
    <s v="Laptop Stand"/>
    <x v="3"/>
    <x v="0"/>
    <n v="10"/>
    <n v="7000"/>
    <n v="0.2"/>
    <n v="5600"/>
    <n v="0.8"/>
    <s v="Medium"/>
  </r>
  <r>
    <s v="ORD1845"/>
    <d v="2022-05-05T00:00:00"/>
    <x v="2"/>
    <x v="4"/>
    <x v="0"/>
    <s v="USB Flash Drive"/>
    <x v="0"/>
    <x v="0"/>
    <n v="5"/>
    <n v="13400"/>
    <n v="0.25"/>
    <n v="10050"/>
    <n v="0.75"/>
    <s v="High"/>
  </r>
  <r>
    <s v="ORD1846"/>
    <d v="2022-05-06T00:00:00"/>
    <x v="2"/>
    <x v="4"/>
    <x v="0"/>
    <s v="External Hard Disk"/>
    <x v="1"/>
    <x v="0"/>
    <n v="1"/>
    <n v="9400"/>
    <n v="0.05"/>
    <n v="8930"/>
    <n v="0.95"/>
    <s v="Medium"/>
  </r>
  <r>
    <s v="ORD1847"/>
    <d v="2022-05-07T00:00:00"/>
    <x v="2"/>
    <x v="4"/>
    <x v="0"/>
    <s v="Webcam"/>
    <x v="2"/>
    <x v="0"/>
    <n v="4"/>
    <n v="14000"/>
    <n v="0.1"/>
    <n v="12600"/>
    <n v="0.9"/>
    <s v="High"/>
  </r>
  <r>
    <s v="ORD1848"/>
    <d v="2022-05-08T00:00:00"/>
    <x v="2"/>
    <x v="4"/>
    <x v="0"/>
    <s v="Noise Cancelling Headphones"/>
    <x v="3"/>
    <x v="0"/>
    <n v="8"/>
    <n v="4000"/>
    <n v="0.15000000000000002"/>
    <n v="3400"/>
    <n v="0.85"/>
    <s v="Low"/>
  </r>
  <r>
    <s v="ORD1849"/>
    <d v="2022-05-09T00:00:00"/>
    <x v="2"/>
    <x v="4"/>
    <x v="0"/>
    <s v="Smart Watch"/>
    <x v="0"/>
    <x v="0"/>
    <n v="4"/>
    <n v="12600"/>
    <n v="0.2"/>
    <n v="10080"/>
    <n v="0.8"/>
    <s v="High"/>
  </r>
  <r>
    <s v="ORD1850"/>
    <d v="2022-05-10T00:00:00"/>
    <x v="2"/>
    <x v="4"/>
    <x v="0"/>
    <s v="Portable Power Bank"/>
    <x v="1"/>
    <x v="0"/>
    <n v="7"/>
    <n v="11800"/>
    <n v="0.25"/>
    <n v="8850"/>
    <n v="0.75"/>
    <s v="High"/>
  </r>
  <r>
    <s v="ORD1851"/>
    <d v="2022-05-11T00:00:00"/>
    <x v="2"/>
    <x v="4"/>
    <x v="1"/>
    <s v="Office Chair"/>
    <x v="2"/>
    <x v="1"/>
    <n v="2"/>
    <n v="4900"/>
    <n v="0.05"/>
    <n v="4655"/>
    <n v="0.95"/>
    <s v="Low"/>
  </r>
  <r>
    <s v="ORD1852"/>
    <d v="2022-05-12T00:00:00"/>
    <x v="2"/>
    <x v="4"/>
    <x v="1"/>
    <s v="Study Table"/>
    <x v="3"/>
    <x v="1"/>
    <n v="1"/>
    <n v="4600"/>
    <n v="0.1"/>
    <n v="4140"/>
    <n v="0.9"/>
    <s v="Low"/>
  </r>
  <r>
    <s v="ORD1853"/>
    <d v="2022-05-13T00:00:00"/>
    <x v="2"/>
    <x v="4"/>
    <x v="1"/>
    <s v="Wooden Bookshelf"/>
    <x v="0"/>
    <x v="1"/>
    <n v="10"/>
    <n v="7700"/>
    <n v="0.15000000000000002"/>
    <n v="6545"/>
    <n v="0.85"/>
    <s v="Medium"/>
  </r>
  <r>
    <s v="ORD1854"/>
    <d v="2022-05-14T00:00:00"/>
    <x v="2"/>
    <x v="4"/>
    <x v="1"/>
    <s v="Computer Desk"/>
    <x v="1"/>
    <x v="1"/>
    <n v="8"/>
    <n v="8600"/>
    <n v="0.2"/>
    <n v="6880"/>
    <n v="0.8"/>
    <s v="Medium"/>
  </r>
  <r>
    <s v="ORD1855"/>
    <d v="2022-05-15T00:00:00"/>
    <x v="2"/>
    <x v="4"/>
    <x v="1"/>
    <s v="Filing Cabinet"/>
    <x v="2"/>
    <x v="1"/>
    <n v="6"/>
    <n v="6200"/>
    <n v="0.25"/>
    <n v="4650"/>
    <n v="0.75"/>
    <s v="Medium"/>
  </r>
  <r>
    <s v="ORD1856"/>
    <d v="2022-05-16T00:00:00"/>
    <x v="2"/>
    <x v="4"/>
    <x v="1"/>
    <s v="Visitor Chair"/>
    <x v="3"/>
    <x v="1"/>
    <n v="1"/>
    <n v="5800"/>
    <n v="0.05"/>
    <n v="5510"/>
    <n v="0.95"/>
    <s v="Medium"/>
  </r>
  <r>
    <s v="ORD1857"/>
    <d v="2022-05-17T00:00:00"/>
    <x v="2"/>
    <x v="4"/>
    <x v="1"/>
    <s v="Conference Table"/>
    <x v="0"/>
    <x v="1"/>
    <n v="7"/>
    <n v="6900"/>
    <n v="0.1"/>
    <n v="6210"/>
    <n v="0.9"/>
    <s v="Medium"/>
  </r>
  <r>
    <s v="ORD1858"/>
    <d v="2022-05-18T00:00:00"/>
    <x v="2"/>
    <x v="4"/>
    <x v="1"/>
    <s v="Drawer Unit"/>
    <x v="1"/>
    <x v="1"/>
    <n v="5"/>
    <n v="14200"/>
    <n v="0.15000000000000002"/>
    <n v="12070"/>
    <n v="0.85"/>
    <s v="High"/>
  </r>
  <r>
    <s v="ORD1859"/>
    <d v="2022-05-19T00:00:00"/>
    <x v="2"/>
    <x v="4"/>
    <x v="1"/>
    <s v="Ergonomic Stool"/>
    <x v="2"/>
    <x v="1"/>
    <n v="1"/>
    <n v="10100"/>
    <n v="0.2"/>
    <n v="8080"/>
    <n v="0.8"/>
    <s v="High"/>
  </r>
  <r>
    <s v="ORD1860"/>
    <d v="2022-05-20T00:00:00"/>
    <x v="2"/>
    <x v="4"/>
    <x v="1"/>
    <s v="Office Sofa"/>
    <x v="3"/>
    <x v="1"/>
    <n v="10"/>
    <n v="4300"/>
    <n v="0.25"/>
    <n v="3225"/>
    <n v="0.75"/>
    <s v="Low"/>
  </r>
  <r>
    <s v="ORD1861"/>
    <d v="2022-05-21T00:00:00"/>
    <x v="2"/>
    <x v="4"/>
    <x v="2"/>
    <s v="Ball Pen Pack"/>
    <x v="0"/>
    <x v="2"/>
    <n v="1"/>
    <n v="9800"/>
    <n v="0.05"/>
    <n v="9310"/>
    <n v="0.95"/>
    <s v="Medium"/>
  </r>
  <r>
    <s v="ORD1862"/>
    <d v="2022-05-22T00:00:00"/>
    <x v="2"/>
    <x v="4"/>
    <x v="2"/>
    <s v="Notebook"/>
    <x v="1"/>
    <x v="2"/>
    <n v="8"/>
    <n v="6100"/>
    <n v="0.1"/>
    <n v="5490"/>
    <n v="0.9"/>
    <s v="Medium"/>
  </r>
  <r>
    <s v="ORD1863"/>
    <d v="2022-05-23T00:00:00"/>
    <x v="2"/>
    <x v="4"/>
    <x v="2"/>
    <s v="Printer Paper Ream"/>
    <x v="2"/>
    <x v="2"/>
    <n v="1"/>
    <n v="7600"/>
    <n v="0.15000000000000002"/>
    <n v="6460"/>
    <n v="0.85"/>
    <s v="Medium"/>
  </r>
  <r>
    <s v="ORD1864"/>
    <d v="2022-05-24T00:00:00"/>
    <x v="2"/>
    <x v="4"/>
    <x v="2"/>
    <s v="Stapler"/>
    <x v="3"/>
    <x v="2"/>
    <n v="5"/>
    <n v="13000"/>
    <n v="0.2"/>
    <n v="10400"/>
    <n v="0.8"/>
    <s v="High"/>
  </r>
  <r>
    <s v="ORD1865"/>
    <d v="2022-05-25T00:00:00"/>
    <x v="2"/>
    <x v="4"/>
    <x v="2"/>
    <s v="Paper Clips Box"/>
    <x v="0"/>
    <x v="2"/>
    <n v="4"/>
    <n v="9600"/>
    <n v="0.25"/>
    <n v="7200"/>
    <n v="0.75"/>
    <s v="Medium"/>
  </r>
  <r>
    <s v="ORD1866"/>
    <d v="2022-05-26T00:00:00"/>
    <x v="2"/>
    <x v="4"/>
    <x v="2"/>
    <s v="Highlighter Set"/>
    <x v="1"/>
    <x v="2"/>
    <n v="10"/>
    <n v="9600"/>
    <n v="0.05"/>
    <n v="9120"/>
    <n v="0.95"/>
    <s v="Medium"/>
  </r>
  <r>
    <s v="ORD1867"/>
    <d v="2022-05-27T00:00:00"/>
    <x v="2"/>
    <x v="4"/>
    <x v="2"/>
    <s v="Desk Organizer"/>
    <x v="2"/>
    <x v="2"/>
    <n v="4"/>
    <n v="4600"/>
    <n v="0.1"/>
    <n v="4140"/>
    <n v="0.9"/>
    <s v="Low"/>
  </r>
  <r>
    <s v="ORD1868"/>
    <d v="2022-05-28T00:00:00"/>
    <x v="2"/>
    <x v="4"/>
    <x v="2"/>
    <s v="Calculator"/>
    <x v="3"/>
    <x v="2"/>
    <n v="4"/>
    <n v="7600"/>
    <n v="0.15000000000000002"/>
    <n v="6460"/>
    <n v="0.85"/>
    <s v="Medium"/>
  </r>
  <r>
    <s v="ORD1869"/>
    <d v="2022-05-29T00:00:00"/>
    <x v="2"/>
    <x v="4"/>
    <x v="2"/>
    <s v="Sticky Notes"/>
    <x v="0"/>
    <x v="2"/>
    <n v="2"/>
    <n v="7000"/>
    <n v="0.2"/>
    <n v="5600"/>
    <n v="0.8"/>
    <s v="Medium"/>
  </r>
  <r>
    <s v="ORD1870"/>
    <d v="2022-05-30T00:00:00"/>
    <x v="2"/>
    <x v="4"/>
    <x v="2"/>
    <s v="Whiteboard Marker"/>
    <x v="1"/>
    <x v="2"/>
    <n v="2"/>
    <n v="7000"/>
    <n v="0.25"/>
    <n v="5250"/>
    <n v="0.75"/>
    <s v="Medium"/>
  </r>
  <r>
    <s v="ORD1871"/>
    <d v="2022-05-31T00:00:00"/>
    <x v="2"/>
    <x v="4"/>
    <x v="0"/>
    <s v="Bluetooth Speaker"/>
    <x v="2"/>
    <x v="0"/>
    <n v="10"/>
    <n v="11600"/>
    <n v="0.05"/>
    <n v="11020"/>
    <n v="0.95"/>
    <s v="High"/>
  </r>
  <r>
    <s v="ORD1872"/>
    <d v="2022-06-01T00:00:00"/>
    <x v="2"/>
    <x v="5"/>
    <x v="0"/>
    <s v="Wireless Mouse"/>
    <x v="3"/>
    <x v="0"/>
    <n v="4"/>
    <n v="14600"/>
    <n v="0.1"/>
    <n v="13140"/>
    <n v="0.9"/>
    <s v="High"/>
  </r>
  <r>
    <s v="ORD1873"/>
    <d v="2022-06-02T00:00:00"/>
    <x v="2"/>
    <x v="5"/>
    <x v="0"/>
    <s v="Keyboard"/>
    <x v="0"/>
    <x v="0"/>
    <n v="2"/>
    <n v="14000"/>
    <n v="0.15000000000000002"/>
    <n v="11900"/>
    <n v="0.85"/>
    <s v="High"/>
  </r>
  <r>
    <s v="ORD1874"/>
    <d v="2022-06-03T00:00:00"/>
    <x v="2"/>
    <x v="5"/>
    <x v="0"/>
    <s v="Laptop Stand"/>
    <x v="1"/>
    <x v="0"/>
    <n v="10"/>
    <n v="9100"/>
    <n v="0.2"/>
    <n v="7280"/>
    <n v="0.8"/>
    <s v="Medium"/>
  </r>
  <r>
    <s v="ORD1875"/>
    <d v="2022-06-04T00:00:00"/>
    <x v="2"/>
    <x v="5"/>
    <x v="0"/>
    <s v="USB Flash Drive"/>
    <x v="2"/>
    <x v="0"/>
    <n v="1"/>
    <n v="6900"/>
    <n v="0.25"/>
    <n v="5175"/>
    <n v="0.75"/>
    <s v="Medium"/>
  </r>
  <r>
    <s v="ORD1876"/>
    <d v="2022-06-05T00:00:00"/>
    <x v="2"/>
    <x v="5"/>
    <x v="0"/>
    <s v="External Hard Disk"/>
    <x v="3"/>
    <x v="0"/>
    <n v="7"/>
    <n v="11500"/>
    <n v="0.05"/>
    <n v="10925"/>
    <n v="0.95"/>
    <s v="High"/>
  </r>
  <r>
    <s v="ORD1877"/>
    <d v="2022-06-06T00:00:00"/>
    <x v="2"/>
    <x v="5"/>
    <x v="0"/>
    <s v="Webcam"/>
    <x v="0"/>
    <x v="0"/>
    <n v="3"/>
    <n v="14000"/>
    <n v="0.1"/>
    <n v="12600"/>
    <n v="0.9"/>
    <s v="High"/>
  </r>
  <r>
    <s v="ORD1878"/>
    <d v="2022-06-07T00:00:00"/>
    <x v="2"/>
    <x v="5"/>
    <x v="0"/>
    <s v="Noise Cancelling Headphones"/>
    <x v="1"/>
    <x v="0"/>
    <n v="10"/>
    <n v="14700"/>
    <n v="0.15000000000000002"/>
    <n v="12495"/>
    <n v="0.85"/>
    <s v="High"/>
  </r>
  <r>
    <s v="ORD1879"/>
    <d v="2022-06-08T00:00:00"/>
    <x v="2"/>
    <x v="5"/>
    <x v="0"/>
    <s v="Smart Watch"/>
    <x v="2"/>
    <x v="0"/>
    <n v="6"/>
    <n v="13900"/>
    <n v="0.2"/>
    <n v="11120"/>
    <n v="0.8"/>
    <s v="High"/>
  </r>
  <r>
    <s v="ORD1880"/>
    <d v="2022-06-09T00:00:00"/>
    <x v="2"/>
    <x v="5"/>
    <x v="0"/>
    <s v="Portable Power Bank"/>
    <x v="3"/>
    <x v="0"/>
    <n v="2"/>
    <n v="7800"/>
    <n v="0.25"/>
    <n v="5850"/>
    <n v="0.75"/>
    <s v="Medium"/>
  </r>
  <r>
    <s v="ORD1881"/>
    <d v="2022-06-10T00:00:00"/>
    <x v="2"/>
    <x v="5"/>
    <x v="1"/>
    <s v="Office Chair"/>
    <x v="0"/>
    <x v="1"/>
    <n v="4"/>
    <n v="11600"/>
    <n v="0.05"/>
    <n v="11020"/>
    <n v="0.95"/>
    <s v="High"/>
  </r>
  <r>
    <s v="ORD1882"/>
    <d v="2022-06-11T00:00:00"/>
    <x v="2"/>
    <x v="5"/>
    <x v="1"/>
    <s v="Study Table"/>
    <x v="1"/>
    <x v="1"/>
    <n v="7"/>
    <n v="4100"/>
    <n v="0.1"/>
    <n v="3690"/>
    <n v="0.9"/>
    <s v="Low"/>
  </r>
  <r>
    <s v="ORD1883"/>
    <d v="2022-06-12T00:00:00"/>
    <x v="2"/>
    <x v="5"/>
    <x v="1"/>
    <s v="Wooden Bookshelf"/>
    <x v="2"/>
    <x v="1"/>
    <n v="10"/>
    <n v="6300"/>
    <n v="0.15000000000000002"/>
    <n v="5355"/>
    <n v="0.85"/>
    <s v="Medium"/>
  </r>
  <r>
    <s v="ORD1884"/>
    <d v="2022-06-13T00:00:00"/>
    <x v="2"/>
    <x v="5"/>
    <x v="1"/>
    <s v="Computer Desk"/>
    <x v="3"/>
    <x v="1"/>
    <n v="1"/>
    <n v="8600"/>
    <n v="0.2"/>
    <n v="6880"/>
    <n v="0.8"/>
    <s v="Medium"/>
  </r>
  <r>
    <s v="ORD1885"/>
    <d v="2022-06-14T00:00:00"/>
    <x v="2"/>
    <x v="5"/>
    <x v="1"/>
    <s v="Filing Cabinet"/>
    <x v="0"/>
    <x v="1"/>
    <n v="7"/>
    <n v="14300"/>
    <n v="0.25"/>
    <n v="10725"/>
    <n v="0.75"/>
    <s v="High"/>
  </r>
  <r>
    <s v="ORD1886"/>
    <d v="2022-06-15T00:00:00"/>
    <x v="2"/>
    <x v="5"/>
    <x v="1"/>
    <s v="Visitor Chair"/>
    <x v="1"/>
    <x v="1"/>
    <n v="2"/>
    <n v="7900"/>
    <n v="0.05"/>
    <n v="7505"/>
    <n v="0.95"/>
    <s v="Medium"/>
  </r>
  <r>
    <s v="ORD1887"/>
    <d v="2022-06-16T00:00:00"/>
    <x v="2"/>
    <x v="5"/>
    <x v="1"/>
    <s v="Conference Table"/>
    <x v="2"/>
    <x v="1"/>
    <n v="10"/>
    <n v="4100"/>
    <n v="0.1"/>
    <n v="3690"/>
    <n v="0.9"/>
    <s v="Low"/>
  </r>
  <r>
    <s v="ORD1888"/>
    <d v="2022-06-17T00:00:00"/>
    <x v="2"/>
    <x v="5"/>
    <x v="1"/>
    <s v="Drawer Unit"/>
    <x v="3"/>
    <x v="1"/>
    <n v="10"/>
    <n v="14600"/>
    <n v="0.15000000000000002"/>
    <n v="12410"/>
    <n v="0.85"/>
    <s v="High"/>
  </r>
  <r>
    <s v="ORD1889"/>
    <d v="2022-06-18T00:00:00"/>
    <x v="2"/>
    <x v="5"/>
    <x v="1"/>
    <s v="Ergonomic Stool"/>
    <x v="0"/>
    <x v="1"/>
    <n v="2"/>
    <n v="4800"/>
    <n v="0.2"/>
    <n v="3840"/>
    <n v="0.8"/>
    <s v="Low"/>
  </r>
  <r>
    <s v="ORD1890"/>
    <d v="2022-06-19T00:00:00"/>
    <x v="2"/>
    <x v="5"/>
    <x v="1"/>
    <s v="Office Sofa"/>
    <x v="1"/>
    <x v="1"/>
    <n v="8"/>
    <n v="6600"/>
    <n v="0.25"/>
    <n v="4950"/>
    <n v="0.75"/>
    <s v="Medium"/>
  </r>
  <r>
    <s v="ORD1891"/>
    <d v="2022-06-20T00:00:00"/>
    <x v="2"/>
    <x v="5"/>
    <x v="2"/>
    <s v="Ball Pen Pack"/>
    <x v="2"/>
    <x v="2"/>
    <n v="4"/>
    <n v="6700"/>
    <n v="0.05"/>
    <n v="6365"/>
    <n v="0.95"/>
    <s v="Medium"/>
  </r>
  <r>
    <s v="ORD1892"/>
    <d v="2022-06-21T00:00:00"/>
    <x v="2"/>
    <x v="5"/>
    <x v="2"/>
    <s v="Notebook"/>
    <x v="3"/>
    <x v="2"/>
    <n v="3"/>
    <n v="4900"/>
    <n v="0.1"/>
    <n v="4410"/>
    <n v="0.9"/>
    <s v="Low"/>
  </r>
  <r>
    <s v="ORD1893"/>
    <d v="2022-06-22T00:00:00"/>
    <x v="2"/>
    <x v="5"/>
    <x v="2"/>
    <s v="Printer Paper Ream"/>
    <x v="0"/>
    <x v="2"/>
    <n v="5"/>
    <n v="10300"/>
    <n v="0.15000000000000002"/>
    <n v="8755"/>
    <n v="0.85"/>
    <s v="High"/>
  </r>
  <r>
    <s v="ORD1894"/>
    <d v="2022-06-23T00:00:00"/>
    <x v="2"/>
    <x v="5"/>
    <x v="2"/>
    <s v="Stapler"/>
    <x v="1"/>
    <x v="2"/>
    <n v="4"/>
    <n v="5400"/>
    <n v="0.2"/>
    <n v="4320"/>
    <n v="0.8"/>
    <s v="Medium"/>
  </r>
  <r>
    <s v="ORD1895"/>
    <d v="2022-06-24T00:00:00"/>
    <x v="2"/>
    <x v="5"/>
    <x v="2"/>
    <s v="Paper Clips Box"/>
    <x v="2"/>
    <x v="2"/>
    <n v="5"/>
    <n v="14100"/>
    <n v="0.25"/>
    <n v="10575"/>
    <n v="0.75"/>
    <s v="High"/>
  </r>
  <r>
    <s v="ORD1896"/>
    <d v="2022-06-25T00:00:00"/>
    <x v="2"/>
    <x v="5"/>
    <x v="2"/>
    <s v="Highlighter Set"/>
    <x v="3"/>
    <x v="2"/>
    <n v="2"/>
    <n v="9600"/>
    <n v="0.05"/>
    <n v="9120"/>
    <n v="0.95"/>
    <s v="Medium"/>
  </r>
  <r>
    <s v="ORD1897"/>
    <d v="2022-06-26T00:00:00"/>
    <x v="2"/>
    <x v="5"/>
    <x v="2"/>
    <s v="Desk Organizer"/>
    <x v="0"/>
    <x v="2"/>
    <n v="5"/>
    <n v="7500"/>
    <n v="0.1"/>
    <n v="6750"/>
    <n v="0.9"/>
    <s v="Medium"/>
  </r>
  <r>
    <s v="ORD1898"/>
    <d v="2022-06-27T00:00:00"/>
    <x v="2"/>
    <x v="5"/>
    <x v="2"/>
    <s v="Calculator"/>
    <x v="1"/>
    <x v="2"/>
    <n v="7"/>
    <n v="14300"/>
    <n v="0.15000000000000002"/>
    <n v="12155"/>
    <n v="0.85"/>
    <s v="High"/>
  </r>
  <r>
    <s v="ORD1899"/>
    <d v="2022-06-28T00:00:00"/>
    <x v="2"/>
    <x v="5"/>
    <x v="2"/>
    <s v="Sticky Notes"/>
    <x v="2"/>
    <x v="2"/>
    <n v="1"/>
    <n v="11400"/>
    <n v="0.2"/>
    <n v="9120"/>
    <n v="0.8"/>
    <s v="High"/>
  </r>
  <r>
    <s v="ORD1900"/>
    <d v="2022-06-29T00:00:00"/>
    <x v="2"/>
    <x v="5"/>
    <x v="2"/>
    <s v="Whiteboard Marker"/>
    <x v="3"/>
    <x v="2"/>
    <n v="1"/>
    <n v="6200"/>
    <n v="0.25"/>
    <n v="4650"/>
    <n v="0.75"/>
    <s v="Medium"/>
  </r>
  <r>
    <s v="ORD1901"/>
    <d v="2022-06-30T00:00:00"/>
    <x v="2"/>
    <x v="5"/>
    <x v="0"/>
    <s v="Bluetooth Speaker"/>
    <x v="0"/>
    <x v="0"/>
    <n v="8"/>
    <n v="9900"/>
    <n v="0.05"/>
    <n v="9405"/>
    <n v="0.95"/>
    <s v="Medium"/>
  </r>
  <r>
    <s v="ORD1902"/>
    <d v="2022-07-01T00:00:00"/>
    <x v="2"/>
    <x v="6"/>
    <x v="0"/>
    <s v="Wireless Mouse"/>
    <x v="1"/>
    <x v="0"/>
    <n v="4"/>
    <n v="8900"/>
    <n v="0.1"/>
    <n v="8010"/>
    <n v="0.9"/>
    <s v="Medium"/>
  </r>
  <r>
    <s v="ORD1903"/>
    <d v="2022-07-02T00:00:00"/>
    <x v="2"/>
    <x v="6"/>
    <x v="0"/>
    <s v="Keyboard"/>
    <x v="2"/>
    <x v="0"/>
    <n v="5"/>
    <n v="12500"/>
    <n v="0.15000000000000002"/>
    <n v="10625"/>
    <n v="0.85"/>
    <s v="High"/>
  </r>
  <r>
    <s v="ORD1904"/>
    <d v="2022-07-03T00:00:00"/>
    <x v="2"/>
    <x v="6"/>
    <x v="0"/>
    <s v="Laptop Stand"/>
    <x v="3"/>
    <x v="0"/>
    <n v="10"/>
    <n v="10200"/>
    <n v="0.2"/>
    <n v="8160"/>
    <n v="0.8"/>
    <s v="High"/>
  </r>
  <r>
    <s v="ORD1905"/>
    <d v="2022-07-04T00:00:00"/>
    <x v="2"/>
    <x v="6"/>
    <x v="0"/>
    <s v="USB Flash Drive"/>
    <x v="0"/>
    <x v="0"/>
    <n v="2"/>
    <n v="5300"/>
    <n v="0.25"/>
    <n v="3975"/>
    <n v="0.75"/>
    <s v="Medium"/>
  </r>
  <r>
    <s v="ORD1906"/>
    <d v="2022-07-05T00:00:00"/>
    <x v="2"/>
    <x v="6"/>
    <x v="0"/>
    <s v="External Hard Disk"/>
    <x v="1"/>
    <x v="0"/>
    <n v="1"/>
    <n v="12000"/>
    <n v="0.05"/>
    <n v="11400"/>
    <n v="0.95"/>
    <s v="High"/>
  </r>
  <r>
    <s v="ORD1907"/>
    <d v="2022-07-06T00:00:00"/>
    <x v="2"/>
    <x v="6"/>
    <x v="0"/>
    <s v="Webcam"/>
    <x v="2"/>
    <x v="0"/>
    <n v="3"/>
    <n v="12300"/>
    <n v="0.1"/>
    <n v="11070"/>
    <n v="0.9"/>
    <s v="High"/>
  </r>
  <r>
    <s v="ORD1908"/>
    <d v="2022-07-07T00:00:00"/>
    <x v="2"/>
    <x v="6"/>
    <x v="0"/>
    <s v="Noise Cancelling Headphones"/>
    <x v="3"/>
    <x v="0"/>
    <n v="6"/>
    <n v="11400"/>
    <n v="0.15000000000000002"/>
    <n v="9690"/>
    <n v="0.85"/>
    <s v="High"/>
  </r>
  <r>
    <s v="ORD1909"/>
    <d v="2022-07-08T00:00:00"/>
    <x v="2"/>
    <x v="6"/>
    <x v="0"/>
    <s v="Smart Watch"/>
    <x v="0"/>
    <x v="0"/>
    <n v="10"/>
    <n v="13600"/>
    <n v="0.2"/>
    <n v="10880"/>
    <n v="0.8"/>
    <s v="High"/>
  </r>
  <r>
    <s v="ORD1910"/>
    <d v="2022-07-09T00:00:00"/>
    <x v="2"/>
    <x v="6"/>
    <x v="0"/>
    <s v="Portable Power Bank"/>
    <x v="1"/>
    <x v="0"/>
    <n v="9"/>
    <n v="7000"/>
    <n v="0.25"/>
    <n v="5250"/>
    <n v="0.75"/>
    <s v="Medium"/>
  </r>
  <r>
    <s v="ORD1911"/>
    <d v="2022-07-10T00:00:00"/>
    <x v="2"/>
    <x v="6"/>
    <x v="1"/>
    <s v="Office Chair"/>
    <x v="2"/>
    <x v="1"/>
    <n v="8"/>
    <n v="10300"/>
    <n v="0.05"/>
    <n v="9785"/>
    <n v="0.95"/>
    <s v="High"/>
  </r>
  <r>
    <s v="ORD1912"/>
    <d v="2022-07-11T00:00:00"/>
    <x v="2"/>
    <x v="6"/>
    <x v="1"/>
    <s v="Study Table"/>
    <x v="3"/>
    <x v="1"/>
    <n v="1"/>
    <n v="5600"/>
    <n v="0.1"/>
    <n v="5040"/>
    <n v="0.9"/>
    <s v="Medium"/>
  </r>
  <r>
    <s v="ORD1913"/>
    <d v="2022-07-12T00:00:00"/>
    <x v="2"/>
    <x v="6"/>
    <x v="1"/>
    <s v="Wooden Bookshelf"/>
    <x v="0"/>
    <x v="1"/>
    <n v="6"/>
    <n v="14900"/>
    <n v="0.15000000000000002"/>
    <n v="12665"/>
    <n v="0.85"/>
    <s v="High"/>
  </r>
  <r>
    <s v="ORD1914"/>
    <d v="2022-07-13T00:00:00"/>
    <x v="2"/>
    <x v="6"/>
    <x v="1"/>
    <s v="Computer Desk"/>
    <x v="1"/>
    <x v="1"/>
    <n v="3"/>
    <n v="11100"/>
    <n v="0.2"/>
    <n v="8880"/>
    <n v="0.8"/>
    <s v="High"/>
  </r>
  <r>
    <s v="ORD1915"/>
    <d v="2022-07-14T00:00:00"/>
    <x v="2"/>
    <x v="6"/>
    <x v="1"/>
    <s v="Filing Cabinet"/>
    <x v="2"/>
    <x v="1"/>
    <n v="4"/>
    <n v="10300"/>
    <n v="0.25"/>
    <n v="7725"/>
    <n v="0.75"/>
    <s v="High"/>
  </r>
  <r>
    <s v="ORD1916"/>
    <d v="2022-07-15T00:00:00"/>
    <x v="2"/>
    <x v="6"/>
    <x v="1"/>
    <s v="Visitor Chair"/>
    <x v="3"/>
    <x v="1"/>
    <n v="8"/>
    <n v="11500"/>
    <n v="0.05"/>
    <n v="10925"/>
    <n v="0.95"/>
    <s v="High"/>
  </r>
  <r>
    <s v="ORD1917"/>
    <d v="2022-07-16T00:00:00"/>
    <x v="2"/>
    <x v="6"/>
    <x v="1"/>
    <s v="Conference Table"/>
    <x v="0"/>
    <x v="1"/>
    <n v="6"/>
    <n v="8700"/>
    <n v="0.1"/>
    <n v="7830"/>
    <n v="0.9"/>
    <s v="Medium"/>
  </r>
  <r>
    <s v="ORD1918"/>
    <d v="2022-07-17T00:00:00"/>
    <x v="2"/>
    <x v="6"/>
    <x v="1"/>
    <s v="Drawer Unit"/>
    <x v="1"/>
    <x v="1"/>
    <n v="6"/>
    <n v="4100"/>
    <n v="0.15000000000000002"/>
    <n v="3485"/>
    <n v="0.85"/>
    <s v="Low"/>
  </r>
  <r>
    <s v="ORD1919"/>
    <d v="2022-07-18T00:00:00"/>
    <x v="2"/>
    <x v="6"/>
    <x v="1"/>
    <s v="Ergonomic Stool"/>
    <x v="2"/>
    <x v="1"/>
    <n v="1"/>
    <n v="5500"/>
    <n v="0.2"/>
    <n v="4400"/>
    <n v="0.8"/>
    <s v="Medium"/>
  </r>
  <r>
    <s v="ORD1920"/>
    <d v="2022-07-19T00:00:00"/>
    <x v="2"/>
    <x v="6"/>
    <x v="1"/>
    <s v="Office Sofa"/>
    <x v="3"/>
    <x v="1"/>
    <n v="1"/>
    <n v="12000"/>
    <n v="0.25"/>
    <n v="9000"/>
    <n v="0.75"/>
    <s v="High"/>
  </r>
  <r>
    <s v="ORD1921"/>
    <d v="2022-07-20T00:00:00"/>
    <x v="2"/>
    <x v="6"/>
    <x v="2"/>
    <s v="Ball Pen Pack"/>
    <x v="0"/>
    <x v="2"/>
    <n v="5"/>
    <n v="8800"/>
    <n v="0.05"/>
    <n v="8360"/>
    <n v="0.95"/>
    <s v="Medium"/>
  </r>
  <r>
    <s v="ORD1922"/>
    <d v="2022-07-21T00:00:00"/>
    <x v="2"/>
    <x v="6"/>
    <x v="2"/>
    <s v="Notebook"/>
    <x v="1"/>
    <x v="2"/>
    <n v="1"/>
    <n v="9400"/>
    <n v="0.1"/>
    <n v="8460"/>
    <n v="0.9"/>
    <s v="Medium"/>
  </r>
  <r>
    <s v="ORD1923"/>
    <d v="2022-07-22T00:00:00"/>
    <x v="2"/>
    <x v="6"/>
    <x v="2"/>
    <s v="Printer Paper Ream"/>
    <x v="2"/>
    <x v="2"/>
    <n v="4"/>
    <n v="11800"/>
    <n v="0.15000000000000002"/>
    <n v="10030"/>
    <n v="0.85"/>
    <s v="High"/>
  </r>
  <r>
    <s v="ORD1924"/>
    <d v="2022-07-23T00:00:00"/>
    <x v="2"/>
    <x v="6"/>
    <x v="2"/>
    <s v="Stapler"/>
    <x v="3"/>
    <x v="2"/>
    <n v="8"/>
    <n v="4000"/>
    <n v="0.2"/>
    <n v="3200"/>
    <n v="0.8"/>
    <s v="Low"/>
  </r>
  <r>
    <s v="ORD1925"/>
    <d v="2022-07-24T00:00:00"/>
    <x v="2"/>
    <x v="6"/>
    <x v="2"/>
    <s v="Paper Clips Box"/>
    <x v="0"/>
    <x v="2"/>
    <n v="5"/>
    <n v="5300"/>
    <n v="0.25"/>
    <n v="3975"/>
    <n v="0.75"/>
    <s v="Medium"/>
  </r>
  <r>
    <s v="ORD1926"/>
    <d v="2022-07-25T00:00:00"/>
    <x v="2"/>
    <x v="6"/>
    <x v="2"/>
    <s v="Highlighter Set"/>
    <x v="1"/>
    <x v="2"/>
    <n v="2"/>
    <n v="11000"/>
    <n v="0.05"/>
    <n v="10450"/>
    <n v="0.95"/>
    <s v="High"/>
  </r>
  <r>
    <s v="ORD1927"/>
    <d v="2022-07-26T00:00:00"/>
    <x v="2"/>
    <x v="6"/>
    <x v="2"/>
    <s v="Desk Organizer"/>
    <x v="2"/>
    <x v="2"/>
    <n v="7"/>
    <n v="8200"/>
    <n v="0.1"/>
    <n v="7380"/>
    <n v="0.9"/>
    <s v="Medium"/>
  </r>
  <r>
    <s v="ORD1928"/>
    <d v="2022-07-27T00:00:00"/>
    <x v="2"/>
    <x v="6"/>
    <x v="2"/>
    <s v="Calculator"/>
    <x v="3"/>
    <x v="2"/>
    <n v="3"/>
    <n v="8600"/>
    <n v="0.15000000000000002"/>
    <n v="7310"/>
    <n v="0.85"/>
    <s v="Medium"/>
  </r>
  <r>
    <s v="ORD1929"/>
    <d v="2022-07-28T00:00:00"/>
    <x v="2"/>
    <x v="6"/>
    <x v="2"/>
    <s v="Sticky Notes"/>
    <x v="0"/>
    <x v="2"/>
    <n v="2"/>
    <n v="8100"/>
    <n v="0.2"/>
    <n v="6480"/>
    <n v="0.8"/>
    <s v="Medium"/>
  </r>
  <r>
    <s v="ORD1930"/>
    <d v="2022-07-29T00:00:00"/>
    <x v="2"/>
    <x v="6"/>
    <x v="2"/>
    <s v="Whiteboard Marker"/>
    <x v="1"/>
    <x v="2"/>
    <n v="3"/>
    <n v="11100"/>
    <n v="0.25"/>
    <n v="8325"/>
    <n v="0.75"/>
    <s v="High"/>
  </r>
  <r>
    <s v="ORD1931"/>
    <d v="2022-07-30T00:00:00"/>
    <x v="2"/>
    <x v="6"/>
    <x v="0"/>
    <s v="Bluetooth Speaker"/>
    <x v="2"/>
    <x v="0"/>
    <n v="5"/>
    <n v="9300"/>
    <n v="0.05"/>
    <n v="8835"/>
    <n v="0.95"/>
    <s v="Medium"/>
  </r>
  <r>
    <s v="ORD1932"/>
    <d v="2022-07-31T00:00:00"/>
    <x v="2"/>
    <x v="6"/>
    <x v="0"/>
    <s v="Wireless Mouse"/>
    <x v="3"/>
    <x v="0"/>
    <n v="8"/>
    <n v="7300"/>
    <n v="0.1"/>
    <n v="6570"/>
    <n v="0.9"/>
    <s v="Medium"/>
  </r>
  <r>
    <s v="ORD1933"/>
    <d v="2022-08-01T00:00:00"/>
    <x v="2"/>
    <x v="7"/>
    <x v="0"/>
    <s v="Keyboard"/>
    <x v="0"/>
    <x v="0"/>
    <n v="10"/>
    <n v="13300"/>
    <n v="0.15000000000000002"/>
    <n v="11305"/>
    <n v="0.85"/>
    <s v="High"/>
  </r>
  <r>
    <s v="ORD1934"/>
    <d v="2022-08-02T00:00:00"/>
    <x v="2"/>
    <x v="7"/>
    <x v="0"/>
    <s v="Laptop Stand"/>
    <x v="1"/>
    <x v="0"/>
    <n v="2"/>
    <n v="8300"/>
    <n v="0.2"/>
    <n v="6640"/>
    <n v="0.8"/>
    <s v="Medium"/>
  </r>
  <r>
    <s v="ORD1935"/>
    <d v="2022-08-03T00:00:00"/>
    <x v="2"/>
    <x v="7"/>
    <x v="0"/>
    <s v="USB Flash Drive"/>
    <x v="2"/>
    <x v="0"/>
    <n v="3"/>
    <n v="14800"/>
    <n v="0.25"/>
    <n v="11100"/>
    <n v="0.75"/>
    <s v="High"/>
  </r>
  <r>
    <s v="ORD1936"/>
    <d v="2022-08-04T00:00:00"/>
    <x v="2"/>
    <x v="7"/>
    <x v="0"/>
    <s v="External Hard Disk"/>
    <x v="3"/>
    <x v="0"/>
    <n v="2"/>
    <n v="12500"/>
    <n v="0.05"/>
    <n v="11875"/>
    <n v="0.95"/>
    <s v="High"/>
  </r>
  <r>
    <s v="ORD1937"/>
    <d v="2022-08-05T00:00:00"/>
    <x v="2"/>
    <x v="7"/>
    <x v="0"/>
    <s v="Webcam"/>
    <x v="0"/>
    <x v="0"/>
    <n v="1"/>
    <n v="8300"/>
    <n v="0.1"/>
    <n v="7470"/>
    <n v="0.9"/>
    <s v="Medium"/>
  </r>
  <r>
    <s v="ORD1938"/>
    <d v="2022-08-06T00:00:00"/>
    <x v="2"/>
    <x v="7"/>
    <x v="0"/>
    <s v="Noise Cancelling Headphones"/>
    <x v="1"/>
    <x v="0"/>
    <n v="5"/>
    <n v="13800"/>
    <n v="0.15000000000000002"/>
    <n v="11730"/>
    <n v="0.85"/>
    <s v="High"/>
  </r>
  <r>
    <s v="ORD1939"/>
    <d v="2022-08-07T00:00:00"/>
    <x v="2"/>
    <x v="7"/>
    <x v="0"/>
    <s v="Smart Watch"/>
    <x v="2"/>
    <x v="0"/>
    <n v="8"/>
    <n v="6400"/>
    <n v="0.2"/>
    <n v="5120"/>
    <n v="0.8"/>
    <s v="Medium"/>
  </r>
  <r>
    <s v="ORD1940"/>
    <d v="2022-08-08T00:00:00"/>
    <x v="2"/>
    <x v="7"/>
    <x v="0"/>
    <s v="Portable Power Bank"/>
    <x v="3"/>
    <x v="0"/>
    <n v="2"/>
    <n v="4900"/>
    <n v="0.25"/>
    <n v="3675"/>
    <n v="0.75"/>
    <s v="Low"/>
  </r>
  <r>
    <s v="ORD1941"/>
    <d v="2022-08-09T00:00:00"/>
    <x v="2"/>
    <x v="7"/>
    <x v="1"/>
    <s v="Office Chair"/>
    <x v="0"/>
    <x v="1"/>
    <n v="4"/>
    <n v="9600"/>
    <n v="0.05"/>
    <n v="9120"/>
    <n v="0.95"/>
    <s v="Medium"/>
  </r>
  <r>
    <s v="ORD1942"/>
    <d v="2022-08-10T00:00:00"/>
    <x v="2"/>
    <x v="7"/>
    <x v="1"/>
    <s v="Study Table"/>
    <x v="1"/>
    <x v="1"/>
    <n v="4"/>
    <n v="4400"/>
    <n v="0.1"/>
    <n v="3960"/>
    <n v="0.9"/>
    <s v="Low"/>
  </r>
  <r>
    <s v="ORD1943"/>
    <d v="2022-08-11T00:00:00"/>
    <x v="2"/>
    <x v="7"/>
    <x v="1"/>
    <s v="Wooden Bookshelf"/>
    <x v="2"/>
    <x v="1"/>
    <n v="7"/>
    <n v="10200"/>
    <n v="0.15000000000000002"/>
    <n v="8670"/>
    <n v="0.85"/>
    <s v="High"/>
  </r>
  <r>
    <s v="ORD1944"/>
    <d v="2022-08-12T00:00:00"/>
    <x v="2"/>
    <x v="7"/>
    <x v="1"/>
    <s v="Computer Desk"/>
    <x v="3"/>
    <x v="1"/>
    <n v="2"/>
    <n v="8600"/>
    <n v="0.2"/>
    <n v="6880"/>
    <n v="0.8"/>
    <s v="Medium"/>
  </r>
  <r>
    <s v="ORD1945"/>
    <d v="2022-08-13T00:00:00"/>
    <x v="2"/>
    <x v="7"/>
    <x v="1"/>
    <s v="Filing Cabinet"/>
    <x v="0"/>
    <x v="1"/>
    <n v="1"/>
    <n v="10400"/>
    <n v="0.25"/>
    <n v="7800"/>
    <n v="0.75"/>
    <s v="High"/>
  </r>
  <r>
    <s v="ORD1946"/>
    <d v="2022-08-14T00:00:00"/>
    <x v="2"/>
    <x v="7"/>
    <x v="1"/>
    <s v="Visitor Chair"/>
    <x v="1"/>
    <x v="1"/>
    <n v="5"/>
    <n v="12000"/>
    <n v="0.05"/>
    <n v="11400"/>
    <n v="0.95"/>
    <s v="High"/>
  </r>
  <r>
    <s v="ORD1947"/>
    <d v="2022-08-15T00:00:00"/>
    <x v="2"/>
    <x v="7"/>
    <x v="1"/>
    <s v="Conference Table"/>
    <x v="2"/>
    <x v="1"/>
    <n v="4"/>
    <n v="12400"/>
    <n v="0.1"/>
    <n v="11160"/>
    <n v="0.9"/>
    <s v="High"/>
  </r>
  <r>
    <s v="ORD1948"/>
    <d v="2022-08-16T00:00:00"/>
    <x v="2"/>
    <x v="7"/>
    <x v="1"/>
    <s v="Drawer Unit"/>
    <x v="3"/>
    <x v="1"/>
    <n v="1"/>
    <n v="14700"/>
    <n v="0.15000000000000002"/>
    <n v="12495"/>
    <n v="0.85"/>
    <s v="High"/>
  </r>
  <r>
    <s v="ORD1949"/>
    <d v="2022-08-17T00:00:00"/>
    <x v="2"/>
    <x v="7"/>
    <x v="1"/>
    <s v="Ergonomic Stool"/>
    <x v="0"/>
    <x v="1"/>
    <n v="10"/>
    <n v="13400"/>
    <n v="0.2"/>
    <n v="10720"/>
    <n v="0.8"/>
    <s v="High"/>
  </r>
  <r>
    <s v="ORD1950"/>
    <d v="2022-08-18T00:00:00"/>
    <x v="2"/>
    <x v="7"/>
    <x v="1"/>
    <s v="Office Sofa"/>
    <x v="1"/>
    <x v="1"/>
    <n v="1"/>
    <n v="9000"/>
    <n v="0.25"/>
    <n v="6750"/>
    <n v="0.75"/>
    <s v="Medium"/>
  </r>
  <r>
    <s v="ORD1951"/>
    <d v="2022-08-19T00:00:00"/>
    <x v="2"/>
    <x v="7"/>
    <x v="2"/>
    <s v="Ball Pen Pack"/>
    <x v="2"/>
    <x v="2"/>
    <n v="2"/>
    <n v="5100"/>
    <n v="0.05"/>
    <n v="4845"/>
    <n v="0.95"/>
    <s v="Medium"/>
  </r>
  <r>
    <s v="ORD1952"/>
    <d v="2022-08-20T00:00:00"/>
    <x v="2"/>
    <x v="7"/>
    <x v="2"/>
    <s v="Notebook"/>
    <x v="3"/>
    <x v="2"/>
    <n v="5"/>
    <n v="14000"/>
    <n v="0.1"/>
    <n v="12600"/>
    <n v="0.9"/>
    <s v="High"/>
  </r>
  <r>
    <s v="ORD1953"/>
    <d v="2022-08-21T00:00:00"/>
    <x v="2"/>
    <x v="7"/>
    <x v="2"/>
    <s v="Printer Paper Ream"/>
    <x v="0"/>
    <x v="2"/>
    <n v="10"/>
    <n v="11900"/>
    <n v="0.15000000000000002"/>
    <n v="10115"/>
    <n v="0.85"/>
    <s v="High"/>
  </r>
  <r>
    <s v="ORD1954"/>
    <d v="2022-08-22T00:00:00"/>
    <x v="2"/>
    <x v="7"/>
    <x v="2"/>
    <s v="Stapler"/>
    <x v="1"/>
    <x v="2"/>
    <n v="6"/>
    <n v="9000"/>
    <n v="0.2"/>
    <n v="7200"/>
    <n v="0.8"/>
    <s v="Medium"/>
  </r>
  <r>
    <s v="ORD1955"/>
    <d v="2022-08-23T00:00:00"/>
    <x v="2"/>
    <x v="7"/>
    <x v="2"/>
    <s v="Paper Clips Box"/>
    <x v="2"/>
    <x v="2"/>
    <n v="7"/>
    <n v="4800"/>
    <n v="0.25"/>
    <n v="3600"/>
    <n v="0.75"/>
    <s v="Low"/>
  </r>
  <r>
    <s v="ORD1956"/>
    <d v="2022-08-24T00:00:00"/>
    <x v="2"/>
    <x v="7"/>
    <x v="2"/>
    <s v="Highlighter Set"/>
    <x v="3"/>
    <x v="2"/>
    <n v="10"/>
    <n v="7400"/>
    <n v="0.05"/>
    <n v="7030"/>
    <n v="0.95"/>
    <s v="Medium"/>
  </r>
  <r>
    <s v="ORD1957"/>
    <d v="2022-08-25T00:00:00"/>
    <x v="2"/>
    <x v="7"/>
    <x v="2"/>
    <s v="Desk Organizer"/>
    <x v="0"/>
    <x v="2"/>
    <n v="6"/>
    <n v="4200"/>
    <n v="0.1"/>
    <n v="3780"/>
    <n v="0.9"/>
    <s v="Low"/>
  </r>
  <r>
    <s v="ORD1958"/>
    <d v="2022-08-26T00:00:00"/>
    <x v="2"/>
    <x v="7"/>
    <x v="2"/>
    <s v="Calculator"/>
    <x v="1"/>
    <x v="2"/>
    <n v="1"/>
    <n v="8700"/>
    <n v="0.15000000000000002"/>
    <n v="7395"/>
    <n v="0.85"/>
    <s v="Medium"/>
  </r>
  <r>
    <s v="ORD1959"/>
    <d v="2022-08-27T00:00:00"/>
    <x v="2"/>
    <x v="7"/>
    <x v="2"/>
    <s v="Sticky Notes"/>
    <x v="2"/>
    <x v="2"/>
    <n v="9"/>
    <n v="14700"/>
    <n v="0.2"/>
    <n v="11760"/>
    <n v="0.8"/>
    <s v="High"/>
  </r>
  <r>
    <s v="ORD1960"/>
    <d v="2022-08-28T00:00:00"/>
    <x v="2"/>
    <x v="7"/>
    <x v="2"/>
    <s v="Whiteboard Marker"/>
    <x v="3"/>
    <x v="2"/>
    <n v="9"/>
    <n v="9500"/>
    <n v="0.25"/>
    <n v="7125"/>
    <n v="0.75"/>
    <s v="Medium"/>
  </r>
  <r>
    <s v="ORD1961"/>
    <d v="2022-08-29T00:00:00"/>
    <x v="2"/>
    <x v="7"/>
    <x v="0"/>
    <s v="Bluetooth Speaker"/>
    <x v="0"/>
    <x v="0"/>
    <n v="1"/>
    <n v="12600"/>
    <n v="0.05"/>
    <n v="11970"/>
    <n v="0.95"/>
    <s v="High"/>
  </r>
  <r>
    <s v="ORD1962"/>
    <d v="2022-08-30T00:00:00"/>
    <x v="2"/>
    <x v="7"/>
    <x v="0"/>
    <s v="Wireless Mouse"/>
    <x v="1"/>
    <x v="0"/>
    <n v="6"/>
    <n v="9500"/>
    <n v="0.1"/>
    <n v="8550"/>
    <n v="0.9"/>
    <s v="Medium"/>
  </r>
  <r>
    <s v="ORD1963"/>
    <d v="2022-08-31T00:00:00"/>
    <x v="2"/>
    <x v="7"/>
    <x v="0"/>
    <s v="Keyboard"/>
    <x v="2"/>
    <x v="0"/>
    <n v="1"/>
    <n v="4300"/>
    <n v="0.15000000000000002"/>
    <n v="3655"/>
    <n v="0.85"/>
    <s v="Low"/>
  </r>
  <r>
    <s v="ORD1964"/>
    <d v="2022-09-01T00:00:00"/>
    <x v="2"/>
    <x v="8"/>
    <x v="0"/>
    <s v="Laptop Stand"/>
    <x v="3"/>
    <x v="0"/>
    <n v="8"/>
    <n v="12700"/>
    <n v="0.2"/>
    <n v="10160"/>
    <n v="0.8"/>
    <s v="High"/>
  </r>
  <r>
    <s v="ORD1965"/>
    <d v="2022-09-02T00:00:00"/>
    <x v="2"/>
    <x v="8"/>
    <x v="0"/>
    <s v="USB Flash Drive"/>
    <x v="0"/>
    <x v="0"/>
    <n v="1"/>
    <n v="11600"/>
    <n v="0.25"/>
    <n v="8700"/>
    <n v="0.75"/>
    <s v="High"/>
  </r>
  <r>
    <s v="ORD1966"/>
    <d v="2022-09-03T00:00:00"/>
    <x v="2"/>
    <x v="8"/>
    <x v="0"/>
    <s v="External Hard Disk"/>
    <x v="1"/>
    <x v="0"/>
    <n v="2"/>
    <n v="12000"/>
    <n v="0.05"/>
    <n v="11400"/>
    <n v="0.95"/>
    <s v="High"/>
  </r>
  <r>
    <s v="ORD1967"/>
    <d v="2022-09-04T00:00:00"/>
    <x v="2"/>
    <x v="8"/>
    <x v="0"/>
    <s v="Webcam"/>
    <x v="2"/>
    <x v="0"/>
    <n v="8"/>
    <n v="11600"/>
    <n v="0.1"/>
    <n v="10440"/>
    <n v="0.9"/>
    <s v="High"/>
  </r>
  <r>
    <s v="ORD1968"/>
    <d v="2022-09-05T00:00:00"/>
    <x v="2"/>
    <x v="8"/>
    <x v="0"/>
    <s v="Noise Cancelling Headphones"/>
    <x v="3"/>
    <x v="0"/>
    <n v="10"/>
    <n v="9500"/>
    <n v="0.15000000000000002"/>
    <n v="8075"/>
    <n v="0.85"/>
    <s v="Medium"/>
  </r>
  <r>
    <s v="ORD1969"/>
    <d v="2022-09-06T00:00:00"/>
    <x v="2"/>
    <x v="8"/>
    <x v="0"/>
    <s v="Smart Watch"/>
    <x v="0"/>
    <x v="0"/>
    <n v="7"/>
    <n v="12100"/>
    <n v="0.2"/>
    <n v="9680"/>
    <n v="0.8"/>
    <s v="High"/>
  </r>
  <r>
    <s v="ORD1970"/>
    <d v="2022-09-07T00:00:00"/>
    <x v="2"/>
    <x v="8"/>
    <x v="0"/>
    <s v="Portable Power Bank"/>
    <x v="1"/>
    <x v="0"/>
    <n v="8"/>
    <n v="6700"/>
    <n v="0.25"/>
    <n v="5025"/>
    <n v="0.75"/>
    <s v="Medium"/>
  </r>
  <r>
    <s v="ORD1971"/>
    <d v="2022-09-08T00:00:00"/>
    <x v="2"/>
    <x v="8"/>
    <x v="1"/>
    <s v="Office Chair"/>
    <x v="2"/>
    <x v="1"/>
    <n v="5"/>
    <n v="7100"/>
    <n v="0.05"/>
    <n v="6745"/>
    <n v="0.95"/>
    <s v="Medium"/>
  </r>
  <r>
    <s v="ORD1972"/>
    <d v="2022-09-09T00:00:00"/>
    <x v="2"/>
    <x v="8"/>
    <x v="1"/>
    <s v="Study Table"/>
    <x v="3"/>
    <x v="1"/>
    <n v="8"/>
    <n v="12700"/>
    <n v="0.1"/>
    <n v="11430"/>
    <n v="0.9"/>
    <s v="High"/>
  </r>
  <r>
    <s v="ORD1973"/>
    <d v="2022-09-10T00:00:00"/>
    <x v="2"/>
    <x v="8"/>
    <x v="1"/>
    <s v="Wooden Bookshelf"/>
    <x v="0"/>
    <x v="1"/>
    <n v="1"/>
    <n v="5400"/>
    <n v="0.15000000000000002"/>
    <n v="4590"/>
    <n v="0.85"/>
    <s v="Medium"/>
  </r>
  <r>
    <s v="ORD1974"/>
    <d v="2022-09-11T00:00:00"/>
    <x v="2"/>
    <x v="8"/>
    <x v="1"/>
    <s v="Computer Desk"/>
    <x v="1"/>
    <x v="1"/>
    <n v="2"/>
    <n v="9200"/>
    <n v="0.2"/>
    <n v="7360"/>
    <n v="0.8"/>
    <s v="Medium"/>
  </r>
  <r>
    <s v="ORD1975"/>
    <d v="2022-09-12T00:00:00"/>
    <x v="2"/>
    <x v="8"/>
    <x v="1"/>
    <s v="Filing Cabinet"/>
    <x v="2"/>
    <x v="1"/>
    <n v="4"/>
    <n v="5000"/>
    <n v="0.25"/>
    <n v="3750"/>
    <n v="0.75"/>
    <s v="Low"/>
  </r>
  <r>
    <s v="ORD1976"/>
    <d v="2022-09-13T00:00:00"/>
    <x v="2"/>
    <x v="8"/>
    <x v="1"/>
    <s v="Visitor Chair"/>
    <x v="3"/>
    <x v="1"/>
    <n v="4"/>
    <n v="11600"/>
    <n v="0.05"/>
    <n v="11020"/>
    <n v="0.95"/>
    <s v="High"/>
  </r>
  <r>
    <s v="ORD1977"/>
    <d v="2022-09-14T00:00:00"/>
    <x v="2"/>
    <x v="8"/>
    <x v="1"/>
    <s v="Conference Table"/>
    <x v="0"/>
    <x v="1"/>
    <n v="9"/>
    <n v="9000"/>
    <n v="0.1"/>
    <n v="8100"/>
    <n v="0.9"/>
    <s v="Medium"/>
  </r>
  <r>
    <s v="ORD1978"/>
    <d v="2022-09-15T00:00:00"/>
    <x v="2"/>
    <x v="8"/>
    <x v="1"/>
    <s v="Drawer Unit"/>
    <x v="1"/>
    <x v="1"/>
    <n v="8"/>
    <n v="11700"/>
    <n v="0.15000000000000002"/>
    <n v="9945"/>
    <n v="0.85"/>
    <s v="High"/>
  </r>
  <r>
    <s v="ORD1979"/>
    <d v="2022-09-16T00:00:00"/>
    <x v="2"/>
    <x v="8"/>
    <x v="1"/>
    <s v="Ergonomic Stool"/>
    <x v="2"/>
    <x v="1"/>
    <n v="10"/>
    <n v="14400"/>
    <n v="0.2"/>
    <n v="11520"/>
    <n v="0.8"/>
    <s v="High"/>
  </r>
  <r>
    <s v="ORD1980"/>
    <d v="2022-09-17T00:00:00"/>
    <x v="2"/>
    <x v="8"/>
    <x v="1"/>
    <s v="Office Sofa"/>
    <x v="3"/>
    <x v="1"/>
    <n v="9"/>
    <n v="8800"/>
    <n v="0.25"/>
    <n v="6600"/>
    <n v="0.75"/>
    <s v="Medium"/>
  </r>
  <r>
    <s v="ORD1981"/>
    <d v="2022-09-18T00:00:00"/>
    <x v="2"/>
    <x v="8"/>
    <x v="2"/>
    <s v="Ball Pen Pack"/>
    <x v="0"/>
    <x v="2"/>
    <n v="10"/>
    <n v="8700"/>
    <n v="0.05"/>
    <n v="8265"/>
    <n v="0.95"/>
    <s v="Medium"/>
  </r>
  <r>
    <s v="ORD1982"/>
    <d v="2022-09-19T00:00:00"/>
    <x v="2"/>
    <x v="8"/>
    <x v="2"/>
    <s v="Notebook"/>
    <x v="1"/>
    <x v="2"/>
    <n v="5"/>
    <n v="13900"/>
    <n v="0.1"/>
    <n v="12510"/>
    <n v="0.9"/>
    <s v="High"/>
  </r>
  <r>
    <s v="ORD1983"/>
    <d v="2022-09-20T00:00:00"/>
    <x v="2"/>
    <x v="8"/>
    <x v="2"/>
    <s v="Printer Paper Ream"/>
    <x v="2"/>
    <x v="2"/>
    <n v="2"/>
    <n v="14000"/>
    <n v="0.15000000000000002"/>
    <n v="11900"/>
    <n v="0.85"/>
    <s v="High"/>
  </r>
  <r>
    <s v="ORD1984"/>
    <d v="2022-09-21T00:00:00"/>
    <x v="2"/>
    <x v="8"/>
    <x v="2"/>
    <s v="Stapler"/>
    <x v="3"/>
    <x v="2"/>
    <n v="7"/>
    <n v="6500"/>
    <n v="0.2"/>
    <n v="5200"/>
    <n v="0.8"/>
    <s v="Medium"/>
  </r>
  <r>
    <s v="ORD1985"/>
    <d v="2022-09-22T00:00:00"/>
    <x v="2"/>
    <x v="8"/>
    <x v="2"/>
    <s v="Paper Clips Box"/>
    <x v="0"/>
    <x v="2"/>
    <n v="9"/>
    <n v="6500"/>
    <n v="0.25"/>
    <n v="4875"/>
    <n v="0.75"/>
    <s v="Medium"/>
  </r>
  <r>
    <s v="ORD1986"/>
    <d v="2022-09-23T00:00:00"/>
    <x v="2"/>
    <x v="8"/>
    <x v="2"/>
    <s v="Highlighter Set"/>
    <x v="1"/>
    <x v="2"/>
    <n v="8"/>
    <n v="12700"/>
    <n v="0.05"/>
    <n v="12065"/>
    <n v="0.95"/>
    <s v="High"/>
  </r>
  <r>
    <s v="ORD1987"/>
    <d v="2022-09-24T00:00:00"/>
    <x v="2"/>
    <x v="8"/>
    <x v="2"/>
    <s v="Desk Organizer"/>
    <x v="2"/>
    <x v="2"/>
    <n v="9"/>
    <n v="13800"/>
    <n v="0.1"/>
    <n v="12420"/>
    <n v="0.9"/>
    <s v="High"/>
  </r>
  <r>
    <s v="ORD1988"/>
    <d v="2022-09-25T00:00:00"/>
    <x v="2"/>
    <x v="8"/>
    <x v="2"/>
    <s v="Calculator"/>
    <x v="3"/>
    <x v="2"/>
    <n v="1"/>
    <n v="5800"/>
    <n v="0.15000000000000002"/>
    <n v="4930"/>
    <n v="0.85"/>
    <s v="Medium"/>
  </r>
  <r>
    <s v="ORD1989"/>
    <d v="2022-09-26T00:00:00"/>
    <x v="2"/>
    <x v="8"/>
    <x v="2"/>
    <s v="Sticky Notes"/>
    <x v="0"/>
    <x v="2"/>
    <n v="3"/>
    <n v="13300"/>
    <n v="0.2"/>
    <n v="10640"/>
    <n v="0.8"/>
    <s v="High"/>
  </r>
  <r>
    <s v="ORD1990"/>
    <d v="2022-09-27T00:00:00"/>
    <x v="2"/>
    <x v="8"/>
    <x v="2"/>
    <s v="Whiteboard Marker"/>
    <x v="1"/>
    <x v="2"/>
    <n v="1"/>
    <n v="10800"/>
    <n v="0.25"/>
    <n v="8100"/>
    <n v="0.75"/>
    <s v="High"/>
  </r>
  <r>
    <s v="ORD1991"/>
    <d v="2022-09-28T00:00:00"/>
    <x v="2"/>
    <x v="8"/>
    <x v="0"/>
    <s v="Bluetooth Speaker"/>
    <x v="2"/>
    <x v="0"/>
    <n v="8"/>
    <n v="6700"/>
    <n v="0.05"/>
    <n v="6365"/>
    <n v="0.95"/>
    <s v="Medium"/>
  </r>
  <r>
    <s v="ORD1992"/>
    <d v="2022-09-29T00:00:00"/>
    <x v="2"/>
    <x v="8"/>
    <x v="0"/>
    <s v="Wireless Mouse"/>
    <x v="3"/>
    <x v="0"/>
    <n v="2"/>
    <n v="8600"/>
    <n v="0.1"/>
    <n v="7740"/>
    <n v="0.9"/>
    <s v="Medium"/>
  </r>
  <r>
    <s v="ORD1993"/>
    <d v="2022-09-30T00:00:00"/>
    <x v="2"/>
    <x v="8"/>
    <x v="0"/>
    <s v="Keyboard"/>
    <x v="0"/>
    <x v="0"/>
    <n v="2"/>
    <n v="12500"/>
    <n v="0.15000000000000002"/>
    <n v="10625"/>
    <n v="0.85"/>
    <s v="High"/>
  </r>
  <r>
    <s v="ORD1994"/>
    <d v="2022-10-01T00:00:00"/>
    <x v="2"/>
    <x v="9"/>
    <x v="0"/>
    <s v="Laptop Stand"/>
    <x v="1"/>
    <x v="0"/>
    <n v="3"/>
    <n v="14400"/>
    <n v="0.2"/>
    <n v="11520"/>
    <n v="0.8"/>
    <s v="High"/>
  </r>
  <r>
    <s v="ORD1995"/>
    <d v="2022-10-02T00:00:00"/>
    <x v="2"/>
    <x v="9"/>
    <x v="0"/>
    <s v="USB Flash Drive"/>
    <x v="2"/>
    <x v="0"/>
    <n v="1"/>
    <n v="8900"/>
    <n v="0.25"/>
    <n v="6675"/>
    <n v="0.75"/>
    <s v="Medium"/>
  </r>
  <r>
    <s v="ORD1996"/>
    <d v="2022-10-03T00:00:00"/>
    <x v="2"/>
    <x v="9"/>
    <x v="0"/>
    <s v="External Hard Disk"/>
    <x v="3"/>
    <x v="0"/>
    <n v="2"/>
    <n v="5100"/>
    <n v="0.05"/>
    <n v="4845"/>
    <n v="0.95"/>
    <s v="Medium"/>
  </r>
  <r>
    <s v="ORD1997"/>
    <d v="2022-10-04T00:00:00"/>
    <x v="2"/>
    <x v="9"/>
    <x v="0"/>
    <s v="Webcam"/>
    <x v="0"/>
    <x v="0"/>
    <n v="1"/>
    <n v="6500"/>
    <n v="0.1"/>
    <n v="5850"/>
    <n v="0.9"/>
    <s v="Medium"/>
  </r>
  <r>
    <s v="ORD1998"/>
    <d v="2022-10-05T00:00:00"/>
    <x v="2"/>
    <x v="9"/>
    <x v="0"/>
    <s v="Noise Cancelling Headphones"/>
    <x v="1"/>
    <x v="0"/>
    <n v="3"/>
    <n v="12500"/>
    <n v="0.15000000000000002"/>
    <n v="10625"/>
    <n v="0.85"/>
    <s v="High"/>
  </r>
  <r>
    <s v="ORD1999"/>
    <d v="2022-10-06T00:00:00"/>
    <x v="2"/>
    <x v="9"/>
    <x v="0"/>
    <s v="Smart Watch"/>
    <x v="2"/>
    <x v="0"/>
    <n v="9"/>
    <n v="13100"/>
    <n v="0.2"/>
    <n v="10480"/>
    <n v="0.8"/>
    <s v="High"/>
  </r>
  <r>
    <s v="ORD2000"/>
    <d v="2022-10-07T00:00:00"/>
    <x v="2"/>
    <x v="9"/>
    <x v="0"/>
    <s v="Portable Power Bank"/>
    <x v="3"/>
    <x v="0"/>
    <n v="5"/>
    <n v="12200"/>
    <n v="0.25"/>
    <n v="9150"/>
    <n v="0.75"/>
    <s v="High"/>
  </r>
  <r>
    <s v="ORD2001"/>
    <d v="2022-10-08T00:00:00"/>
    <x v="2"/>
    <x v="9"/>
    <x v="1"/>
    <s v="Office Chair"/>
    <x v="0"/>
    <x v="1"/>
    <n v="2"/>
    <n v="4800"/>
    <n v="0.05"/>
    <n v="4560"/>
    <n v="0.95"/>
    <s v="Low"/>
  </r>
  <r>
    <s v="ORD2002"/>
    <d v="2022-10-09T00:00:00"/>
    <x v="2"/>
    <x v="9"/>
    <x v="1"/>
    <s v="Study Table"/>
    <x v="1"/>
    <x v="1"/>
    <n v="5"/>
    <n v="7000"/>
    <n v="0.1"/>
    <n v="6300"/>
    <n v="0.9"/>
    <s v="Medium"/>
  </r>
  <r>
    <s v="ORD2003"/>
    <d v="2022-10-10T00:00:00"/>
    <x v="2"/>
    <x v="9"/>
    <x v="1"/>
    <s v="Wooden Bookshelf"/>
    <x v="2"/>
    <x v="1"/>
    <n v="10"/>
    <n v="9700"/>
    <n v="0.15000000000000002"/>
    <n v="8245"/>
    <n v="0.85"/>
    <s v="Medium"/>
  </r>
  <r>
    <s v="ORD2004"/>
    <d v="2022-10-11T00:00:00"/>
    <x v="2"/>
    <x v="9"/>
    <x v="1"/>
    <s v="Computer Desk"/>
    <x v="3"/>
    <x v="1"/>
    <n v="5"/>
    <n v="14300"/>
    <n v="0.2"/>
    <n v="11440"/>
    <n v="0.8"/>
    <s v="High"/>
  </r>
  <r>
    <s v="ORD2005"/>
    <d v="2022-10-12T00:00:00"/>
    <x v="2"/>
    <x v="9"/>
    <x v="1"/>
    <s v="Filing Cabinet"/>
    <x v="0"/>
    <x v="1"/>
    <n v="9"/>
    <n v="13000"/>
    <n v="0.25"/>
    <n v="9750"/>
    <n v="0.75"/>
    <s v="High"/>
  </r>
  <r>
    <s v="ORD2006"/>
    <d v="2022-10-13T00:00:00"/>
    <x v="2"/>
    <x v="9"/>
    <x v="1"/>
    <s v="Visitor Chair"/>
    <x v="1"/>
    <x v="1"/>
    <n v="10"/>
    <n v="8600"/>
    <n v="0.05"/>
    <n v="8170"/>
    <n v="0.95"/>
    <s v="Medium"/>
  </r>
  <r>
    <s v="ORD2007"/>
    <d v="2022-10-14T00:00:00"/>
    <x v="2"/>
    <x v="9"/>
    <x v="1"/>
    <s v="Conference Table"/>
    <x v="2"/>
    <x v="1"/>
    <n v="3"/>
    <n v="8400"/>
    <n v="0.1"/>
    <n v="7560"/>
    <n v="0.9"/>
    <s v="Medium"/>
  </r>
  <r>
    <s v="ORD2008"/>
    <d v="2022-10-15T00:00:00"/>
    <x v="2"/>
    <x v="9"/>
    <x v="1"/>
    <s v="Drawer Unit"/>
    <x v="3"/>
    <x v="1"/>
    <n v="8"/>
    <n v="6800"/>
    <n v="0.15000000000000002"/>
    <n v="5780"/>
    <n v="0.85"/>
    <s v="Medium"/>
  </r>
  <r>
    <s v="ORD2009"/>
    <d v="2022-10-16T00:00:00"/>
    <x v="2"/>
    <x v="9"/>
    <x v="1"/>
    <s v="Ergonomic Stool"/>
    <x v="0"/>
    <x v="1"/>
    <n v="1"/>
    <n v="6100"/>
    <n v="0.2"/>
    <n v="4880"/>
    <n v="0.8"/>
    <s v="Medium"/>
  </r>
  <r>
    <s v="ORD2010"/>
    <d v="2022-10-17T00:00:00"/>
    <x v="2"/>
    <x v="9"/>
    <x v="1"/>
    <s v="Office Sofa"/>
    <x v="1"/>
    <x v="1"/>
    <n v="3"/>
    <n v="8100"/>
    <n v="0.25"/>
    <n v="6075"/>
    <n v="0.75"/>
    <s v="Medium"/>
  </r>
  <r>
    <s v="ORD2011"/>
    <d v="2022-10-18T00:00:00"/>
    <x v="2"/>
    <x v="9"/>
    <x v="2"/>
    <s v="Ball Pen Pack"/>
    <x v="2"/>
    <x v="2"/>
    <n v="1"/>
    <n v="14800"/>
    <n v="0.05"/>
    <n v="14060"/>
    <n v="0.95"/>
    <s v="High"/>
  </r>
  <r>
    <s v="ORD2012"/>
    <d v="2022-10-19T00:00:00"/>
    <x v="2"/>
    <x v="9"/>
    <x v="2"/>
    <s v="Notebook"/>
    <x v="3"/>
    <x v="2"/>
    <n v="7"/>
    <n v="7000"/>
    <n v="0.1"/>
    <n v="6300"/>
    <n v="0.9"/>
    <s v="Medium"/>
  </r>
  <r>
    <s v="ORD2013"/>
    <d v="2022-10-20T00:00:00"/>
    <x v="2"/>
    <x v="9"/>
    <x v="2"/>
    <s v="Printer Paper Ream"/>
    <x v="0"/>
    <x v="2"/>
    <n v="2"/>
    <n v="6500"/>
    <n v="0.15000000000000002"/>
    <n v="5525"/>
    <n v="0.85"/>
    <s v="Medium"/>
  </r>
  <r>
    <s v="ORD2014"/>
    <d v="2022-10-21T00:00:00"/>
    <x v="2"/>
    <x v="9"/>
    <x v="2"/>
    <s v="Stapler"/>
    <x v="1"/>
    <x v="2"/>
    <n v="5"/>
    <n v="6600"/>
    <n v="0.2"/>
    <n v="5280"/>
    <n v="0.8"/>
    <s v="Medium"/>
  </r>
  <r>
    <s v="ORD2015"/>
    <d v="2022-10-22T00:00:00"/>
    <x v="2"/>
    <x v="9"/>
    <x v="2"/>
    <s v="Paper Clips Box"/>
    <x v="2"/>
    <x v="2"/>
    <n v="5"/>
    <n v="4900"/>
    <n v="0.25"/>
    <n v="3675"/>
    <n v="0.75"/>
    <s v="Low"/>
  </r>
  <r>
    <s v="ORD2016"/>
    <d v="2022-10-23T00:00:00"/>
    <x v="2"/>
    <x v="9"/>
    <x v="2"/>
    <s v="Highlighter Set"/>
    <x v="3"/>
    <x v="2"/>
    <n v="6"/>
    <n v="11100"/>
    <n v="0.05"/>
    <n v="10545"/>
    <n v="0.95"/>
    <s v="High"/>
  </r>
  <r>
    <s v="ORD2017"/>
    <d v="2022-10-24T00:00:00"/>
    <x v="2"/>
    <x v="9"/>
    <x v="2"/>
    <s v="Desk Organizer"/>
    <x v="0"/>
    <x v="2"/>
    <n v="1"/>
    <n v="13700"/>
    <n v="0.1"/>
    <n v="12330"/>
    <n v="0.9"/>
    <s v="High"/>
  </r>
  <r>
    <s v="ORD2018"/>
    <d v="2022-10-25T00:00:00"/>
    <x v="2"/>
    <x v="9"/>
    <x v="2"/>
    <s v="Calculator"/>
    <x v="1"/>
    <x v="2"/>
    <n v="6"/>
    <n v="11900"/>
    <n v="0.15000000000000002"/>
    <n v="10115"/>
    <n v="0.85"/>
    <s v="High"/>
  </r>
  <r>
    <s v="ORD2019"/>
    <d v="2022-10-26T00:00:00"/>
    <x v="2"/>
    <x v="9"/>
    <x v="2"/>
    <s v="Sticky Notes"/>
    <x v="2"/>
    <x v="2"/>
    <n v="6"/>
    <n v="6100"/>
    <n v="0.2"/>
    <n v="4880"/>
    <n v="0.8"/>
    <s v="Medium"/>
  </r>
  <r>
    <s v="ORD2020"/>
    <d v="2022-10-27T00:00:00"/>
    <x v="2"/>
    <x v="9"/>
    <x v="2"/>
    <s v="Whiteboard Marker"/>
    <x v="3"/>
    <x v="2"/>
    <n v="3"/>
    <n v="8900"/>
    <n v="0.25"/>
    <n v="6675"/>
    <n v="0.75"/>
    <s v="Medium"/>
  </r>
  <r>
    <s v="ORD2021"/>
    <d v="2022-10-28T00:00:00"/>
    <x v="2"/>
    <x v="9"/>
    <x v="0"/>
    <s v="Bluetooth Speaker"/>
    <x v="0"/>
    <x v="0"/>
    <n v="6"/>
    <n v="9400"/>
    <n v="0.05"/>
    <n v="8930"/>
    <n v="0.95"/>
    <s v="Medium"/>
  </r>
  <r>
    <s v="ORD2022"/>
    <d v="2022-10-29T00:00:00"/>
    <x v="2"/>
    <x v="9"/>
    <x v="0"/>
    <s v="Wireless Mouse"/>
    <x v="1"/>
    <x v="0"/>
    <n v="9"/>
    <n v="8500"/>
    <n v="0.1"/>
    <n v="7650"/>
    <n v="0.9"/>
    <s v="Medium"/>
  </r>
  <r>
    <s v="ORD2023"/>
    <d v="2022-10-30T00:00:00"/>
    <x v="2"/>
    <x v="9"/>
    <x v="0"/>
    <s v="Keyboard"/>
    <x v="2"/>
    <x v="0"/>
    <n v="9"/>
    <n v="11300"/>
    <n v="0.15000000000000002"/>
    <n v="9605"/>
    <n v="0.85"/>
    <s v="High"/>
  </r>
  <r>
    <s v="ORD2024"/>
    <d v="2022-10-31T00:00:00"/>
    <x v="2"/>
    <x v="9"/>
    <x v="0"/>
    <s v="Laptop Stand"/>
    <x v="3"/>
    <x v="0"/>
    <n v="1"/>
    <n v="5900"/>
    <n v="0.2"/>
    <n v="4720"/>
    <n v="0.8"/>
    <s v="Medium"/>
  </r>
  <r>
    <s v="ORD2025"/>
    <d v="2022-11-01T00:00:00"/>
    <x v="2"/>
    <x v="10"/>
    <x v="0"/>
    <s v="USB Flash Drive"/>
    <x v="0"/>
    <x v="0"/>
    <n v="7"/>
    <n v="10200"/>
    <n v="0.25"/>
    <n v="7650"/>
    <n v="0.75"/>
    <s v="High"/>
  </r>
  <r>
    <s v="ORD2026"/>
    <d v="2022-11-02T00:00:00"/>
    <x v="2"/>
    <x v="10"/>
    <x v="0"/>
    <s v="External Hard Disk"/>
    <x v="1"/>
    <x v="0"/>
    <n v="5"/>
    <n v="6600"/>
    <n v="0.05"/>
    <n v="6270"/>
    <n v="0.95"/>
    <s v="Medium"/>
  </r>
  <r>
    <s v="ORD2027"/>
    <d v="2022-11-03T00:00:00"/>
    <x v="2"/>
    <x v="10"/>
    <x v="0"/>
    <s v="Webcam"/>
    <x v="2"/>
    <x v="0"/>
    <n v="1"/>
    <n v="7500"/>
    <n v="0.1"/>
    <n v="6750"/>
    <n v="0.9"/>
    <s v="Medium"/>
  </r>
  <r>
    <s v="ORD2028"/>
    <d v="2022-11-04T00:00:00"/>
    <x v="2"/>
    <x v="10"/>
    <x v="0"/>
    <s v="Noise Cancelling Headphones"/>
    <x v="3"/>
    <x v="0"/>
    <n v="5"/>
    <n v="13500"/>
    <n v="0.15000000000000002"/>
    <n v="11475"/>
    <n v="0.85"/>
    <s v="High"/>
  </r>
  <r>
    <s v="ORD2029"/>
    <d v="2022-11-05T00:00:00"/>
    <x v="2"/>
    <x v="10"/>
    <x v="0"/>
    <s v="Smart Watch"/>
    <x v="0"/>
    <x v="0"/>
    <n v="4"/>
    <n v="5700"/>
    <n v="0.2"/>
    <n v="4560"/>
    <n v="0.8"/>
    <s v="Medium"/>
  </r>
  <r>
    <s v="ORD2030"/>
    <d v="2022-11-06T00:00:00"/>
    <x v="2"/>
    <x v="10"/>
    <x v="0"/>
    <s v="Portable Power Bank"/>
    <x v="1"/>
    <x v="0"/>
    <n v="2"/>
    <n v="12000"/>
    <n v="0.25"/>
    <n v="9000"/>
    <n v="0.75"/>
    <s v="High"/>
  </r>
  <r>
    <s v="ORD2031"/>
    <d v="2022-11-07T00:00:00"/>
    <x v="2"/>
    <x v="10"/>
    <x v="1"/>
    <s v="Office Chair"/>
    <x v="2"/>
    <x v="1"/>
    <n v="1"/>
    <n v="5400"/>
    <n v="0.05"/>
    <n v="5130"/>
    <n v="0.95"/>
    <s v="Medium"/>
  </r>
  <r>
    <s v="ORD2032"/>
    <d v="2022-11-08T00:00:00"/>
    <x v="2"/>
    <x v="10"/>
    <x v="1"/>
    <s v="Study Table"/>
    <x v="3"/>
    <x v="1"/>
    <n v="9"/>
    <n v="11300"/>
    <n v="0.1"/>
    <n v="10170"/>
    <n v="0.9"/>
    <s v="High"/>
  </r>
  <r>
    <s v="ORD2033"/>
    <d v="2022-11-09T00:00:00"/>
    <x v="2"/>
    <x v="10"/>
    <x v="1"/>
    <s v="Wooden Bookshelf"/>
    <x v="0"/>
    <x v="1"/>
    <n v="7"/>
    <n v="4100"/>
    <n v="0.15000000000000002"/>
    <n v="3485"/>
    <n v="0.85"/>
    <s v="Low"/>
  </r>
  <r>
    <s v="ORD2034"/>
    <d v="2022-11-10T00:00:00"/>
    <x v="2"/>
    <x v="10"/>
    <x v="1"/>
    <s v="Computer Desk"/>
    <x v="1"/>
    <x v="1"/>
    <n v="9"/>
    <n v="11500"/>
    <n v="0.2"/>
    <n v="9200"/>
    <n v="0.8"/>
    <s v="High"/>
  </r>
  <r>
    <s v="ORD2035"/>
    <d v="2022-11-11T00:00:00"/>
    <x v="2"/>
    <x v="10"/>
    <x v="1"/>
    <s v="Filing Cabinet"/>
    <x v="2"/>
    <x v="1"/>
    <n v="9"/>
    <n v="4200"/>
    <n v="0.25"/>
    <n v="3150"/>
    <n v="0.75"/>
    <s v="Low"/>
  </r>
  <r>
    <s v="ORD2036"/>
    <d v="2022-11-12T00:00:00"/>
    <x v="2"/>
    <x v="10"/>
    <x v="1"/>
    <s v="Visitor Chair"/>
    <x v="3"/>
    <x v="1"/>
    <n v="4"/>
    <n v="5700"/>
    <n v="0.05"/>
    <n v="5415"/>
    <n v="0.95"/>
    <s v="Medium"/>
  </r>
  <r>
    <s v="ORD2037"/>
    <d v="2022-11-13T00:00:00"/>
    <x v="2"/>
    <x v="10"/>
    <x v="1"/>
    <s v="Conference Table"/>
    <x v="0"/>
    <x v="1"/>
    <n v="5"/>
    <n v="6800"/>
    <n v="0.1"/>
    <n v="6120"/>
    <n v="0.9"/>
    <s v="Medium"/>
  </r>
  <r>
    <s v="ORD2038"/>
    <d v="2022-11-14T00:00:00"/>
    <x v="2"/>
    <x v="10"/>
    <x v="1"/>
    <s v="Drawer Unit"/>
    <x v="1"/>
    <x v="1"/>
    <n v="1"/>
    <n v="4900"/>
    <n v="0.15000000000000002"/>
    <n v="4165"/>
    <n v="0.85"/>
    <s v="Low"/>
  </r>
  <r>
    <s v="ORD2039"/>
    <d v="2022-11-15T00:00:00"/>
    <x v="2"/>
    <x v="10"/>
    <x v="1"/>
    <s v="Ergonomic Stool"/>
    <x v="2"/>
    <x v="1"/>
    <n v="5"/>
    <n v="12800"/>
    <n v="0.2"/>
    <n v="10240"/>
    <n v="0.8"/>
    <s v="High"/>
  </r>
  <r>
    <s v="ORD2040"/>
    <d v="2022-11-16T00:00:00"/>
    <x v="2"/>
    <x v="10"/>
    <x v="1"/>
    <s v="Office Sofa"/>
    <x v="3"/>
    <x v="1"/>
    <n v="10"/>
    <n v="11000"/>
    <n v="0.25"/>
    <n v="8250"/>
    <n v="0.75"/>
    <s v="High"/>
  </r>
  <r>
    <s v="ORD2041"/>
    <d v="2022-11-17T00:00:00"/>
    <x v="2"/>
    <x v="10"/>
    <x v="2"/>
    <s v="Ball Pen Pack"/>
    <x v="0"/>
    <x v="2"/>
    <n v="8"/>
    <n v="10500"/>
    <n v="0.05"/>
    <n v="9975"/>
    <n v="0.95"/>
    <s v="High"/>
  </r>
  <r>
    <s v="ORD2042"/>
    <d v="2022-11-18T00:00:00"/>
    <x v="2"/>
    <x v="10"/>
    <x v="2"/>
    <s v="Notebook"/>
    <x v="1"/>
    <x v="2"/>
    <n v="10"/>
    <n v="12000"/>
    <n v="0.1"/>
    <n v="10800"/>
    <n v="0.9"/>
    <s v="High"/>
  </r>
  <r>
    <s v="ORD2043"/>
    <d v="2022-11-19T00:00:00"/>
    <x v="2"/>
    <x v="10"/>
    <x v="2"/>
    <s v="Printer Paper Ream"/>
    <x v="2"/>
    <x v="2"/>
    <n v="5"/>
    <n v="12900"/>
    <n v="0.15000000000000002"/>
    <n v="10965"/>
    <n v="0.85"/>
    <s v="High"/>
  </r>
  <r>
    <s v="ORD2044"/>
    <d v="2022-11-20T00:00:00"/>
    <x v="2"/>
    <x v="10"/>
    <x v="2"/>
    <s v="Stapler"/>
    <x v="3"/>
    <x v="2"/>
    <n v="7"/>
    <n v="8700"/>
    <n v="0.2"/>
    <n v="6960"/>
    <n v="0.8"/>
    <s v="Medium"/>
  </r>
  <r>
    <s v="ORD2045"/>
    <d v="2022-11-21T00:00:00"/>
    <x v="2"/>
    <x v="10"/>
    <x v="2"/>
    <s v="Paper Clips Box"/>
    <x v="0"/>
    <x v="2"/>
    <n v="9"/>
    <n v="4200"/>
    <n v="0.25"/>
    <n v="3150"/>
    <n v="0.75"/>
    <s v="Low"/>
  </r>
  <r>
    <s v="ORD2046"/>
    <d v="2022-11-22T00:00:00"/>
    <x v="2"/>
    <x v="10"/>
    <x v="2"/>
    <s v="Highlighter Set"/>
    <x v="1"/>
    <x v="2"/>
    <n v="8"/>
    <n v="7800"/>
    <n v="0.05"/>
    <n v="7410"/>
    <n v="0.95"/>
    <s v="Medium"/>
  </r>
  <r>
    <s v="ORD2047"/>
    <d v="2022-11-23T00:00:00"/>
    <x v="2"/>
    <x v="10"/>
    <x v="2"/>
    <s v="Desk Organizer"/>
    <x v="2"/>
    <x v="2"/>
    <n v="3"/>
    <n v="13500"/>
    <n v="0.1"/>
    <n v="12150"/>
    <n v="0.9"/>
    <s v="High"/>
  </r>
  <r>
    <s v="ORD2048"/>
    <d v="2022-11-24T00:00:00"/>
    <x v="2"/>
    <x v="10"/>
    <x v="2"/>
    <s v="Calculator"/>
    <x v="3"/>
    <x v="2"/>
    <n v="3"/>
    <n v="10800"/>
    <n v="0.15000000000000002"/>
    <n v="9180"/>
    <n v="0.85"/>
    <s v="High"/>
  </r>
  <r>
    <s v="ORD2049"/>
    <d v="2022-11-25T00:00:00"/>
    <x v="2"/>
    <x v="10"/>
    <x v="2"/>
    <s v="Sticky Notes"/>
    <x v="0"/>
    <x v="2"/>
    <n v="7"/>
    <n v="10500"/>
    <n v="0.2"/>
    <n v="8400"/>
    <n v="0.8"/>
    <s v="High"/>
  </r>
  <r>
    <s v="ORD2050"/>
    <d v="2022-11-26T00:00:00"/>
    <x v="2"/>
    <x v="10"/>
    <x v="2"/>
    <s v="Whiteboard Marker"/>
    <x v="1"/>
    <x v="2"/>
    <n v="8"/>
    <n v="13100"/>
    <n v="0.25"/>
    <n v="9825"/>
    <n v="0.75"/>
    <s v="High"/>
  </r>
  <r>
    <s v="ORD2051"/>
    <d v="2022-11-27T00:00:00"/>
    <x v="2"/>
    <x v="10"/>
    <x v="0"/>
    <s v="Bluetooth Speaker"/>
    <x v="2"/>
    <x v="0"/>
    <n v="2"/>
    <n v="11000"/>
    <n v="0.05"/>
    <n v="10450"/>
    <n v="0.95"/>
    <s v="High"/>
  </r>
  <r>
    <s v="ORD2052"/>
    <d v="2022-11-28T00:00:00"/>
    <x v="2"/>
    <x v="10"/>
    <x v="0"/>
    <s v="Wireless Mouse"/>
    <x v="3"/>
    <x v="0"/>
    <n v="9"/>
    <n v="11000"/>
    <n v="0.1"/>
    <n v="9900"/>
    <n v="0.9"/>
    <s v="High"/>
  </r>
  <r>
    <s v="ORD2053"/>
    <d v="2022-11-29T00:00:00"/>
    <x v="2"/>
    <x v="10"/>
    <x v="0"/>
    <s v="Keyboard"/>
    <x v="0"/>
    <x v="0"/>
    <n v="1"/>
    <n v="12100"/>
    <n v="0.15000000000000002"/>
    <n v="10285"/>
    <n v="0.85"/>
    <s v="High"/>
  </r>
  <r>
    <s v="ORD2054"/>
    <d v="2022-11-30T00:00:00"/>
    <x v="2"/>
    <x v="10"/>
    <x v="0"/>
    <s v="Laptop Stand"/>
    <x v="1"/>
    <x v="0"/>
    <n v="6"/>
    <n v="8400"/>
    <n v="0.2"/>
    <n v="6720"/>
    <n v="0.8"/>
    <s v="Medium"/>
  </r>
  <r>
    <s v="ORD2055"/>
    <d v="2022-12-01T00:00:00"/>
    <x v="2"/>
    <x v="11"/>
    <x v="0"/>
    <s v="USB Flash Drive"/>
    <x v="2"/>
    <x v="0"/>
    <n v="1"/>
    <n v="8300"/>
    <n v="0.25"/>
    <n v="6225"/>
    <n v="0.75"/>
    <s v="Medium"/>
  </r>
  <r>
    <s v="ORD2056"/>
    <d v="2022-12-02T00:00:00"/>
    <x v="2"/>
    <x v="11"/>
    <x v="0"/>
    <s v="External Hard Disk"/>
    <x v="3"/>
    <x v="0"/>
    <n v="5"/>
    <n v="14300"/>
    <n v="0.05"/>
    <n v="13585"/>
    <n v="0.95"/>
    <s v="High"/>
  </r>
  <r>
    <s v="ORD2057"/>
    <d v="2022-12-03T00:00:00"/>
    <x v="2"/>
    <x v="11"/>
    <x v="0"/>
    <s v="Webcam"/>
    <x v="0"/>
    <x v="0"/>
    <n v="6"/>
    <n v="9300"/>
    <n v="0.1"/>
    <n v="8370"/>
    <n v="0.9"/>
    <s v="Medium"/>
  </r>
  <r>
    <s v="ORD2058"/>
    <d v="2022-12-04T00:00:00"/>
    <x v="2"/>
    <x v="11"/>
    <x v="0"/>
    <s v="Noise Cancelling Headphones"/>
    <x v="1"/>
    <x v="0"/>
    <n v="6"/>
    <n v="11100"/>
    <n v="0.15000000000000002"/>
    <n v="9435"/>
    <n v="0.85"/>
    <s v="High"/>
  </r>
  <r>
    <s v="ORD2059"/>
    <d v="2022-12-05T00:00:00"/>
    <x v="2"/>
    <x v="11"/>
    <x v="0"/>
    <s v="Smart Watch"/>
    <x v="2"/>
    <x v="0"/>
    <n v="9"/>
    <n v="4600"/>
    <n v="0.2"/>
    <n v="3680"/>
    <n v="0.8"/>
    <s v="Low"/>
  </r>
  <r>
    <s v="ORD2060"/>
    <d v="2022-12-06T00:00:00"/>
    <x v="2"/>
    <x v="11"/>
    <x v="0"/>
    <s v="Portable Power Bank"/>
    <x v="3"/>
    <x v="0"/>
    <n v="6"/>
    <n v="10300"/>
    <n v="0.25"/>
    <n v="7725"/>
    <n v="0.75"/>
    <s v="High"/>
  </r>
  <r>
    <s v="ORD2061"/>
    <d v="2022-12-07T00:00:00"/>
    <x v="2"/>
    <x v="11"/>
    <x v="1"/>
    <s v="Office Chair"/>
    <x v="0"/>
    <x v="1"/>
    <n v="7"/>
    <n v="14800"/>
    <n v="0.05"/>
    <n v="14060"/>
    <n v="0.95"/>
    <s v="High"/>
  </r>
  <r>
    <s v="ORD2062"/>
    <d v="2022-12-08T00:00:00"/>
    <x v="2"/>
    <x v="11"/>
    <x v="1"/>
    <s v="Study Table"/>
    <x v="1"/>
    <x v="1"/>
    <n v="10"/>
    <n v="11400"/>
    <n v="0.1"/>
    <n v="10260"/>
    <n v="0.9"/>
    <s v="High"/>
  </r>
  <r>
    <s v="ORD2063"/>
    <d v="2022-12-09T00:00:00"/>
    <x v="2"/>
    <x v="11"/>
    <x v="1"/>
    <s v="Wooden Bookshelf"/>
    <x v="2"/>
    <x v="1"/>
    <n v="3"/>
    <n v="6800"/>
    <n v="0.15000000000000002"/>
    <n v="5780"/>
    <n v="0.85"/>
    <s v="Medium"/>
  </r>
  <r>
    <s v="ORD2064"/>
    <d v="2022-12-10T00:00:00"/>
    <x v="2"/>
    <x v="11"/>
    <x v="1"/>
    <s v="Computer Desk"/>
    <x v="3"/>
    <x v="1"/>
    <n v="4"/>
    <n v="8400"/>
    <n v="0.2"/>
    <n v="6720"/>
    <n v="0.8"/>
    <s v="Medium"/>
  </r>
  <r>
    <s v="ORD2065"/>
    <d v="2022-12-11T00:00:00"/>
    <x v="2"/>
    <x v="11"/>
    <x v="1"/>
    <s v="Filing Cabinet"/>
    <x v="0"/>
    <x v="1"/>
    <n v="8"/>
    <n v="12600"/>
    <n v="0.25"/>
    <n v="9450"/>
    <n v="0.75"/>
    <s v="High"/>
  </r>
  <r>
    <s v="ORD2066"/>
    <d v="2022-12-12T00:00:00"/>
    <x v="2"/>
    <x v="11"/>
    <x v="1"/>
    <s v="Visitor Chair"/>
    <x v="1"/>
    <x v="1"/>
    <n v="2"/>
    <n v="4900"/>
    <n v="0.05"/>
    <n v="4655"/>
    <n v="0.95"/>
    <s v="Low"/>
  </r>
  <r>
    <s v="ORD2067"/>
    <d v="2022-12-13T00:00:00"/>
    <x v="2"/>
    <x v="11"/>
    <x v="1"/>
    <s v="Conference Table"/>
    <x v="2"/>
    <x v="1"/>
    <n v="9"/>
    <n v="5200"/>
    <n v="0.1"/>
    <n v="4680"/>
    <n v="0.9"/>
    <s v="Medium"/>
  </r>
  <r>
    <s v="ORD2068"/>
    <d v="2022-12-14T00:00:00"/>
    <x v="2"/>
    <x v="11"/>
    <x v="1"/>
    <s v="Drawer Unit"/>
    <x v="3"/>
    <x v="1"/>
    <n v="9"/>
    <n v="12300"/>
    <n v="0.15000000000000002"/>
    <n v="10455"/>
    <n v="0.85"/>
    <s v="High"/>
  </r>
  <r>
    <s v="ORD2069"/>
    <d v="2022-12-15T00:00:00"/>
    <x v="2"/>
    <x v="11"/>
    <x v="1"/>
    <s v="Ergonomic Stool"/>
    <x v="0"/>
    <x v="1"/>
    <n v="8"/>
    <n v="8100"/>
    <n v="0.2"/>
    <n v="6480"/>
    <n v="0.8"/>
    <s v="Medium"/>
  </r>
  <r>
    <s v="ORD2070"/>
    <d v="2022-12-16T00:00:00"/>
    <x v="2"/>
    <x v="11"/>
    <x v="1"/>
    <s v="Office Sofa"/>
    <x v="1"/>
    <x v="1"/>
    <n v="6"/>
    <n v="10900"/>
    <n v="0.25"/>
    <n v="8175"/>
    <n v="0.75"/>
    <s v="High"/>
  </r>
  <r>
    <s v="ORD2071"/>
    <d v="2022-12-17T00:00:00"/>
    <x v="2"/>
    <x v="11"/>
    <x v="2"/>
    <s v="Ball Pen Pack"/>
    <x v="2"/>
    <x v="2"/>
    <n v="3"/>
    <n v="11500"/>
    <n v="0.05"/>
    <n v="10925"/>
    <n v="0.95"/>
    <s v="High"/>
  </r>
  <r>
    <s v="ORD2072"/>
    <d v="2022-12-18T00:00:00"/>
    <x v="2"/>
    <x v="11"/>
    <x v="2"/>
    <s v="Notebook"/>
    <x v="3"/>
    <x v="2"/>
    <n v="1"/>
    <n v="13800"/>
    <n v="0.1"/>
    <n v="12420"/>
    <n v="0.9"/>
    <s v="High"/>
  </r>
  <r>
    <s v="ORD2073"/>
    <d v="2022-12-19T00:00:00"/>
    <x v="2"/>
    <x v="11"/>
    <x v="2"/>
    <s v="Printer Paper Ream"/>
    <x v="0"/>
    <x v="2"/>
    <n v="5"/>
    <n v="5800"/>
    <n v="0.15000000000000002"/>
    <n v="4930"/>
    <n v="0.85"/>
    <s v="Medium"/>
  </r>
  <r>
    <s v="ORD2074"/>
    <d v="2022-12-20T00:00:00"/>
    <x v="2"/>
    <x v="11"/>
    <x v="2"/>
    <s v="Stapler"/>
    <x v="1"/>
    <x v="2"/>
    <n v="7"/>
    <n v="13700"/>
    <n v="0.2"/>
    <n v="10960"/>
    <n v="0.8"/>
    <s v="High"/>
  </r>
  <r>
    <s v="ORD2075"/>
    <d v="2022-12-21T00:00:00"/>
    <x v="2"/>
    <x v="11"/>
    <x v="2"/>
    <s v="Paper Clips Box"/>
    <x v="2"/>
    <x v="2"/>
    <n v="7"/>
    <n v="5500"/>
    <n v="0.25"/>
    <n v="4125"/>
    <n v="0.75"/>
    <s v="Medium"/>
  </r>
  <r>
    <s v="ORD2076"/>
    <d v="2022-12-22T00:00:00"/>
    <x v="2"/>
    <x v="11"/>
    <x v="2"/>
    <s v="Highlighter Set"/>
    <x v="3"/>
    <x v="2"/>
    <n v="9"/>
    <n v="4100"/>
    <n v="0.05"/>
    <n v="3895"/>
    <n v="0.95"/>
    <s v="Low"/>
  </r>
  <r>
    <s v="ORD2077"/>
    <d v="2022-12-23T00:00:00"/>
    <x v="2"/>
    <x v="11"/>
    <x v="2"/>
    <s v="Desk Organizer"/>
    <x v="0"/>
    <x v="2"/>
    <n v="7"/>
    <n v="8400"/>
    <n v="0.1"/>
    <n v="7560"/>
    <n v="0.9"/>
    <s v="Medium"/>
  </r>
  <r>
    <s v="ORD2078"/>
    <d v="2022-12-24T00:00:00"/>
    <x v="2"/>
    <x v="11"/>
    <x v="2"/>
    <s v="Calculator"/>
    <x v="1"/>
    <x v="2"/>
    <n v="6"/>
    <n v="11600"/>
    <n v="0.15000000000000002"/>
    <n v="9860"/>
    <n v="0.85"/>
    <s v="High"/>
  </r>
  <r>
    <s v="ORD2079"/>
    <d v="2022-12-25T00:00:00"/>
    <x v="2"/>
    <x v="11"/>
    <x v="2"/>
    <s v="Sticky Notes"/>
    <x v="2"/>
    <x v="2"/>
    <n v="8"/>
    <n v="14900"/>
    <n v="0.2"/>
    <n v="11920"/>
    <n v="0.8"/>
    <s v="High"/>
  </r>
  <r>
    <s v="ORD2080"/>
    <d v="2022-12-26T00:00:00"/>
    <x v="2"/>
    <x v="11"/>
    <x v="2"/>
    <s v="Whiteboard Marker"/>
    <x v="3"/>
    <x v="2"/>
    <n v="9"/>
    <n v="7000"/>
    <n v="0.25"/>
    <n v="5250"/>
    <n v="0.75"/>
    <s v="Medium"/>
  </r>
  <r>
    <s v="ORD2081"/>
    <d v="2022-12-27T00:00:00"/>
    <x v="2"/>
    <x v="11"/>
    <x v="0"/>
    <s v="Bluetooth Speaker"/>
    <x v="0"/>
    <x v="0"/>
    <n v="7"/>
    <n v="11700"/>
    <n v="0.05"/>
    <n v="11115"/>
    <n v="0.95"/>
    <s v="High"/>
  </r>
  <r>
    <s v="ORD2082"/>
    <d v="2022-12-28T00:00:00"/>
    <x v="2"/>
    <x v="11"/>
    <x v="0"/>
    <s v="Wireless Mouse"/>
    <x v="1"/>
    <x v="0"/>
    <n v="7"/>
    <n v="12500"/>
    <n v="0.1"/>
    <n v="11250"/>
    <n v="0.9"/>
    <s v="High"/>
  </r>
  <r>
    <s v="ORD2083"/>
    <d v="2022-12-29T00:00:00"/>
    <x v="2"/>
    <x v="11"/>
    <x v="0"/>
    <s v="Keyboard"/>
    <x v="2"/>
    <x v="0"/>
    <n v="9"/>
    <n v="8300"/>
    <n v="0.15000000000000002"/>
    <n v="7055"/>
    <n v="0.85"/>
    <s v="Medium"/>
  </r>
  <r>
    <s v="ORD2084"/>
    <d v="2022-12-30T00:00:00"/>
    <x v="2"/>
    <x v="11"/>
    <x v="0"/>
    <s v="Laptop Stand"/>
    <x v="3"/>
    <x v="0"/>
    <n v="5"/>
    <n v="11000"/>
    <n v="0.2"/>
    <n v="8800"/>
    <n v="0.8"/>
    <s v="High"/>
  </r>
  <r>
    <s v="ORD2085"/>
    <d v="2022-12-31T00:00:00"/>
    <x v="2"/>
    <x v="11"/>
    <x v="0"/>
    <s v="USB Flash Drive"/>
    <x v="0"/>
    <x v="0"/>
    <n v="8"/>
    <n v="5600"/>
    <n v="0.25"/>
    <n v="4200"/>
    <n v="0.75"/>
    <s v="Medium"/>
  </r>
  <r>
    <s v="ORD2086"/>
    <d v="2023-01-01T00:00:00"/>
    <x v="3"/>
    <x v="0"/>
    <x v="0"/>
    <s v="External Hard Disk"/>
    <x v="1"/>
    <x v="0"/>
    <n v="6"/>
    <n v="8400"/>
    <n v="0.05"/>
    <n v="7980"/>
    <n v="0.95"/>
    <s v="Medium"/>
  </r>
  <r>
    <s v="ORD2087"/>
    <d v="2023-01-02T00:00:00"/>
    <x v="3"/>
    <x v="0"/>
    <x v="0"/>
    <s v="Webcam"/>
    <x v="2"/>
    <x v="0"/>
    <n v="9"/>
    <n v="4600"/>
    <n v="0.1"/>
    <n v="4140"/>
    <n v="0.9"/>
    <s v="Low"/>
  </r>
  <r>
    <s v="ORD2088"/>
    <d v="2023-01-03T00:00:00"/>
    <x v="3"/>
    <x v="0"/>
    <x v="0"/>
    <s v="Noise Cancelling Headphones"/>
    <x v="3"/>
    <x v="0"/>
    <n v="10"/>
    <n v="12400"/>
    <n v="0.15000000000000002"/>
    <n v="10540"/>
    <n v="0.85"/>
    <s v="High"/>
  </r>
  <r>
    <s v="ORD2089"/>
    <d v="2023-01-04T00:00:00"/>
    <x v="3"/>
    <x v="0"/>
    <x v="0"/>
    <s v="Smart Watch"/>
    <x v="0"/>
    <x v="0"/>
    <n v="8"/>
    <n v="7400"/>
    <n v="0.2"/>
    <n v="5920"/>
    <n v="0.8"/>
    <s v="Medium"/>
  </r>
  <r>
    <s v="ORD2090"/>
    <d v="2023-01-05T00:00:00"/>
    <x v="3"/>
    <x v="0"/>
    <x v="0"/>
    <s v="Portable Power Bank"/>
    <x v="1"/>
    <x v="0"/>
    <n v="5"/>
    <n v="7500"/>
    <n v="0.25"/>
    <n v="5625"/>
    <n v="0.75"/>
    <s v="Medium"/>
  </r>
  <r>
    <s v="ORD2091"/>
    <d v="2023-01-06T00:00:00"/>
    <x v="3"/>
    <x v="0"/>
    <x v="1"/>
    <s v="Office Chair"/>
    <x v="2"/>
    <x v="1"/>
    <n v="9"/>
    <n v="9300"/>
    <n v="0.05"/>
    <n v="8835"/>
    <n v="0.95"/>
    <s v="Medium"/>
  </r>
  <r>
    <s v="ORD2092"/>
    <d v="2023-01-07T00:00:00"/>
    <x v="3"/>
    <x v="0"/>
    <x v="1"/>
    <s v="Study Table"/>
    <x v="3"/>
    <x v="1"/>
    <n v="4"/>
    <n v="11100"/>
    <n v="0.1"/>
    <n v="9990"/>
    <n v="0.9"/>
    <s v="High"/>
  </r>
  <r>
    <s v="ORD2093"/>
    <d v="2023-01-08T00:00:00"/>
    <x v="3"/>
    <x v="0"/>
    <x v="1"/>
    <s v="Wooden Bookshelf"/>
    <x v="0"/>
    <x v="1"/>
    <n v="10"/>
    <n v="6300"/>
    <n v="0.15000000000000002"/>
    <n v="5355"/>
    <n v="0.85"/>
    <s v="Medium"/>
  </r>
  <r>
    <s v="ORD2094"/>
    <d v="2023-01-09T00:00:00"/>
    <x v="3"/>
    <x v="0"/>
    <x v="1"/>
    <s v="Computer Desk"/>
    <x v="1"/>
    <x v="1"/>
    <n v="7"/>
    <n v="12600"/>
    <n v="0.2"/>
    <n v="10080"/>
    <n v="0.8"/>
    <s v="High"/>
  </r>
  <r>
    <s v="ORD2095"/>
    <d v="2023-01-10T00:00:00"/>
    <x v="3"/>
    <x v="0"/>
    <x v="1"/>
    <s v="Filing Cabinet"/>
    <x v="2"/>
    <x v="1"/>
    <n v="3"/>
    <n v="5100"/>
    <n v="0.25"/>
    <n v="3825"/>
    <n v="0.75"/>
    <s v="Medium"/>
  </r>
  <r>
    <s v="ORD2096"/>
    <d v="2023-01-11T00:00:00"/>
    <x v="3"/>
    <x v="0"/>
    <x v="1"/>
    <s v="Visitor Chair"/>
    <x v="3"/>
    <x v="1"/>
    <n v="6"/>
    <n v="9600"/>
    <n v="0.05"/>
    <n v="9120"/>
    <n v="0.95"/>
    <s v="Medium"/>
  </r>
  <r>
    <s v="ORD2097"/>
    <d v="2023-01-12T00:00:00"/>
    <x v="3"/>
    <x v="0"/>
    <x v="1"/>
    <s v="Conference Table"/>
    <x v="0"/>
    <x v="1"/>
    <n v="10"/>
    <n v="7200"/>
    <n v="0.1"/>
    <n v="6480"/>
    <n v="0.9"/>
    <s v="Medium"/>
  </r>
  <r>
    <s v="ORD2098"/>
    <d v="2023-01-13T00:00:00"/>
    <x v="3"/>
    <x v="0"/>
    <x v="1"/>
    <s v="Drawer Unit"/>
    <x v="1"/>
    <x v="1"/>
    <n v="1"/>
    <n v="13300"/>
    <n v="0.15000000000000002"/>
    <n v="11305"/>
    <n v="0.85"/>
    <s v="High"/>
  </r>
  <r>
    <s v="ORD2099"/>
    <d v="2023-01-14T00:00:00"/>
    <x v="3"/>
    <x v="0"/>
    <x v="1"/>
    <s v="Ergonomic Stool"/>
    <x v="2"/>
    <x v="1"/>
    <n v="4"/>
    <n v="10300"/>
    <n v="0.2"/>
    <n v="8240"/>
    <n v="0.8"/>
    <s v="High"/>
  </r>
  <r>
    <s v="ORD2100"/>
    <d v="2023-01-15T00:00:00"/>
    <x v="3"/>
    <x v="0"/>
    <x v="1"/>
    <s v="Office Sofa"/>
    <x v="3"/>
    <x v="1"/>
    <n v="5"/>
    <n v="10800"/>
    <n v="0.25"/>
    <n v="8100"/>
    <n v="0.75"/>
    <s v="High"/>
  </r>
  <r>
    <s v="ORD2101"/>
    <d v="2023-01-16T00:00:00"/>
    <x v="3"/>
    <x v="0"/>
    <x v="2"/>
    <s v="Ball Pen Pack"/>
    <x v="0"/>
    <x v="2"/>
    <n v="2"/>
    <n v="10600"/>
    <n v="0.05"/>
    <n v="10070"/>
    <n v="0.95"/>
    <s v="High"/>
  </r>
  <r>
    <s v="ORD2102"/>
    <d v="2023-01-17T00:00:00"/>
    <x v="3"/>
    <x v="0"/>
    <x v="2"/>
    <s v="Notebook"/>
    <x v="1"/>
    <x v="2"/>
    <n v="1"/>
    <n v="10000"/>
    <n v="0.1"/>
    <n v="9000"/>
    <n v="0.9"/>
    <s v="Medium"/>
  </r>
  <r>
    <s v="ORD2103"/>
    <d v="2023-01-18T00:00:00"/>
    <x v="3"/>
    <x v="0"/>
    <x v="2"/>
    <s v="Printer Paper Ream"/>
    <x v="2"/>
    <x v="2"/>
    <n v="7"/>
    <n v="6700"/>
    <n v="0.15000000000000002"/>
    <n v="5695"/>
    <n v="0.85"/>
    <s v="Medium"/>
  </r>
  <r>
    <s v="ORD2104"/>
    <d v="2023-01-19T00:00:00"/>
    <x v="3"/>
    <x v="0"/>
    <x v="2"/>
    <s v="Stapler"/>
    <x v="3"/>
    <x v="2"/>
    <n v="8"/>
    <n v="11700"/>
    <n v="0.2"/>
    <n v="9360"/>
    <n v="0.8"/>
    <s v="High"/>
  </r>
  <r>
    <s v="ORD2105"/>
    <d v="2023-01-20T00:00:00"/>
    <x v="3"/>
    <x v="0"/>
    <x v="2"/>
    <s v="Paper Clips Box"/>
    <x v="0"/>
    <x v="2"/>
    <n v="6"/>
    <n v="11100"/>
    <n v="0.25"/>
    <n v="8325"/>
    <n v="0.75"/>
    <s v="High"/>
  </r>
  <r>
    <s v="ORD2106"/>
    <d v="2023-01-21T00:00:00"/>
    <x v="3"/>
    <x v="0"/>
    <x v="2"/>
    <s v="Highlighter Set"/>
    <x v="1"/>
    <x v="2"/>
    <n v="3"/>
    <n v="14100"/>
    <n v="0.05"/>
    <n v="13395"/>
    <n v="0.95"/>
    <s v="High"/>
  </r>
  <r>
    <s v="ORD2107"/>
    <d v="2023-01-22T00:00:00"/>
    <x v="3"/>
    <x v="0"/>
    <x v="2"/>
    <s v="Desk Organizer"/>
    <x v="2"/>
    <x v="2"/>
    <n v="8"/>
    <n v="5700"/>
    <n v="0.1"/>
    <n v="5130"/>
    <n v="0.9"/>
    <s v="Medium"/>
  </r>
  <r>
    <s v="ORD2108"/>
    <d v="2023-01-23T00:00:00"/>
    <x v="3"/>
    <x v="0"/>
    <x v="2"/>
    <s v="Calculator"/>
    <x v="3"/>
    <x v="2"/>
    <n v="3"/>
    <n v="13800"/>
    <n v="0.15000000000000002"/>
    <n v="11730"/>
    <n v="0.85"/>
    <s v="High"/>
  </r>
  <r>
    <s v="ORD2109"/>
    <d v="2023-01-24T00:00:00"/>
    <x v="3"/>
    <x v="0"/>
    <x v="2"/>
    <s v="Sticky Notes"/>
    <x v="0"/>
    <x v="2"/>
    <n v="5"/>
    <n v="14500"/>
    <n v="0.2"/>
    <n v="11600"/>
    <n v="0.8"/>
    <s v="High"/>
  </r>
  <r>
    <s v="ORD2110"/>
    <d v="2023-01-25T00:00:00"/>
    <x v="3"/>
    <x v="0"/>
    <x v="2"/>
    <s v="Whiteboard Marker"/>
    <x v="1"/>
    <x v="2"/>
    <n v="5"/>
    <n v="14900"/>
    <n v="0.25"/>
    <n v="11175"/>
    <n v="0.75"/>
    <s v="High"/>
  </r>
  <r>
    <s v="ORD2111"/>
    <d v="2023-01-26T00:00:00"/>
    <x v="3"/>
    <x v="0"/>
    <x v="0"/>
    <s v="Bluetooth Speaker"/>
    <x v="2"/>
    <x v="0"/>
    <n v="3"/>
    <n v="7500"/>
    <n v="0.05"/>
    <n v="7125"/>
    <n v="0.95"/>
    <s v="Medium"/>
  </r>
  <r>
    <s v="ORD2112"/>
    <d v="2023-01-27T00:00:00"/>
    <x v="3"/>
    <x v="0"/>
    <x v="0"/>
    <s v="Wireless Mouse"/>
    <x v="3"/>
    <x v="0"/>
    <n v="7"/>
    <n v="13200"/>
    <n v="0.1"/>
    <n v="11880"/>
    <n v="0.9"/>
    <s v="High"/>
  </r>
  <r>
    <s v="ORD2113"/>
    <d v="2023-01-28T00:00:00"/>
    <x v="3"/>
    <x v="0"/>
    <x v="0"/>
    <s v="Keyboard"/>
    <x v="0"/>
    <x v="0"/>
    <n v="8"/>
    <n v="14900"/>
    <n v="0.15000000000000002"/>
    <n v="12665"/>
    <n v="0.85"/>
    <s v="High"/>
  </r>
  <r>
    <s v="ORD2114"/>
    <d v="2023-01-29T00:00:00"/>
    <x v="3"/>
    <x v="0"/>
    <x v="0"/>
    <s v="Laptop Stand"/>
    <x v="1"/>
    <x v="0"/>
    <n v="7"/>
    <n v="12600"/>
    <n v="0.2"/>
    <n v="10080"/>
    <n v="0.8"/>
    <s v="High"/>
  </r>
  <r>
    <s v="ORD2115"/>
    <d v="2023-01-30T00:00:00"/>
    <x v="3"/>
    <x v="0"/>
    <x v="0"/>
    <s v="USB Flash Drive"/>
    <x v="2"/>
    <x v="0"/>
    <n v="1"/>
    <n v="9800"/>
    <n v="0.25"/>
    <n v="7350"/>
    <n v="0.75"/>
    <s v="Medium"/>
  </r>
  <r>
    <s v="ORD2116"/>
    <d v="2023-01-31T00:00:00"/>
    <x v="3"/>
    <x v="0"/>
    <x v="0"/>
    <s v="External Hard Disk"/>
    <x v="3"/>
    <x v="0"/>
    <n v="3"/>
    <n v="6400"/>
    <n v="0.05"/>
    <n v="6080"/>
    <n v="0.95"/>
    <s v="Medium"/>
  </r>
  <r>
    <s v="ORD2117"/>
    <d v="2023-02-01T00:00:00"/>
    <x v="3"/>
    <x v="1"/>
    <x v="0"/>
    <s v="Webcam"/>
    <x v="0"/>
    <x v="0"/>
    <n v="10"/>
    <n v="7800"/>
    <n v="0.1"/>
    <n v="7020"/>
    <n v="0.9"/>
    <s v="Medium"/>
  </r>
  <r>
    <s v="ORD2118"/>
    <d v="2023-02-02T00:00:00"/>
    <x v="3"/>
    <x v="1"/>
    <x v="0"/>
    <s v="Noise Cancelling Headphones"/>
    <x v="1"/>
    <x v="0"/>
    <n v="4"/>
    <n v="12900"/>
    <n v="0.15000000000000002"/>
    <n v="10965"/>
    <n v="0.85"/>
    <s v="High"/>
  </r>
  <r>
    <s v="ORD2119"/>
    <d v="2023-02-03T00:00:00"/>
    <x v="3"/>
    <x v="1"/>
    <x v="0"/>
    <s v="Smart Watch"/>
    <x v="2"/>
    <x v="0"/>
    <n v="3"/>
    <n v="13400"/>
    <n v="0.2"/>
    <n v="10720"/>
    <n v="0.8"/>
    <s v="High"/>
  </r>
  <r>
    <s v="ORD2120"/>
    <d v="2023-02-04T00:00:00"/>
    <x v="3"/>
    <x v="1"/>
    <x v="0"/>
    <s v="Portable Power Bank"/>
    <x v="3"/>
    <x v="0"/>
    <n v="5"/>
    <n v="10200"/>
    <n v="0.25"/>
    <n v="7650"/>
    <n v="0.75"/>
    <s v="High"/>
  </r>
  <r>
    <s v="ORD2121"/>
    <d v="2023-02-05T00:00:00"/>
    <x v="3"/>
    <x v="1"/>
    <x v="1"/>
    <s v="Office Chair"/>
    <x v="0"/>
    <x v="1"/>
    <n v="2"/>
    <n v="14400"/>
    <n v="0.05"/>
    <n v="13680"/>
    <n v="0.95"/>
    <s v="High"/>
  </r>
  <r>
    <s v="ORD2122"/>
    <d v="2023-02-06T00:00:00"/>
    <x v="3"/>
    <x v="1"/>
    <x v="1"/>
    <s v="Study Table"/>
    <x v="1"/>
    <x v="1"/>
    <n v="6"/>
    <n v="12300"/>
    <n v="0.1"/>
    <n v="11070"/>
    <n v="0.9"/>
    <s v="High"/>
  </r>
  <r>
    <s v="ORD2123"/>
    <d v="2023-02-07T00:00:00"/>
    <x v="3"/>
    <x v="1"/>
    <x v="1"/>
    <s v="Wooden Bookshelf"/>
    <x v="2"/>
    <x v="1"/>
    <n v="5"/>
    <n v="13500"/>
    <n v="0.15000000000000002"/>
    <n v="11475"/>
    <n v="0.85"/>
    <s v="High"/>
  </r>
  <r>
    <s v="ORD2124"/>
    <d v="2023-02-08T00:00:00"/>
    <x v="3"/>
    <x v="1"/>
    <x v="1"/>
    <s v="Computer Desk"/>
    <x v="3"/>
    <x v="1"/>
    <n v="7"/>
    <n v="7400"/>
    <n v="0.2"/>
    <n v="5920"/>
    <n v="0.8"/>
    <s v="Medium"/>
  </r>
  <r>
    <s v="ORD2125"/>
    <d v="2023-02-09T00:00:00"/>
    <x v="3"/>
    <x v="1"/>
    <x v="1"/>
    <s v="Filing Cabinet"/>
    <x v="0"/>
    <x v="1"/>
    <n v="6"/>
    <n v="11300"/>
    <n v="0.25"/>
    <n v="8475"/>
    <n v="0.75"/>
    <s v="High"/>
  </r>
  <r>
    <s v="ORD2126"/>
    <d v="2023-02-10T00:00:00"/>
    <x v="3"/>
    <x v="1"/>
    <x v="1"/>
    <s v="Visitor Chair"/>
    <x v="1"/>
    <x v="1"/>
    <n v="1"/>
    <n v="7900"/>
    <n v="0.05"/>
    <n v="7505"/>
    <n v="0.95"/>
    <s v="Medium"/>
  </r>
  <r>
    <s v="ORD2127"/>
    <d v="2023-02-11T00:00:00"/>
    <x v="3"/>
    <x v="1"/>
    <x v="1"/>
    <s v="Conference Table"/>
    <x v="2"/>
    <x v="1"/>
    <n v="4"/>
    <n v="14900"/>
    <n v="0.1"/>
    <n v="13410"/>
    <n v="0.9"/>
    <s v="High"/>
  </r>
  <r>
    <s v="ORD2128"/>
    <d v="2023-02-12T00:00:00"/>
    <x v="3"/>
    <x v="1"/>
    <x v="1"/>
    <s v="Drawer Unit"/>
    <x v="3"/>
    <x v="1"/>
    <n v="7"/>
    <n v="10900"/>
    <n v="0.15000000000000002"/>
    <n v="9265"/>
    <n v="0.85"/>
    <s v="High"/>
  </r>
  <r>
    <s v="ORD2129"/>
    <d v="2023-02-13T00:00:00"/>
    <x v="3"/>
    <x v="1"/>
    <x v="1"/>
    <s v="Ergonomic Stool"/>
    <x v="0"/>
    <x v="1"/>
    <n v="8"/>
    <n v="13400"/>
    <n v="0.2"/>
    <n v="10720"/>
    <n v="0.8"/>
    <s v="High"/>
  </r>
  <r>
    <s v="ORD2130"/>
    <d v="2023-02-14T00:00:00"/>
    <x v="3"/>
    <x v="1"/>
    <x v="1"/>
    <s v="Office Sofa"/>
    <x v="1"/>
    <x v="1"/>
    <n v="1"/>
    <n v="10800"/>
    <n v="0.25"/>
    <n v="8100"/>
    <n v="0.75"/>
    <s v="High"/>
  </r>
  <r>
    <s v="ORD2131"/>
    <d v="2023-02-15T00:00:00"/>
    <x v="3"/>
    <x v="1"/>
    <x v="2"/>
    <s v="Ball Pen Pack"/>
    <x v="2"/>
    <x v="2"/>
    <n v="1"/>
    <n v="11800"/>
    <n v="0.05"/>
    <n v="11210"/>
    <n v="0.95"/>
    <s v="High"/>
  </r>
  <r>
    <s v="ORD2132"/>
    <d v="2023-02-16T00:00:00"/>
    <x v="3"/>
    <x v="1"/>
    <x v="2"/>
    <s v="Notebook"/>
    <x v="3"/>
    <x v="2"/>
    <n v="7"/>
    <n v="5200"/>
    <n v="0.1"/>
    <n v="4680"/>
    <n v="0.9"/>
    <s v="Medium"/>
  </r>
  <r>
    <s v="ORD2133"/>
    <d v="2023-02-17T00:00:00"/>
    <x v="3"/>
    <x v="1"/>
    <x v="2"/>
    <s v="Printer Paper Ream"/>
    <x v="0"/>
    <x v="2"/>
    <n v="9"/>
    <n v="5600"/>
    <n v="0.15000000000000002"/>
    <n v="4760"/>
    <n v="0.85"/>
    <s v="Medium"/>
  </r>
  <r>
    <s v="ORD2134"/>
    <d v="2023-02-18T00:00:00"/>
    <x v="3"/>
    <x v="1"/>
    <x v="2"/>
    <s v="Stapler"/>
    <x v="1"/>
    <x v="2"/>
    <n v="8"/>
    <n v="11100"/>
    <n v="0.2"/>
    <n v="8880"/>
    <n v="0.8"/>
    <s v="High"/>
  </r>
  <r>
    <s v="ORD2135"/>
    <d v="2023-02-19T00:00:00"/>
    <x v="3"/>
    <x v="1"/>
    <x v="2"/>
    <s v="Paper Clips Box"/>
    <x v="2"/>
    <x v="2"/>
    <n v="8"/>
    <n v="7100"/>
    <n v="0.25"/>
    <n v="5325"/>
    <n v="0.75"/>
    <s v="Medium"/>
  </r>
  <r>
    <s v="ORD2136"/>
    <d v="2023-02-20T00:00:00"/>
    <x v="3"/>
    <x v="1"/>
    <x v="2"/>
    <s v="Highlighter Set"/>
    <x v="3"/>
    <x v="2"/>
    <n v="10"/>
    <n v="7900"/>
    <n v="0.05"/>
    <n v="7505"/>
    <n v="0.95"/>
    <s v="Medium"/>
  </r>
  <r>
    <s v="ORD2137"/>
    <d v="2023-02-21T00:00:00"/>
    <x v="3"/>
    <x v="1"/>
    <x v="2"/>
    <s v="Desk Organizer"/>
    <x v="0"/>
    <x v="2"/>
    <n v="1"/>
    <n v="4100"/>
    <n v="0.1"/>
    <n v="3690"/>
    <n v="0.9"/>
    <s v="Low"/>
  </r>
  <r>
    <s v="ORD2138"/>
    <d v="2023-02-22T00:00:00"/>
    <x v="3"/>
    <x v="1"/>
    <x v="2"/>
    <s v="Calculator"/>
    <x v="1"/>
    <x v="2"/>
    <n v="3"/>
    <n v="7500"/>
    <n v="0.15000000000000002"/>
    <n v="6375"/>
    <n v="0.85"/>
    <s v="Medium"/>
  </r>
  <r>
    <s v="ORD2139"/>
    <d v="2023-02-23T00:00:00"/>
    <x v="3"/>
    <x v="1"/>
    <x v="2"/>
    <s v="Sticky Notes"/>
    <x v="2"/>
    <x v="2"/>
    <n v="7"/>
    <n v="11800"/>
    <n v="0.2"/>
    <n v="9440"/>
    <n v="0.8"/>
    <s v="High"/>
  </r>
  <r>
    <s v="ORD2140"/>
    <d v="2023-02-24T00:00:00"/>
    <x v="3"/>
    <x v="1"/>
    <x v="2"/>
    <s v="Whiteboard Marker"/>
    <x v="3"/>
    <x v="2"/>
    <n v="6"/>
    <n v="5400"/>
    <n v="0.25"/>
    <n v="4050"/>
    <n v="0.75"/>
    <s v="Medium"/>
  </r>
  <r>
    <s v="ORD2141"/>
    <d v="2023-02-25T00:00:00"/>
    <x v="3"/>
    <x v="1"/>
    <x v="0"/>
    <s v="Bluetooth Speaker"/>
    <x v="0"/>
    <x v="0"/>
    <n v="1"/>
    <n v="8400"/>
    <n v="0.05"/>
    <n v="7980"/>
    <n v="0.95"/>
    <s v="Medium"/>
  </r>
  <r>
    <s v="ORD2142"/>
    <d v="2023-02-26T00:00:00"/>
    <x v="3"/>
    <x v="1"/>
    <x v="0"/>
    <s v="Wireless Mouse"/>
    <x v="1"/>
    <x v="0"/>
    <n v="10"/>
    <n v="11400"/>
    <n v="0.1"/>
    <n v="10260"/>
    <n v="0.9"/>
    <s v="High"/>
  </r>
  <r>
    <s v="ORD2143"/>
    <d v="2023-02-27T00:00:00"/>
    <x v="3"/>
    <x v="1"/>
    <x v="0"/>
    <s v="Keyboard"/>
    <x v="2"/>
    <x v="0"/>
    <n v="4"/>
    <n v="14000"/>
    <n v="0.15000000000000002"/>
    <n v="11900"/>
    <n v="0.85"/>
    <s v="High"/>
  </r>
  <r>
    <s v="ORD2144"/>
    <d v="2023-02-28T00:00:00"/>
    <x v="3"/>
    <x v="1"/>
    <x v="0"/>
    <s v="Laptop Stand"/>
    <x v="3"/>
    <x v="0"/>
    <n v="1"/>
    <n v="14000"/>
    <n v="0.2"/>
    <n v="11200"/>
    <n v="0.8"/>
    <s v="High"/>
  </r>
  <r>
    <s v="ORD2145"/>
    <d v="2023-03-01T00:00:00"/>
    <x v="3"/>
    <x v="2"/>
    <x v="0"/>
    <s v="USB Flash Drive"/>
    <x v="0"/>
    <x v="0"/>
    <n v="7"/>
    <n v="10900"/>
    <n v="0.25"/>
    <n v="8175"/>
    <n v="0.75"/>
    <s v="High"/>
  </r>
  <r>
    <s v="ORD2146"/>
    <d v="2023-03-02T00:00:00"/>
    <x v="3"/>
    <x v="2"/>
    <x v="0"/>
    <s v="External Hard Disk"/>
    <x v="1"/>
    <x v="0"/>
    <n v="9"/>
    <n v="4200"/>
    <n v="0.05"/>
    <n v="3990"/>
    <n v="0.95"/>
    <s v="Low"/>
  </r>
  <r>
    <s v="ORD2147"/>
    <d v="2023-03-03T00:00:00"/>
    <x v="3"/>
    <x v="2"/>
    <x v="0"/>
    <s v="Webcam"/>
    <x v="2"/>
    <x v="0"/>
    <n v="7"/>
    <n v="9000"/>
    <n v="0.1"/>
    <n v="8100"/>
    <n v="0.9"/>
    <s v="Medium"/>
  </r>
  <r>
    <s v="ORD2148"/>
    <d v="2023-03-04T00:00:00"/>
    <x v="3"/>
    <x v="2"/>
    <x v="0"/>
    <s v="Noise Cancelling Headphones"/>
    <x v="3"/>
    <x v="0"/>
    <n v="7"/>
    <n v="9000"/>
    <n v="0.15000000000000002"/>
    <n v="7650"/>
    <n v="0.85"/>
    <s v="Medium"/>
  </r>
  <r>
    <s v="ORD2149"/>
    <d v="2023-03-05T00:00:00"/>
    <x v="3"/>
    <x v="2"/>
    <x v="0"/>
    <s v="Smart Watch"/>
    <x v="0"/>
    <x v="0"/>
    <n v="5"/>
    <n v="10100"/>
    <n v="0.2"/>
    <n v="8080"/>
    <n v="0.8"/>
    <s v="High"/>
  </r>
  <r>
    <s v="ORD2150"/>
    <d v="2023-03-06T00:00:00"/>
    <x v="3"/>
    <x v="2"/>
    <x v="0"/>
    <s v="Portable Power Bank"/>
    <x v="1"/>
    <x v="0"/>
    <n v="4"/>
    <n v="15000"/>
    <n v="0.25"/>
    <n v="11250"/>
    <n v="0.75"/>
    <s v="High"/>
  </r>
  <r>
    <s v="ORD2151"/>
    <d v="2023-03-07T00:00:00"/>
    <x v="3"/>
    <x v="2"/>
    <x v="1"/>
    <s v="Office Chair"/>
    <x v="2"/>
    <x v="1"/>
    <n v="2"/>
    <n v="14500"/>
    <n v="0.05"/>
    <n v="13775"/>
    <n v="0.95"/>
    <s v="High"/>
  </r>
  <r>
    <s v="ORD2152"/>
    <d v="2023-03-08T00:00:00"/>
    <x v="3"/>
    <x v="2"/>
    <x v="1"/>
    <s v="Study Table"/>
    <x v="3"/>
    <x v="1"/>
    <n v="2"/>
    <n v="5600"/>
    <n v="0.1"/>
    <n v="5040"/>
    <n v="0.9"/>
    <s v="Medium"/>
  </r>
  <r>
    <s v="ORD2153"/>
    <d v="2023-03-09T00:00:00"/>
    <x v="3"/>
    <x v="2"/>
    <x v="1"/>
    <s v="Wooden Bookshelf"/>
    <x v="0"/>
    <x v="1"/>
    <n v="10"/>
    <n v="6800"/>
    <n v="0.15000000000000002"/>
    <n v="5780"/>
    <n v="0.85"/>
    <s v="Medium"/>
  </r>
  <r>
    <s v="ORD2154"/>
    <d v="2023-03-10T00:00:00"/>
    <x v="3"/>
    <x v="2"/>
    <x v="1"/>
    <s v="Computer Desk"/>
    <x v="1"/>
    <x v="1"/>
    <n v="1"/>
    <n v="7500"/>
    <n v="0.2"/>
    <n v="6000"/>
    <n v="0.8"/>
    <s v="Medium"/>
  </r>
  <r>
    <s v="ORD2155"/>
    <d v="2023-03-11T00:00:00"/>
    <x v="3"/>
    <x v="2"/>
    <x v="1"/>
    <s v="Filing Cabinet"/>
    <x v="2"/>
    <x v="1"/>
    <n v="6"/>
    <n v="4600"/>
    <n v="0.25"/>
    <n v="3450"/>
    <n v="0.75"/>
    <s v="Low"/>
  </r>
  <r>
    <s v="ORD2156"/>
    <d v="2023-03-12T00:00:00"/>
    <x v="3"/>
    <x v="2"/>
    <x v="1"/>
    <s v="Visitor Chair"/>
    <x v="3"/>
    <x v="1"/>
    <n v="9"/>
    <n v="4600"/>
    <n v="0.05"/>
    <n v="4370"/>
    <n v="0.95"/>
    <s v="Low"/>
  </r>
  <r>
    <s v="ORD2157"/>
    <d v="2023-03-13T00:00:00"/>
    <x v="3"/>
    <x v="2"/>
    <x v="1"/>
    <s v="Conference Table"/>
    <x v="0"/>
    <x v="1"/>
    <n v="9"/>
    <n v="13500"/>
    <n v="0.1"/>
    <n v="12150"/>
    <n v="0.9"/>
    <s v="High"/>
  </r>
  <r>
    <s v="ORD2158"/>
    <d v="2023-03-14T00:00:00"/>
    <x v="3"/>
    <x v="2"/>
    <x v="1"/>
    <s v="Drawer Unit"/>
    <x v="1"/>
    <x v="1"/>
    <n v="7"/>
    <n v="12900"/>
    <n v="0.15000000000000002"/>
    <n v="10965"/>
    <n v="0.85"/>
    <s v="High"/>
  </r>
  <r>
    <s v="ORD2159"/>
    <d v="2023-03-15T00:00:00"/>
    <x v="3"/>
    <x v="2"/>
    <x v="1"/>
    <s v="Ergonomic Stool"/>
    <x v="2"/>
    <x v="1"/>
    <n v="4"/>
    <n v="10300"/>
    <n v="0.2"/>
    <n v="8240"/>
    <n v="0.8"/>
    <s v="High"/>
  </r>
  <r>
    <s v="ORD2160"/>
    <d v="2023-03-16T00:00:00"/>
    <x v="3"/>
    <x v="2"/>
    <x v="1"/>
    <s v="Office Sofa"/>
    <x v="3"/>
    <x v="1"/>
    <n v="3"/>
    <n v="13400"/>
    <n v="0.25"/>
    <n v="10050"/>
    <n v="0.75"/>
    <s v="High"/>
  </r>
  <r>
    <s v="ORD2161"/>
    <d v="2023-03-17T00:00:00"/>
    <x v="3"/>
    <x v="2"/>
    <x v="2"/>
    <s v="Ball Pen Pack"/>
    <x v="0"/>
    <x v="2"/>
    <n v="7"/>
    <n v="6600"/>
    <n v="0.05"/>
    <n v="6270"/>
    <n v="0.95"/>
    <s v="Medium"/>
  </r>
  <r>
    <s v="ORD2162"/>
    <d v="2023-03-18T00:00:00"/>
    <x v="3"/>
    <x v="2"/>
    <x v="2"/>
    <s v="Notebook"/>
    <x v="1"/>
    <x v="2"/>
    <n v="7"/>
    <n v="14800"/>
    <n v="0.1"/>
    <n v="13320"/>
    <n v="0.9"/>
    <s v="High"/>
  </r>
  <r>
    <s v="ORD2163"/>
    <d v="2023-03-19T00:00:00"/>
    <x v="3"/>
    <x v="2"/>
    <x v="2"/>
    <s v="Printer Paper Ream"/>
    <x v="2"/>
    <x v="2"/>
    <n v="9"/>
    <n v="5500"/>
    <n v="0.15000000000000002"/>
    <n v="4675"/>
    <n v="0.85"/>
    <s v="Medium"/>
  </r>
  <r>
    <s v="ORD2164"/>
    <d v="2023-03-20T00:00:00"/>
    <x v="3"/>
    <x v="2"/>
    <x v="2"/>
    <s v="Stapler"/>
    <x v="3"/>
    <x v="2"/>
    <n v="7"/>
    <n v="4300"/>
    <n v="0.2"/>
    <n v="3440"/>
    <n v="0.8"/>
    <s v="Low"/>
  </r>
  <r>
    <s v="ORD2165"/>
    <d v="2023-03-21T00:00:00"/>
    <x v="3"/>
    <x v="2"/>
    <x v="2"/>
    <s v="Paper Clips Box"/>
    <x v="0"/>
    <x v="2"/>
    <n v="1"/>
    <n v="9300"/>
    <n v="0.25"/>
    <n v="6975"/>
    <n v="0.75"/>
    <s v="Medium"/>
  </r>
  <r>
    <s v="ORD2166"/>
    <d v="2023-03-22T00:00:00"/>
    <x v="3"/>
    <x v="2"/>
    <x v="2"/>
    <s v="Highlighter Set"/>
    <x v="1"/>
    <x v="2"/>
    <n v="2"/>
    <n v="14700"/>
    <n v="0.05"/>
    <n v="13965"/>
    <n v="0.95"/>
    <s v="High"/>
  </r>
  <r>
    <s v="ORD2167"/>
    <d v="2023-03-23T00:00:00"/>
    <x v="3"/>
    <x v="2"/>
    <x v="2"/>
    <s v="Desk Organizer"/>
    <x v="2"/>
    <x v="2"/>
    <n v="5"/>
    <n v="5200"/>
    <n v="0.1"/>
    <n v="4680"/>
    <n v="0.9"/>
    <s v="Medium"/>
  </r>
  <r>
    <s v="ORD2168"/>
    <d v="2023-03-24T00:00:00"/>
    <x v="3"/>
    <x v="2"/>
    <x v="2"/>
    <s v="Calculator"/>
    <x v="3"/>
    <x v="2"/>
    <n v="9"/>
    <n v="8400"/>
    <n v="0.15000000000000002"/>
    <n v="7140"/>
    <n v="0.85"/>
    <s v="Medium"/>
  </r>
  <r>
    <s v="ORD2169"/>
    <d v="2023-03-25T00:00:00"/>
    <x v="3"/>
    <x v="2"/>
    <x v="2"/>
    <s v="Sticky Notes"/>
    <x v="0"/>
    <x v="2"/>
    <n v="10"/>
    <n v="7600"/>
    <n v="0.2"/>
    <n v="6080"/>
    <n v="0.8"/>
    <s v="Medium"/>
  </r>
  <r>
    <s v="ORD2170"/>
    <d v="2023-03-26T00:00:00"/>
    <x v="3"/>
    <x v="2"/>
    <x v="2"/>
    <s v="Whiteboard Marker"/>
    <x v="1"/>
    <x v="2"/>
    <n v="2"/>
    <n v="13400"/>
    <n v="0.25"/>
    <n v="10050"/>
    <n v="0.75"/>
    <s v="High"/>
  </r>
  <r>
    <s v="ORD2171"/>
    <d v="2023-03-27T00:00:00"/>
    <x v="3"/>
    <x v="2"/>
    <x v="0"/>
    <s v="Bluetooth Speaker"/>
    <x v="2"/>
    <x v="0"/>
    <n v="1"/>
    <n v="6800"/>
    <n v="0.05"/>
    <n v="6460"/>
    <n v="0.95"/>
    <s v="Medium"/>
  </r>
  <r>
    <s v="ORD2172"/>
    <d v="2023-03-28T00:00:00"/>
    <x v="3"/>
    <x v="2"/>
    <x v="0"/>
    <s v="Wireless Mouse"/>
    <x v="3"/>
    <x v="0"/>
    <n v="1"/>
    <n v="12100"/>
    <n v="0.1"/>
    <n v="10890"/>
    <n v="0.9"/>
    <s v="High"/>
  </r>
  <r>
    <s v="ORD2173"/>
    <d v="2023-03-29T00:00:00"/>
    <x v="3"/>
    <x v="2"/>
    <x v="0"/>
    <s v="Keyboard"/>
    <x v="0"/>
    <x v="0"/>
    <n v="3"/>
    <n v="11000"/>
    <n v="0.15000000000000002"/>
    <n v="9350"/>
    <n v="0.85"/>
    <s v="High"/>
  </r>
  <r>
    <s v="ORD2174"/>
    <d v="2023-03-30T00:00:00"/>
    <x v="3"/>
    <x v="2"/>
    <x v="0"/>
    <s v="Laptop Stand"/>
    <x v="1"/>
    <x v="0"/>
    <n v="1"/>
    <n v="13100"/>
    <n v="0.2"/>
    <n v="10480"/>
    <n v="0.8"/>
    <s v="High"/>
  </r>
  <r>
    <s v="ORD2175"/>
    <d v="2023-03-31T00:00:00"/>
    <x v="3"/>
    <x v="2"/>
    <x v="0"/>
    <s v="USB Flash Drive"/>
    <x v="2"/>
    <x v="0"/>
    <n v="5"/>
    <n v="11100"/>
    <n v="0.25"/>
    <n v="8325"/>
    <n v="0.75"/>
    <s v="High"/>
  </r>
  <r>
    <s v="ORD2176"/>
    <d v="2023-04-01T00:00:00"/>
    <x v="3"/>
    <x v="3"/>
    <x v="0"/>
    <s v="External Hard Disk"/>
    <x v="3"/>
    <x v="0"/>
    <n v="10"/>
    <n v="6800"/>
    <n v="0.05"/>
    <n v="6460"/>
    <n v="0.95"/>
    <s v="Medium"/>
  </r>
  <r>
    <s v="ORD2177"/>
    <d v="2023-04-02T00:00:00"/>
    <x v="3"/>
    <x v="3"/>
    <x v="0"/>
    <s v="Webcam"/>
    <x v="0"/>
    <x v="0"/>
    <n v="7"/>
    <n v="6200"/>
    <n v="0.1"/>
    <n v="5580"/>
    <n v="0.9"/>
    <s v="Medium"/>
  </r>
  <r>
    <s v="ORD2178"/>
    <d v="2023-04-03T00:00:00"/>
    <x v="3"/>
    <x v="3"/>
    <x v="0"/>
    <s v="Noise Cancelling Headphones"/>
    <x v="1"/>
    <x v="0"/>
    <n v="8"/>
    <n v="11400"/>
    <n v="0.15000000000000002"/>
    <n v="9690"/>
    <n v="0.85"/>
    <s v="High"/>
  </r>
  <r>
    <s v="ORD2179"/>
    <d v="2023-04-04T00:00:00"/>
    <x v="3"/>
    <x v="3"/>
    <x v="0"/>
    <s v="Smart Watch"/>
    <x v="2"/>
    <x v="0"/>
    <n v="10"/>
    <n v="14400"/>
    <n v="0.2"/>
    <n v="11520"/>
    <n v="0.8"/>
    <s v="High"/>
  </r>
  <r>
    <s v="ORD2180"/>
    <d v="2023-04-05T00:00:00"/>
    <x v="3"/>
    <x v="3"/>
    <x v="0"/>
    <s v="Portable Power Bank"/>
    <x v="3"/>
    <x v="0"/>
    <n v="6"/>
    <n v="14900"/>
    <n v="0.25"/>
    <n v="11175"/>
    <n v="0.75"/>
    <s v="High"/>
  </r>
  <r>
    <s v="ORD2181"/>
    <d v="2023-04-06T00:00:00"/>
    <x v="3"/>
    <x v="3"/>
    <x v="1"/>
    <s v="Office Chair"/>
    <x v="0"/>
    <x v="1"/>
    <n v="1"/>
    <n v="14300"/>
    <n v="0.05"/>
    <n v="13585"/>
    <n v="0.95"/>
    <s v="High"/>
  </r>
  <r>
    <s v="ORD2182"/>
    <d v="2023-04-07T00:00:00"/>
    <x v="3"/>
    <x v="3"/>
    <x v="1"/>
    <s v="Study Table"/>
    <x v="1"/>
    <x v="1"/>
    <n v="4"/>
    <n v="11900"/>
    <n v="0.1"/>
    <n v="10710"/>
    <n v="0.9"/>
    <s v="High"/>
  </r>
  <r>
    <s v="ORD2183"/>
    <d v="2023-04-08T00:00:00"/>
    <x v="3"/>
    <x v="3"/>
    <x v="1"/>
    <s v="Wooden Bookshelf"/>
    <x v="2"/>
    <x v="1"/>
    <n v="7"/>
    <n v="5000"/>
    <n v="0.15000000000000002"/>
    <n v="4250"/>
    <n v="0.85"/>
    <s v="Low"/>
  </r>
  <r>
    <s v="ORD2184"/>
    <d v="2023-04-09T00:00:00"/>
    <x v="3"/>
    <x v="3"/>
    <x v="1"/>
    <s v="Computer Desk"/>
    <x v="3"/>
    <x v="1"/>
    <n v="10"/>
    <n v="9200"/>
    <n v="0.2"/>
    <n v="7360"/>
    <n v="0.8"/>
    <s v="Medium"/>
  </r>
  <r>
    <s v="ORD2185"/>
    <d v="2023-04-10T00:00:00"/>
    <x v="3"/>
    <x v="3"/>
    <x v="1"/>
    <s v="Filing Cabinet"/>
    <x v="0"/>
    <x v="1"/>
    <n v="6"/>
    <n v="7100"/>
    <n v="0.25"/>
    <n v="5325"/>
    <n v="0.75"/>
    <s v="Medium"/>
  </r>
  <r>
    <s v="ORD2186"/>
    <d v="2023-04-11T00:00:00"/>
    <x v="3"/>
    <x v="3"/>
    <x v="1"/>
    <s v="Visitor Chair"/>
    <x v="1"/>
    <x v="1"/>
    <n v="2"/>
    <n v="12700"/>
    <n v="0.05"/>
    <n v="12065"/>
    <n v="0.95"/>
    <s v="High"/>
  </r>
  <r>
    <s v="ORD2187"/>
    <d v="2023-04-12T00:00:00"/>
    <x v="3"/>
    <x v="3"/>
    <x v="1"/>
    <s v="Conference Table"/>
    <x v="2"/>
    <x v="1"/>
    <n v="1"/>
    <n v="13000"/>
    <n v="0.1"/>
    <n v="11700"/>
    <n v="0.9"/>
    <s v="High"/>
  </r>
  <r>
    <s v="ORD2188"/>
    <d v="2023-04-13T00:00:00"/>
    <x v="3"/>
    <x v="3"/>
    <x v="1"/>
    <s v="Drawer Unit"/>
    <x v="3"/>
    <x v="1"/>
    <n v="8"/>
    <n v="5900"/>
    <n v="0.15000000000000002"/>
    <n v="5015"/>
    <n v="0.85"/>
    <s v="Medium"/>
  </r>
  <r>
    <s v="ORD2189"/>
    <d v="2023-04-14T00:00:00"/>
    <x v="3"/>
    <x v="3"/>
    <x v="1"/>
    <s v="Ergonomic Stool"/>
    <x v="0"/>
    <x v="1"/>
    <n v="5"/>
    <n v="6000"/>
    <n v="0.2"/>
    <n v="4800"/>
    <n v="0.8"/>
    <s v="Medium"/>
  </r>
  <r>
    <s v="ORD2190"/>
    <d v="2023-04-15T00:00:00"/>
    <x v="3"/>
    <x v="3"/>
    <x v="1"/>
    <s v="Office Sofa"/>
    <x v="1"/>
    <x v="1"/>
    <n v="8"/>
    <n v="13900"/>
    <n v="0.25"/>
    <n v="10425"/>
    <n v="0.75"/>
    <s v="High"/>
  </r>
  <r>
    <s v="ORD2191"/>
    <d v="2023-04-16T00:00:00"/>
    <x v="3"/>
    <x v="3"/>
    <x v="2"/>
    <s v="Ball Pen Pack"/>
    <x v="2"/>
    <x v="2"/>
    <n v="6"/>
    <n v="4000"/>
    <n v="0.05"/>
    <n v="3800"/>
    <n v="0.95"/>
    <s v="Low"/>
  </r>
  <r>
    <s v="ORD2192"/>
    <d v="2023-04-17T00:00:00"/>
    <x v="3"/>
    <x v="3"/>
    <x v="2"/>
    <s v="Notebook"/>
    <x v="3"/>
    <x v="2"/>
    <n v="9"/>
    <n v="6100"/>
    <n v="0.1"/>
    <n v="5490"/>
    <n v="0.9"/>
    <s v="Medium"/>
  </r>
  <r>
    <s v="ORD2193"/>
    <d v="2023-04-18T00:00:00"/>
    <x v="3"/>
    <x v="3"/>
    <x v="2"/>
    <s v="Printer Paper Ream"/>
    <x v="0"/>
    <x v="2"/>
    <n v="2"/>
    <n v="6200"/>
    <n v="0.15000000000000002"/>
    <n v="5270"/>
    <n v="0.85"/>
    <s v="Medium"/>
  </r>
  <r>
    <s v="ORD2194"/>
    <d v="2023-04-19T00:00:00"/>
    <x v="3"/>
    <x v="3"/>
    <x v="2"/>
    <s v="Stapler"/>
    <x v="1"/>
    <x v="2"/>
    <n v="7"/>
    <n v="8900"/>
    <n v="0.2"/>
    <n v="7120"/>
    <n v="0.8"/>
    <s v="Medium"/>
  </r>
  <r>
    <s v="ORD2195"/>
    <d v="2023-04-20T00:00:00"/>
    <x v="3"/>
    <x v="3"/>
    <x v="2"/>
    <s v="Paper Clips Box"/>
    <x v="2"/>
    <x v="2"/>
    <n v="6"/>
    <n v="8100"/>
    <n v="0.25"/>
    <n v="6075"/>
    <n v="0.75"/>
    <s v="Medium"/>
  </r>
  <r>
    <s v="ORD2196"/>
    <d v="2023-04-21T00:00:00"/>
    <x v="3"/>
    <x v="3"/>
    <x v="2"/>
    <s v="Highlighter Set"/>
    <x v="3"/>
    <x v="2"/>
    <n v="2"/>
    <n v="14600"/>
    <n v="0.05"/>
    <n v="13870"/>
    <n v="0.95"/>
    <s v="High"/>
  </r>
  <r>
    <s v="ORD2197"/>
    <d v="2023-04-22T00:00:00"/>
    <x v="3"/>
    <x v="3"/>
    <x v="2"/>
    <s v="Desk Organizer"/>
    <x v="0"/>
    <x v="2"/>
    <n v="5"/>
    <n v="9900"/>
    <n v="0.1"/>
    <n v="8910"/>
    <n v="0.9"/>
    <s v="Medium"/>
  </r>
  <r>
    <s v="ORD2198"/>
    <d v="2023-04-23T00:00:00"/>
    <x v="3"/>
    <x v="3"/>
    <x v="2"/>
    <s v="Calculator"/>
    <x v="1"/>
    <x v="2"/>
    <n v="6"/>
    <n v="5500"/>
    <n v="0.15000000000000002"/>
    <n v="4675"/>
    <n v="0.85"/>
    <s v="Medium"/>
  </r>
  <r>
    <s v="ORD2199"/>
    <d v="2023-04-24T00:00:00"/>
    <x v="3"/>
    <x v="3"/>
    <x v="2"/>
    <s v="Sticky Notes"/>
    <x v="2"/>
    <x v="2"/>
    <n v="7"/>
    <n v="11400"/>
    <n v="0.2"/>
    <n v="9120"/>
    <n v="0.8"/>
    <s v="High"/>
  </r>
  <r>
    <s v="ORD2200"/>
    <d v="2023-04-25T00:00:00"/>
    <x v="3"/>
    <x v="3"/>
    <x v="2"/>
    <s v="Whiteboard Marker"/>
    <x v="3"/>
    <x v="2"/>
    <n v="2"/>
    <n v="7600"/>
    <n v="0.25"/>
    <n v="5700"/>
    <n v="0.75"/>
    <s v="Medium"/>
  </r>
  <r>
    <s v="ORD2201"/>
    <d v="2023-04-26T00:00:00"/>
    <x v="3"/>
    <x v="3"/>
    <x v="0"/>
    <s v="Bluetooth Speaker"/>
    <x v="0"/>
    <x v="0"/>
    <n v="1"/>
    <n v="11300"/>
    <n v="0.05"/>
    <n v="10735"/>
    <n v="0.95"/>
    <s v="High"/>
  </r>
  <r>
    <s v="ORD2202"/>
    <d v="2023-04-27T00:00:00"/>
    <x v="3"/>
    <x v="3"/>
    <x v="0"/>
    <s v="Wireless Mouse"/>
    <x v="1"/>
    <x v="0"/>
    <n v="8"/>
    <n v="11200"/>
    <n v="0.1"/>
    <n v="10080"/>
    <n v="0.9"/>
    <s v="High"/>
  </r>
  <r>
    <s v="ORD2203"/>
    <d v="2023-04-28T00:00:00"/>
    <x v="3"/>
    <x v="3"/>
    <x v="0"/>
    <s v="Keyboard"/>
    <x v="2"/>
    <x v="0"/>
    <n v="9"/>
    <n v="9000"/>
    <n v="0.15000000000000002"/>
    <n v="7650"/>
    <n v="0.85"/>
    <s v="Medium"/>
  </r>
  <r>
    <s v="ORD2204"/>
    <d v="2023-04-29T00:00:00"/>
    <x v="3"/>
    <x v="3"/>
    <x v="0"/>
    <s v="Laptop Stand"/>
    <x v="3"/>
    <x v="0"/>
    <n v="2"/>
    <n v="14400"/>
    <n v="0.2"/>
    <n v="11520"/>
    <n v="0.8"/>
    <s v="High"/>
  </r>
  <r>
    <s v="ORD2205"/>
    <d v="2023-04-30T00:00:00"/>
    <x v="3"/>
    <x v="3"/>
    <x v="0"/>
    <s v="USB Flash Drive"/>
    <x v="0"/>
    <x v="0"/>
    <n v="8"/>
    <n v="10700"/>
    <n v="0.25"/>
    <n v="8025"/>
    <n v="0.75"/>
    <s v="High"/>
  </r>
  <r>
    <s v="ORD2206"/>
    <d v="2023-05-01T00:00:00"/>
    <x v="3"/>
    <x v="4"/>
    <x v="0"/>
    <s v="External Hard Disk"/>
    <x v="1"/>
    <x v="0"/>
    <n v="5"/>
    <n v="7100"/>
    <n v="0.05"/>
    <n v="6745"/>
    <n v="0.95"/>
    <s v="Medium"/>
  </r>
  <r>
    <s v="ORD2207"/>
    <d v="2023-05-02T00:00:00"/>
    <x v="3"/>
    <x v="4"/>
    <x v="0"/>
    <s v="Webcam"/>
    <x v="2"/>
    <x v="0"/>
    <n v="8"/>
    <n v="14800"/>
    <n v="0.1"/>
    <n v="13320"/>
    <n v="0.9"/>
    <s v="High"/>
  </r>
  <r>
    <s v="ORD2208"/>
    <d v="2023-05-03T00:00:00"/>
    <x v="3"/>
    <x v="4"/>
    <x v="0"/>
    <s v="Noise Cancelling Headphones"/>
    <x v="3"/>
    <x v="0"/>
    <n v="10"/>
    <n v="7200"/>
    <n v="0.15000000000000002"/>
    <n v="6120"/>
    <n v="0.85"/>
    <s v="Medium"/>
  </r>
  <r>
    <s v="ORD2209"/>
    <d v="2023-05-04T00:00:00"/>
    <x v="3"/>
    <x v="4"/>
    <x v="0"/>
    <s v="Smart Watch"/>
    <x v="0"/>
    <x v="0"/>
    <n v="3"/>
    <n v="14500"/>
    <n v="0.2"/>
    <n v="11600"/>
    <n v="0.8"/>
    <s v="High"/>
  </r>
  <r>
    <s v="ORD2210"/>
    <d v="2023-05-05T00:00:00"/>
    <x v="3"/>
    <x v="4"/>
    <x v="0"/>
    <s v="Portable Power Bank"/>
    <x v="1"/>
    <x v="0"/>
    <n v="6"/>
    <n v="5100"/>
    <n v="0.25"/>
    <n v="3825"/>
    <n v="0.75"/>
    <s v="Medium"/>
  </r>
  <r>
    <s v="ORD2211"/>
    <d v="2023-05-06T00:00:00"/>
    <x v="3"/>
    <x v="4"/>
    <x v="1"/>
    <s v="Office Chair"/>
    <x v="2"/>
    <x v="1"/>
    <n v="10"/>
    <n v="4200"/>
    <n v="0.05"/>
    <n v="3990"/>
    <n v="0.95"/>
    <s v="Low"/>
  </r>
  <r>
    <s v="ORD2212"/>
    <d v="2023-05-07T00:00:00"/>
    <x v="3"/>
    <x v="4"/>
    <x v="1"/>
    <s v="Study Table"/>
    <x v="3"/>
    <x v="1"/>
    <n v="8"/>
    <n v="4900"/>
    <n v="0.1"/>
    <n v="4410"/>
    <n v="0.9"/>
    <s v="Low"/>
  </r>
  <r>
    <s v="ORD2213"/>
    <d v="2023-05-08T00:00:00"/>
    <x v="3"/>
    <x v="4"/>
    <x v="1"/>
    <s v="Wooden Bookshelf"/>
    <x v="0"/>
    <x v="1"/>
    <n v="4"/>
    <n v="8000"/>
    <n v="0.15000000000000002"/>
    <n v="6800"/>
    <n v="0.85"/>
    <s v="Medium"/>
  </r>
  <r>
    <s v="ORD2214"/>
    <d v="2023-05-09T00:00:00"/>
    <x v="3"/>
    <x v="4"/>
    <x v="1"/>
    <s v="Computer Desk"/>
    <x v="1"/>
    <x v="1"/>
    <n v="9"/>
    <n v="9900"/>
    <n v="0.2"/>
    <n v="7920"/>
    <n v="0.8"/>
    <s v="Medium"/>
  </r>
  <r>
    <s v="ORD2215"/>
    <d v="2023-05-10T00:00:00"/>
    <x v="3"/>
    <x v="4"/>
    <x v="1"/>
    <s v="Filing Cabinet"/>
    <x v="2"/>
    <x v="1"/>
    <n v="8"/>
    <n v="8600"/>
    <n v="0.25"/>
    <n v="6450"/>
    <n v="0.75"/>
    <s v="Medium"/>
  </r>
  <r>
    <s v="ORD2216"/>
    <d v="2023-05-11T00:00:00"/>
    <x v="3"/>
    <x v="4"/>
    <x v="1"/>
    <s v="Visitor Chair"/>
    <x v="3"/>
    <x v="1"/>
    <n v="3"/>
    <n v="6200"/>
    <n v="0.05"/>
    <n v="5890"/>
    <n v="0.95"/>
    <s v="Medium"/>
  </r>
  <r>
    <s v="ORD2217"/>
    <d v="2023-05-12T00:00:00"/>
    <x v="3"/>
    <x v="4"/>
    <x v="1"/>
    <s v="Conference Table"/>
    <x v="0"/>
    <x v="1"/>
    <n v="1"/>
    <n v="4100"/>
    <n v="0.1"/>
    <n v="3690"/>
    <n v="0.9"/>
    <s v="Low"/>
  </r>
  <r>
    <s v="ORD2218"/>
    <d v="2023-05-13T00:00:00"/>
    <x v="3"/>
    <x v="4"/>
    <x v="1"/>
    <s v="Drawer Unit"/>
    <x v="1"/>
    <x v="1"/>
    <n v="7"/>
    <n v="4200"/>
    <n v="0.15000000000000002"/>
    <n v="3570"/>
    <n v="0.85"/>
    <s v="Low"/>
  </r>
  <r>
    <s v="ORD2219"/>
    <d v="2023-05-14T00:00:00"/>
    <x v="3"/>
    <x v="4"/>
    <x v="1"/>
    <s v="Ergonomic Stool"/>
    <x v="2"/>
    <x v="1"/>
    <n v="10"/>
    <n v="10700"/>
    <n v="0.2"/>
    <n v="8560"/>
    <n v="0.8"/>
    <s v="High"/>
  </r>
  <r>
    <s v="ORD2220"/>
    <d v="2023-05-15T00:00:00"/>
    <x v="3"/>
    <x v="4"/>
    <x v="1"/>
    <s v="Office Sofa"/>
    <x v="3"/>
    <x v="1"/>
    <n v="4"/>
    <n v="8500"/>
    <n v="0.25"/>
    <n v="6375"/>
    <n v="0.75"/>
    <s v="Medium"/>
  </r>
  <r>
    <s v="ORD2221"/>
    <d v="2023-05-16T00:00:00"/>
    <x v="3"/>
    <x v="4"/>
    <x v="2"/>
    <s v="Ball Pen Pack"/>
    <x v="0"/>
    <x v="2"/>
    <n v="8"/>
    <n v="11000"/>
    <n v="0.05"/>
    <n v="10450"/>
    <n v="0.95"/>
    <s v="High"/>
  </r>
  <r>
    <s v="ORD2222"/>
    <d v="2023-05-17T00:00:00"/>
    <x v="3"/>
    <x v="4"/>
    <x v="2"/>
    <s v="Notebook"/>
    <x v="1"/>
    <x v="2"/>
    <n v="9"/>
    <n v="6100"/>
    <n v="0.1"/>
    <n v="5490"/>
    <n v="0.9"/>
    <s v="Medium"/>
  </r>
  <r>
    <s v="ORD2223"/>
    <d v="2023-05-18T00:00:00"/>
    <x v="3"/>
    <x v="4"/>
    <x v="2"/>
    <s v="Printer Paper Ream"/>
    <x v="2"/>
    <x v="2"/>
    <n v="2"/>
    <n v="5900"/>
    <n v="0.15000000000000002"/>
    <n v="5015"/>
    <n v="0.85"/>
    <s v="Medium"/>
  </r>
  <r>
    <s v="ORD2224"/>
    <d v="2023-05-19T00:00:00"/>
    <x v="3"/>
    <x v="4"/>
    <x v="2"/>
    <s v="Stapler"/>
    <x v="3"/>
    <x v="2"/>
    <n v="5"/>
    <n v="5800"/>
    <n v="0.2"/>
    <n v="4640"/>
    <n v="0.8"/>
    <s v="Medium"/>
  </r>
  <r>
    <s v="ORD2225"/>
    <d v="2023-05-20T00:00:00"/>
    <x v="3"/>
    <x v="4"/>
    <x v="2"/>
    <s v="Paper Clips Box"/>
    <x v="0"/>
    <x v="2"/>
    <n v="2"/>
    <n v="14700"/>
    <n v="0.25"/>
    <n v="11025"/>
    <n v="0.75"/>
    <s v="High"/>
  </r>
  <r>
    <s v="ORD2226"/>
    <d v="2023-05-21T00:00:00"/>
    <x v="3"/>
    <x v="4"/>
    <x v="2"/>
    <s v="Highlighter Set"/>
    <x v="1"/>
    <x v="2"/>
    <n v="8"/>
    <n v="9800"/>
    <n v="0.05"/>
    <n v="9310"/>
    <n v="0.95"/>
    <s v="Medium"/>
  </r>
  <r>
    <s v="ORD2227"/>
    <d v="2023-05-22T00:00:00"/>
    <x v="3"/>
    <x v="4"/>
    <x v="2"/>
    <s v="Desk Organizer"/>
    <x v="2"/>
    <x v="2"/>
    <n v="9"/>
    <n v="5500"/>
    <n v="0.1"/>
    <n v="4950"/>
    <n v="0.9"/>
    <s v="Medium"/>
  </r>
  <r>
    <s v="ORD2228"/>
    <d v="2023-05-23T00:00:00"/>
    <x v="3"/>
    <x v="4"/>
    <x v="2"/>
    <s v="Calculator"/>
    <x v="3"/>
    <x v="2"/>
    <n v="4"/>
    <n v="6200"/>
    <n v="0.15000000000000002"/>
    <n v="5270"/>
    <n v="0.85"/>
    <s v="Medium"/>
  </r>
  <r>
    <s v="ORD2229"/>
    <d v="2023-05-24T00:00:00"/>
    <x v="3"/>
    <x v="4"/>
    <x v="2"/>
    <s v="Sticky Notes"/>
    <x v="0"/>
    <x v="2"/>
    <n v="4"/>
    <n v="11500"/>
    <n v="0.2"/>
    <n v="9200"/>
    <n v="0.8"/>
    <s v="High"/>
  </r>
  <r>
    <s v="ORD2230"/>
    <d v="2023-05-25T00:00:00"/>
    <x v="3"/>
    <x v="4"/>
    <x v="2"/>
    <s v="Whiteboard Marker"/>
    <x v="1"/>
    <x v="2"/>
    <n v="6"/>
    <n v="13600"/>
    <n v="0.25"/>
    <n v="10200"/>
    <n v="0.75"/>
    <s v="High"/>
  </r>
  <r>
    <s v="ORD2231"/>
    <d v="2023-05-26T00:00:00"/>
    <x v="3"/>
    <x v="4"/>
    <x v="0"/>
    <s v="Bluetooth Speaker"/>
    <x v="2"/>
    <x v="0"/>
    <n v="3"/>
    <n v="9800"/>
    <n v="0.05"/>
    <n v="9310"/>
    <n v="0.95"/>
    <s v="Medium"/>
  </r>
  <r>
    <s v="ORD2232"/>
    <d v="2023-05-27T00:00:00"/>
    <x v="3"/>
    <x v="4"/>
    <x v="0"/>
    <s v="Wireless Mouse"/>
    <x v="3"/>
    <x v="0"/>
    <n v="3"/>
    <n v="11100"/>
    <n v="0.1"/>
    <n v="9990"/>
    <n v="0.9"/>
    <s v="High"/>
  </r>
  <r>
    <s v="ORD2233"/>
    <d v="2023-05-28T00:00:00"/>
    <x v="3"/>
    <x v="4"/>
    <x v="0"/>
    <s v="Keyboard"/>
    <x v="0"/>
    <x v="0"/>
    <n v="4"/>
    <n v="12400"/>
    <n v="0.15000000000000002"/>
    <n v="10540"/>
    <n v="0.85"/>
    <s v="High"/>
  </r>
  <r>
    <s v="ORD2234"/>
    <d v="2023-05-29T00:00:00"/>
    <x v="3"/>
    <x v="4"/>
    <x v="0"/>
    <s v="Laptop Stand"/>
    <x v="1"/>
    <x v="0"/>
    <n v="4"/>
    <n v="5400"/>
    <n v="0.2"/>
    <n v="4320"/>
    <n v="0.8"/>
    <s v="Medium"/>
  </r>
  <r>
    <s v="ORD2235"/>
    <d v="2023-05-30T00:00:00"/>
    <x v="3"/>
    <x v="4"/>
    <x v="0"/>
    <s v="USB Flash Drive"/>
    <x v="2"/>
    <x v="0"/>
    <n v="5"/>
    <n v="9800"/>
    <n v="0.25"/>
    <n v="7350"/>
    <n v="0.75"/>
    <s v="Medium"/>
  </r>
  <r>
    <s v="ORD2236"/>
    <d v="2023-05-31T00:00:00"/>
    <x v="3"/>
    <x v="4"/>
    <x v="0"/>
    <s v="External Hard Disk"/>
    <x v="3"/>
    <x v="0"/>
    <n v="3"/>
    <n v="4600"/>
    <n v="0.05"/>
    <n v="4370"/>
    <n v="0.95"/>
    <s v="Low"/>
  </r>
  <r>
    <s v="ORD2237"/>
    <d v="2023-06-01T00:00:00"/>
    <x v="3"/>
    <x v="5"/>
    <x v="0"/>
    <s v="Webcam"/>
    <x v="0"/>
    <x v="0"/>
    <n v="7"/>
    <n v="4100"/>
    <n v="0.1"/>
    <n v="3690"/>
    <n v="0.9"/>
    <s v="Low"/>
  </r>
  <r>
    <s v="ORD2238"/>
    <d v="2023-06-02T00:00:00"/>
    <x v="3"/>
    <x v="5"/>
    <x v="0"/>
    <s v="Noise Cancelling Headphones"/>
    <x v="1"/>
    <x v="0"/>
    <n v="1"/>
    <n v="5100"/>
    <n v="0.15000000000000002"/>
    <n v="4335"/>
    <n v="0.85"/>
    <s v="Medium"/>
  </r>
  <r>
    <s v="ORD2239"/>
    <d v="2023-06-03T00:00:00"/>
    <x v="3"/>
    <x v="5"/>
    <x v="0"/>
    <s v="Smart Watch"/>
    <x v="2"/>
    <x v="0"/>
    <n v="9"/>
    <n v="4900"/>
    <n v="0.2"/>
    <n v="3920"/>
    <n v="0.8"/>
    <s v="Low"/>
  </r>
  <r>
    <s v="ORD2240"/>
    <d v="2023-06-04T00:00:00"/>
    <x v="3"/>
    <x v="5"/>
    <x v="0"/>
    <s v="Portable Power Bank"/>
    <x v="3"/>
    <x v="0"/>
    <n v="4"/>
    <n v="8200"/>
    <n v="0.25"/>
    <n v="6150"/>
    <n v="0.75"/>
    <s v="Medium"/>
  </r>
  <r>
    <s v="ORD2241"/>
    <d v="2023-06-05T00:00:00"/>
    <x v="3"/>
    <x v="5"/>
    <x v="1"/>
    <s v="Office Chair"/>
    <x v="0"/>
    <x v="1"/>
    <n v="3"/>
    <n v="5400"/>
    <n v="0.05"/>
    <n v="5130"/>
    <n v="0.95"/>
    <s v="Medium"/>
  </r>
  <r>
    <s v="ORD2242"/>
    <d v="2023-06-06T00:00:00"/>
    <x v="3"/>
    <x v="5"/>
    <x v="1"/>
    <s v="Study Table"/>
    <x v="1"/>
    <x v="1"/>
    <n v="2"/>
    <n v="4300"/>
    <n v="0.1"/>
    <n v="3870"/>
    <n v="0.9"/>
    <s v="Low"/>
  </r>
  <r>
    <s v="ORD2243"/>
    <d v="2023-06-07T00:00:00"/>
    <x v="3"/>
    <x v="5"/>
    <x v="1"/>
    <s v="Wooden Bookshelf"/>
    <x v="2"/>
    <x v="1"/>
    <n v="10"/>
    <n v="8400"/>
    <n v="0.15000000000000002"/>
    <n v="7140"/>
    <n v="0.85"/>
    <s v="Medium"/>
  </r>
  <r>
    <s v="ORD2244"/>
    <d v="2023-06-08T00:00:00"/>
    <x v="3"/>
    <x v="5"/>
    <x v="1"/>
    <s v="Computer Desk"/>
    <x v="3"/>
    <x v="1"/>
    <n v="3"/>
    <n v="7200"/>
    <n v="0.2"/>
    <n v="5760"/>
    <n v="0.8"/>
    <s v="Medium"/>
  </r>
  <r>
    <s v="ORD2245"/>
    <d v="2023-06-09T00:00:00"/>
    <x v="3"/>
    <x v="5"/>
    <x v="1"/>
    <s v="Filing Cabinet"/>
    <x v="0"/>
    <x v="1"/>
    <n v="3"/>
    <n v="6600"/>
    <n v="0.25"/>
    <n v="4950"/>
    <n v="0.75"/>
    <s v="Medium"/>
  </r>
  <r>
    <s v="ORD2246"/>
    <d v="2023-06-10T00:00:00"/>
    <x v="3"/>
    <x v="5"/>
    <x v="1"/>
    <s v="Visitor Chair"/>
    <x v="1"/>
    <x v="1"/>
    <n v="6"/>
    <n v="7500"/>
    <n v="0.05"/>
    <n v="7125"/>
    <n v="0.95"/>
    <s v="Medium"/>
  </r>
  <r>
    <s v="ORD2247"/>
    <d v="2023-06-11T00:00:00"/>
    <x v="3"/>
    <x v="5"/>
    <x v="1"/>
    <s v="Conference Table"/>
    <x v="2"/>
    <x v="1"/>
    <n v="4"/>
    <n v="11800"/>
    <n v="0.1"/>
    <n v="10620"/>
    <n v="0.9"/>
    <s v="High"/>
  </r>
  <r>
    <s v="ORD2248"/>
    <d v="2023-06-12T00:00:00"/>
    <x v="3"/>
    <x v="5"/>
    <x v="1"/>
    <s v="Drawer Unit"/>
    <x v="3"/>
    <x v="1"/>
    <n v="4"/>
    <n v="8800"/>
    <n v="0.15000000000000002"/>
    <n v="7480"/>
    <n v="0.85"/>
    <s v="Medium"/>
  </r>
  <r>
    <s v="ORD2249"/>
    <d v="2023-06-13T00:00:00"/>
    <x v="3"/>
    <x v="5"/>
    <x v="1"/>
    <s v="Ergonomic Stool"/>
    <x v="0"/>
    <x v="1"/>
    <n v="9"/>
    <n v="14100"/>
    <n v="0.2"/>
    <n v="11280"/>
    <n v="0.8"/>
    <s v="High"/>
  </r>
  <r>
    <s v="ORD2250"/>
    <d v="2023-06-14T00:00:00"/>
    <x v="3"/>
    <x v="5"/>
    <x v="1"/>
    <s v="Office Sofa"/>
    <x v="1"/>
    <x v="1"/>
    <n v="6"/>
    <n v="14100"/>
    <n v="0.25"/>
    <n v="10575"/>
    <n v="0.75"/>
    <s v="High"/>
  </r>
  <r>
    <s v="ORD2251"/>
    <d v="2023-06-15T00:00:00"/>
    <x v="3"/>
    <x v="5"/>
    <x v="2"/>
    <s v="Ball Pen Pack"/>
    <x v="2"/>
    <x v="2"/>
    <n v="5"/>
    <n v="14600"/>
    <n v="0.05"/>
    <n v="13870"/>
    <n v="0.95"/>
    <s v="High"/>
  </r>
  <r>
    <s v="ORD2252"/>
    <d v="2023-06-16T00:00:00"/>
    <x v="3"/>
    <x v="5"/>
    <x v="2"/>
    <s v="Notebook"/>
    <x v="3"/>
    <x v="2"/>
    <n v="1"/>
    <n v="4800"/>
    <n v="0.1"/>
    <n v="4320"/>
    <n v="0.9"/>
    <s v="Low"/>
  </r>
  <r>
    <s v="ORD2253"/>
    <d v="2023-06-17T00:00:00"/>
    <x v="3"/>
    <x v="5"/>
    <x v="2"/>
    <s v="Printer Paper Ream"/>
    <x v="0"/>
    <x v="2"/>
    <n v="9"/>
    <n v="10600"/>
    <n v="0.15000000000000002"/>
    <n v="9010"/>
    <n v="0.85"/>
    <s v="High"/>
  </r>
  <r>
    <s v="ORD2254"/>
    <d v="2023-06-18T00:00:00"/>
    <x v="3"/>
    <x v="5"/>
    <x v="2"/>
    <s v="Stapler"/>
    <x v="1"/>
    <x v="2"/>
    <n v="9"/>
    <n v="5500"/>
    <n v="0.2"/>
    <n v="4400"/>
    <n v="0.8"/>
    <s v="Medium"/>
  </r>
  <r>
    <s v="ORD2255"/>
    <d v="2023-06-19T00:00:00"/>
    <x v="3"/>
    <x v="5"/>
    <x v="2"/>
    <s v="Paper Clips Box"/>
    <x v="2"/>
    <x v="2"/>
    <n v="4"/>
    <n v="7000"/>
    <n v="0.25"/>
    <n v="5250"/>
    <n v="0.75"/>
    <s v="Medium"/>
  </r>
  <r>
    <s v="ORD2256"/>
    <d v="2023-06-20T00:00:00"/>
    <x v="3"/>
    <x v="5"/>
    <x v="2"/>
    <s v="Highlighter Set"/>
    <x v="3"/>
    <x v="2"/>
    <n v="5"/>
    <n v="10700"/>
    <n v="0.05"/>
    <n v="10165"/>
    <n v="0.95"/>
    <s v="High"/>
  </r>
  <r>
    <s v="ORD2257"/>
    <d v="2023-06-21T00:00:00"/>
    <x v="3"/>
    <x v="5"/>
    <x v="2"/>
    <s v="Desk Organizer"/>
    <x v="0"/>
    <x v="2"/>
    <n v="2"/>
    <n v="7900"/>
    <n v="0.1"/>
    <n v="7110"/>
    <n v="0.9"/>
    <s v="Medium"/>
  </r>
  <r>
    <s v="ORD2258"/>
    <d v="2023-06-22T00:00:00"/>
    <x v="3"/>
    <x v="5"/>
    <x v="2"/>
    <s v="Calculator"/>
    <x v="1"/>
    <x v="2"/>
    <n v="8"/>
    <n v="11000"/>
    <n v="0.15000000000000002"/>
    <n v="9350"/>
    <n v="0.85"/>
    <s v="High"/>
  </r>
  <r>
    <s v="ORD2259"/>
    <d v="2023-06-23T00:00:00"/>
    <x v="3"/>
    <x v="5"/>
    <x v="2"/>
    <s v="Sticky Notes"/>
    <x v="2"/>
    <x v="2"/>
    <n v="8"/>
    <n v="11200"/>
    <n v="0.2"/>
    <n v="8960"/>
    <n v="0.8"/>
    <s v="High"/>
  </r>
  <r>
    <s v="ORD2260"/>
    <d v="2023-06-24T00:00:00"/>
    <x v="3"/>
    <x v="5"/>
    <x v="2"/>
    <s v="Whiteboard Marker"/>
    <x v="3"/>
    <x v="2"/>
    <n v="4"/>
    <n v="14200"/>
    <n v="0.25"/>
    <n v="10650"/>
    <n v="0.75"/>
    <s v="High"/>
  </r>
  <r>
    <s v="ORD2261"/>
    <d v="2023-06-25T00:00:00"/>
    <x v="3"/>
    <x v="5"/>
    <x v="0"/>
    <s v="Bluetooth Speaker"/>
    <x v="0"/>
    <x v="0"/>
    <n v="10"/>
    <n v="8300"/>
    <n v="0.05"/>
    <n v="7885"/>
    <n v="0.95"/>
    <s v="Medium"/>
  </r>
  <r>
    <s v="ORD2262"/>
    <d v="2023-06-26T00:00:00"/>
    <x v="3"/>
    <x v="5"/>
    <x v="0"/>
    <s v="Wireless Mouse"/>
    <x v="1"/>
    <x v="0"/>
    <n v="7"/>
    <n v="11400"/>
    <n v="0.1"/>
    <n v="10260"/>
    <n v="0.9"/>
    <s v="High"/>
  </r>
  <r>
    <s v="ORD2263"/>
    <d v="2023-06-27T00:00:00"/>
    <x v="3"/>
    <x v="5"/>
    <x v="0"/>
    <s v="Keyboard"/>
    <x v="2"/>
    <x v="0"/>
    <n v="1"/>
    <n v="13400"/>
    <n v="0.15000000000000002"/>
    <n v="11390"/>
    <n v="0.85"/>
    <s v="High"/>
  </r>
  <r>
    <s v="ORD2264"/>
    <d v="2023-06-28T00:00:00"/>
    <x v="3"/>
    <x v="5"/>
    <x v="0"/>
    <s v="Laptop Stand"/>
    <x v="3"/>
    <x v="0"/>
    <n v="3"/>
    <n v="5800"/>
    <n v="0.2"/>
    <n v="4640"/>
    <n v="0.8"/>
    <s v="Medium"/>
  </r>
  <r>
    <s v="ORD2265"/>
    <d v="2023-06-29T00:00:00"/>
    <x v="3"/>
    <x v="5"/>
    <x v="0"/>
    <s v="USB Flash Drive"/>
    <x v="0"/>
    <x v="0"/>
    <n v="8"/>
    <n v="11000"/>
    <n v="0.25"/>
    <n v="8250"/>
    <n v="0.75"/>
    <s v="High"/>
  </r>
  <r>
    <s v="ORD2266"/>
    <d v="2023-06-30T00:00:00"/>
    <x v="3"/>
    <x v="5"/>
    <x v="0"/>
    <s v="External Hard Disk"/>
    <x v="1"/>
    <x v="0"/>
    <n v="1"/>
    <n v="14200"/>
    <n v="0.05"/>
    <n v="13490"/>
    <n v="0.95"/>
    <s v="High"/>
  </r>
  <r>
    <s v="ORD2267"/>
    <d v="2023-07-01T00:00:00"/>
    <x v="3"/>
    <x v="6"/>
    <x v="0"/>
    <s v="Webcam"/>
    <x v="2"/>
    <x v="0"/>
    <n v="2"/>
    <n v="5500"/>
    <n v="0.1"/>
    <n v="4950"/>
    <n v="0.9"/>
    <s v="Medium"/>
  </r>
  <r>
    <s v="ORD2268"/>
    <d v="2023-07-02T00:00:00"/>
    <x v="3"/>
    <x v="6"/>
    <x v="0"/>
    <s v="Noise Cancelling Headphones"/>
    <x v="3"/>
    <x v="0"/>
    <n v="1"/>
    <n v="10400"/>
    <n v="0.15000000000000002"/>
    <n v="8840"/>
    <n v="0.85"/>
    <s v="High"/>
  </r>
  <r>
    <s v="ORD2269"/>
    <d v="2023-07-03T00:00:00"/>
    <x v="3"/>
    <x v="6"/>
    <x v="0"/>
    <s v="Smart Watch"/>
    <x v="0"/>
    <x v="0"/>
    <n v="2"/>
    <n v="6400"/>
    <n v="0.2"/>
    <n v="5120"/>
    <n v="0.8"/>
    <s v="Medium"/>
  </r>
  <r>
    <s v="ORD2270"/>
    <d v="2023-07-04T00:00:00"/>
    <x v="3"/>
    <x v="6"/>
    <x v="0"/>
    <s v="Portable Power Bank"/>
    <x v="1"/>
    <x v="0"/>
    <n v="9"/>
    <n v="12300"/>
    <n v="0.25"/>
    <n v="9225"/>
    <n v="0.75"/>
    <s v="High"/>
  </r>
  <r>
    <s v="ORD2271"/>
    <d v="2023-07-05T00:00:00"/>
    <x v="3"/>
    <x v="6"/>
    <x v="1"/>
    <s v="Office Chair"/>
    <x v="2"/>
    <x v="1"/>
    <n v="3"/>
    <n v="10300"/>
    <n v="0.05"/>
    <n v="9785"/>
    <n v="0.95"/>
    <s v="High"/>
  </r>
  <r>
    <s v="ORD2272"/>
    <d v="2023-07-06T00:00:00"/>
    <x v="3"/>
    <x v="6"/>
    <x v="1"/>
    <s v="Study Table"/>
    <x v="3"/>
    <x v="1"/>
    <n v="8"/>
    <n v="9500"/>
    <n v="0.1"/>
    <n v="8550"/>
    <n v="0.9"/>
    <s v="Medium"/>
  </r>
  <r>
    <s v="ORD2273"/>
    <d v="2023-07-07T00:00:00"/>
    <x v="3"/>
    <x v="6"/>
    <x v="1"/>
    <s v="Wooden Bookshelf"/>
    <x v="0"/>
    <x v="1"/>
    <n v="8"/>
    <n v="14500"/>
    <n v="0.15000000000000002"/>
    <n v="12325"/>
    <n v="0.85"/>
    <s v="High"/>
  </r>
  <r>
    <s v="ORD2274"/>
    <d v="2023-07-08T00:00:00"/>
    <x v="3"/>
    <x v="6"/>
    <x v="1"/>
    <s v="Computer Desk"/>
    <x v="1"/>
    <x v="1"/>
    <n v="1"/>
    <n v="14500"/>
    <n v="0.2"/>
    <n v="11600"/>
    <n v="0.8"/>
    <s v="High"/>
  </r>
  <r>
    <s v="ORD2275"/>
    <d v="2023-07-09T00:00:00"/>
    <x v="3"/>
    <x v="6"/>
    <x v="1"/>
    <s v="Filing Cabinet"/>
    <x v="2"/>
    <x v="1"/>
    <n v="2"/>
    <n v="10200"/>
    <n v="0.25"/>
    <n v="7650"/>
    <n v="0.75"/>
    <s v="High"/>
  </r>
  <r>
    <s v="ORD2276"/>
    <d v="2023-07-10T00:00:00"/>
    <x v="3"/>
    <x v="6"/>
    <x v="1"/>
    <s v="Visitor Chair"/>
    <x v="3"/>
    <x v="1"/>
    <n v="10"/>
    <n v="12200"/>
    <n v="0.05"/>
    <n v="11590"/>
    <n v="0.95"/>
    <s v="High"/>
  </r>
  <r>
    <s v="ORD2277"/>
    <d v="2023-07-11T00:00:00"/>
    <x v="3"/>
    <x v="6"/>
    <x v="1"/>
    <s v="Conference Table"/>
    <x v="0"/>
    <x v="1"/>
    <n v="2"/>
    <n v="5800"/>
    <n v="0.1"/>
    <n v="5220"/>
    <n v="0.9"/>
    <s v="Medium"/>
  </r>
  <r>
    <s v="ORD2278"/>
    <d v="2023-07-12T00:00:00"/>
    <x v="3"/>
    <x v="6"/>
    <x v="1"/>
    <s v="Drawer Unit"/>
    <x v="1"/>
    <x v="1"/>
    <n v="6"/>
    <n v="6300"/>
    <n v="0.15000000000000002"/>
    <n v="5355"/>
    <n v="0.85"/>
    <s v="Medium"/>
  </r>
  <r>
    <s v="ORD2279"/>
    <d v="2023-07-13T00:00:00"/>
    <x v="3"/>
    <x v="6"/>
    <x v="1"/>
    <s v="Ergonomic Stool"/>
    <x v="2"/>
    <x v="1"/>
    <n v="3"/>
    <n v="14300"/>
    <n v="0.2"/>
    <n v="11440"/>
    <n v="0.8"/>
    <s v="High"/>
  </r>
  <r>
    <s v="ORD2280"/>
    <d v="2023-07-14T00:00:00"/>
    <x v="3"/>
    <x v="6"/>
    <x v="1"/>
    <s v="Office Sofa"/>
    <x v="3"/>
    <x v="1"/>
    <n v="9"/>
    <n v="6500"/>
    <n v="0.25"/>
    <n v="4875"/>
    <n v="0.75"/>
    <s v="Medium"/>
  </r>
  <r>
    <s v="ORD2281"/>
    <d v="2023-07-15T00:00:00"/>
    <x v="3"/>
    <x v="6"/>
    <x v="2"/>
    <s v="Ball Pen Pack"/>
    <x v="0"/>
    <x v="2"/>
    <n v="2"/>
    <n v="10300"/>
    <n v="0.05"/>
    <n v="9785"/>
    <n v="0.95"/>
    <s v="High"/>
  </r>
  <r>
    <s v="ORD2282"/>
    <d v="2023-07-16T00:00:00"/>
    <x v="3"/>
    <x v="6"/>
    <x v="2"/>
    <s v="Notebook"/>
    <x v="1"/>
    <x v="2"/>
    <n v="7"/>
    <n v="7200"/>
    <n v="0.1"/>
    <n v="6480"/>
    <n v="0.9"/>
    <s v="Medium"/>
  </r>
  <r>
    <s v="ORD2283"/>
    <d v="2023-07-17T00:00:00"/>
    <x v="3"/>
    <x v="6"/>
    <x v="2"/>
    <s v="Printer Paper Ream"/>
    <x v="2"/>
    <x v="2"/>
    <n v="6"/>
    <n v="13400"/>
    <n v="0.15000000000000002"/>
    <n v="11390"/>
    <n v="0.85"/>
    <s v="High"/>
  </r>
  <r>
    <s v="ORD2284"/>
    <d v="2023-07-18T00:00:00"/>
    <x v="3"/>
    <x v="6"/>
    <x v="2"/>
    <s v="Stapler"/>
    <x v="3"/>
    <x v="2"/>
    <n v="3"/>
    <n v="9200"/>
    <n v="0.2"/>
    <n v="7360"/>
    <n v="0.8"/>
    <s v="Medium"/>
  </r>
  <r>
    <s v="ORD2285"/>
    <d v="2023-07-19T00:00:00"/>
    <x v="3"/>
    <x v="6"/>
    <x v="2"/>
    <s v="Paper Clips Box"/>
    <x v="0"/>
    <x v="2"/>
    <n v="10"/>
    <n v="8800"/>
    <n v="0.25"/>
    <n v="6600"/>
    <n v="0.75"/>
    <s v="Medium"/>
  </r>
  <r>
    <s v="ORD2286"/>
    <d v="2023-07-20T00:00:00"/>
    <x v="3"/>
    <x v="6"/>
    <x v="2"/>
    <s v="Highlighter Set"/>
    <x v="1"/>
    <x v="2"/>
    <n v="3"/>
    <n v="13000"/>
    <n v="0.05"/>
    <n v="12350"/>
    <n v="0.95"/>
    <s v="High"/>
  </r>
  <r>
    <s v="ORD2287"/>
    <d v="2023-07-21T00:00:00"/>
    <x v="3"/>
    <x v="6"/>
    <x v="2"/>
    <s v="Desk Organizer"/>
    <x v="2"/>
    <x v="2"/>
    <n v="8"/>
    <n v="4500"/>
    <n v="0.1"/>
    <n v="4050"/>
    <n v="0.9"/>
    <s v="Low"/>
  </r>
  <r>
    <s v="ORD2288"/>
    <d v="2023-07-22T00:00:00"/>
    <x v="3"/>
    <x v="6"/>
    <x v="2"/>
    <s v="Calculator"/>
    <x v="3"/>
    <x v="2"/>
    <n v="8"/>
    <n v="10600"/>
    <n v="0.15000000000000002"/>
    <n v="9010"/>
    <n v="0.85"/>
    <s v="High"/>
  </r>
  <r>
    <s v="ORD2289"/>
    <d v="2023-07-23T00:00:00"/>
    <x v="3"/>
    <x v="6"/>
    <x v="2"/>
    <s v="Sticky Notes"/>
    <x v="0"/>
    <x v="2"/>
    <n v="5"/>
    <n v="4000"/>
    <n v="0.2"/>
    <n v="3200"/>
    <n v="0.8"/>
    <s v="Low"/>
  </r>
  <r>
    <s v="ORD2290"/>
    <d v="2023-07-24T00:00:00"/>
    <x v="3"/>
    <x v="6"/>
    <x v="2"/>
    <s v="Whiteboard Marker"/>
    <x v="1"/>
    <x v="2"/>
    <n v="9"/>
    <n v="8000"/>
    <n v="0.25"/>
    <n v="6000"/>
    <n v="0.75"/>
    <s v="Medium"/>
  </r>
  <r>
    <s v="ORD2291"/>
    <d v="2023-07-25T00:00:00"/>
    <x v="3"/>
    <x v="6"/>
    <x v="0"/>
    <s v="Bluetooth Speaker"/>
    <x v="2"/>
    <x v="0"/>
    <n v="1"/>
    <n v="7600"/>
    <n v="0.05"/>
    <n v="7220"/>
    <n v="0.95"/>
    <s v="Medium"/>
  </r>
  <r>
    <s v="ORD2292"/>
    <d v="2023-07-26T00:00:00"/>
    <x v="3"/>
    <x v="6"/>
    <x v="0"/>
    <s v="Wireless Mouse"/>
    <x v="3"/>
    <x v="0"/>
    <n v="7"/>
    <n v="8800"/>
    <n v="0.1"/>
    <n v="7920"/>
    <n v="0.9"/>
    <s v="Medium"/>
  </r>
  <r>
    <s v="ORD2293"/>
    <d v="2023-07-27T00:00:00"/>
    <x v="3"/>
    <x v="6"/>
    <x v="0"/>
    <s v="Keyboard"/>
    <x v="0"/>
    <x v="0"/>
    <n v="2"/>
    <n v="10500"/>
    <n v="0.15000000000000002"/>
    <n v="8925"/>
    <n v="0.85"/>
    <s v="High"/>
  </r>
  <r>
    <s v="ORD2294"/>
    <d v="2023-07-28T00:00:00"/>
    <x v="3"/>
    <x v="6"/>
    <x v="0"/>
    <s v="Laptop Stand"/>
    <x v="1"/>
    <x v="0"/>
    <n v="10"/>
    <n v="6500"/>
    <n v="0.2"/>
    <n v="5200"/>
    <n v="0.8"/>
    <s v="Medium"/>
  </r>
  <r>
    <s v="ORD2295"/>
    <d v="2023-07-29T00:00:00"/>
    <x v="3"/>
    <x v="6"/>
    <x v="0"/>
    <s v="USB Flash Drive"/>
    <x v="2"/>
    <x v="0"/>
    <n v="2"/>
    <n v="9500"/>
    <n v="0.25"/>
    <n v="7125"/>
    <n v="0.75"/>
    <s v="Medium"/>
  </r>
  <r>
    <s v="ORD2296"/>
    <d v="2023-07-30T00:00:00"/>
    <x v="3"/>
    <x v="6"/>
    <x v="0"/>
    <s v="External Hard Disk"/>
    <x v="3"/>
    <x v="0"/>
    <n v="8"/>
    <n v="7500"/>
    <n v="0.05"/>
    <n v="7125"/>
    <n v="0.95"/>
    <s v="Medium"/>
  </r>
  <r>
    <s v="ORD2297"/>
    <d v="2023-07-31T00:00:00"/>
    <x v="3"/>
    <x v="6"/>
    <x v="0"/>
    <s v="Webcam"/>
    <x v="0"/>
    <x v="0"/>
    <n v="10"/>
    <n v="14800"/>
    <n v="0.1"/>
    <n v="13320"/>
    <n v="0.9"/>
    <s v="High"/>
  </r>
  <r>
    <s v="ORD2298"/>
    <d v="2023-08-01T00:00:00"/>
    <x v="3"/>
    <x v="7"/>
    <x v="0"/>
    <s v="Noise Cancelling Headphones"/>
    <x v="1"/>
    <x v="0"/>
    <n v="10"/>
    <n v="4800"/>
    <n v="0.15000000000000002"/>
    <n v="4080"/>
    <n v="0.85"/>
    <s v="Low"/>
  </r>
  <r>
    <s v="ORD2299"/>
    <d v="2023-08-02T00:00:00"/>
    <x v="3"/>
    <x v="7"/>
    <x v="0"/>
    <s v="Smart Watch"/>
    <x v="2"/>
    <x v="0"/>
    <n v="8"/>
    <n v="11600"/>
    <n v="0.2"/>
    <n v="9280"/>
    <n v="0.8"/>
    <s v="High"/>
  </r>
  <r>
    <s v="ORD2300"/>
    <d v="2023-08-03T00:00:00"/>
    <x v="3"/>
    <x v="7"/>
    <x v="0"/>
    <s v="Portable Power Bank"/>
    <x v="3"/>
    <x v="0"/>
    <n v="2"/>
    <n v="9700"/>
    <n v="0.25"/>
    <n v="7275"/>
    <n v="0.75"/>
    <s v="Medium"/>
  </r>
  <r>
    <s v="ORD2301"/>
    <d v="2023-08-04T00:00:00"/>
    <x v="3"/>
    <x v="7"/>
    <x v="1"/>
    <s v="Office Chair"/>
    <x v="0"/>
    <x v="1"/>
    <n v="9"/>
    <n v="7200"/>
    <n v="0.05"/>
    <n v="6840"/>
    <n v="0.95"/>
    <s v="Medium"/>
  </r>
  <r>
    <s v="ORD2302"/>
    <d v="2023-08-05T00:00:00"/>
    <x v="3"/>
    <x v="7"/>
    <x v="1"/>
    <s v="Study Table"/>
    <x v="1"/>
    <x v="1"/>
    <n v="5"/>
    <n v="5900"/>
    <n v="0.1"/>
    <n v="5310"/>
    <n v="0.9"/>
    <s v="Medium"/>
  </r>
  <r>
    <s v="ORD2303"/>
    <d v="2023-08-06T00:00:00"/>
    <x v="3"/>
    <x v="7"/>
    <x v="1"/>
    <s v="Wooden Bookshelf"/>
    <x v="2"/>
    <x v="1"/>
    <n v="3"/>
    <n v="12500"/>
    <n v="0.15000000000000002"/>
    <n v="10625"/>
    <n v="0.85"/>
    <s v="High"/>
  </r>
  <r>
    <s v="ORD2304"/>
    <d v="2023-08-07T00:00:00"/>
    <x v="3"/>
    <x v="7"/>
    <x v="1"/>
    <s v="Computer Desk"/>
    <x v="3"/>
    <x v="1"/>
    <n v="10"/>
    <n v="14100"/>
    <n v="0.2"/>
    <n v="11280"/>
    <n v="0.8"/>
    <s v="High"/>
  </r>
  <r>
    <s v="ORD2305"/>
    <d v="2023-08-08T00:00:00"/>
    <x v="3"/>
    <x v="7"/>
    <x v="1"/>
    <s v="Filing Cabinet"/>
    <x v="0"/>
    <x v="1"/>
    <n v="6"/>
    <n v="4400"/>
    <n v="0.25"/>
    <n v="3300"/>
    <n v="0.75"/>
    <s v="Low"/>
  </r>
  <r>
    <s v="ORD2306"/>
    <d v="2023-08-09T00:00:00"/>
    <x v="3"/>
    <x v="7"/>
    <x v="1"/>
    <s v="Visitor Chair"/>
    <x v="1"/>
    <x v="1"/>
    <n v="4"/>
    <n v="12900"/>
    <n v="0.05"/>
    <n v="12255"/>
    <n v="0.95"/>
    <s v="High"/>
  </r>
  <r>
    <s v="ORD2307"/>
    <d v="2023-08-10T00:00:00"/>
    <x v="3"/>
    <x v="7"/>
    <x v="1"/>
    <s v="Conference Table"/>
    <x v="2"/>
    <x v="1"/>
    <n v="10"/>
    <n v="6900"/>
    <n v="0.1"/>
    <n v="6210"/>
    <n v="0.9"/>
    <s v="Medium"/>
  </r>
  <r>
    <s v="ORD2308"/>
    <d v="2023-08-11T00:00:00"/>
    <x v="3"/>
    <x v="7"/>
    <x v="1"/>
    <s v="Drawer Unit"/>
    <x v="3"/>
    <x v="1"/>
    <n v="6"/>
    <n v="10700"/>
    <n v="0.15000000000000002"/>
    <n v="9095"/>
    <n v="0.85"/>
    <s v="High"/>
  </r>
  <r>
    <s v="ORD2309"/>
    <d v="2023-08-12T00:00:00"/>
    <x v="3"/>
    <x v="7"/>
    <x v="1"/>
    <s v="Ergonomic Stool"/>
    <x v="0"/>
    <x v="1"/>
    <n v="1"/>
    <n v="5200"/>
    <n v="0.2"/>
    <n v="4160"/>
    <n v="0.8"/>
    <s v="Medium"/>
  </r>
  <r>
    <s v="ORD2310"/>
    <d v="2023-08-13T00:00:00"/>
    <x v="3"/>
    <x v="7"/>
    <x v="1"/>
    <s v="Office Sofa"/>
    <x v="1"/>
    <x v="1"/>
    <n v="10"/>
    <n v="7200"/>
    <n v="0.25"/>
    <n v="5400"/>
    <n v="0.75"/>
    <s v="Medium"/>
  </r>
  <r>
    <s v="ORD2311"/>
    <d v="2023-08-14T00:00:00"/>
    <x v="3"/>
    <x v="7"/>
    <x v="2"/>
    <s v="Ball Pen Pack"/>
    <x v="2"/>
    <x v="2"/>
    <n v="3"/>
    <n v="14600"/>
    <n v="0.05"/>
    <n v="13870"/>
    <n v="0.95"/>
    <s v="High"/>
  </r>
  <r>
    <s v="ORD2312"/>
    <d v="2023-08-15T00:00:00"/>
    <x v="3"/>
    <x v="7"/>
    <x v="2"/>
    <s v="Notebook"/>
    <x v="3"/>
    <x v="2"/>
    <n v="10"/>
    <n v="10700"/>
    <n v="0.1"/>
    <n v="9630"/>
    <n v="0.9"/>
    <s v="High"/>
  </r>
  <r>
    <s v="ORD2313"/>
    <d v="2023-08-16T00:00:00"/>
    <x v="3"/>
    <x v="7"/>
    <x v="2"/>
    <s v="Printer Paper Ream"/>
    <x v="0"/>
    <x v="2"/>
    <n v="2"/>
    <n v="13000"/>
    <n v="0.15000000000000002"/>
    <n v="11050"/>
    <n v="0.85"/>
    <s v="High"/>
  </r>
  <r>
    <s v="ORD2314"/>
    <d v="2023-08-17T00:00:00"/>
    <x v="3"/>
    <x v="7"/>
    <x v="2"/>
    <s v="Stapler"/>
    <x v="1"/>
    <x v="2"/>
    <n v="10"/>
    <n v="12900"/>
    <n v="0.2"/>
    <n v="10320"/>
    <n v="0.8"/>
    <s v="High"/>
  </r>
  <r>
    <s v="ORD2315"/>
    <d v="2023-08-18T00:00:00"/>
    <x v="3"/>
    <x v="7"/>
    <x v="2"/>
    <s v="Paper Clips Box"/>
    <x v="2"/>
    <x v="2"/>
    <n v="8"/>
    <n v="5800"/>
    <n v="0.25"/>
    <n v="4350"/>
    <n v="0.75"/>
    <s v="Medium"/>
  </r>
  <r>
    <s v="ORD2316"/>
    <d v="2023-08-19T00:00:00"/>
    <x v="3"/>
    <x v="7"/>
    <x v="2"/>
    <s v="Highlighter Set"/>
    <x v="3"/>
    <x v="2"/>
    <n v="5"/>
    <n v="9200"/>
    <n v="0.05"/>
    <n v="8740"/>
    <n v="0.95"/>
    <s v="Medium"/>
  </r>
  <r>
    <s v="ORD2317"/>
    <d v="2023-08-20T00:00:00"/>
    <x v="3"/>
    <x v="7"/>
    <x v="2"/>
    <s v="Desk Organizer"/>
    <x v="0"/>
    <x v="2"/>
    <n v="2"/>
    <n v="12600"/>
    <n v="0.1"/>
    <n v="11340"/>
    <n v="0.9"/>
    <s v="High"/>
  </r>
  <r>
    <s v="ORD2318"/>
    <d v="2023-08-21T00:00:00"/>
    <x v="3"/>
    <x v="7"/>
    <x v="2"/>
    <s v="Calculator"/>
    <x v="1"/>
    <x v="2"/>
    <n v="8"/>
    <n v="10000"/>
    <n v="0.15000000000000002"/>
    <n v="8500"/>
    <n v="0.85"/>
    <s v="Medium"/>
  </r>
  <r>
    <s v="ORD2319"/>
    <d v="2023-08-22T00:00:00"/>
    <x v="3"/>
    <x v="7"/>
    <x v="2"/>
    <s v="Sticky Notes"/>
    <x v="2"/>
    <x v="2"/>
    <n v="4"/>
    <n v="13200"/>
    <n v="0.2"/>
    <n v="10560"/>
    <n v="0.8"/>
    <s v="High"/>
  </r>
  <r>
    <s v="ORD2320"/>
    <d v="2023-08-23T00:00:00"/>
    <x v="3"/>
    <x v="7"/>
    <x v="2"/>
    <s v="Whiteboard Marker"/>
    <x v="3"/>
    <x v="2"/>
    <n v="3"/>
    <n v="14700"/>
    <n v="0.25"/>
    <n v="11025"/>
    <n v="0.75"/>
    <s v="High"/>
  </r>
  <r>
    <s v="ORD2321"/>
    <d v="2023-08-24T00:00:00"/>
    <x v="3"/>
    <x v="7"/>
    <x v="0"/>
    <s v="Bluetooth Speaker"/>
    <x v="0"/>
    <x v="0"/>
    <n v="10"/>
    <n v="14800"/>
    <n v="0.05"/>
    <n v="14060"/>
    <n v="0.95"/>
    <s v="High"/>
  </r>
  <r>
    <s v="ORD2322"/>
    <d v="2023-08-25T00:00:00"/>
    <x v="3"/>
    <x v="7"/>
    <x v="0"/>
    <s v="Wireless Mouse"/>
    <x v="1"/>
    <x v="0"/>
    <n v="9"/>
    <n v="13500"/>
    <n v="0.1"/>
    <n v="12150"/>
    <n v="0.9"/>
    <s v="High"/>
  </r>
  <r>
    <s v="ORD2323"/>
    <d v="2023-08-26T00:00:00"/>
    <x v="3"/>
    <x v="7"/>
    <x v="0"/>
    <s v="Keyboard"/>
    <x v="2"/>
    <x v="0"/>
    <n v="3"/>
    <n v="13300"/>
    <n v="0.15000000000000002"/>
    <n v="11305"/>
    <n v="0.85"/>
    <s v="High"/>
  </r>
  <r>
    <s v="ORD2324"/>
    <d v="2023-08-27T00:00:00"/>
    <x v="3"/>
    <x v="7"/>
    <x v="0"/>
    <s v="Laptop Stand"/>
    <x v="3"/>
    <x v="0"/>
    <n v="9"/>
    <n v="14100"/>
    <n v="0.2"/>
    <n v="11280"/>
    <n v="0.8"/>
    <s v="High"/>
  </r>
  <r>
    <s v="ORD2325"/>
    <d v="2023-08-28T00:00:00"/>
    <x v="3"/>
    <x v="7"/>
    <x v="0"/>
    <s v="USB Flash Drive"/>
    <x v="0"/>
    <x v="0"/>
    <n v="3"/>
    <n v="7400"/>
    <n v="0.25"/>
    <n v="5550"/>
    <n v="0.75"/>
    <s v="Medium"/>
  </r>
  <r>
    <s v="ORD2326"/>
    <d v="2023-08-29T00:00:00"/>
    <x v="3"/>
    <x v="7"/>
    <x v="0"/>
    <s v="External Hard Disk"/>
    <x v="1"/>
    <x v="0"/>
    <n v="4"/>
    <n v="8500"/>
    <n v="0.05"/>
    <n v="8075"/>
    <n v="0.95"/>
    <s v="Medium"/>
  </r>
  <r>
    <s v="ORD2327"/>
    <d v="2023-08-30T00:00:00"/>
    <x v="3"/>
    <x v="7"/>
    <x v="0"/>
    <s v="Webcam"/>
    <x v="2"/>
    <x v="0"/>
    <n v="9"/>
    <n v="10700"/>
    <n v="0.1"/>
    <n v="9630"/>
    <n v="0.9"/>
    <s v="High"/>
  </r>
  <r>
    <s v="ORD2328"/>
    <d v="2023-08-31T00:00:00"/>
    <x v="3"/>
    <x v="7"/>
    <x v="0"/>
    <s v="Noise Cancelling Headphones"/>
    <x v="3"/>
    <x v="0"/>
    <n v="4"/>
    <n v="10100"/>
    <n v="0.15000000000000002"/>
    <n v="8585"/>
    <n v="0.85"/>
    <s v="High"/>
  </r>
  <r>
    <s v="ORD2329"/>
    <d v="2023-09-01T00:00:00"/>
    <x v="3"/>
    <x v="8"/>
    <x v="0"/>
    <s v="Smart Watch"/>
    <x v="0"/>
    <x v="0"/>
    <n v="1"/>
    <n v="5500"/>
    <n v="0.2"/>
    <n v="4400"/>
    <n v="0.8"/>
    <s v="Medium"/>
  </r>
  <r>
    <s v="ORD2330"/>
    <d v="2023-09-02T00:00:00"/>
    <x v="3"/>
    <x v="8"/>
    <x v="0"/>
    <s v="Portable Power Bank"/>
    <x v="1"/>
    <x v="0"/>
    <n v="8"/>
    <n v="9100"/>
    <n v="0.25"/>
    <n v="6825"/>
    <n v="0.75"/>
    <s v="Medium"/>
  </r>
  <r>
    <s v="ORD2331"/>
    <d v="2023-09-03T00:00:00"/>
    <x v="3"/>
    <x v="8"/>
    <x v="1"/>
    <s v="Office Chair"/>
    <x v="2"/>
    <x v="1"/>
    <n v="2"/>
    <n v="5700"/>
    <n v="0.05"/>
    <n v="5415"/>
    <n v="0.95"/>
    <s v="Medium"/>
  </r>
  <r>
    <s v="ORD2332"/>
    <d v="2023-09-04T00:00:00"/>
    <x v="3"/>
    <x v="8"/>
    <x v="1"/>
    <s v="Study Table"/>
    <x v="3"/>
    <x v="1"/>
    <n v="7"/>
    <n v="5200"/>
    <n v="0.1"/>
    <n v="4680"/>
    <n v="0.9"/>
    <s v="Medium"/>
  </r>
  <r>
    <s v="ORD2333"/>
    <d v="2023-09-05T00:00:00"/>
    <x v="3"/>
    <x v="8"/>
    <x v="1"/>
    <s v="Wooden Bookshelf"/>
    <x v="0"/>
    <x v="1"/>
    <n v="8"/>
    <n v="4800"/>
    <n v="0.15000000000000002"/>
    <n v="4080"/>
    <n v="0.85"/>
    <s v="Low"/>
  </r>
  <r>
    <s v="ORD2334"/>
    <d v="2023-09-06T00:00:00"/>
    <x v="3"/>
    <x v="8"/>
    <x v="1"/>
    <s v="Computer Desk"/>
    <x v="1"/>
    <x v="1"/>
    <n v="10"/>
    <n v="12200"/>
    <n v="0.2"/>
    <n v="9760"/>
    <n v="0.8"/>
    <s v="High"/>
  </r>
  <r>
    <s v="ORD2335"/>
    <d v="2023-09-07T00:00:00"/>
    <x v="3"/>
    <x v="8"/>
    <x v="1"/>
    <s v="Filing Cabinet"/>
    <x v="2"/>
    <x v="1"/>
    <n v="10"/>
    <n v="12300"/>
    <n v="0.25"/>
    <n v="9225"/>
    <n v="0.75"/>
    <s v="High"/>
  </r>
  <r>
    <s v="ORD2336"/>
    <d v="2023-09-08T00:00:00"/>
    <x v="3"/>
    <x v="8"/>
    <x v="1"/>
    <s v="Visitor Chair"/>
    <x v="3"/>
    <x v="1"/>
    <n v="8"/>
    <n v="10500"/>
    <n v="0.05"/>
    <n v="9975"/>
    <n v="0.95"/>
    <s v="High"/>
  </r>
  <r>
    <s v="ORD2337"/>
    <d v="2023-09-09T00:00:00"/>
    <x v="3"/>
    <x v="8"/>
    <x v="1"/>
    <s v="Conference Table"/>
    <x v="0"/>
    <x v="1"/>
    <n v="8"/>
    <n v="10000"/>
    <n v="0.1"/>
    <n v="9000"/>
    <n v="0.9"/>
    <s v="Medium"/>
  </r>
  <r>
    <s v="ORD2338"/>
    <d v="2023-09-10T00:00:00"/>
    <x v="3"/>
    <x v="8"/>
    <x v="1"/>
    <s v="Drawer Unit"/>
    <x v="1"/>
    <x v="1"/>
    <n v="8"/>
    <n v="9600"/>
    <n v="0.15000000000000002"/>
    <n v="8160"/>
    <n v="0.85"/>
    <s v="Medium"/>
  </r>
  <r>
    <s v="ORD2339"/>
    <d v="2023-09-11T00:00:00"/>
    <x v="3"/>
    <x v="8"/>
    <x v="1"/>
    <s v="Ergonomic Stool"/>
    <x v="2"/>
    <x v="1"/>
    <n v="3"/>
    <n v="4600"/>
    <n v="0.2"/>
    <n v="3680"/>
    <n v="0.8"/>
    <s v="Low"/>
  </r>
  <r>
    <s v="ORD2340"/>
    <d v="2023-09-12T00:00:00"/>
    <x v="3"/>
    <x v="8"/>
    <x v="1"/>
    <s v="Office Sofa"/>
    <x v="3"/>
    <x v="1"/>
    <n v="1"/>
    <n v="7900"/>
    <n v="0.25"/>
    <n v="5925"/>
    <n v="0.75"/>
    <s v="Medium"/>
  </r>
  <r>
    <s v="ORD2341"/>
    <d v="2023-09-13T00:00:00"/>
    <x v="3"/>
    <x v="8"/>
    <x v="2"/>
    <s v="Ball Pen Pack"/>
    <x v="0"/>
    <x v="2"/>
    <n v="1"/>
    <n v="15000"/>
    <n v="0.05"/>
    <n v="14250"/>
    <n v="0.95"/>
    <s v="High"/>
  </r>
  <r>
    <s v="ORD2342"/>
    <d v="2023-09-14T00:00:00"/>
    <x v="3"/>
    <x v="8"/>
    <x v="2"/>
    <s v="Notebook"/>
    <x v="1"/>
    <x v="2"/>
    <n v="6"/>
    <n v="5900"/>
    <n v="0.1"/>
    <n v="5310"/>
    <n v="0.9"/>
    <s v="Medium"/>
  </r>
  <r>
    <s v="ORD2343"/>
    <d v="2023-09-15T00:00:00"/>
    <x v="3"/>
    <x v="8"/>
    <x v="2"/>
    <s v="Printer Paper Ream"/>
    <x v="2"/>
    <x v="2"/>
    <n v="1"/>
    <n v="14200"/>
    <n v="0.15000000000000002"/>
    <n v="12070"/>
    <n v="0.85"/>
    <s v="High"/>
  </r>
  <r>
    <s v="ORD2344"/>
    <d v="2023-09-16T00:00:00"/>
    <x v="3"/>
    <x v="8"/>
    <x v="2"/>
    <s v="Stapler"/>
    <x v="3"/>
    <x v="2"/>
    <n v="3"/>
    <n v="9200"/>
    <n v="0.2"/>
    <n v="7360"/>
    <n v="0.8"/>
    <s v="Medium"/>
  </r>
  <r>
    <s v="ORD2345"/>
    <d v="2023-09-17T00:00:00"/>
    <x v="3"/>
    <x v="8"/>
    <x v="2"/>
    <s v="Paper Clips Box"/>
    <x v="0"/>
    <x v="2"/>
    <n v="10"/>
    <n v="10700"/>
    <n v="0.25"/>
    <n v="8025"/>
    <n v="0.75"/>
    <s v="High"/>
  </r>
  <r>
    <s v="ORD2346"/>
    <d v="2023-09-18T00:00:00"/>
    <x v="3"/>
    <x v="8"/>
    <x v="2"/>
    <s v="Highlighter Set"/>
    <x v="1"/>
    <x v="2"/>
    <n v="6"/>
    <n v="9500"/>
    <n v="0.05"/>
    <n v="9025"/>
    <n v="0.95"/>
    <s v="Medium"/>
  </r>
  <r>
    <s v="ORD2347"/>
    <d v="2023-09-19T00:00:00"/>
    <x v="3"/>
    <x v="8"/>
    <x v="2"/>
    <s v="Desk Organizer"/>
    <x v="2"/>
    <x v="2"/>
    <n v="6"/>
    <n v="7300"/>
    <n v="0.1"/>
    <n v="6570"/>
    <n v="0.9"/>
    <s v="Medium"/>
  </r>
  <r>
    <s v="ORD2348"/>
    <d v="2023-09-20T00:00:00"/>
    <x v="3"/>
    <x v="8"/>
    <x v="2"/>
    <s v="Calculator"/>
    <x v="3"/>
    <x v="2"/>
    <n v="2"/>
    <n v="4600"/>
    <n v="0.15000000000000002"/>
    <n v="3910"/>
    <n v="0.85"/>
    <s v="Low"/>
  </r>
  <r>
    <s v="ORD2349"/>
    <d v="2023-09-21T00:00:00"/>
    <x v="3"/>
    <x v="8"/>
    <x v="2"/>
    <s v="Sticky Notes"/>
    <x v="0"/>
    <x v="2"/>
    <n v="8"/>
    <n v="12700"/>
    <n v="0.2"/>
    <n v="10160"/>
    <n v="0.8"/>
    <s v="High"/>
  </r>
  <r>
    <s v="ORD2350"/>
    <d v="2023-09-22T00:00:00"/>
    <x v="3"/>
    <x v="8"/>
    <x v="2"/>
    <s v="Whiteboard Marker"/>
    <x v="1"/>
    <x v="2"/>
    <n v="7"/>
    <n v="6900"/>
    <n v="0.25"/>
    <n v="5175"/>
    <n v="0.75"/>
    <s v="Medium"/>
  </r>
  <r>
    <s v="ORD2351"/>
    <d v="2023-09-23T00:00:00"/>
    <x v="3"/>
    <x v="8"/>
    <x v="0"/>
    <s v="Bluetooth Speaker"/>
    <x v="2"/>
    <x v="0"/>
    <n v="1"/>
    <n v="9000"/>
    <n v="0.05"/>
    <n v="8550"/>
    <n v="0.95"/>
    <s v="Medium"/>
  </r>
  <r>
    <s v="ORD2352"/>
    <d v="2023-09-24T00:00:00"/>
    <x v="3"/>
    <x v="8"/>
    <x v="0"/>
    <s v="Wireless Mouse"/>
    <x v="3"/>
    <x v="0"/>
    <n v="8"/>
    <n v="10100"/>
    <n v="0.1"/>
    <n v="9090"/>
    <n v="0.9"/>
    <s v="High"/>
  </r>
  <r>
    <s v="ORD2353"/>
    <d v="2023-09-25T00:00:00"/>
    <x v="3"/>
    <x v="8"/>
    <x v="0"/>
    <s v="Keyboard"/>
    <x v="0"/>
    <x v="0"/>
    <n v="7"/>
    <n v="9900"/>
    <n v="0.15000000000000002"/>
    <n v="8415"/>
    <n v="0.85"/>
    <s v="Medium"/>
  </r>
  <r>
    <s v="ORD2354"/>
    <d v="2023-09-26T00:00:00"/>
    <x v="3"/>
    <x v="8"/>
    <x v="0"/>
    <s v="Laptop Stand"/>
    <x v="1"/>
    <x v="0"/>
    <n v="5"/>
    <n v="13000"/>
    <n v="0.2"/>
    <n v="10400"/>
    <n v="0.8"/>
    <s v="High"/>
  </r>
  <r>
    <s v="ORD2355"/>
    <d v="2023-09-27T00:00:00"/>
    <x v="3"/>
    <x v="8"/>
    <x v="0"/>
    <s v="USB Flash Drive"/>
    <x v="2"/>
    <x v="0"/>
    <n v="8"/>
    <n v="10100"/>
    <n v="0.25"/>
    <n v="7575"/>
    <n v="0.75"/>
    <s v="High"/>
  </r>
  <r>
    <s v="ORD2356"/>
    <d v="2023-09-28T00:00:00"/>
    <x v="3"/>
    <x v="8"/>
    <x v="0"/>
    <s v="External Hard Disk"/>
    <x v="3"/>
    <x v="0"/>
    <n v="5"/>
    <n v="13500"/>
    <n v="0.05"/>
    <n v="12825"/>
    <n v="0.95"/>
    <s v="High"/>
  </r>
  <r>
    <s v="ORD2357"/>
    <d v="2023-09-29T00:00:00"/>
    <x v="3"/>
    <x v="8"/>
    <x v="0"/>
    <s v="Webcam"/>
    <x v="0"/>
    <x v="0"/>
    <n v="3"/>
    <n v="12700"/>
    <n v="0.1"/>
    <n v="11430"/>
    <n v="0.9"/>
    <s v="High"/>
  </r>
  <r>
    <s v="ORD2358"/>
    <d v="2023-09-30T00:00:00"/>
    <x v="3"/>
    <x v="8"/>
    <x v="0"/>
    <s v="Noise Cancelling Headphones"/>
    <x v="1"/>
    <x v="0"/>
    <n v="8"/>
    <n v="10300"/>
    <n v="0.15000000000000002"/>
    <n v="8755"/>
    <n v="0.85"/>
    <s v="High"/>
  </r>
  <r>
    <s v="ORD2359"/>
    <d v="2023-10-01T00:00:00"/>
    <x v="3"/>
    <x v="9"/>
    <x v="0"/>
    <s v="Smart Watch"/>
    <x v="2"/>
    <x v="0"/>
    <n v="4"/>
    <n v="12100"/>
    <n v="0.2"/>
    <n v="9680"/>
    <n v="0.8"/>
    <s v="High"/>
  </r>
  <r>
    <s v="ORD2360"/>
    <d v="2023-10-02T00:00:00"/>
    <x v="3"/>
    <x v="9"/>
    <x v="0"/>
    <s v="Portable Power Bank"/>
    <x v="3"/>
    <x v="0"/>
    <n v="9"/>
    <n v="11700"/>
    <n v="0.25"/>
    <n v="8775"/>
    <n v="0.75"/>
    <s v="High"/>
  </r>
  <r>
    <s v="ORD2361"/>
    <d v="2023-10-03T00:00:00"/>
    <x v="3"/>
    <x v="9"/>
    <x v="1"/>
    <s v="Office Chair"/>
    <x v="0"/>
    <x v="1"/>
    <n v="6"/>
    <n v="7500"/>
    <n v="0.05"/>
    <n v="7125"/>
    <n v="0.95"/>
    <s v="Medium"/>
  </r>
  <r>
    <s v="ORD2362"/>
    <d v="2023-10-04T00:00:00"/>
    <x v="3"/>
    <x v="9"/>
    <x v="1"/>
    <s v="Study Table"/>
    <x v="1"/>
    <x v="1"/>
    <n v="8"/>
    <n v="14600"/>
    <n v="0.1"/>
    <n v="13140"/>
    <n v="0.9"/>
    <s v="High"/>
  </r>
  <r>
    <s v="ORD2363"/>
    <d v="2023-10-05T00:00:00"/>
    <x v="3"/>
    <x v="9"/>
    <x v="1"/>
    <s v="Wooden Bookshelf"/>
    <x v="2"/>
    <x v="1"/>
    <n v="1"/>
    <n v="4200"/>
    <n v="0.15000000000000002"/>
    <n v="3570"/>
    <n v="0.85"/>
    <s v="Low"/>
  </r>
  <r>
    <s v="ORD2364"/>
    <d v="2023-10-06T00:00:00"/>
    <x v="3"/>
    <x v="9"/>
    <x v="1"/>
    <s v="Computer Desk"/>
    <x v="3"/>
    <x v="1"/>
    <n v="4"/>
    <n v="12300"/>
    <n v="0.2"/>
    <n v="9840"/>
    <n v="0.8"/>
    <s v="High"/>
  </r>
  <r>
    <s v="ORD2365"/>
    <d v="2023-10-07T00:00:00"/>
    <x v="3"/>
    <x v="9"/>
    <x v="1"/>
    <s v="Filing Cabinet"/>
    <x v="0"/>
    <x v="1"/>
    <n v="7"/>
    <n v="5600"/>
    <n v="0.25"/>
    <n v="4200"/>
    <n v="0.75"/>
    <s v="Medium"/>
  </r>
  <r>
    <s v="ORD2366"/>
    <d v="2023-10-08T00:00:00"/>
    <x v="3"/>
    <x v="9"/>
    <x v="1"/>
    <s v="Visitor Chair"/>
    <x v="1"/>
    <x v="1"/>
    <n v="6"/>
    <n v="14200"/>
    <n v="0.05"/>
    <n v="13490"/>
    <n v="0.95"/>
    <s v="High"/>
  </r>
  <r>
    <s v="ORD2367"/>
    <d v="2023-10-09T00:00:00"/>
    <x v="3"/>
    <x v="9"/>
    <x v="1"/>
    <s v="Conference Table"/>
    <x v="2"/>
    <x v="1"/>
    <n v="6"/>
    <n v="13400"/>
    <n v="0.1"/>
    <n v="12060"/>
    <n v="0.9"/>
    <s v="High"/>
  </r>
  <r>
    <s v="ORD2368"/>
    <d v="2023-10-10T00:00:00"/>
    <x v="3"/>
    <x v="9"/>
    <x v="1"/>
    <s v="Drawer Unit"/>
    <x v="3"/>
    <x v="1"/>
    <n v="8"/>
    <n v="14700"/>
    <n v="0.15000000000000002"/>
    <n v="12495"/>
    <n v="0.85"/>
    <s v="High"/>
  </r>
  <r>
    <s v="ORD2369"/>
    <d v="2023-10-11T00:00:00"/>
    <x v="3"/>
    <x v="9"/>
    <x v="1"/>
    <s v="Ergonomic Stool"/>
    <x v="0"/>
    <x v="1"/>
    <n v="6"/>
    <n v="7600"/>
    <n v="0.2"/>
    <n v="6080"/>
    <n v="0.8"/>
    <s v="Medium"/>
  </r>
  <r>
    <s v="ORD2370"/>
    <d v="2023-10-12T00:00:00"/>
    <x v="3"/>
    <x v="9"/>
    <x v="1"/>
    <s v="Office Sofa"/>
    <x v="1"/>
    <x v="1"/>
    <n v="10"/>
    <n v="12200"/>
    <n v="0.25"/>
    <n v="9150"/>
    <n v="0.75"/>
    <s v="High"/>
  </r>
  <r>
    <s v="ORD2371"/>
    <d v="2023-10-13T00:00:00"/>
    <x v="3"/>
    <x v="9"/>
    <x v="2"/>
    <s v="Ball Pen Pack"/>
    <x v="2"/>
    <x v="2"/>
    <n v="3"/>
    <n v="8300"/>
    <n v="0.05"/>
    <n v="7885"/>
    <n v="0.95"/>
    <s v="Medium"/>
  </r>
  <r>
    <s v="ORD2372"/>
    <d v="2023-10-14T00:00:00"/>
    <x v="3"/>
    <x v="9"/>
    <x v="2"/>
    <s v="Notebook"/>
    <x v="3"/>
    <x v="2"/>
    <n v="4"/>
    <n v="9800"/>
    <n v="0.1"/>
    <n v="8820"/>
    <n v="0.9"/>
    <s v="Medium"/>
  </r>
  <r>
    <s v="ORD2373"/>
    <d v="2023-10-15T00:00:00"/>
    <x v="3"/>
    <x v="9"/>
    <x v="2"/>
    <s v="Printer Paper Ream"/>
    <x v="0"/>
    <x v="2"/>
    <n v="4"/>
    <n v="10300"/>
    <n v="0.15000000000000002"/>
    <n v="8755"/>
    <n v="0.85"/>
    <s v="High"/>
  </r>
  <r>
    <s v="ORD2374"/>
    <d v="2023-10-16T00:00:00"/>
    <x v="3"/>
    <x v="9"/>
    <x v="2"/>
    <s v="Stapler"/>
    <x v="1"/>
    <x v="2"/>
    <n v="7"/>
    <n v="7400"/>
    <n v="0.2"/>
    <n v="5920"/>
    <n v="0.8"/>
    <s v="Medium"/>
  </r>
  <r>
    <s v="ORD2375"/>
    <d v="2023-10-17T00:00:00"/>
    <x v="3"/>
    <x v="9"/>
    <x v="2"/>
    <s v="Paper Clips Box"/>
    <x v="2"/>
    <x v="2"/>
    <n v="8"/>
    <n v="6200"/>
    <n v="0.25"/>
    <n v="4650"/>
    <n v="0.75"/>
    <s v="Medium"/>
  </r>
  <r>
    <s v="ORD2376"/>
    <d v="2023-10-18T00:00:00"/>
    <x v="3"/>
    <x v="9"/>
    <x v="2"/>
    <s v="Highlighter Set"/>
    <x v="3"/>
    <x v="2"/>
    <n v="2"/>
    <n v="8800"/>
    <n v="0.05"/>
    <n v="8360"/>
    <n v="0.95"/>
    <s v="Medium"/>
  </r>
  <r>
    <s v="ORD2377"/>
    <d v="2023-10-19T00:00:00"/>
    <x v="3"/>
    <x v="9"/>
    <x v="2"/>
    <s v="Desk Organizer"/>
    <x v="0"/>
    <x v="2"/>
    <n v="5"/>
    <n v="7300"/>
    <n v="0.1"/>
    <n v="6570"/>
    <n v="0.9"/>
    <s v="Medium"/>
  </r>
  <r>
    <s v="ORD2378"/>
    <d v="2023-10-20T00:00:00"/>
    <x v="3"/>
    <x v="9"/>
    <x v="2"/>
    <s v="Calculator"/>
    <x v="1"/>
    <x v="2"/>
    <n v="1"/>
    <n v="12600"/>
    <n v="0.15000000000000002"/>
    <n v="10710"/>
    <n v="0.85"/>
    <s v="High"/>
  </r>
  <r>
    <s v="ORD2379"/>
    <d v="2023-10-21T00:00:00"/>
    <x v="3"/>
    <x v="9"/>
    <x v="2"/>
    <s v="Sticky Notes"/>
    <x v="2"/>
    <x v="2"/>
    <n v="1"/>
    <n v="11000"/>
    <n v="0.2"/>
    <n v="8800"/>
    <n v="0.8"/>
    <s v="High"/>
  </r>
  <r>
    <s v="ORD2380"/>
    <d v="2023-10-22T00:00:00"/>
    <x v="3"/>
    <x v="9"/>
    <x v="2"/>
    <s v="Whiteboard Marker"/>
    <x v="3"/>
    <x v="2"/>
    <n v="4"/>
    <n v="11200"/>
    <n v="0.25"/>
    <n v="8400"/>
    <n v="0.75"/>
    <s v="High"/>
  </r>
  <r>
    <s v="ORD2381"/>
    <d v="2023-10-23T00:00:00"/>
    <x v="3"/>
    <x v="9"/>
    <x v="0"/>
    <s v="Bluetooth Speaker"/>
    <x v="0"/>
    <x v="0"/>
    <n v="2"/>
    <n v="4400"/>
    <n v="0.05"/>
    <n v="4180"/>
    <n v="0.95"/>
    <s v="Low"/>
  </r>
  <r>
    <s v="ORD2382"/>
    <d v="2023-10-24T00:00:00"/>
    <x v="3"/>
    <x v="9"/>
    <x v="0"/>
    <s v="Wireless Mouse"/>
    <x v="1"/>
    <x v="0"/>
    <n v="1"/>
    <n v="4800"/>
    <n v="0.1"/>
    <n v="4320"/>
    <n v="0.9"/>
    <s v="Low"/>
  </r>
  <r>
    <s v="ORD2383"/>
    <d v="2023-10-25T00:00:00"/>
    <x v="3"/>
    <x v="9"/>
    <x v="0"/>
    <s v="Keyboard"/>
    <x v="2"/>
    <x v="0"/>
    <n v="7"/>
    <n v="11700"/>
    <n v="0.15000000000000002"/>
    <n v="9945"/>
    <n v="0.85"/>
    <s v="High"/>
  </r>
  <r>
    <s v="ORD2384"/>
    <d v="2023-10-26T00:00:00"/>
    <x v="3"/>
    <x v="9"/>
    <x v="0"/>
    <s v="Laptop Stand"/>
    <x v="3"/>
    <x v="0"/>
    <n v="4"/>
    <n v="6400"/>
    <n v="0.2"/>
    <n v="5120"/>
    <n v="0.8"/>
    <s v="Medium"/>
  </r>
  <r>
    <s v="ORD2385"/>
    <d v="2023-10-27T00:00:00"/>
    <x v="3"/>
    <x v="9"/>
    <x v="0"/>
    <s v="USB Flash Drive"/>
    <x v="0"/>
    <x v="0"/>
    <n v="4"/>
    <n v="8000"/>
    <n v="0.25"/>
    <n v="6000"/>
    <n v="0.75"/>
    <s v="Medium"/>
  </r>
  <r>
    <s v="ORD2386"/>
    <d v="2023-10-28T00:00:00"/>
    <x v="3"/>
    <x v="9"/>
    <x v="0"/>
    <s v="External Hard Disk"/>
    <x v="1"/>
    <x v="0"/>
    <n v="10"/>
    <n v="8100"/>
    <n v="0.05"/>
    <n v="7695"/>
    <n v="0.95"/>
    <s v="Medium"/>
  </r>
  <r>
    <s v="ORD2387"/>
    <d v="2023-10-29T00:00:00"/>
    <x v="3"/>
    <x v="9"/>
    <x v="0"/>
    <s v="Webcam"/>
    <x v="2"/>
    <x v="0"/>
    <n v="9"/>
    <n v="12700"/>
    <n v="0.1"/>
    <n v="11430"/>
    <n v="0.9"/>
    <s v="High"/>
  </r>
  <r>
    <s v="ORD2388"/>
    <d v="2023-10-30T00:00:00"/>
    <x v="3"/>
    <x v="9"/>
    <x v="0"/>
    <s v="Noise Cancelling Headphones"/>
    <x v="3"/>
    <x v="0"/>
    <n v="7"/>
    <n v="5200"/>
    <n v="0.15000000000000002"/>
    <n v="4420"/>
    <n v="0.85"/>
    <s v="Medium"/>
  </r>
  <r>
    <s v="ORD2389"/>
    <d v="2023-10-31T00:00:00"/>
    <x v="3"/>
    <x v="9"/>
    <x v="0"/>
    <s v="Smart Watch"/>
    <x v="0"/>
    <x v="0"/>
    <n v="1"/>
    <n v="11400"/>
    <n v="0.2"/>
    <n v="9120"/>
    <n v="0.8"/>
    <s v="High"/>
  </r>
  <r>
    <s v="ORD2390"/>
    <d v="2023-11-01T00:00:00"/>
    <x v="3"/>
    <x v="10"/>
    <x v="0"/>
    <s v="Portable Power Bank"/>
    <x v="1"/>
    <x v="0"/>
    <n v="5"/>
    <n v="7000"/>
    <n v="0.25"/>
    <n v="5250"/>
    <n v="0.75"/>
    <s v="Medium"/>
  </r>
  <r>
    <s v="ORD2391"/>
    <d v="2023-11-02T00:00:00"/>
    <x v="3"/>
    <x v="10"/>
    <x v="1"/>
    <s v="Office Chair"/>
    <x v="2"/>
    <x v="1"/>
    <n v="10"/>
    <n v="10000"/>
    <n v="0.05"/>
    <n v="9500"/>
    <n v="0.95"/>
    <s v="Medium"/>
  </r>
  <r>
    <s v="ORD2392"/>
    <d v="2023-11-03T00:00:00"/>
    <x v="3"/>
    <x v="10"/>
    <x v="1"/>
    <s v="Study Table"/>
    <x v="3"/>
    <x v="1"/>
    <n v="7"/>
    <n v="4700"/>
    <n v="0.1"/>
    <n v="4230"/>
    <n v="0.9"/>
    <s v="Low"/>
  </r>
  <r>
    <s v="ORD2393"/>
    <d v="2023-11-04T00:00:00"/>
    <x v="3"/>
    <x v="10"/>
    <x v="1"/>
    <s v="Wooden Bookshelf"/>
    <x v="0"/>
    <x v="1"/>
    <n v="1"/>
    <n v="13300"/>
    <n v="0.15000000000000002"/>
    <n v="11305"/>
    <n v="0.85"/>
    <s v="High"/>
  </r>
  <r>
    <s v="ORD2394"/>
    <d v="2023-11-05T00:00:00"/>
    <x v="3"/>
    <x v="10"/>
    <x v="1"/>
    <s v="Computer Desk"/>
    <x v="1"/>
    <x v="1"/>
    <n v="9"/>
    <n v="13400"/>
    <n v="0.2"/>
    <n v="10720"/>
    <n v="0.8"/>
    <s v="High"/>
  </r>
  <r>
    <s v="ORD2395"/>
    <d v="2023-11-06T00:00:00"/>
    <x v="3"/>
    <x v="10"/>
    <x v="1"/>
    <s v="Filing Cabinet"/>
    <x v="2"/>
    <x v="1"/>
    <n v="8"/>
    <n v="11200"/>
    <n v="0.25"/>
    <n v="8400"/>
    <n v="0.75"/>
    <s v="High"/>
  </r>
  <r>
    <s v="ORD2396"/>
    <d v="2023-11-07T00:00:00"/>
    <x v="3"/>
    <x v="10"/>
    <x v="1"/>
    <s v="Visitor Chair"/>
    <x v="3"/>
    <x v="1"/>
    <n v="3"/>
    <n v="13200"/>
    <n v="0.05"/>
    <n v="12540"/>
    <n v="0.95"/>
    <s v="High"/>
  </r>
  <r>
    <s v="ORD2397"/>
    <d v="2023-11-08T00:00:00"/>
    <x v="3"/>
    <x v="10"/>
    <x v="1"/>
    <s v="Conference Table"/>
    <x v="0"/>
    <x v="1"/>
    <n v="7"/>
    <n v="9400"/>
    <n v="0.1"/>
    <n v="8460"/>
    <n v="0.9"/>
    <s v="Medium"/>
  </r>
  <r>
    <s v="ORD2398"/>
    <d v="2023-11-09T00:00:00"/>
    <x v="3"/>
    <x v="10"/>
    <x v="1"/>
    <s v="Drawer Unit"/>
    <x v="1"/>
    <x v="1"/>
    <n v="1"/>
    <n v="8600"/>
    <n v="0.15000000000000002"/>
    <n v="7310"/>
    <n v="0.85"/>
    <s v="Medium"/>
  </r>
  <r>
    <s v="ORD2399"/>
    <d v="2023-11-10T00:00:00"/>
    <x v="3"/>
    <x v="10"/>
    <x v="1"/>
    <s v="Ergonomic Stool"/>
    <x v="2"/>
    <x v="1"/>
    <n v="2"/>
    <n v="13000"/>
    <n v="0.2"/>
    <n v="10400"/>
    <n v="0.8"/>
    <s v="High"/>
  </r>
  <r>
    <s v="ORD2400"/>
    <d v="2023-11-11T00:00:00"/>
    <x v="3"/>
    <x v="10"/>
    <x v="1"/>
    <s v="Office Sofa"/>
    <x v="3"/>
    <x v="1"/>
    <n v="4"/>
    <n v="8500"/>
    <n v="0.25"/>
    <n v="6375"/>
    <n v="0.75"/>
    <s v="Medium"/>
  </r>
  <r>
    <s v="ORD2401"/>
    <d v="2023-11-12T00:00:00"/>
    <x v="3"/>
    <x v="10"/>
    <x v="2"/>
    <s v="Ball Pen Pack"/>
    <x v="0"/>
    <x v="2"/>
    <n v="6"/>
    <n v="11400"/>
    <n v="0.05"/>
    <n v="10830"/>
    <n v="0.95"/>
    <s v="High"/>
  </r>
  <r>
    <s v="ORD2402"/>
    <d v="2023-11-13T00:00:00"/>
    <x v="3"/>
    <x v="10"/>
    <x v="2"/>
    <s v="Notebook"/>
    <x v="1"/>
    <x v="2"/>
    <n v="2"/>
    <n v="5500"/>
    <n v="0.1"/>
    <n v="4950"/>
    <n v="0.9"/>
    <s v="Medium"/>
  </r>
  <r>
    <s v="ORD2403"/>
    <d v="2023-11-14T00:00:00"/>
    <x v="3"/>
    <x v="10"/>
    <x v="2"/>
    <s v="Printer Paper Ream"/>
    <x v="2"/>
    <x v="2"/>
    <n v="4"/>
    <n v="5000"/>
    <n v="0.15000000000000002"/>
    <n v="4250"/>
    <n v="0.85"/>
    <s v="Low"/>
  </r>
  <r>
    <s v="ORD2404"/>
    <d v="2023-11-15T00:00:00"/>
    <x v="3"/>
    <x v="10"/>
    <x v="2"/>
    <s v="Stapler"/>
    <x v="3"/>
    <x v="2"/>
    <n v="4"/>
    <n v="14900"/>
    <n v="0.2"/>
    <n v="11920"/>
    <n v="0.8"/>
    <s v="High"/>
  </r>
  <r>
    <s v="ORD2405"/>
    <d v="2023-11-16T00:00:00"/>
    <x v="3"/>
    <x v="10"/>
    <x v="2"/>
    <s v="Paper Clips Box"/>
    <x v="0"/>
    <x v="2"/>
    <n v="9"/>
    <n v="4500"/>
    <n v="0.25"/>
    <n v="3375"/>
    <n v="0.75"/>
    <s v="Low"/>
  </r>
  <r>
    <s v="ORD2406"/>
    <d v="2023-11-17T00:00:00"/>
    <x v="3"/>
    <x v="10"/>
    <x v="2"/>
    <s v="Highlighter Set"/>
    <x v="1"/>
    <x v="2"/>
    <n v="9"/>
    <n v="14500"/>
    <n v="0.05"/>
    <n v="13775"/>
    <n v="0.95"/>
    <s v="High"/>
  </r>
  <r>
    <s v="ORD2407"/>
    <d v="2023-11-18T00:00:00"/>
    <x v="3"/>
    <x v="10"/>
    <x v="2"/>
    <s v="Desk Organizer"/>
    <x v="2"/>
    <x v="2"/>
    <n v="7"/>
    <n v="4300"/>
    <n v="0.1"/>
    <n v="3870"/>
    <n v="0.9"/>
    <s v="Low"/>
  </r>
  <r>
    <s v="ORD2408"/>
    <d v="2023-11-19T00:00:00"/>
    <x v="3"/>
    <x v="10"/>
    <x v="2"/>
    <s v="Calculator"/>
    <x v="3"/>
    <x v="2"/>
    <n v="6"/>
    <n v="10700"/>
    <n v="0.15000000000000002"/>
    <n v="9095"/>
    <n v="0.85"/>
    <s v="High"/>
  </r>
  <r>
    <s v="ORD2409"/>
    <d v="2023-11-20T00:00:00"/>
    <x v="3"/>
    <x v="10"/>
    <x v="2"/>
    <s v="Sticky Notes"/>
    <x v="0"/>
    <x v="2"/>
    <n v="3"/>
    <n v="8600"/>
    <n v="0.2"/>
    <n v="6880"/>
    <n v="0.8"/>
    <s v="Medium"/>
  </r>
  <r>
    <s v="ORD2410"/>
    <d v="2023-11-21T00:00:00"/>
    <x v="3"/>
    <x v="10"/>
    <x v="2"/>
    <s v="Whiteboard Marker"/>
    <x v="1"/>
    <x v="2"/>
    <n v="6"/>
    <n v="13700"/>
    <n v="0.25"/>
    <n v="10275"/>
    <n v="0.75"/>
    <s v="High"/>
  </r>
  <r>
    <s v="ORD2411"/>
    <d v="2023-11-22T00:00:00"/>
    <x v="3"/>
    <x v="10"/>
    <x v="0"/>
    <s v="Bluetooth Speaker"/>
    <x v="2"/>
    <x v="0"/>
    <n v="1"/>
    <n v="10100"/>
    <n v="0.05"/>
    <n v="9595"/>
    <n v="0.95"/>
    <s v="High"/>
  </r>
  <r>
    <s v="ORD2412"/>
    <d v="2023-11-23T00:00:00"/>
    <x v="3"/>
    <x v="10"/>
    <x v="0"/>
    <s v="Wireless Mouse"/>
    <x v="3"/>
    <x v="0"/>
    <n v="3"/>
    <n v="5400"/>
    <n v="0.1"/>
    <n v="4860"/>
    <n v="0.9"/>
    <s v="Medium"/>
  </r>
  <r>
    <s v="ORD2413"/>
    <d v="2023-11-24T00:00:00"/>
    <x v="3"/>
    <x v="10"/>
    <x v="0"/>
    <s v="Keyboard"/>
    <x v="0"/>
    <x v="0"/>
    <n v="5"/>
    <n v="12300"/>
    <n v="0.15000000000000002"/>
    <n v="10455"/>
    <n v="0.85"/>
    <s v="High"/>
  </r>
  <r>
    <s v="ORD2414"/>
    <d v="2023-11-25T00:00:00"/>
    <x v="3"/>
    <x v="10"/>
    <x v="0"/>
    <s v="Laptop Stand"/>
    <x v="1"/>
    <x v="0"/>
    <n v="6"/>
    <n v="6400"/>
    <n v="0.2"/>
    <n v="5120"/>
    <n v="0.8"/>
    <s v="Medium"/>
  </r>
  <r>
    <s v="ORD2415"/>
    <d v="2023-11-26T00:00:00"/>
    <x v="3"/>
    <x v="10"/>
    <x v="0"/>
    <s v="USB Flash Drive"/>
    <x v="2"/>
    <x v="0"/>
    <n v="1"/>
    <n v="8500"/>
    <n v="0.25"/>
    <n v="6375"/>
    <n v="0.75"/>
    <s v="Medium"/>
  </r>
  <r>
    <s v="ORD2416"/>
    <d v="2023-11-27T00:00:00"/>
    <x v="3"/>
    <x v="10"/>
    <x v="0"/>
    <s v="External Hard Disk"/>
    <x v="3"/>
    <x v="0"/>
    <n v="6"/>
    <n v="9900"/>
    <n v="0.05"/>
    <n v="9405"/>
    <n v="0.95"/>
    <s v="Medium"/>
  </r>
  <r>
    <s v="ORD2417"/>
    <d v="2023-11-28T00:00:00"/>
    <x v="3"/>
    <x v="10"/>
    <x v="0"/>
    <s v="Webcam"/>
    <x v="0"/>
    <x v="0"/>
    <n v="10"/>
    <n v="11900"/>
    <n v="0.1"/>
    <n v="10710"/>
    <n v="0.9"/>
    <s v="High"/>
  </r>
  <r>
    <s v="ORD2418"/>
    <d v="2023-11-29T00:00:00"/>
    <x v="3"/>
    <x v="10"/>
    <x v="0"/>
    <s v="Noise Cancelling Headphones"/>
    <x v="1"/>
    <x v="0"/>
    <n v="9"/>
    <n v="7900"/>
    <n v="0.15000000000000002"/>
    <n v="6715"/>
    <n v="0.85"/>
    <s v="Medium"/>
  </r>
  <r>
    <s v="ORD2419"/>
    <d v="2023-11-30T00:00:00"/>
    <x v="3"/>
    <x v="10"/>
    <x v="0"/>
    <s v="Smart Watch"/>
    <x v="2"/>
    <x v="0"/>
    <n v="8"/>
    <n v="6800"/>
    <n v="0.2"/>
    <n v="5440"/>
    <n v="0.8"/>
    <s v="Medium"/>
  </r>
  <r>
    <s v="ORD2420"/>
    <d v="2023-12-01T00:00:00"/>
    <x v="3"/>
    <x v="11"/>
    <x v="0"/>
    <s v="Portable Power Bank"/>
    <x v="3"/>
    <x v="0"/>
    <n v="10"/>
    <n v="13400"/>
    <n v="0.25"/>
    <n v="10050"/>
    <n v="0.75"/>
    <s v="High"/>
  </r>
  <r>
    <s v="ORD2421"/>
    <d v="2023-12-02T00:00:00"/>
    <x v="3"/>
    <x v="11"/>
    <x v="1"/>
    <s v="Office Chair"/>
    <x v="0"/>
    <x v="1"/>
    <n v="4"/>
    <n v="4400"/>
    <n v="0.05"/>
    <n v="4180"/>
    <n v="0.95"/>
    <s v="Low"/>
  </r>
  <r>
    <s v="ORD2422"/>
    <d v="2023-12-03T00:00:00"/>
    <x v="3"/>
    <x v="11"/>
    <x v="1"/>
    <s v="Study Table"/>
    <x v="1"/>
    <x v="1"/>
    <n v="6"/>
    <n v="6900"/>
    <n v="0.1"/>
    <n v="6210"/>
    <n v="0.9"/>
    <s v="Medium"/>
  </r>
  <r>
    <s v="ORD2423"/>
    <d v="2023-12-04T00:00:00"/>
    <x v="3"/>
    <x v="11"/>
    <x v="1"/>
    <s v="Wooden Bookshelf"/>
    <x v="2"/>
    <x v="1"/>
    <n v="9"/>
    <n v="13000"/>
    <n v="0.15000000000000002"/>
    <n v="11050"/>
    <n v="0.85"/>
    <s v="High"/>
  </r>
  <r>
    <s v="ORD2424"/>
    <d v="2023-12-05T00:00:00"/>
    <x v="3"/>
    <x v="11"/>
    <x v="1"/>
    <s v="Computer Desk"/>
    <x v="3"/>
    <x v="1"/>
    <n v="2"/>
    <n v="6000"/>
    <n v="0.2"/>
    <n v="4800"/>
    <n v="0.8"/>
    <s v="Medium"/>
  </r>
  <r>
    <s v="ORD2425"/>
    <d v="2023-12-06T00:00:00"/>
    <x v="3"/>
    <x v="11"/>
    <x v="1"/>
    <s v="Filing Cabinet"/>
    <x v="0"/>
    <x v="1"/>
    <n v="5"/>
    <n v="4800"/>
    <n v="0.25"/>
    <n v="3600"/>
    <n v="0.75"/>
    <s v="Low"/>
  </r>
  <r>
    <s v="ORD2426"/>
    <d v="2023-12-07T00:00:00"/>
    <x v="3"/>
    <x v="11"/>
    <x v="1"/>
    <s v="Visitor Chair"/>
    <x v="1"/>
    <x v="1"/>
    <n v="6"/>
    <n v="10200"/>
    <n v="0.05"/>
    <n v="9690"/>
    <n v="0.95"/>
    <s v="High"/>
  </r>
  <r>
    <s v="ORD2427"/>
    <d v="2023-12-08T00:00:00"/>
    <x v="3"/>
    <x v="11"/>
    <x v="1"/>
    <s v="Conference Table"/>
    <x v="2"/>
    <x v="1"/>
    <n v="2"/>
    <n v="5600"/>
    <n v="0.1"/>
    <n v="5040"/>
    <n v="0.9"/>
    <s v="Medium"/>
  </r>
  <r>
    <s v="ORD2428"/>
    <d v="2023-12-09T00:00:00"/>
    <x v="3"/>
    <x v="11"/>
    <x v="1"/>
    <s v="Drawer Unit"/>
    <x v="3"/>
    <x v="1"/>
    <n v="8"/>
    <n v="8000"/>
    <n v="0.15000000000000002"/>
    <n v="6800"/>
    <n v="0.85"/>
    <s v="Medium"/>
  </r>
  <r>
    <s v="ORD2429"/>
    <d v="2023-12-10T00:00:00"/>
    <x v="3"/>
    <x v="11"/>
    <x v="1"/>
    <s v="Ergonomic Stool"/>
    <x v="0"/>
    <x v="1"/>
    <n v="3"/>
    <n v="6000"/>
    <n v="0.2"/>
    <n v="4800"/>
    <n v="0.8"/>
    <s v="Medium"/>
  </r>
  <r>
    <s v="ORD2430"/>
    <d v="2023-12-11T00:00:00"/>
    <x v="3"/>
    <x v="11"/>
    <x v="1"/>
    <s v="Office Sofa"/>
    <x v="1"/>
    <x v="1"/>
    <n v="10"/>
    <n v="14800"/>
    <n v="0.25"/>
    <n v="11100"/>
    <n v="0.75"/>
    <s v="High"/>
  </r>
  <r>
    <s v="ORD2431"/>
    <d v="2023-12-12T00:00:00"/>
    <x v="3"/>
    <x v="11"/>
    <x v="2"/>
    <s v="Ball Pen Pack"/>
    <x v="2"/>
    <x v="2"/>
    <n v="2"/>
    <n v="11100"/>
    <n v="0.05"/>
    <n v="10545"/>
    <n v="0.95"/>
    <s v="High"/>
  </r>
  <r>
    <s v="ORD2432"/>
    <d v="2023-12-13T00:00:00"/>
    <x v="3"/>
    <x v="11"/>
    <x v="2"/>
    <s v="Notebook"/>
    <x v="3"/>
    <x v="2"/>
    <n v="7"/>
    <n v="14500"/>
    <n v="0.1"/>
    <n v="13050"/>
    <n v="0.9"/>
    <s v="High"/>
  </r>
  <r>
    <s v="ORD2433"/>
    <d v="2023-12-14T00:00:00"/>
    <x v="3"/>
    <x v="11"/>
    <x v="2"/>
    <s v="Printer Paper Ream"/>
    <x v="0"/>
    <x v="2"/>
    <n v="8"/>
    <n v="13600"/>
    <n v="0.15000000000000002"/>
    <n v="11560"/>
    <n v="0.85"/>
    <s v="High"/>
  </r>
  <r>
    <s v="ORD2434"/>
    <d v="2023-12-15T00:00:00"/>
    <x v="3"/>
    <x v="11"/>
    <x v="2"/>
    <s v="Stapler"/>
    <x v="1"/>
    <x v="2"/>
    <n v="6"/>
    <n v="5400"/>
    <n v="0.2"/>
    <n v="4320"/>
    <n v="0.8"/>
    <s v="Medium"/>
  </r>
  <r>
    <s v="ORD2435"/>
    <d v="2023-12-16T00:00:00"/>
    <x v="3"/>
    <x v="11"/>
    <x v="2"/>
    <s v="Paper Clips Box"/>
    <x v="2"/>
    <x v="2"/>
    <n v="5"/>
    <n v="7100"/>
    <n v="0.25"/>
    <n v="5325"/>
    <n v="0.75"/>
    <s v="Medium"/>
  </r>
  <r>
    <s v="ORD2436"/>
    <d v="2023-12-17T00:00:00"/>
    <x v="3"/>
    <x v="11"/>
    <x v="2"/>
    <s v="Highlighter Set"/>
    <x v="3"/>
    <x v="2"/>
    <n v="6"/>
    <n v="4600"/>
    <n v="0.05"/>
    <n v="4370"/>
    <n v="0.95"/>
    <s v="Low"/>
  </r>
  <r>
    <s v="ORD2437"/>
    <d v="2023-12-18T00:00:00"/>
    <x v="3"/>
    <x v="11"/>
    <x v="2"/>
    <s v="Desk Organizer"/>
    <x v="0"/>
    <x v="2"/>
    <n v="4"/>
    <n v="11300"/>
    <n v="0.1"/>
    <n v="10170"/>
    <n v="0.9"/>
    <s v="High"/>
  </r>
  <r>
    <s v="ORD2438"/>
    <d v="2023-12-19T00:00:00"/>
    <x v="3"/>
    <x v="11"/>
    <x v="2"/>
    <s v="Calculator"/>
    <x v="1"/>
    <x v="2"/>
    <n v="2"/>
    <n v="13300"/>
    <n v="0.15000000000000002"/>
    <n v="11305"/>
    <n v="0.85"/>
    <s v="High"/>
  </r>
  <r>
    <s v="ORD2439"/>
    <d v="2023-12-20T00:00:00"/>
    <x v="3"/>
    <x v="11"/>
    <x v="2"/>
    <s v="Sticky Notes"/>
    <x v="2"/>
    <x v="2"/>
    <n v="5"/>
    <n v="14900"/>
    <n v="0.2"/>
    <n v="11920"/>
    <n v="0.8"/>
    <s v="High"/>
  </r>
  <r>
    <s v="ORD2440"/>
    <d v="2023-12-21T00:00:00"/>
    <x v="3"/>
    <x v="11"/>
    <x v="2"/>
    <s v="Whiteboard Marker"/>
    <x v="3"/>
    <x v="2"/>
    <n v="10"/>
    <n v="14600"/>
    <n v="0.25"/>
    <n v="10950"/>
    <n v="0.75"/>
    <s v="High"/>
  </r>
  <r>
    <s v="ORD2441"/>
    <d v="2023-12-22T00:00:00"/>
    <x v="3"/>
    <x v="11"/>
    <x v="0"/>
    <s v="Bluetooth Speaker"/>
    <x v="0"/>
    <x v="0"/>
    <n v="8"/>
    <n v="10100"/>
    <n v="0.05"/>
    <n v="9595"/>
    <n v="0.95"/>
    <s v="High"/>
  </r>
  <r>
    <s v="ORD2442"/>
    <d v="2023-12-23T00:00:00"/>
    <x v="3"/>
    <x v="11"/>
    <x v="0"/>
    <s v="Wireless Mouse"/>
    <x v="1"/>
    <x v="0"/>
    <n v="10"/>
    <n v="7500"/>
    <n v="0.1"/>
    <n v="6750"/>
    <n v="0.9"/>
    <s v="Medium"/>
  </r>
  <r>
    <s v="ORD2443"/>
    <d v="2023-12-24T00:00:00"/>
    <x v="3"/>
    <x v="11"/>
    <x v="0"/>
    <s v="Keyboard"/>
    <x v="2"/>
    <x v="0"/>
    <n v="4"/>
    <n v="9900"/>
    <n v="0.15000000000000002"/>
    <n v="8415"/>
    <n v="0.85"/>
    <s v="Medium"/>
  </r>
  <r>
    <s v="ORD2444"/>
    <d v="2023-12-25T00:00:00"/>
    <x v="3"/>
    <x v="11"/>
    <x v="0"/>
    <s v="Laptop Stand"/>
    <x v="3"/>
    <x v="0"/>
    <n v="7"/>
    <n v="7200"/>
    <n v="0.2"/>
    <n v="5760"/>
    <n v="0.8"/>
    <s v="Medium"/>
  </r>
  <r>
    <s v="ORD2445"/>
    <d v="2023-12-26T00:00:00"/>
    <x v="3"/>
    <x v="11"/>
    <x v="0"/>
    <s v="USB Flash Drive"/>
    <x v="0"/>
    <x v="0"/>
    <n v="9"/>
    <n v="15000"/>
    <n v="0.25"/>
    <n v="11250"/>
    <n v="0.75"/>
    <s v="High"/>
  </r>
  <r>
    <s v="ORD2446"/>
    <d v="2023-12-27T00:00:00"/>
    <x v="3"/>
    <x v="11"/>
    <x v="0"/>
    <s v="External Hard Disk"/>
    <x v="1"/>
    <x v="0"/>
    <n v="9"/>
    <n v="6900"/>
    <n v="0.05"/>
    <n v="6555"/>
    <n v="0.95"/>
    <s v="Medium"/>
  </r>
  <r>
    <s v="ORD2447"/>
    <d v="2023-12-28T00:00:00"/>
    <x v="3"/>
    <x v="11"/>
    <x v="0"/>
    <s v="Webcam"/>
    <x v="2"/>
    <x v="0"/>
    <n v="7"/>
    <n v="12400"/>
    <n v="0.1"/>
    <n v="11160"/>
    <n v="0.9"/>
    <s v="High"/>
  </r>
  <r>
    <s v="ORD2448"/>
    <d v="2023-12-29T00:00:00"/>
    <x v="3"/>
    <x v="11"/>
    <x v="0"/>
    <s v="Noise Cancelling Headphones"/>
    <x v="3"/>
    <x v="0"/>
    <n v="9"/>
    <n v="5000"/>
    <n v="0.15000000000000002"/>
    <n v="4250"/>
    <n v="0.85"/>
    <s v="Low"/>
  </r>
  <r>
    <s v="ORD2449"/>
    <d v="2023-12-30T00:00:00"/>
    <x v="3"/>
    <x v="11"/>
    <x v="0"/>
    <s v="Smart Watch"/>
    <x v="0"/>
    <x v="0"/>
    <n v="4"/>
    <n v="5800"/>
    <n v="0.2"/>
    <n v="4640"/>
    <n v="0.8"/>
    <s v="Medium"/>
  </r>
  <r>
    <s v="ORD2450"/>
    <d v="2023-12-31T00:00:00"/>
    <x v="3"/>
    <x v="11"/>
    <x v="0"/>
    <s v="Portable Power Bank"/>
    <x v="1"/>
    <x v="0"/>
    <n v="4"/>
    <n v="13800"/>
    <n v="0.25"/>
    <n v="10350"/>
    <n v="0.75"/>
    <s v="High"/>
  </r>
  <r>
    <s v="ORD2451"/>
    <d v="2024-01-01T00:00:00"/>
    <x v="4"/>
    <x v="0"/>
    <x v="1"/>
    <s v="Office Chair"/>
    <x v="2"/>
    <x v="1"/>
    <n v="7"/>
    <n v="6100"/>
    <n v="0.05"/>
    <n v="5795"/>
    <n v="0.95"/>
    <s v="Medium"/>
  </r>
  <r>
    <s v="ORD2452"/>
    <d v="2024-01-02T00:00:00"/>
    <x v="4"/>
    <x v="0"/>
    <x v="1"/>
    <s v="Study Table"/>
    <x v="3"/>
    <x v="1"/>
    <n v="1"/>
    <n v="13300"/>
    <n v="0.1"/>
    <n v="11970"/>
    <n v="0.9"/>
    <s v="High"/>
  </r>
  <r>
    <s v="ORD2453"/>
    <d v="2024-01-03T00:00:00"/>
    <x v="4"/>
    <x v="0"/>
    <x v="1"/>
    <s v="Wooden Bookshelf"/>
    <x v="0"/>
    <x v="1"/>
    <n v="5"/>
    <n v="4100"/>
    <n v="0.15000000000000002"/>
    <n v="3485"/>
    <n v="0.85"/>
    <s v="Low"/>
  </r>
  <r>
    <s v="ORD2454"/>
    <d v="2024-01-04T00:00:00"/>
    <x v="4"/>
    <x v="0"/>
    <x v="1"/>
    <s v="Computer Desk"/>
    <x v="1"/>
    <x v="1"/>
    <n v="4"/>
    <n v="6700"/>
    <n v="0.2"/>
    <n v="5360"/>
    <n v="0.8"/>
    <s v="Medium"/>
  </r>
  <r>
    <s v="ORD2455"/>
    <d v="2024-01-05T00:00:00"/>
    <x v="4"/>
    <x v="0"/>
    <x v="1"/>
    <s v="Filing Cabinet"/>
    <x v="2"/>
    <x v="1"/>
    <n v="10"/>
    <n v="14800"/>
    <n v="0.25"/>
    <n v="11100"/>
    <n v="0.75"/>
    <s v="High"/>
  </r>
  <r>
    <s v="ORD2456"/>
    <d v="2024-01-06T00:00:00"/>
    <x v="4"/>
    <x v="0"/>
    <x v="1"/>
    <s v="Visitor Chair"/>
    <x v="3"/>
    <x v="1"/>
    <n v="3"/>
    <n v="5800"/>
    <n v="0.05"/>
    <n v="5510"/>
    <n v="0.95"/>
    <s v="Medium"/>
  </r>
  <r>
    <s v="ORD2457"/>
    <d v="2024-01-07T00:00:00"/>
    <x v="4"/>
    <x v="0"/>
    <x v="1"/>
    <s v="Conference Table"/>
    <x v="0"/>
    <x v="1"/>
    <n v="9"/>
    <n v="10700"/>
    <n v="0.1"/>
    <n v="9630"/>
    <n v="0.9"/>
    <s v="High"/>
  </r>
  <r>
    <s v="ORD2458"/>
    <d v="2024-01-08T00:00:00"/>
    <x v="4"/>
    <x v="0"/>
    <x v="1"/>
    <s v="Drawer Unit"/>
    <x v="1"/>
    <x v="1"/>
    <n v="1"/>
    <n v="10000"/>
    <n v="0.15000000000000002"/>
    <n v="8500"/>
    <n v="0.85"/>
    <s v="Medium"/>
  </r>
  <r>
    <s v="ORD2459"/>
    <d v="2024-01-09T00:00:00"/>
    <x v="4"/>
    <x v="0"/>
    <x v="1"/>
    <s v="Ergonomic Stool"/>
    <x v="2"/>
    <x v="1"/>
    <n v="1"/>
    <n v="6200"/>
    <n v="0.2"/>
    <n v="4960"/>
    <n v="0.8"/>
    <s v="Medium"/>
  </r>
  <r>
    <s v="ORD2460"/>
    <d v="2024-01-10T00:00:00"/>
    <x v="4"/>
    <x v="0"/>
    <x v="1"/>
    <s v="Office Sofa"/>
    <x v="3"/>
    <x v="1"/>
    <n v="10"/>
    <n v="14800"/>
    <n v="0.25"/>
    <n v="11100"/>
    <n v="0.75"/>
    <s v="High"/>
  </r>
  <r>
    <s v="ORD2461"/>
    <d v="2024-01-11T00:00:00"/>
    <x v="4"/>
    <x v="0"/>
    <x v="2"/>
    <s v="Ball Pen Pack"/>
    <x v="0"/>
    <x v="2"/>
    <n v="5"/>
    <n v="12500"/>
    <n v="0.05"/>
    <n v="11875"/>
    <n v="0.95"/>
    <s v="High"/>
  </r>
  <r>
    <s v="ORD2462"/>
    <d v="2024-01-12T00:00:00"/>
    <x v="4"/>
    <x v="0"/>
    <x v="2"/>
    <s v="Notebook"/>
    <x v="1"/>
    <x v="2"/>
    <n v="7"/>
    <n v="7000"/>
    <n v="0.1"/>
    <n v="6300"/>
    <n v="0.9"/>
    <s v="Medium"/>
  </r>
  <r>
    <s v="ORD2463"/>
    <d v="2024-01-13T00:00:00"/>
    <x v="4"/>
    <x v="0"/>
    <x v="2"/>
    <s v="Printer Paper Ream"/>
    <x v="2"/>
    <x v="2"/>
    <n v="8"/>
    <n v="7300"/>
    <n v="0.15000000000000002"/>
    <n v="6205"/>
    <n v="0.85"/>
    <s v="Medium"/>
  </r>
  <r>
    <s v="ORD2464"/>
    <d v="2024-01-14T00:00:00"/>
    <x v="4"/>
    <x v="0"/>
    <x v="2"/>
    <s v="Stapler"/>
    <x v="3"/>
    <x v="2"/>
    <n v="3"/>
    <n v="9900"/>
    <n v="0.2"/>
    <n v="7920"/>
    <n v="0.8"/>
    <s v="Medium"/>
  </r>
  <r>
    <s v="ORD2465"/>
    <d v="2024-01-15T00:00:00"/>
    <x v="4"/>
    <x v="0"/>
    <x v="2"/>
    <s v="Paper Clips Box"/>
    <x v="0"/>
    <x v="2"/>
    <n v="3"/>
    <n v="7800"/>
    <n v="0.25"/>
    <n v="5850"/>
    <n v="0.75"/>
    <s v="Medium"/>
  </r>
  <r>
    <s v="ORD2466"/>
    <d v="2024-01-16T00:00:00"/>
    <x v="4"/>
    <x v="0"/>
    <x v="2"/>
    <s v="Highlighter Set"/>
    <x v="1"/>
    <x v="2"/>
    <n v="10"/>
    <n v="8100"/>
    <n v="0.05"/>
    <n v="7695"/>
    <n v="0.95"/>
    <s v="Medium"/>
  </r>
  <r>
    <s v="ORD2467"/>
    <d v="2024-01-17T00:00:00"/>
    <x v="4"/>
    <x v="0"/>
    <x v="2"/>
    <s v="Desk Organizer"/>
    <x v="2"/>
    <x v="2"/>
    <n v="6"/>
    <n v="4500"/>
    <n v="0.1"/>
    <n v="4050"/>
    <n v="0.9"/>
    <s v="Low"/>
  </r>
  <r>
    <s v="ORD2468"/>
    <d v="2024-01-18T00:00:00"/>
    <x v="4"/>
    <x v="0"/>
    <x v="2"/>
    <s v="Calculator"/>
    <x v="3"/>
    <x v="2"/>
    <n v="3"/>
    <n v="8300"/>
    <n v="0.15000000000000002"/>
    <n v="7055"/>
    <n v="0.85"/>
    <s v="Medium"/>
  </r>
  <r>
    <s v="ORD2469"/>
    <d v="2024-01-19T00:00:00"/>
    <x v="4"/>
    <x v="0"/>
    <x v="2"/>
    <s v="Sticky Notes"/>
    <x v="0"/>
    <x v="2"/>
    <n v="8"/>
    <n v="7500"/>
    <n v="0.2"/>
    <n v="6000"/>
    <n v="0.8"/>
    <s v="Medium"/>
  </r>
  <r>
    <s v="ORD2470"/>
    <d v="2024-01-20T00:00:00"/>
    <x v="4"/>
    <x v="0"/>
    <x v="2"/>
    <s v="Whiteboard Marker"/>
    <x v="1"/>
    <x v="2"/>
    <n v="10"/>
    <n v="5800"/>
    <n v="0.25"/>
    <n v="4350"/>
    <n v="0.75"/>
    <s v="Medium"/>
  </r>
  <r>
    <s v="ORD2471"/>
    <d v="2024-01-21T00:00:00"/>
    <x v="4"/>
    <x v="0"/>
    <x v="0"/>
    <s v="Bluetooth Speaker"/>
    <x v="2"/>
    <x v="0"/>
    <n v="4"/>
    <n v="9900"/>
    <n v="0.05"/>
    <n v="9405"/>
    <n v="0.95"/>
    <s v="Medium"/>
  </r>
  <r>
    <s v="ORD2472"/>
    <d v="2024-01-22T00:00:00"/>
    <x v="4"/>
    <x v="0"/>
    <x v="0"/>
    <s v="Wireless Mouse"/>
    <x v="3"/>
    <x v="0"/>
    <n v="10"/>
    <n v="5500"/>
    <n v="0.1"/>
    <n v="4950"/>
    <n v="0.9"/>
    <s v="Medium"/>
  </r>
  <r>
    <s v="ORD2473"/>
    <d v="2024-01-23T00:00:00"/>
    <x v="4"/>
    <x v="0"/>
    <x v="0"/>
    <s v="Keyboard"/>
    <x v="0"/>
    <x v="0"/>
    <n v="1"/>
    <n v="5700"/>
    <n v="0.15000000000000002"/>
    <n v="4845"/>
    <n v="0.85"/>
    <s v="Medium"/>
  </r>
  <r>
    <s v="ORD2474"/>
    <d v="2024-01-24T00:00:00"/>
    <x v="4"/>
    <x v="0"/>
    <x v="0"/>
    <s v="Laptop Stand"/>
    <x v="1"/>
    <x v="0"/>
    <n v="10"/>
    <n v="7200"/>
    <n v="0.2"/>
    <n v="5760"/>
    <n v="0.8"/>
    <s v="Medium"/>
  </r>
  <r>
    <s v="ORD2475"/>
    <d v="2024-01-25T00:00:00"/>
    <x v="4"/>
    <x v="0"/>
    <x v="0"/>
    <s v="USB Flash Drive"/>
    <x v="2"/>
    <x v="0"/>
    <n v="6"/>
    <n v="10800"/>
    <n v="0.25"/>
    <n v="8100"/>
    <n v="0.75"/>
    <s v="High"/>
  </r>
  <r>
    <s v="ORD2476"/>
    <d v="2024-01-26T00:00:00"/>
    <x v="4"/>
    <x v="0"/>
    <x v="0"/>
    <s v="External Hard Disk"/>
    <x v="3"/>
    <x v="0"/>
    <n v="5"/>
    <n v="6800"/>
    <n v="0.05"/>
    <n v="6460"/>
    <n v="0.95"/>
    <s v="Medium"/>
  </r>
  <r>
    <s v="ORD2477"/>
    <d v="2024-01-27T00:00:00"/>
    <x v="4"/>
    <x v="0"/>
    <x v="0"/>
    <s v="Webcam"/>
    <x v="0"/>
    <x v="0"/>
    <n v="5"/>
    <n v="14500"/>
    <n v="0.1"/>
    <n v="13050"/>
    <n v="0.9"/>
    <s v="High"/>
  </r>
  <r>
    <s v="ORD2478"/>
    <d v="2024-01-28T00:00:00"/>
    <x v="4"/>
    <x v="0"/>
    <x v="0"/>
    <s v="Noise Cancelling Headphones"/>
    <x v="1"/>
    <x v="0"/>
    <n v="3"/>
    <n v="11300"/>
    <n v="0.15000000000000002"/>
    <n v="9605"/>
    <n v="0.85"/>
    <s v="High"/>
  </r>
  <r>
    <s v="ORD2479"/>
    <d v="2024-01-29T00:00:00"/>
    <x v="4"/>
    <x v="0"/>
    <x v="0"/>
    <s v="Smart Watch"/>
    <x v="2"/>
    <x v="0"/>
    <n v="10"/>
    <n v="12600"/>
    <n v="0.2"/>
    <n v="10080"/>
    <n v="0.8"/>
    <s v="High"/>
  </r>
  <r>
    <s v="ORD2480"/>
    <d v="2024-01-30T00:00:00"/>
    <x v="4"/>
    <x v="0"/>
    <x v="0"/>
    <s v="Portable Power Bank"/>
    <x v="3"/>
    <x v="0"/>
    <n v="7"/>
    <n v="11800"/>
    <n v="0.25"/>
    <n v="8850"/>
    <n v="0.75"/>
    <s v="High"/>
  </r>
  <r>
    <s v="ORD2481"/>
    <d v="2024-01-31T00:00:00"/>
    <x v="4"/>
    <x v="0"/>
    <x v="1"/>
    <s v="Office Chair"/>
    <x v="0"/>
    <x v="1"/>
    <n v="8"/>
    <n v="13000"/>
    <n v="0.05"/>
    <n v="12350"/>
    <n v="0.95"/>
    <s v="High"/>
  </r>
  <r>
    <s v="ORD2482"/>
    <d v="2024-02-01T00:00:00"/>
    <x v="4"/>
    <x v="1"/>
    <x v="1"/>
    <s v="Study Table"/>
    <x v="1"/>
    <x v="1"/>
    <n v="1"/>
    <n v="8600"/>
    <n v="0.1"/>
    <n v="7740"/>
    <n v="0.9"/>
    <s v="Medium"/>
  </r>
  <r>
    <s v="ORD2483"/>
    <d v="2024-02-02T00:00:00"/>
    <x v="4"/>
    <x v="1"/>
    <x v="1"/>
    <s v="Wooden Bookshelf"/>
    <x v="2"/>
    <x v="1"/>
    <n v="3"/>
    <n v="12800"/>
    <n v="0.15000000000000002"/>
    <n v="10880"/>
    <n v="0.85"/>
    <s v="High"/>
  </r>
  <r>
    <s v="ORD2484"/>
    <d v="2024-02-03T00:00:00"/>
    <x v="4"/>
    <x v="1"/>
    <x v="1"/>
    <s v="Computer Desk"/>
    <x v="3"/>
    <x v="1"/>
    <n v="1"/>
    <n v="11600"/>
    <n v="0.2"/>
    <n v="9280"/>
    <n v="0.8"/>
    <s v="High"/>
  </r>
  <r>
    <s v="ORD2485"/>
    <d v="2024-02-04T00:00:00"/>
    <x v="4"/>
    <x v="1"/>
    <x v="1"/>
    <s v="Filing Cabinet"/>
    <x v="0"/>
    <x v="1"/>
    <n v="1"/>
    <n v="5200"/>
    <n v="0.25"/>
    <n v="3900"/>
    <n v="0.75"/>
    <s v="Medium"/>
  </r>
  <r>
    <s v="ORD2486"/>
    <d v="2024-02-05T00:00:00"/>
    <x v="4"/>
    <x v="1"/>
    <x v="1"/>
    <s v="Visitor Chair"/>
    <x v="1"/>
    <x v="1"/>
    <n v="9"/>
    <n v="6600"/>
    <n v="0.05"/>
    <n v="6270"/>
    <n v="0.95"/>
    <s v="Medium"/>
  </r>
  <r>
    <s v="ORD2487"/>
    <d v="2024-02-06T00:00:00"/>
    <x v="4"/>
    <x v="1"/>
    <x v="1"/>
    <s v="Conference Table"/>
    <x v="2"/>
    <x v="1"/>
    <n v="1"/>
    <n v="8600"/>
    <n v="0.1"/>
    <n v="7740"/>
    <n v="0.9"/>
    <s v="Medium"/>
  </r>
  <r>
    <s v="ORD2488"/>
    <d v="2024-02-07T00:00:00"/>
    <x v="4"/>
    <x v="1"/>
    <x v="1"/>
    <s v="Drawer Unit"/>
    <x v="3"/>
    <x v="1"/>
    <n v="1"/>
    <n v="8400"/>
    <n v="0.15000000000000002"/>
    <n v="7140"/>
    <n v="0.85"/>
    <s v="Medium"/>
  </r>
  <r>
    <s v="ORD2489"/>
    <d v="2024-02-08T00:00:00"/>
    <x v="4"/>
    <x v="1"/>
    <x v="1"/>
    <s v="Ergonomic Stool"/>
    <x v="0"/>
    <x v="1"/>
    <n v="2"/>
    <n v="10400"/>
    <n v="0.2"/>
    <n v="8320"/>
    <n v="0.8"/>
    <s v="High"/>
  </r>
  <r>
    <s v="ORD2490"/>
    <d v="2024-02-09T00:00:00"/>
    <x v="4"/>
    <x v="1"/>
    <x v="1"/>
    <s v="Office Sofa"/>
    <x v="1"/>
    <x v="1"/>
    <n v="7"/>
    <n v="12200"/>
    <n v="0.25"/>
    <n v="9150"/>
    <n v="0.75"/>
    <s v="High"/>
  </r>
  <r>
    <s v="ORD2491"/>
    <d v="2024-02-10T00:00:00"/>
    <x v="4"/>
    <x v="1"/>
    <x v="2"/>
    <s v="Ball Pen Pack"/>
    <x v="2"/>
    <x v="2"/>
    <n v="2"/>
    <n v="7200"/>
    <n v="0.05"/>
    <n v="6840"/>
    <n v="0.95"/>
    <s v="Medium"/>
  </r>
  <r>
    <s v="ORD2492"/>
    <d v="2024-02-11T00:00:00"/>
    <x v="4"/>
    <x v="1"/>
    <x v="2"/>
    <s v="Notebook"/>
    <x v="3"/>
    <x v="2"/>
    <n v="1"/>
    <n v="14400"/>
    <n v="0.1"/>
    <n v="12960"/>
    <n v="0.9"/>
    <s v="High"/>
  </r>
  <r>
    <s v="ORD2493"/>
    <d v="2024-02-12T00:00:00"/>
    <x v="4"/>
    <x v="1"/>
    <x v="2"/>
    <s v="Printer Paper Ream"/>
    <x v="0"/>
    <x v="2"/>
    <n v="3"/>
    <n v="14300"/>
    <n v="0.15000000000000002"/>
    <n v="12155"/>
    <n v="0.85"/>
    <s v="High"/>
  </r>
  <r>
    <s v="ORD2494"/>
    <d v="2024-02-13T00:00:00"/>
    <x v="4"/>
    <x v="1"/>
    <x v="2"/>
    <s v="Stapler"/>
    <x v="1"/>
    <x v="2"/>
    <n v="9"/>
    <n v="7300"/>
    <n v="0.2"/>
    <n v="5840"/>
    <n v="0.8"/>
    <s v="Medium"/>
  </r>
  <r>
    <s v="ORD2495"/>
    <d v="2024-02-14T00:00:00"/>
    <x v="4"/>
    <x v="1"/>
    <x v="2"/>
    <s v="Paper Clips Box"/>
    <x v="2"/>
    <x v="2"/>
    <n v="4"/>
    <n v="13500"/>
    <n v="0.25"/>
    <n v="10125"/>
    <n v="0.75"/>
    <s v="High"/>
  </r>
  <r>
    <s v="ORD2496"/>
    <d v="2024-02-15T00:00:00"/>
    <x v="4"/>
    <x v="1"/>
    <x v="2"/>
    <s v="Highlighter Set"/>
    <x v="3"/>
    <x v="2"/>
    <n v="2"/>
    <n v="9400"/>
    <n v="0.05"/>
    <n v="8930"/>
    <n v="0.95"/>
    <s v="Medium"/>
  </r>
  <r>
    <s v="ORD2497"/>
    <d v="2024-02-16T00:00:00"/>
    <x v="4"/>
    <x v="1"/>
    <x v="2"/>
    <s v="Desk Organizer"/>
    <x v="0"/>
    <x v="2"/>
    <n v="8"/>
    <n v="10800"/>
    <n v="0.1"/>
    <n v="9720"/>
    <n v="0.9"/>
    <s v="High"/>
  </r>
  <r>
    <s v="ORD2498"/>
    <d v="2024-02-17T00:00:00"/>
    <x v="4"/>
    <x v="1"/>
    <x v="2"/>
    <s v="Calculator"/>
    <x v="1"/>
    <x v="2"/>
    <n v="1"/>
    <n v="7200"/>
    <n v="0.15000000000000002"/>
    <n v="6120"/>
    <n v="0.85"/>
    <s v="Medium"/>
  </r>
  <r>
    <s v="ORD2499"/>
    <d v="2024-02-18T00:00:00"/>
    <x v="4"/>
    <x v="1"/>
    <x v="2"/>
    <s v="Sticky Notes"/>
    <x v="2"/>
    <x v="2"/>
    <n v="6"/>
    <n v="11100"/>
    <n v="0.2"/>
    <n v="8880"/>
    <n v="0.8"/>
    <s v="High"/>
  </r>
  <r>
    <s v="ORD2500"/>
    <d v="2024-02-19T00:00:00"/>
    <x v="4"/>
    <x v="1"/>
    <x v="2"/>
    <s v="Whiteboard Marker"/>
    <x v="3"/>
    <x v="2"/>
    <n v="9"/>
    <n v="7900"/>
    <n v="0.25"/>
    <n v="5925"/>
    <n v="0.75"/>
    <s v="Medium"/>
  </r>
  <r>
    <s v="ORD2501"/>
    <d v="2024-02-20T00:00:00"/>
    <x v="4"/>
    <x v="1"/>
    <x v="0"/>
    <s v="Bluetooth Speaker"/>
    <x v="0"/>
    <x v="0"/>
    <n v="4"/>
    <n v="6600"/>
    <n v="0.05"/>
    <n v="6270"/>
    <n v="0.95"/>
    <s v="Medium"/>
  </r>
  <r>
    <s v="ORD2502"/>
    <d v="2024-02-21T00:00:00"/>
    <x v="4"/>
    <x v="1"/>
    <x v="0"/>
    <s v="Wireless Mouse"/>
    <x v="1"/>
    <x v="0"/>
    <n v="9"/>
    <n v="13400"/>
    <n v="0.1"/>
    <n v="12060"/>
    <n v="0.9"/>
    <s v="High"/>
  </r>
  <r>
    <s v="ORD2503"/>
    <d v="2024-02-22T00:00:00"/>
    <x v="4"/>
    <x v="1"/>
    <x v="0"/>
    <s v="Keyboard"/>
    <x v="2"/>
    <x v="0"/>
    <n v="7"/>
    <n v="5800"/>
    <n v="0.15000000000000002"/>
    <n v="4930"/>
    <n v="0.85"/>
    <s v="Medium"/>
  </r>
  <r>
    <s v="ORD2504"/>
    <d v="2024-02-23T00:00:00"/>
    <x v="4"/>
    <x v="1"/>
    <x v="0"/>
    <s v="Laptop Stand"/>
    <x v="3"/>
    <x v="0"/>
    <n v="5"/>
    <n v="10900"/>
    <n v="0.2"/>
    <n v="8720"/>
    <n v="0.8"/>
    <s v="High"/>
  </r>
  <r>
    <s v="ORD2505"/>
    <d v="2024-02-24T00:00:00"/>
    <x v="4"/>
    <x v="1"/>
    <x v="0"/>
    <s v="USB Flash Drive"/>
    <x v="0"/>
    <x v="0"/>
    <n v="3"/>
    <n v="5300"/>
    <n v="0.25"/>
    <n v="3975"/>
    <n v="0.75"/>
    <s v="Medium"/>
  </r>
  <r>
    <s v="ORD2506"/>
    <d v="2024-02-25T00:00:00"/>
    <x v="4"/>
    <x v="1"/>
    <x v="0"/>
    <s v="External Hard Disk"/>
    <x v="1"/>
    <x v="0"/>
    <n v="9"/>
    <n v="5100"/>
    <n v="0.05"/>
    <n v="4845"/>
    <n v="0.95"/>
    <s v="Medium"/>
  </r>
  <r>
    <s v="ORD2507"/>
    <d v="2024-02-26T00:00:00"/>
    <x v="4"/>
    <x v="1"/>
    <x v="0"/>
    <s v="Webcam"/>
    <x v="2"/>
    <x v="0"/>
    <n v="6"/>
    <n v="10200"/>
    <n v="0.1"/>
    <n v="9180"/>
    <n v="0.9"/>
    <s v="High"/>
  </r>
  <r>
    <s v="ORD2508"/>
    <d v="2024-02-27T00:00:00"/>
    <x v="4"/>
    <x v="1"/>
    <x v="0"/>
    <s v="Noise Cancelling Headphones"/>
    <x v="3"/>
    <x v="0"/>
    <n v="7"/>
    <n v="11900"/>
    <n v="0.15000000000000002"/>
    <n v="10115"/>
    <n v="0.85"/>
    <s v="High"/>
  </r>
  <r>
    <s v="ORD2509"/>
    <d v="2024-02-28T00:00:00"/>
    <x v="4"/>
    <x v="1"/>
    <x v="0"/>
    <s v="Smart Watch"/>
    <x v="0"/>
    <x v="0"/>
    <n v="5"/>
    <n v="12300"/>
    <n v="0.2"/>
    <n v="9840"/>
    <n v="0.8"/>
    <s v="High"/>
  </r>
  <r>
    <s v="ORD2510"/>
    <d v="2024-02-29T00:00:00"/>
    <x v="4"/>
    <x v="1"/>
    <x v="0"/>
    <s v="Portable Power Bank"/>
    <x v="1"/>
    <x v="0"/>
    <n v="8"/>
    <n v="5600"/>
    <n v="0.25"/>
    <n v="4200"/>
    <n v="0.75"/>
    <s v="Medium"/>
  </r>
  <r>
    <s v="ORD2511"/>
    <d v="2024-03-01T00:00:00"/>
    <x v="4"/>
    <x v="2"/>
    <x v="1"/>
    <s v="Office Chair"/>
    <x v="2"/>
    <x v="1"/>
    <n v="3"/>
    <n v="14700"/>
    <n v="0.05"/>
    <n v="13965"/>
    <n v="0.95"/>
    <s v="High"/>
  </r>
  <r>
    <s v="ORD2512"/>
    <d v="2024-03-02T00:00:00"/>
    <x v="4"/>
    <x v="2"/>
    <x v="1"/>
    <s v="Study Table"/>
    <x v="3"/>
    <x v="1"/>
    <n v="10"/>
    <n v="4900"/>
    <n v="0.1"/>
    <n v="4410"/>
    <n v="0.9"/>
    <s v="Low"/>
  </r>
  <r>
    <s v="ORD2513"/>
    <d v="2024-03-03T00:00:00"/>
    <x v="4"/>
    <x v="2"/>
    <x v="1"/>
    <s v="Wooden Bookshelf"/>
    <x v="0"/>
    <x v="1"/>
    <n v="2"/>
    <n v="8500"/>
    <n v="0.15000000000000002"/>
    <n v="7225"/>
    <n v="0.85"/>
    <s v="Medium"/>
  </r>
  <r>
    <s v="ORD2514"/>
    <d v="2024-03-04T00:00:00"/>
    <x v="4"/>
    <x v="2"/>
    <x v="1"/>
    <s v="Computer Desk"/>
    <x v="1"/>
    <x v="1"/>
    <n v="1"/>
    <n v="9200"/>
    <n v="0.2"/>
    <n v="7360"/>
    <n v="0.8"/>
    <s v="Medium"/>
  </r>
  <r>
    <s v="ORD2515"/>
    <d v="2024-03-05T00:00:00"/>
    <x v="4"/>
    <x v="2"/>
    <x v="1"/>
    <s v="Filing Cabinet"/>
    <x v="2"/>
    <x v="1"/>
    <n v="1"/>
    <n v="13400"/>
    <n v="0.25"/>
    <n v="10050"/>
    <n v="0.75"/>
    <s v="High"/>
  </r>
  <r>
    <s v="ORD2516"/>
    <d v="2024-03-06T00:00:00"/>
    <x v="4"/>
    <x v="2"/>
    <x v="1"/>
    <s v="Visitor Chair"/>
    <x v="3"/>
    <x v="1"/>
    <n v="3"/>
    <n v="10800"/>
    <n v="0.05"/>
    <n v="10260"/>
    <n v="0.95"/>
    <s v="High"/>
  </r>
  <r>
    <s v="ORD2517"/>
    <d v="2024-03-07T00:00:00"/>
    <x v="4"/>
    <x v="2"/>
    <x v="1"/>
    <s v="Conference Table"/>
    <x v="0"/>
    <x v="1"/>
    <n v="5"/>
    <n v="12400"/>
    <n v="0.1"/>
    <n v="11160"/>
    <n v="0.9"/>
    <s v="High"/>
  </r>
  <r>
    <s v="ORD2518"/>
    <d v="2024-03-08T00:00:00"/>
    <x v="4"/>
    <x v="2"/>
    <x v="1"/>
    <s v="Drawer Unit"/>
    <x v="1"/>
    <x v="1"/>
    <n v="8"/>
    <n v="7800"/>
    <n v="0.15000000000000002"/>
    <n v="6630"/>
    <n v="0.85"/>
    <s v="Medium"/>
  </r>
  <r>
    <s v="ORD2519"/>
    <d v="2024-03-09T00:00:00"/>
    <x v="4"/>
    <x v="2"/>
    <x v="1"/>
    <s v="Ergonomic Stool"/>
    <x v="2"/>
    <x v="1"/>
    <n v="9"/>
    <n v="11300"/>
    <n v="0.2"/>
    <n v="9040"/>
    <n v="0.8"/>
    <s v="High"/>
  </r>
  <r>
    <s v="ORD2520"/>
    <d v="2024-03-10T00:00:00"/>
    <x v="4"/>
    <x v="2"/>
    <x v="1"/>
    <s v="Office Sofa"/>
    <x v="3"/>
    <x v="1"/>
    <n v="3"/>
    <n v="6300"/>
    <n v="0.25"/>
    <n v="4725"/>
    <n v="0.75"/>
    <s v="Medium"/>
  </r>
  <r>
    <s v="ORD2521"/>
    <d v="2024-03-11T00:00:00"/>
    <x v="4"/>
    <x v="2"/>
    <x v="2"/>
    <s v="Ball Pen Pack"/>
    <x v="0"/>
    <x v="2"/>
    <n v="8"/>
    <n v="11500"/>
    <n v="0.05"/>
    <n v="10925"/>
    <n v="0.95"/>
    <s v="High"/>
  </r>
  <r>
    <s v="ORD2522"/>
    <d v="2024-03-12T00:00:00"/>
    <x v="4"/>
    <x v="2"/>
    <x v="2"/>
    <s v="Notebook"/>
    <x v="1"/>
    <x v="2"/>
    <n v="2"/>
    <n v="14100"/>
    <n v="0.1"/>
    <n v="12690"/>
    <n v="0.9"/>
    <s v="High"/>
  </r>
  <r>
    <s v="ORD2523"/>
    <d v="2024-03-13T00:00:00"/>
    <x v="4"/>
    <x v="2"/>
    <x v="2"/>
    <s v="Printer Paper Ream"/>
    <x v="2"/>
    <x v="2"/>
    <n v="5"/>
    <n v="4500"/>
    <n v="0.15000000000000002"/>
    <n v="3825"/>
    <n v="0.85"/>
    <s v="Low"/>
  </r>
  <r>
    <s v="ORD2524"/>
    <d v="2024-03-14T00:00:00"/>
    <x v="4"/>
    <x v="2"/>
    <x v="2"/>
    <s v="Stapler"/>
    <x v="3"/>
    <x v="2"/>
    <n v="3"/>
    <n v="9500"/>
    <n v="0.2"/>
    <n v="7600"/>
    <n v="0.8"/>
    <s v="Medium"/>
  </r>
  <r>
    <s v="ORD2525"/>
    <d v="2024-03-15T00:00:00"/>
    <x v="4"/>
    <x v="2"/>
    <x v="2"/>
    <s v="Paper Clips Box"/>
    <x v="0"/>
    <x v="2"/>
    <n v="3"/>
    <n v="15000"/>
    <n v="0.25"/>
    <n v="11250"/>
    <n v="0.75"/>
    <s v="High"/>
  </r>
  <r>
    <s v="ORD2526"/>
    <d v="2024-03-16T00:00:00"/>
    <x v="4"/>
    <x v="2"/>
    <x v="2"/>
    <s v="Highlighter Set"/>
    <x v="1"/>
    <x v="2"/>
    <n v="10"/>
    <n v="4500"/>
    <n v="0.05"/>
    <n v="4275"/>
    <n v="0.95"/>
    <s v="Low"/>
  </r>
  <r>
    <s v="ORD2527"/>
    <d v="2024-03-17T00:00:00"/>
    <x v="4"/>
    <x v="2"/>
    <x v="2"/>
    <s v="Desk Organizer"/>
    <x v="2"/>
    <x v="2"/>
    <n v="5"/>
    <n v="14500"/>
    <n v="0.1"/>
    <n v="13050"/>
    <n v="0.9"/>
    <s v="High"/>
  </r>
  <r>
    <s v="ORD2528"/>
    <d v="2024-03-18T00:00:00"/>
    <x v="4"/>
    <x v="2"/>
    <x v="2"/>
    <s v="Calculator"/>
    <x v="3"/>
    <x v="2"/>
    <n v="9"/>
    <n v="5800"/>
    <n v="0.15000000000000002"/>
    <n v="4930"/>
    <n v="0.85"/>
    <s v="Medium"/>
  </r>
  <r>
    <s v="ORD2529"/>
    <d v="2024-03-19T00:00:00"/>
    <x v="4"/>
    <x v="2"/>
    <x v="2"/>
    <s v="Sticky Notes"/>
    <x v="0"/>
    <x v="2"/>
    <n v="3"/>
    <n v="13900"/>
    <n v="0.2"/>
    <n v="11120"/>
    <n v="0.8"/>
    <s v="High"/>
  </r>
  <r>
    <s v="ORD2530"/>
    <d v="2024-03-20T00:00:00"/>
    <x v="4"/>
    <x v="2"/>
    <x v="2"/>
    <s v="Whiteboard Marker"/>
    <x v="1"/>
    <x v="2"/>
    <n v="9"/>
    <n v="7400"/>
    <n v="0.25"/>
    <n v="5550"/>
    <n v="0.75"/>
    <s v="Medium"/>
  </r>
  <r>
    <s v="ORD2531"/>
    <d v="2024-03-21T00:00:00"/>
    <x v="4"/>
    <x v="2"/>
    <x v="0"/>
    <s v="Bluetooth Speaker"/>
    <x v="2"/>
    <x v="0"/>
    <n v="1"/>
    <n v="5000"/>
    <n v="0.05"/>
    <n v="4750"/>
    <n v="0.95"/>
    <s v="Low"/>
  </r>
  <r>
    <s v="ORD2532"/>
    <d v="2024-03-22T00:00:00"/>
    <x v="4"/>
    <x v="2"/>
    <x v="0"/>
    <s v="Wireless Mouse"/>
    <x v="3"/>
    <x v="0"/>
    <n v="7"/>
    <n v="11700"/>
    <n v="0.1"/>
    <n v="10530"/>
    <n v="0.9"/>
    <s v="High"/>
  </r>
  <r>
    <s v="ORD2533"/>
    <d v="2024-03-23T00:00:00"/>
    <x v="4"/>
    <x v="2"/>
    <x v="0"/>
    <s v="Keyboard"/>
    <x v="0"/>
    <x v="0"/>
    <n v="4"/>
    <n v="11600"/>
    <n v="0.15000000000000002"/>
    <n v="9860"/>
    <n v="0.85"/>
    <s v="High"/>
  </r>
  <r>
    <s v="ORD2534"/>
    <d v="2024-03-24T00:00:00"/>
    <x v="4"/>
    <x v="2"/>
    <x v="0"/>
    <s v="Laptop Stand"/>
    <x v="1"/>
    <x v="0"/>
    <n v="9"/>
    <n v="13800"/>
    <n v="0.2"/>
    <n v="11040"/>
    <n v="0.8"/>
    <s v="High"/>
  </r>
  <r>
    <s v="ORD2535"/>
    <d v="2024-03-25T00:00:00"/>
    <x v="4"/>
    <x v="2"/>
    <x v="0"/>
    <s v="USB Flash Drive"/>
    <x v="2"/>
    <x v="0"/>
    <n v="8"/>
    <n v="11200"/>
    <n v="0.25"/>
    <n v="8400"/>
    <n v="0.75"/>
    <s v="High"/>
  </r>
  <r>
    <s v="ORD2536"/>
    <d v="2024-03-26T00:00:00"/>
    <x v="4"/>
    <x v="2"/>
    <x v="0"/>
    <s v="External Hard Disk"/>
    <x v="3"/>
    <x v="0"/>
    <n v="7"/>
    <n v="14500"/>
    <n v="0.05"/>
    <n v="13775"/>
    <n v="0.95"/>
    <s v="High"/>
  </r>
  <r>
    <s v="ORD2537"/>
    <d v="2024-03-27T00:00:00"/>
    <x v="4"/>
    <x v="2"/>
    <x v="0"/>
    <s v="Webcam"/>
    <x v="0"/>
    <x v="0"/>
    <n v="1"/>
    <n v="10600"/>
    <n v="0.1"/>
    <n v="9540"/>
    <n v="0.9"/>
    <s v="High"/>
  </r>
  <r>
    <s v="ORD2538"/>
    <d v="2024-03-28T00:00:00"/>
    <x v="4"/>
    <x v="2"/>
    <x v="0"/>
    <s v="Noise Cancelling Headphones"/>
    <x v="1"/>
    <x v="0"/>
    <n v="2"/>
    <n v="7900"/>
    <n v="0.15000000000000002"/>
    <n v="6715"/>
    <n v="0.85"/>
    <s v="Medium"/>
  </r>
  <r>
    <s v="ORD2539"/>
    <d v="2024-03-29T00:00:00"/>
    <x v="4"/>
    <x v="2"/>
    <x v="0"/>
    <s v="Smart Watch"/>
    <x v="2"/>
    <x v="0"/>
    <n v="2"/>
    <n v="8200"/>
    <n v="0.2"/>
    <n v="6560"/>
    <n v="0.8"/>
    <s v="Medium"/>
  </r>
  <r>
    <s v="ORD2540"/>
    <d v="2024-03-30T00:00:00"/>
    <x v="4"/>
    <x v="2"/>
    <x v="0"/>
    <s v="Portable Power Bank"/>
    <x v="3"/>
    <x v="0"/>
    <n v="10"/>
    <n v="9200"/>
    <n v="0.25"/>
    <n v="6900"/>
    <n v="0.75"/>
    <s v="Medium"/>
  </r>
  <r>
    <s v="ORD2541"/>
    <d v="2024-03-31T00:00:00"/>
    <x v="4"/>
    <x v="2"/>
    <x v="1"/>
    <s v="Office Chair"/>
    <x v="0"/>
    <x v="1"/>
    <n v="1"/>
    <n v="5500"/>
    <n v="0.05"/>
    <n v="5225"/>
    <n v="0.95"/>
    <s v="Medium"/>
  </r>
  <r>
    <s v="ORD2542"/>
    <d v="2024-04-01T00:00:00"/>
    <x v="4"/>
    <x v="3"/>
    <x v="1"/>
    <s v="Study Table"/>
    <x v="1"/>
    <x v="1"/>
    <n v="2"/>
    <n v="8600"/>
    <n v="0.1"/>
    <n v="7740"/>
    <n v="0.9"/>
    <s v="Medium"/>
  </r>
  <r>
    <s v="ORD2543"/>
    <d v="2024-04-02T00:00:00"/>
    <x v="4"/>
    <x v="3"/>
    <x v="1"/>
    <s v="Wooden Bookshelf"/>
    <x v="2"/>
    <x v="1"/>
    <n v="7"/>
    <n v="8200"/>
    <n v="0.15000000000000002"/>
    <n v="6970"/>
    <n v="0.85"/>
    <s v="Medium"/>
  </r>
  <r>
    <s v="ORD2544"/>
    <d v="2024-04-03T00:00:00"/>
    <x v="4"/>
    <x v="3"/>
    <x v="1"/>
    <s v="Computer Desk"/>
    <x v="3"/>
    <x v="1"/>
    <n v="6"/>
    <n v="10800"/>
    <n v="0.2"/>
    <n v="8640"/>
    <n v="0.8"/>
    <s v="High"/>
  </r>
  <r>
    <s v="ORD2545"/>
    <d v="2024-04-04T00:00:00"/>
    <x v="4"/>
    <x v="3"/>
    <x v="1"/>
    <s v="Filing Cabinet"/>
    <x v="0"/>
    <x v="1"/>
    <n v="3"/>
    <n v="9800"/>
    <n v="0.25"/>
    <n v="7350"/>
    <n v="0.75"/>
    <s v="Medium"/>
  </r>
  <r>
    <s v="ORD2546"/>
    <d v="2024-04-05T00:00:00"/>
    <x v="4"/>
    <x v="3"/>
    <x v="1"/>
    <s v="Visitor Chair"/>
    <x v="1"/>
    <x v="1"/>
    <n v="7"/>
    <n v="7100"/>
    <n v="0.05"/>
    <n v="6745"/>
    <n v="0.95"/>
    <s v="Medium"/>
  </r>
  <r>
    <s v="ORD2547"/>
    <d v="2024-04-06T00:00:00"/>
    <x v="4"/>
    <x v="3"/>
    <x v="1"/>
    <s v="Conference Table"/>
    <x v="2"/>
    <x v="1"/>
    <n v="10"/>
    <n v="14400"/>
    <n v="0.1"/>
    <n v="12960"/>
    <n v="0.9"/>
    <s v="High"/>
  </r>
  <r>
    <s v="ORD2548"/>
    <d v="2024-04-07T00:00:00"/>
    <x v="4"/>
    <x v="3"/>
    <x v="1"/>
    <s v="Drawer Unit"/>
    <x v="3"/>
    <x v="1"/>
    <n v="3"/>
    <n v="11400"/>
    <n v="0.15000000000000002"/>
    <n v="9690"/>
    <n v="0.85"/>
    <s v="High"/>
  </r>
  <r>
    <s v="ORD2549"/>
    <d v="2024-04-08T00:00:00"/>
    <x v="4"/>
    <x v="3"/>
    <x v="1"/>
    <s v="Ergonomic Stool"/>
    <x v="0"/>
    <x v="1"/>
    <n v="9"/>
    <n v="12600"/>
    <n v="0.2"/>
    <n v="10080"/>
    <n v="0.8"/>
    <s v="High"/>
  </r>
  <r>
    <s v="ORD2550"/>
    <d v="2024-04-09T00:00:00"/>
    <x v="4"/>
    <x v="3"/>
    <x v="1"/>
    <s v="Office Sofa"/>
    <x v="1"/>
    <x v="1"/>
    <n v="2"/>
    <n v="10100"/>
    <n v="0.25"/>
    <n v="7575"/>
    <n v="0.75"/>
    <s v="High"/>
  </r>
  <r>
    <s v="ORD2551"/>
    <d v="2024-04-10T00:00:00"/>
    <x v="4"/>
    <x v="3"/>
    <x v="2"/>
    <s v="Ball Pen Pack"/>
    <x v="2"/>
    <x v="2"/>
    <n v="5"/>
    <n v="9900"/>
    <n v="0.05"/>
    <n v="9405"/>
    <n v="0.95"/>
    <s v="Medium"/>
  </r>
  <r>
    <s v="ORD2552"/>
    <d v="2024-04-11T00:00:00"/>
    <x v="4"/>
    <x v="3"/>
    <x v="2"/>
    <s v="Notebook"/>
    <x v="3"/>
    <x v="2"/>
    <n v="8"/>
    <n v="14900"/>
    <n v="0.1"/>
    <n v="13410"/>
    <n v="0.9"/>
    <s v="High"/>
  </r>
  <r>
    <s v="ORD2553"/>
    <d v="2024-04-12T00:00:00"/>
    <x v="4"/>
    <x v="3"/>
    <x v="2"/>
    <s v="Printer Paper Ream"/>
    <x v="0"/>
    <x v="2"/>
    <n v="8"/>
    <n v="13700"/>
    <n v="0.15000000000000002"/>
    <n v="11645"/>
    <n v="0.85"/>
    <s v="High"/>
  </r>
  <r>
    <s v="ORD2554"/>
    <d v="2024-04-13T00:00:00"/>
    <x v="4"/>
    <x v="3"/>
    <x v="2"/>
    <s v="Stapler"/>
    <x v="1"/>
    <x v="2"/>
    <n v="7"/>
    <n v="5300"/>
    <n v="0.2"/>
    <n v="4240"/>
    <n v="0.8"/>
    <s v="Medium"/>
  </r>
  <r>
    <s v="ORD2555"/>
    <d v="2024-04-14T00:00:00"/>
    <x v="4"/>
    <x v="3"/>
    <x v="2"/>
    <s v="Paper Clips Box"/>
    <x v="2"/>
    <x v="2"/>
    <n v="4"/>
    <n v="12700"/>
    <n v="0.25"/>
    <n v="9525"/>
    <n v="0.75"/>
    <s v="High"/>
  </r>
  <r>
    <s v="ORD2556"/>
    <d v="2024-04-15T00:00:00"/>
    <x v="4"/>
    <x v="3"/>
    <x v="2"/>
    <s v="Highlighter Set"/>
    <x v="3"/>
    <x v="2"/>
    <n v="9"/>
    <n v="8900"/>
    <n v="0.05"/>
    <n v="8455"/>
    <n v="0.95"/>
    <s v="Medium"/>
  </r>
  <r>
    <s v="ORD2557"/>
    <d v="2024-04-16T00:00:00"/>
    <x v="4"/>
    <x v="3"/>
    <x v="2"/>
    <s v="Desk Organizer"/>
    <x v="0"/>
    <x v="2"/>
    <n v="3"/>
    <n v="4300"/>
    <n v="0.1"/>
    <n v="3870"/>
    <n v="0.9"/>
    <s v="Low"/>
  </r>
  <r>
    <s v="ORD2558"/>
    <d v="2024-04-17T00:00:00"/>
    <x v="4"/>
    <x v="3"/>
    <x v="2"/>
    <s v="Calculator"/>
    <x v="1"/>
    <x v="2"/>
    <n v="8"/>
    <n v="9200"/>
    <n v="0.15000000000000002"/>
    <n v="7820"/>
    <n v="0.85"/>
    <s v="Medium"/>
  </r>
  <r>
    <s v="ORD2559"/>
    <d v="2024-04-18T00:00:00"/>
    <x v="4"/>
    <x v="3"/>
    <x v="2"/>
    <s v="Sticky Notes"/>
    <x v="2"/>
    <x v="2"/>
    <n v="10"/>
    <n v="4300"/>
    <n v="0.2"/>
    <n v="3440"/>
    <n v="0.8"/>
    <s v="Low"/>
  </r>
  <r>
    <s v="ORD2560"/>
    <d v="2024-04-19T00:00:00"/>
    <x v="4"/>
    <x v="3"/>
    <x v="2"/>
    <s v="Whiteboard Marker"/>
    <x v="3"/>
    <x v="2"/>
    <n v="6"/>
    <n v="8000"/>
    <n v="0.25"/>
    <n v="6000"/>
    <n v="0.75"/>
    <s v="Medium"/>
  </r>
  <r>
    <s v="ORD2561"/>
    <d v="2024-04-20T00:00:00"/>
    <x v="4"/>
    <x v="3"/>
    <x v="0"/>
    <s v="Bluetooth Speaker"/>
    <x v="0"/>
    <x v="0"/>
    <n v="1"/>
    <n v="6300"/>
    <n v="0.05"/>
    <n v="5985"/>
    <n v="0.95"/>
    <s v="Medium"/>
  </r>
  <r>
    <s v="ORD2562"/>
    <d v="2024-04-21T00:00:00"/>
    <x v="4"/>
    <x v="3"/>
    <x v="0"/>
    <s v="Wireless Mouse"/>
    <x v="1"/>
    <x v="0"/>
    <n v="8"/>
    <n v="8600"/>
    <n v="0.1"/>
    <n v="7740"/>
    <n v="0.9"/>
    <s v="Medium"/>
  </r>
  <r>
    <s v="ORD2563"/>
    <d v="2024-04-22T00:00:00"/>
    <x v="4"/>
    <x v="3"/>
    <x v="0"/>
    <s v="Keyboard"/>
    <x v="2"/>
    <x v="0"/>
    <n v="1"/>
    <n v="13100"/>
    <n v="0.15000000000000002"/>
    <n v="11135"/>
    <n v="0.85"/>
    <s v="High"/>
  </r>
  <r>
    <s v="ORD2564"/>
    <d v="2024-04-23T00:00:00"/>
    <x v="4"/>
    <x v="3"/>
    <x v="0"/>
    <s v="Laptop Stand"/>
    <x v="3"/>
    <x v="0"/>
    <n v="9"/>
    <n v="10700"/>
    <n v="0.2"/>
    <n v="8560"/>
    <n v="0.8"/>
    <s v="High"/>
  </r>
  <r>
    <s v="ORD2565"/>
    <d v="2024-04-24T00:00:00"/>
    <x v="4"/>
    <x v="3"/>
    <x v="0"/>
    <s v="USB Flash Drive"/>
    <x v="0"/>
    <x v="0"/>
    <n v="10"/>
    <n v="4100"/>
    <n v="0.25"/>
    <n v="3075"/>
    <n v="0.75"/>
    <s v="Low"/>
  </r>
  <r>
    <s v="ORD2566"/>
    <d v="2024-04-25T00:00:00"/>
    <x v="4"/>
    <x v="3"/>
    <x v="0"/>
    <s v="External Hard Disk"/>
    <x v="1"/>
    <x v="0"/>
    <n v="1"/>
    <n v="14800"/>
    <n v="0.05"/>
    <n v="14060"/>
    <n v="0.95"/>
    <s v="High"/>
  </r>
  <r>
    <s v="ORD2567"/>
    <d v="2024-04-26T00:00:00"/>
    <x v="4"/>
    <x v="3"/>
    <x v="0"/>
    <s v="Webcam"/>
    <x v="2"/>
    <x v="0"/>
    <n v="2"/>
    <n v="12900"/>
    <n v="0.1"/>
    <n v="11610"/>
    <n v="0.9"/>
    <s v="High"/>
  </r>
  <r>
    <s v="ORD2568"/>
    <d v="2024-04-27T00:00:00"/>
    <x v="4"/>
    <x v="3"/>
    <x v="0"/>
    <s v="Noise Cancelling Headphones"/>
    <x v="3"/>
    <x v="0"/>
    <n v="2"/>
    <n v="10100"/>
    <n v="0.15000000000000002"/>
    <n v="8585"/>
    <n v="0.85"/>
    <s v="High"/>
  </r>
  <r>
    <s v="ORD2569"/>
    <d v="2024-04-28T00:00:00"/>
    <x v="4"/>
    <x v="3"/>
    <x v="0"/>
    <s v="Smart Watch"/>
    <x v="0"/>
    <x v="0"/>
    <n v="4"/>
    <n v="9500"/>
    <n v="0.2"/>
    <n v="7600"/>
    <n v="0.8"/>
    <s v="Medium"/>
  </r>
  <r>
    <s v="ORD2570"/>
    <d v="2024-04-29T00:00:00"/>
    <x v="4"/>
    <x v="3"/>
    <x v="0"/>
    <s v="Portable Power Bank"/>
    <x v="1"/>
    <x v="0"/>
    <n v="5"/>
    <n v="8200"/>
    <n v="0.25"/>
    <n v="6150"/>
    <n v="0.75"/>
    <s v="Medium"/>
  </r>
  <r>
    <s v="ORD2571"/>
    <d v="2024-04-30T00:00:00"/>
    <x v="4"/>
    <x v="3"/>
    <x v="1"/>
    <s v="Office Chair"/>
    <x v="2"/>
    <x v="1"/>
    <n v="2"/>
    <n v="6600"/>
    <n v="0.05"/>
    <n v="6270"/>
    <n v="0.95"/>
    <s v="Medium"/>
  </r>
  <r>
    <s v="ORD2572"/>
    <d v="2024-05-01T00:00:00"/>
    <x v="4"/>
    <x v="4"/>
    <x v="1"/>
    <s v="Study Table"/>
    <x v="3"/>
    <x v="1"/>
    <n v="9"/>
    <n v="13400"/>
    <n v="0.1"/>
    <n v="12060"/>
    <n v="0.9"/>
    <s v="High"/>
  </r>
  <r>
    <s v="ORD2573"/>
    <d v="2024-05-02T00:00:00"/>
    <x v="4"/>
    <x v="4"/>
    <x v="1"/>
    <s v="Wooden Bookshelf"/>
    <x v="0"/>
    <x v="1"/>
    <n v="5"/>
    <n v="7500"/>
    <n v="0.15000000000000002"/>
    <n v="6375"/>
    <n v="0.85"/>
    <s v="Medium"/>
  </r>
  <r>
    <s v="ORD2574"/>
    <d v="2024-05-03T00:00:00"/>
    <x v="4"/>
    <x v="4"/>
    <x v="1"/>
    <s v="Computer Desk"/>
    <x v="1"/>
    <x v="1"/>
    <n v="2"/>
    <n v="14300"/>
    <n v="0.2"/>
    <n v="11440"/>
    <n v="0.8"/>
    <s v="High"/>
  </r>
  <r>
    <s v="ORD2575"/>
    <d v="2024-05-04T00:00:00"/>
    <x v="4"/>
    <x v="4"/>
    <x v="1"/>
    <s v="Filing Cabinet"/>
    <x v="2"/>
    <x v="1"/>
    <n v="5"/>
    <n v="10000"/>
    <n v="0.25"/>
    <n v="7500"/>
    <n v="0.75"/>
    <s v="Medium"/>
  </r>
  <r>
    <s v="ORD2576"/>
    <d v="2024-05-05T00:00:00"/>
    <x v="4"/>
    <x v="4"/>
    <x v="1"/>
    <s v="Visitor Chair"/>
    <x v="3"/>
    <x v="1"/>
    <n v="8"/>
    <n v="14500"/>
    <n v="0.05"/>
    <n v="13775"/>
    <n v="0.95"/>
    <s v="High"/>
  </r>
  <r>
    <s v="ORD2577"/>
    <d v="2024-05-06T00:00:00"/>
    <x v="4"/>
    <x v="4"/>
    <x v="1"/>
    <s v="Conference Table"/>
    <x v="0"/>
    <x v="1"/>
    <n v="8"/>
    <n v="13600"/>
    <n v="0.1"/>
    <n v="12240"/>
    <n v="0.9"/>
    <s v="High"/>
  </r>
  <r>
    <s v="ORD2578"/>
    <d v="2024-05-07T00:00:00"/>
    <x v="4"/>
    <x v="4"/>
    <x v="1"/>
    <s v="Drawer Unit"/>
    <x v="1"/>
    <x v="1"/>
    <n v="9"/>
    <n v="5000"/>
    <n v="0.15000000000000002"/>
    <n v="4250"/>
    <n v="0.85"/>
    <s v="Low"/>
  </r>
  <r>
    <s v="ORD2579"/>
    <d v="2024-05-08T00:00:00"/>
    <x v="4"/>
    <x v="4"/>
    <x v="1"/>
    <s v="Ergonomic Stool"/>
    <x v="2"/>
    <x v="1"/>
    <n v="4"/>
    <n v="6200"/>
    <n v="0.2"/>
    <n v="4960"/>
    <n v="0.8"/>
    <s v="Medium"/>
  </r>
  <r>
    <s v="ORD2580"/>
    <d v="2024-05-09T00:00:00"/>
    <x v="4"/>
    <x v="4"/>
    <x v="1"/>
    <s v="Office Sofa"/>
    <x v="3"/>
    <x v="1"/>
    <n v="3"/>
    <n v="5300"/>
    <n v="0.25"/>
    <n v="3975"/>
    <n v="0.75"/>
    <s v="Medium"/>
  </r>
  <r>
    <s v="ORD2581"/>
    <d v="2024-05-10T00:00:00"/>
    <x v="4"/>
    <x v="4"/>
    <x v="2"/>
    <s v="Ball Pen Pack"/>
    <x v="0"/>
    <x v="2"/>
    <n v="1"/>
    <n v="9600"/>
    <n v="0.05"/>
    <n v="9120"/>
    <n v="0.95"/>
    <s v="Medium"/>
  </r>
  <r>
    <s v="ORD2582"/>
    <d v="2024-05-11T00:00:00"/>
    <x v="4"/>
    <x v="4"/>
    <x v="2"/>
    <s v="Notebook"/>
    <x v="1"/>
    <x v="2"/>
    <n v="4"/>
    <n v="10000"/>
    <n v="0.1"/>
    <n v="9000"/>
    <n v="0.9"/>
    <s v="Medium"/>
  </r>
  <r>
    <s v="ORD2583"/>
    <d v="2024-05-12T00:00:00"/>
    <x v="4"/>
    <x v="4"/>
    <x v="2"/>
    <s v="Printer Paper Ream"/>
    <x v="2"/>
    <x v="2"/>
    <n v="5"/>
    <n v="5900"/>
    <n v="0.15000000000000002"/>
    <n v="5015"/>
    <n v="0.85"/>
    <s v="Medium"/>
  </r>
  <r>
    <s v="ORD2584"/>
    <d v="2024-05-13T00:00:00"/>
    <x v="4"/>
    <x v="4"/>
    <x v="2"/>
    <s v="Stapler"/>
    <x v="3"/>
    <x v="2"/>
    <n v="2"/>
    <n v="11900"/>
    <n v="0.2"/>
    <n v="9520"/>
    <n v="0.8"/>
    <s v="High"/>
  </r>
  <r>
    <s v="ORD2585"/>
    <d v="2024-05-14T00:00:00"/>
    <x v="4"/>
    <x v="4"/>
    <x v="2"/>
    <s v="Paper Clips Box"/>
    <x v="0"/>
    <x v="2"/>
    <n v="2"/>
    <n v="9900"/>
    <n v="0.25"/>
    <n v="7425"/>
    <n v="0.75"/>
    <s v="Medium"/>
  </r>
  <r>
    <s v="ORD2586"/>
    <d v="2024-05-15T00:00:00"/>
    <x v="4"/>
    <x v="4"/>
    <x v="2"/>
    <s v="Highlighter Set"/>
    <x v="1"/>
    <x v="2"/>
    <n v="1"/>
    <n v="5500"/>
    <n v="0.05"/>
    <n v="5225"/>
    <n v="0.95"/>
    <s v="Medium"/>
  </r>
  <r>
    <s v="ORD2587"/>
    <d v="2024-05-16T00:00:00"/>
    <x v="4"/>
    <x v="4"/>
    <x v="2"/>
    <s v="Desk Organizer"/>
    <x v="2"/>
    <x v="2"/>
    <n v="3"/>
    <n v="11900"/>
    <n v="0.1"/>
    <n v="10710"/>
    <n v="0.9"/>
    <s v="High"/>
  </r>
  <r>
    <s v="ORD2588"/>
    <d v="2024-05-17T00:00:00"/>
    <x v="4"/>
    <x v="4"/>
    <x v="2"/>
    <s v="Calculator"/>
    <x v="3"/>
    <x v="2"/>
    <n v="4"/>
    <n v="8100"/>
    <n v="0.15000000000000002"/>
    <n v="6885"/>
    <n v="0.85"/>
    <s v="Medium"/>
  </r>
  <r>
    <s v="ORD2589"/>
    <d v="2024-05-18T00:00:00"/>
    <x v="4"/>
    <x v="4"/>
    <x v="2"/>
    <s v="Sticky Notes"/>
    <x v="0"/>
    <x v="2"/>
    <n v="6"/>
    <n v="12400"/>
    <n v="0.2"/>
    <n v="9920"/>
    <n v="0.8"/>
    <s v="High"/>
  </r>
  <r>
    <s v="ORD2590"/>
    <d v="2024-05-19T00:00:00"/>
    <x v="4"/>
    <x v="4"/>
    <x v="2"/>
    <s v="Whiteboard Marker"/>
    <x v="1"/>
    <x v="2"/>
    <n v="10"/>
    <n v="10800"/>
    <n v="0.25"/>
    <n v="8100"/>
    <n v="0.75"/>
    <s v="High"/>
  </r>
  <r>
    <s v="ORD2591"/>
    <d v="2024-05-20T00:00:00"/>
    <x v="4"/>
    <x v="4"/>
    <x v="0"/>
    <s v="Bluetooth Speaker"/>
    <x v="2"/>
    <x v="0"/>
    <n v="8"/>
    <n v="4300"/>
    <n v="0.05"/>
    <n v="4085"/>
    <n v="0.95"/>
    <s v="Low"/>
  </r>
  <r>
    <s v="ORD2592"/>
    <d v="2024-05-21T00:00:00"/>
    <x v="4"/>
    <x v="4"/>
    <x v="0"/>
    <s v="Wireless Mouse"/>
    <x v="3"/>
    <x v="0"/>
    <n v="4"/>
    <n v="8600"/>
    <n v="0.1"/>
    <n v="7740"/>
    <n v="0.9"/>
    <s v="Medium"/>
  </r>
  <r>
    <s v="ORD2593"/>
    <d v="2024-05-22T00:00:00"/>
    <x v="4"/>
    <x v="4"/>
    <x v="0"/>
    <s v="Keyboard"/>
    <x v="0"/>
    <x v="0"/>
    <n v="1"/>
    <n v="9200"/>
    <n v="0.15000000000000002"/>
    <n v="7820"/>
    <n v="0.85"/>
    <s v="Medium"/>
  </r>
  <r>
    <s v="ORD2594"/>
    <d v="2024-05-23T00:00:00"/>
    <x v="4"/>
    <x v="4"/>
    <x v="0"/>
    <s v="Laptop Stand"/>
    <x v="1"/>
    <x v="0"/>
    <n v="1"/>
    <n v="9500"/>
    <n v="0.2"/>
    <n v="7600"/>
    <n v="0.8"/>
    <s v="Medium"/>
  </r>
  <r>
    <s v="ORD2595"/>
    <d v="2024-05-24T00:00:00"/>
    <x v="4"/>
    <x v="4"/>
    <x v="0"/>
    <s v="USB Flash Drive"/>
    <x v="2"/>
    <x v="0"/>
    <n v="6"/>
    <n v="14400"/>
    <n v="0.25"/>
    <n v="10800"/>
    <n v="0.75"/>
    <s v="High"/>
  </r>
  <r>
    <s v="ORD2596"/>
    <d v="2024-05-25T00:00:00"/>
    <x v="4"/>
    <x v="4"/>
    <x v="0"/>
    <s v="External Hard Disk"/>
    <x v="3"/>
    <x v="0"/>
    <n v="5"/>
    <n v="13700"/>
    <n v="0.05"/>
    <n v="13015"/>
    <n v="0.95"/>
    <s v="High"/>
  </r>
  <r>
    <s v="ORD2597"/>
    <d v="2024-05-26T00:00:00"/>
    <x v="4"/>
    <x v="4"/>
    <x v="0"/>
    <s v="Webcam"/>
    <x v="0"/>
    <x v="0"/>
    <n v="2"/>
    <n v="5500"/>
    <n v="0.1"/>
    <n v="4950"/>
    <n v="0.9"/>
    <s v="Medium"/>
  </r>
  <r>
    <s v="ORD2598"/>
    <d v="2024-05-27T00:00:00"/>
    <x v="4"/>
    <x v="4"/>
    <x v="0"/>
    <s v="Noise Cancelling Headphones"/>
    <x v="1"/>
    <x v="0"/>
    <n v="4"/>
    <n v="10400"/>
    <n v="0.15000000000000002"/>
    <n v="8840"/>
    <n v="0.85"/>
    <s v="High"/>
  </r>
  <r>
    <s v="ORD2599"/>
    <d v="2024-05-28T00:00:00"/>
    <x v="4"/>
    <x v="4"/>
    <x v="0"/>
    <s v="Smart Watch"/>
    <x v="2"/>
    <x v="0"/>
    <n v="9"/>
    <n v="11100"/>
    <n v="0.2"/>
    <n v="8880"/>
    <n v="0.8"/>
    <s v="High"/>
  </r>
  <r>
    <s v="ORD2600"/>
    <d v="2024-05-29T00:00:00"/>
    <x v="4"/>
    <x v="4"/>
    <x v="0"/>
    <s v="Portable Power Bank"/>
    <x v="3"/>
    <x v="0"/>
    <n v="2"/>
    <n v="9400"/>
    <n v="0.25"/>
    <n v="7050"/>
    <n v="0.75"/>
    <s v="Medium"/>
  </r>
  <r>
    <s v="ORD2601"/>
    <d v="2024-05-30T00:00:00"/>
    <x v="4"/>
    <x v="4"/>
    <x v="1"/>
    <s v="Office Chair"/>
    <x v="0"/>
    <x v="1"/>
    <n v="6"/>
    <n v="11300"/>
    <n v="0.05"/>
    <n v="10735"/>
    <n v="0.95"/>
    <s v="High"/>
  </r>
  <r>
    <s v="ORD2602"/>
    <d v="2024-05-31T00:00:00"/>
    <x v="4"/>
    <x v="4"/>
    <x v="1"/>
    <s v="Study Table"/>
    <x v="1"/>
    <x v="1"/>
    <n v="4"/>
    <n v="11900"/>
    <n v="0.1"/>
    <n v="10710"/>
    <n v="0.9"/>
    <s v="High"/>
  </r>
  <r>
    <s v="ORD2603"/>
    <d v="2024-06-01T00:00:00"/>
    <x v="4"/>
    <x v="5"/>
    <x v="1"/>
    <s v="Wooden Bookshelf"/>
    <x v="2"/>
    <x v="1"/>
    <n v="8"/>
    <n v="14400"/>
    <n v="0.15000000000000002"/>
    <n v="12240"/>
    <n v="0.85"/>
    <s v="High"/>
  </r>
  <r>
    <s v="ORD2604"/>
    <d v="2024-06-02T00:00:00"/>
    <x v="4"/>
    <x v="5"/>
    <x v="1"/>
    <s v="Computer Desk"/>
    <x v="3"/>
    <x v="1"/>
    <n v="7"/>
    <n v="8000"/>
    <n v="0.2"/>
    <n v="6400"/>
    <n v="0.8"/>
    <s v="Medium"/>
  </r>
  <r>
    <s v="ORD2605"/>
    <d v="2024-06-03T00:00:00"/>
    <x v="4"/>
    <x v="5"/>
    <x v="1"/>
    <s v="Filing Cabinet"/>
    <x v="0"/>
    <x v="1"/>
    <n v="5"/>
    <n v="13300"/>
    <n v="0.25"/>
    <n v="9975"/>
    <n v="0.75"/>
    <s v="High"/>
  </r>
  <r>
    <s v="ORD2606"/>
    <d v="2024-06-04T00:00:00"/>
    <x v="4"/>
    <x v="5"/>
    <x v="1"/>
    <s v="Visitor Chair"/>
    <x v="1"/>
    <x v="1"/>
    <n v="8"/>
    <n v="6400"/>
    <n v="0.05"/>
    <n v="6080"/>
    <n v="0.95"/>
    <s v="Medium"/>
  </r>
  <r>
    <s v="ORD2607"/>
    <d v="2024-06-05T00:00:00"/>
    <x v="4"/>
    <x v="5"/>
    <x v="1"/>
    <s v="Conference Table"/>
    <x v="2"/>
    <x v="1"/>
    <n v="9"/>
    <n v="10400"/>
    <n v="0.1"/>
    <n v="9360"/>
    <n v="0.9"/>
    <s v="High"/>
  </r>
  <r>
    <s v="ORD2608"/>
    <d v="2024-06-06T00:00:00"/>
    <x v="4"/>
    <x v="5"/>
    <x v="1"/>
    <s v="Drawer Unit"/>
    <x v="3"/>
    <x v="1"/>
    <n v="6"/>
    <n v="8200"/>
    <n v="0.15000000000000002"/>
    <n v="6970"/>
    <n v="0.85"/>
    <s v="Medium"/>
  </r>
  <r>
    <s v="ORD2609"/>
    <d v="2024-06-07T00:00:00"/>
    <x v="4"/>
    <x v="5"/>
    <x v="1"/>
    <s v="Ergonomic Stool"/>
    <x v="0"/>
    <x v="1"/>
    <n v="9"/>
    <n v="4900"/>
    <n v="0.2"/>
    <n v="3920"/>
    <n v="0.8"/>
    <s v="Low"/>
  </r>
  <r>
    <s v="ORD2610"/>
    <d v="2024-06-08T00:00:00"/>
    <x v="4"/>
    <x v="5"/>
    <x v="1"/>
    <s v="Office Sofa"/>
    <x v="1"/>
    <x v="1"/>
    <n v="9"/>
    <n v="14300"/>
    <n v="0.25"/>
    <n v="10725"/>
    <n v="0.75"/>
    <s v="High"/>
  </r>
  <r>
    <s v="ORD2611"/>
    <d v="2024-06-09T00:00:00"/>
    <x v="4"/>
    <x v="5"/>
    <x v="2"/>
    <s v="Ball Pen Pack"/>
    <x v="2"/>
    <x v="2"/>
    <n v="10"/>
    <n v="5900"/>
    <n v="0.05"/>
    <n v="5605"/>
    <n v="0.95"/>
    <s v="Medium"/>
  </r>
  <r>
    <s v="ORD2612"/>
    <d v="2024-06-10T00:00:00"/>
    <x v="4"/>
    <x v="5"/>
    <x v="2"/>
    <s v="Notebook"/>
    <x v="3"/>
    <x v="2"/>
    <n v="9"/>
    <n v="9000"/>
    <n v="0.1"/>
    <n v="8100"/>
    <n v="0.9"/>
    <s v="Medium"/>
  </r>
  <r>
    <s v="ORD2613"/>
    <d v="2024-06-11T00:00:00"/>
    <x v="4"/>
    <x v="5"/>
    <x v="2"/>
    <s v="Printer Paper Ream"/>
    <x v="0"/>
    <x v="2"/>
    <n v="10"/>
    <n v="6400"/>
    <n v="0.15000000000000002"/>
    <n v="5440"/>
    <n v="0.85"/>
    <s v="Medium"/>
  </r>
  <r>
    <s v="ORD2614"/>
    <d v="2024-06-12T00:00:00"/>
    <x v="4"/>
    <x v="5"/>
    <x v="2"/>
    <s v="Stapler"/>
    <x v="1"/>
    <x v="2"/>
    <n v="7"/>
    <n v="14400"/>
    <n v="0.2"/>
    <n v="11520"/>
    <n v="0.8"/>
    <s v="High"/>
  </r>
  <r>
    <s v="ORD2615"/>
    <d v="2024-06-13T00:00:00"/>
    <x v="4"/>
    <x v="5"/>
    <x v="2"/>
    <s v="Paper Clips Box"/>
    <x v="2"/>
    <x v="2"/>
    <n v="4"/>
    <n v="7200"/>
    <n v="0.25"/>
    <n v="5400"/>
    <n v="0.75"/>
    <s v="Medium"/>
  </r>
  <r>
    <s v="ORD2616"/>
    <d v="2024-06-14T00:00:00"/>
    <x v="4"/>
    <x v="5"/>
    <x v="2"/>
    <s v="Highlighter Set"/>
    <x v="3"/>
    <x v="2"/>
    <n v="4"/>
    <n v="11800"/>
    <n v="0.05"/>
    <n v="11210"/>
    <n v="0.95"/>
    <s v="High"/>
  </r>
  <r>
    <s v="ORD2617"/>
    <d v="2024-06-15T00:00:00"/>
    <x v="4"/>
    <x v="5"/>
    <x v="2"/>
    <s v="Desk Organizer"/>
    <x v="0"/>
    <x v="2"/>
    <n v="6"/>
    <n v="14500"/>
    <n v="0.1"/>
    <n v="13050"/>
    <n v="0.9"/>
    <s v="High"/>
  </r>
  <r>
    <s v="ORD2618"/>
    <d v="2024-06-16T00:00:00"/>
    <x v="4"/>
    <x v="5"/>
    <x v="2"/>
    <s v="Calculator"/>
    <x v="1"/>
    <x v="2"/>
    <n v="7"/>
    <n v="5600"/>
    <n v="0.15000000000000002"/>
    <n v="4760"/>
    <n v="0.85"/>
    <s v="Medium"/>
  </r>
  <r>
    <s v="ORD2619"/>
    <d v="2024-06-17T00:00:00"/>
    <x v="4"/>
    <x v="5"/>
    <x v="2"/>
    <s v="Sticky Notes"/>
    <x v="2"/>
    <x v="2"/>
    <n v="7"/>
    <n v="13100"/>
    <n v="0.2"/>
    <n v="10480"/>
    <n v="0.8"/>
    <s v="High"/>
  </r>
  <r>
    <s v="ORD2620"/>
    <d v="2024-06-18T00:00:00"/>
    <x v="4"/>
    <x v="5"/>
    <x v="2"/>
    <s v="Whiteboard Marker"/>
    <x v="3"/>
    <x v="2"/>
    <n v="5"/>
    <n v="9400"/>
    <n v="0.25"/>
    <n v="7050"/>
    <n v="0.75"/>
    <s v="Medium"/>
  </r>
  <r>
    <s v="ORD2621"/>
    <d v="2024-06-19T00:00:00"/>
    <x v="4"/>
    <x v="5"/>
    <x v="0"/>
    <s v="Bluetooth Speaker"/>
    <x v="0"/>
    <x v="0"/>
    <n v="9"/>
    <n v="7700"/>
    <n v="0.05"/>
    <n v="7315"/>
    <n v="0.95"/>
    <s v="Medium"/>
  </r>
  <r>
    <s v="ORD2622"/>
    <d v="2024-06-20T00:00:00"/>
    <x v="4"/>
    <x v="5"/>
    <x v="0"/>
    <s v="Wireless Mouse"/>
    <x v="1"/>
    <x v="0"/>
    <n v="8"/>
    <n v="6400"/>
    <n v="0.1"/>
    <n v="5760"/>
    <n v="0.9"/>
    <s v="Medium"/>
  </r>
  <r>
    <s v="ORD2623"/>
    <d v="2024-06-21T00:00:00"/>
    <x v="4"/>
    <x v="5"/>
    <x v="0"/>
    <s v="Keyboard"/>
    <x v="2"/>
    <x v="0"/>
    <n v="7"/>
    <n v="10900"/>
    <n v="0.15000000000000002"/>
    <n v="9265"/>
    <n v="0.85"/>
    <s v="High"/>
  </r>
  <r>
    <s v="ORD2624"/>
    <d v="2024-06-22T00:00:00"/>
    <x v="4"/>
    <x v="5"/>
    <x v="0"/>
    <s v="Laptop Stand"/>
    <x v="3"/>
    <x v="0"/>
    <n v="3"/>
    <n v="9600"/>
    <n v="0.2"/>
    <n v="7680"/>
    <n v="0.8"/>
    <s v="Medium"/>
  </r>
  <r>
    <s v="ORD2625"/>
    <d v="2024-06-23T00:00:00"/>
    <x v="4"/>
    <x v="5"/>
    <x v="0"/>
    <s v="USB Flash Drive"/>
    <x v="0"/>
    <x v="0"/>
    <n v="8"/>
    <n v="13300"/>
    <n v="0.25"/>
    <n v="9975"/>
    <n v="0.75"/>
    <s v="High"/>
  </r>
  <r>
    <s v="ORD2626"/>
    <d v="2024-06-24T00:00:00"/>
    <x v="4"/>
    <x v="5"/>
    <x v="0"/>
    <s v="External Hard Disk"/>
    <x v="1"/>
    <x v="0"/>
    <n v="6"/>
    <n v="5800"/>
    <n v="0.05"/>
    <n v="5510"/>
    <n v="0.95"/>
    <s v="Medium"/>
  </r>
  <r>
    <s v="ORD2627"/>
    <d v="2024-06-25T00:00:00"/>
    <x v="4"/>
    <x v="5"/>
    <x v="0"/>
    <s v="Webcam"/>
    <x v="2"/>
    <x v="0"/>
    <n v="10"/>
    <n v="13100"/>
    <n v="0.1"/>
    <n v="11790"/>
    <n v="0.9"/>
    <s v="High"/>
  </r>
  <r>
    <s v="ORD2628"/>
    <d v="2024-06-26T00:00:00"/>
    <x v="4"/>
    <x v="5"/>
    <x v="0"/>
    <s v="Noise Cancelling Headphones"/>
    <x v="3"/>
    <x v="0"/>
    <n v="5"/>
    <n v="6700"/>
    <n v="0.15000000000000002"/>
    <n v="5695"/>
    <n v="0.85"/>
    <s v="Medium"/>
  </r>
  <r>
    <s v="ORD2629"/>
    <d v="2024-06-27T00:00:00"/>
    <x v="4"/>
    <x v="5"/>
    <x v="0"/>
    <s v="Smart Watch"/>
    <x v="0"/>
    <x v="0"/>
    <n v="8"/>
    <n v="8200"/>
    <n v="0.2"/>
    <n v="6560"/>
    <n v="0.8"/>
    <s v="Medium"/>
  </r>
  <r>
    <s v="ORD2630"/>
    <d v="2024-06-28T00:00:00"/>
    <x v="4"/>
    <x v="5"/>
    <x v="0"/>
    <s v="Portable Power Bank"/>
    <x v="1"/>
    <x v="0"/>
    <n v="9"/>
    <n v="10700"/>
    <n v="0.25"/>
    <n v="8025"/>
    <n v="0.75"/>
    <s v="High"/>
  </r>
  <r>
    <s v="ORD2631"/>
    <d v="2024-06-29T00:00:00"/>
    <x v="4"/>
    <x v="5"/>
    <x v="1"/>
    <s v="Office Chair"/>
    <x v="2"/>
    <x v="1"/>
    <n v="3"/>
    <n v="6300"/>
    <n v="0.05"/>
    <n v="5985"/>
    <n v="0.95"/>
    <s v="Medium"/>
  </r>
  <r>
    <s v="ORD2632"/>
    <d v="2024-06-30T00:00:00"/>
    <x v="4"/>
    <x v="5"/>
    <x v="1"/>
    <s v="Study Table"/>
    <x v="3"/>
    <x v="1"/>
    <n v="2"/>
    <n v="14600"/>
    <n v="0.1"/>
    <n v="13140"/>
    <n v="0.9"/>
    <s v="High"/>
  </r>
  <r>
    <s v="ORD2633"/>
    <d v="2024-07-01T00:00:00"/>
    <x v="4"/>
    <x v="6"/>
    <x v="1"/>
    <s v="Wooden Bookshelf"/>
    <x v="0"/>
    <x v="1"/>
    <n v="4"/>
    <n v="14800"/>
    <n v="0.15000000000000002"/>
    <n v="12580"/>
    <n v="0.85"/>
    <s v="High"/>
  </r>
  <r>
    <s v="ORD2634"/>
    <d v="2024-07-02T00:00:00"/>
    <x v="4"/>
    <x v="6"/>
    <x v="1"/>
    <s v="Computer Desk"/>
    <x v="1"/>
    <x v="1"/>
    <n v="2"/>
    <n v="11700"/>
    <n v="0.2"/>
    <n v="9360"/>
    <n v="0.8"/>
    <s v="High"/>
  </r>
  <r>
    <s v="ORD2635"/>
    <d v="2024-07-03T00:00:00"/>
    <x v="4"/>
    <x v="6"/>
    <x v="1"/>
    <s v="Filing Cabinet"/>
    <x v="2"/>
    <x v="1"/>
    <n v="7"/>
    <n v="8300"/>
    <n v="0.25"/>
    <n v="6225"/>
    <n v="0.75"/>
    <s v="Medium"/>
  </r>
  <r>
    <s v="ORD2636"/>
    <d v="2024-07-04T00:00:00"/>
    <x v="4"/>
    <x v="6"/>
    <x v="1"/>
    <s v="Visitor Chair"/>
    <x v="3"/>
    <x v="1"/>
    <n v="9"/>
    <n v="7600"/>
    <n v="0.05"/>
    <n v="7220"/>
    <n v="0.95"/>
    <s v="Medium"/>
  </r>
  <r>
    <s v="ORD2637"/>
    <d v="2024-07-05T00:00:00"/>
    <x v="4"/>
    <x v="6"/>
    <x v="1"/>
    <s v="Conference Table"/>
    <x v="0"/>
    <x v="1"/>
    <n v="4"/>
    <n v="6200"/>
    <n v="0.1"/>
    <n v="5580"/>
    <n v="0.9"/>
    <s v="Medium"/>
  </r>
  <r>
    <s v="ORD2638"/>
    <d v="2024-07-06T00:00:00"/>
    <x v="4"/>
    <x v="6"/>
    <x v="1"/>
    <s v="Drawer Unit"/>
    <x v="1"/>
    <x v="1"/>
    <n v="10"/>
    <n v="14100"/>
    <n v="0.15000000000000002"/>
    <n v="11985"/>
    <n v="0.85"/>
    <s v="High"/>
  </r>
  <r>
    <s v="ORD2639"/>
    <d v="2024-07-07T00:00:00"/>
    <x v="4"/>
    <x v="6"/>
    <x v="1"/>
    <s v="Ergonomic Stool"/>
    <x v="2"/>
    <x v="1"/>
    <n v="2"/>
    <n v="4100"/>
    <n v="0.2"/>
    <n v="3280"/>
    <n v="0.8"/>
    <s v="Low"/>
  </r>
  <r>
    <s v="ORD2640"/>
    <d v="2024-07-08T00:00:00"/>
    <x v="4"/>
    <x v="6"/>
    <x v="1"/>
    <s v="Office Sofa"/>
    <x v="3"/>
    <x v="1"/>
    <n v="5"/>
    <n v="10500"/>
    <n v="0.25"/>
    <n v="7875"/>
    <n v="0.75"/>
    <s v="High"/>
  </r>
  <r>
    <s v="ORD2641"/>
    <d v="2024-07-09T00:00:00"/>
    <x v="4"/>
    <x v="6"/>
    <x v="2"/>
    <s v="Ball Pen Pack"/>
    <x v="0"/>
    <x v="2"/>
    <n v="3"/>
    <n v="9300"/>
    <n v="0.05"/>
    <n v="8835"/>
    <n v="0.95"/>
    <s v="Medium"/>
  </r>
  <r>
    <s v="ORD2642"/>
    <d v="2024-07-10T00:00:00"/>
    <x v="4"/>
    <x v="6"/>
    <x v="2"/>
    <s v="Notebook"/>
    <x v="1"/>
    <x v="2"/>
    <n v="1"/>
    <n v="7400"/>
    <n v="0.1"/>
    <n v="6660"/>
    <n v="0.9"/>
    <s v="Medium"/>
  </r>
  <r>
    <s v="ORD2643"/>
    <d v="2024-07-11T00:00:00"/>
    <x v="4"/>
    <x v="6"/>
    <x v="2"/>
    <s v="Printer Paper Ream"/>
    <x v="2"/>
    <x v="2"/>
    <n v="4"/>
    <n v="5900"/>
    <n v="0.15000000000000002"/>
    <n v="5015"/>
    <n v="0.85"/>
    <s v="Medium"/>
  </r>
  <r>
    <s v="ORD2644"/>
    <d v="2024-07-12T00:00:00"/>
    <x v="4"/>
    <x v="6"/>
    <x v="2"/>
    <s v="Stapler"/>
    <x v="3"/>
    <x v="2"/>
    <n v="4"/>
    <n v="13900"/>
    <n v="0.2"/>
    <n v="11120"/>
    <n v="0.8"/>
    <s v="High"/>
  </r>
  <r>
    <s v="ORD2645"/>
    <d v="2024-07-13T00:00:00"/>
    <x v="4"/>
    <x v="6"/>
    <x v="2"/>
    <s v="Paper Clips Box"/>
    <x v="0"/>
    <x v="2"/>
    <n v="1"/>
    <n v="9400"/>
    <n v="0.25"/>
    <n v="7050"/>
    <n v="0.75"/>
    <s v="Medium"/>
  </r>
  <r>
    <s v="ORD2646"/>
    <d v="2024-07-14T00:00:00"/>
    <x v="4"/>
    <x v="6"/>
    <x v="2"/>
    <s v="Highlighter Set"/>
    <x v="1"/>
    <x v="2"/>
    <n v="7"/>
    <n v="8100"/>
    <n v="0.05"/>
    <n v="7695"/>
    <n v="0.95"/>
    <s v="Medium"/>
  </r>
  <r>
    <s v="ORD2647"/>
    <d v="2024-07-15T00:00:00"/>
    <x v="4"/>
    <x v="6"/>
    <x v="2"/>
    <s v="Desk Organizer"/>
    <x v="2"/>
    <x v="2"/>
    <n v="8"/>
    <n v="10200"/>
    <n v="0.1"/>
    <n v="9180"/>
    <n v="0.9"/>
    <s v="High"/>
  </r>
  <r>
    <s v="ORD2648"/>
    <d v="2024-07-16T00:00:00"/>
    <x v="4"/>
    <x v="6"/>
    <x v="2"/>
    <s v="Calculator"/>
    <x v="3"/>
    <x v="2"/>
    <n v="3"/>
    <n v="12700"/>
    <n v="0.15000000000000002"/>
    <n v="10795"/>
    <n v="0.85"/>
    <s v="High"/>
  </r>
  <r>
    <s v="ORD2649"/>
    <d v="2024-07-17T00:00:00"/>
    <x v="4"/>
    <x v="6"/>
    <x v="2"/>
    <s v="Sticky Notes"/>
    <x v="0"/>
    <x v="2"/>
    <n v="5"/>
    <n v="9900"/>
    <n v="0.2"/>
    <n v="7920"/>
    <n v="0.8"/>
    <s v="Medium"/>
  </r>
  <r>
    <s v="ORD2650"/>
    <d v="2024-07-18T00:00:00"/>
    <x v="4"/>
    <x v="6"/>
    <x v="2"/>
    <s v="Whiteboard Marker"/>
    <x v="1"/>
    <x v="2"/>
    <n v="10"/>
    <n v="9800"/>
    <n v="0.25"/>
    <n v="7350"/>
    <n v="0.75"/>
    <s v="Medium"/>
  </r>
  <r>
    <s v="ORD2651"/>
    <d v="2024-07-19T00:00:00"/>
    <x v="4"/>
    <x v="6"/>
    <x v="0"/>
    <s v="Bluetooth Speaker"/>
    <x v="2"/>
    <x v="0"/>
    <n v="8"/>
    <n v="6900"/>
    <n v="0.05"/>
    <n v="6555"/>
    <n v="0.95"/>
    <s v="Medium"/>
  </r>
  <r>
    <s v="ORD2652"/>
    <d v="2024-07-20T00:00:00"/>
    <x v="4"/>
    <x v="6"/>
    <x v="0"/>
    <s v="Wireless Mouse"/>
    <x v="3"/>
    <x v="0"/>
    <n v="6"/>
    <n v="4700"/>
    <n v="0.1"/>
    <n v="4230"/>
    <n v="0.9"/>
    <s v="Low"/>
  </r>
  <r>
    <s v="ORD2653"/>
    <d v="2024-07-21T00:00:00"/>
    <x v="4"/>
    <x v="6"/>
    <x v="0"/>
    <s v="Keyboard"/>
    <x v="0"/>
    <x v="0"/>
    <n v="2"/>
    <n v="7400"/>
    <n v="0.15000000000000002"/>
    <n v="6290"/>
    <n v="0.85"/>
    <s v="Medium"/>
  </r>
  <r>
    <s v="ORD2654"/>
    <d v="2024-07-22T00:00:00"/>
    <x v="4"/>
    <x v="6"/>
    <x v="0"/>
    <s v="Laptop Stand"/>
    <x v="1"/>
    <x v="0"/>
    <n v="8"/>
    <n v="11700"/>
    <n v="0.2"/>
    <n v="9360"/>
    <n v="0.8"/>
    <s v="High"/>
  </r>
  <r>
    <s v="ORD2655"/>
    <d v="2024-07-23T00:00:00"/>
    <x v="4"/>
    <x v="6"/>
    <x v="0"/>
    <s v="USB Flash Drive"/>
    <x v="2"/>
    <x v="0"/>
    <n v="10"/>
    <n v="14000"/>
    <n v="0.25"/>
    <n v="10500"/>
    <n v="0.75"/>
    <s v="High"/>
  </r>
  <r>
    <s v="ORD2656"/>
    <d v="2024-07-24T00:00:00"/>
    <x v="4"/>
    <x v="6"/>
    <x v="0"/>
    <s v="External Hard Disk"/>
    <x v="3"/>
    <x v="0"/>
    <n v="10"/>
    <n v="7200"/>
    <n v="0.05"/>
    <n v="6840"/>
    <n v="0.95"/>
    <s v="Medium"/>
  </r>
  <r>
    <s v="ORD2657"/>
    <d v="2024-07-25T00:00:00"/>
    <x v="4"/>
    <x v="6"/>
    <x v="0"/>
    <s v="Webcam"/>
    <x v="0"/>
    <x v="0"/>
    <n v="7"/>
    <n v="7600"/>
    <n v="0.1"/>
    <n v="6840"/>
    <n v="0.9"/>
    <s v="Medium"/>
  </r>
  <r>
    <s v="ORD2658"/>
    <d v="2024-07-26T00:00:00"/>
    <x v="4"/>
    <x v="6"/>
    <x v="0"/>
    <s v="Noise Cancelling Headphones"/>
    <x v="1"/>
    <x v="0"/>
    <n v="9"/>
    <n v="5500"/>
    <n v="0.15000000000000002"/>
    <n v="4675"/>
    <n v="0.85"/>
    <s v="Medium"/>
  </r>
  <r>
    <s v="ORD2659"/>
    <d v="2024-07-27T00:00:00"/>
    <x v="4"/>
    <x v="6"/>
    <x v="0"/>
    <s v="Smart Watch"/>
    <x v="2"/>
    <x v="0"/>
    <n v="2"/>
    <n v="14100"/>
    <n v="0.2"/>
    <n v="11280"/>
    <n v="0.8"/>
    <s v="High"/>
  </r>
  <r>
    <s v="ORD2660"/>
    <d v="2024-07-28T00:00:00"/>
    <x v="4"/>
    <x v="6"/>
    <x v="0"/>
    <s v="Portable Power Bank"/>
    <x v="3"/>
    <x v="0"/>
    <n v="10"/>
    <n v="13800"/>
    <n v="0.25"/>
    <n v="10350"/>
    <n v="0.75"/>
    <s v="High"/>
  </r>
  <r>
    <s v="ORD2661"/>
    <d v="2024-07-29T00:00:00"/>
    <x v="4"/>
    <x v="6"/>
    <x v="1"/>
    <s v="Office Chair"/>
    <x v="0"/>
    <x v="1"/>
    <n v="8"/>
    <n v="5300"/>
    <n v="0.05"/>
    <n v="5035"/>
    <n v="0.95"/>
    <s v="Medium"/>
  </r>
  <r>
    <s v="ORD2662"/>
    <d v="2024-07-30T00:00:00"/>
    <x v="4"/>
    <x v="6"/>
    <x v="1"/>
    <s v="Study Table"/>
    <x v="1"/>
    <x v="1"/>
    <n v="1"/>
    <n v="12400"/>
    <n v="0.1"/>
    <n v="11160"/>
    <n v="0.9"/>
    <s v="High"/>
  </r>
  <r>
    <s v="ORD2663"/>
    <d v="2024-07-31T00:00:00"/>
    <x v="4"/>
    <x v="6"/>
    <x v="1"/>
    <s v="Wooden Bookshelf"/>
    <x v="2"/>
    <x v="1"/>
    <n v="4"/>
    <n v="11100"/>
    <n v="0.15000000000000002"/>
    <n v="9435"/>
    <n v="0.85"/>
    <s v="High"/>
  </r>
  <r>
    <s v="ORD2664"/>
    <d v="2024-08-01T00:00:00"/>
    <x v="4"/>
    <x v="7"/>
    <x v="1"/>
    <s v="Computer Desk"/>
    <x v="3"/>
    <x v="1"/>
    <n v="8"/>
    <n v="10100"/>
    <n v="0.2"/>
    <n v="8080"/>
    <n v="0.8"/>
    <s v="High"/>
  </r>
  <r>
    <s v="ORD2665"/>
    <d v="2024-08-02T00:00:00"/>
    <x v="4"/>
    <x v="7"/>
    <x v="1"/>
    <s v="Filing Cabinet"/>
    <x v="0"/>
    <x v="1"/>
    <n v="5"/>
    <n v="7900"/>
    <n v="0.25"/>
    <n v="5925"/>
    <n v="0.75"/>
    <s v="Medium"/>
  </r>
  <r>
    <s v="ORD2666"/>
    <d v="2024-08-03T00:00:00"/>
    <x v="4"/>
    <x v="7"/>
    <x v="1"/>
    <s v="Visitor Chair"/>
    <x v="1"/>
    <x v="1"/>
    <n v="5"/>
    <n v="10300"/>
    <n v="0.05"/>
    <n v="9785"/>
    <n v="0.95"/>
    <s v="High"/>
  </r>
  <r>
    <s v="ORD2667"/>
    <d v="2024-08-04T00:00:00"/>
    <x v="4"/>
    <x v="7"/>
    <x v="1"/>
    <s v="Conference Table"/>
    <x v="2"/>
    <x v="1"/>
    <n v="1"/>
    <n v="11100"/>
    <n v="0.1"/>
    <n v="9990"/>
    <n v="0.9"/>
    <s v="High"/>
  </r>
  <r>
    <s v="ORD2668"/>
    <d v="2024-08-05T00:00:00"/>
    <x v="4"/>
    <x v="7"/>
    <x v="1"/>
    <s v="Drawer Unit"/>
    <x v="3"/>
    <x v="1"/>
    <n v="7"/>
    <n v="4500"/>
    <n v="0.15000000000000002"/>
    <n v="3825"/>
    <n v="0.85"/>
    <s v="Low"/>
  </r>
  <r>
    <s v="ORD2669"/>
    <d v="2024-08-06T00:00:00"/>
    <x v="4"/>
    <x v="7"/>
    <x v="1"/>
    <s v="Ergonomic Stool"/>
    <x v="0"/>
    <x v="1"/>
    <n v="5"/>
    <n v="11900"/>
    <n v="0.2"/>
    <n v="9520"/>
    <n v="0.8"/>
    <s v="High"/>
  </r>
  <r>
    <s v="ORD2670"/>
    <d v="2024-08-07T00:00:00"/>
    <x v="4"/>
    <x v="7"/>
    <x v="1"/>
    <s v="Office Sofa"/>
    <x v="1"/>
    <x v="1"/>
    <n v="4"/>
    <n v="7600"/>
    <n v="0.25"/>
    <n v="5700"/>
    <n v="0.75"/>
    <s v="Medium"/>
  </r>
  <r>
    <s v="ORD2671"/>
    <d v="2024-08-08T00:00:00"/>
    <x v="4"/>
    <x v="7"/>
    <x v="2"/>
    <s v="Ball Pen Pack"/>
    <x v="2"/>
    <x v="2"/>
    <n v="1"/>
    <n v="4400"/>
    <n v="0.05"/>
    <n v="4180"/>
    <n v="0.95"/>
    <s v="Low"/>
  </r>
  <r>
    <s v="ORD2672"/>
    <d v="2024-08-09T00:00:00"/>
    <x v="4"/>
    <x v="7"/>
    <x v="2"/>
    <s v="Notebook"/>
    <x v="3"/>
    <x v="2"/>
    <n v="8"/>
    <n v="11800"/>
    <n v="0.1"/>
    <n v="10620"/>
    <n v="0.9"/>
    <s v="High"/>
  </r>
  <r>
    <s v="ORD2673"/>
    <d v="2024-08-10T00:00:00"/>
    <x v="4"/>
    <x v="7"/>
    <x v="2"/>
    <s v="Printer Paper Ream"/>
    <x v="0"/>
    <x v="2"/>
    <n v="9"/>
    <n v="10700"/>
    <n v="0.15000000000000002"/>
    <n v="9095"/>
    <n v="0.85"/>
    <s v="High"/>
  </r>
  <r>
    <s v="ORD2674"/>
    <d v="2024-08-11T00:00:00"/>
    <x v="4"/>
    <x v="7"/>
    <x v="2"/>
    <s v="Stapler"/>
    <x v="1"/>
    <x v="2"/>
    <n v="2"/>
    <n v="12800"/>
    <n v="0.2"/>
    <n v="10240"/>
    <n v="0.8"/>
    <s v="High"/>
  </r>
  <r>
    <s v="ORD2675"/>
    <d v="2024-08-12T00:00:00"/>
    <x v="4"/>
    <x v="7"/>
    <x v="2"/>
    <s v="Paper Clips Box"/>
    <x v="2"/>
    <x v="2"/>
    <n v="5"/>
    <n v="9400"/>
    <n v="0.25"/>
    <n v="7050"/>
    <n v="0.75"/>
    <s v="Medium"/>
  </r>
  <r>
    <s v="ORD2676"/>
    <d v="2024-08-13T00:00:00"/>
    <x v="4"/>
    <x v="7"/>
    <x v="2"/>
    <s v="Highlighter Set"/>
    <x v="3"/>
    <x v="2"/>
    <n v="2"/>
    <n v="8300"/>
    <n v="0.05"/>
    <n v="7885"/>
    <n v="0.95"/>
    <s v="Medium"/>
  </r>
  <r>
    <s v="ORD2677"/>
    <d v="2024-08-14T00:00:00"/>
    <x v="4"/>
    <x v="7"/>
    <x v="2"/>
    <s v="Desk Organizer"/>
    <x v="0"/>
    <x v="2"/>
    <n v="9"/>
    <n v="5400"/>
    <n v="0.1"/>
    <n v="4860"/>
    <n v="0.9"/>
    <s v="Medium"/>
  </r>
  <r>
    <s v="ORD2678"/>
    <d v="2024-08-15T00:00:00"/>
    <x v="4"/>
    <x v="7"/>
    <x v="2"/>
    <s v="Calculator"/>
    <x v="1"/>
    <x v="2"/>
    <n v="8"/>
    <n v="5800"/>
    <n v="0.15000000000000002"/>
    <n v="4930"/>
    <n v="0.85"/>
    <s v="Medium"/>
  </r>
  <r>
    <s v="ORD2679"/>
    <d v="2024-08-16T00:00:00"/>
    <x v="4"/>
    <x v="7"/>
    <x v="2"/>
    <s v="Sticky Notes"/>
    <x v="2"/>
    <x v="2"/>
    <n v="10"/>
    <n v="9800"/>
    <n v="0.2"/>
    <n v="7840"/>
    <n v="0.8"/>
    <s v="Medium"/>
  </r>
  <r>
    <s v="ORD2680"/>
    <d v="2024-08-17T00:00:00"/>
    <x v="4"/>
    <x v="7"/>
    <x v="2"/>
    <s v="Whiteboard Marker"/>
    <x v="3"/>
    <x v="2"/>
    <n v="1"/>
    <n v="9800"/>
    <n v="0.25"/>
    <n v="7350"/>
    <n v="0.75"/>
    <s v="Medium"/>
  </r>
  <r>
    <s v="ORD2681"/>
    <d v="2024-08-18T00:00:00"/>
    <x v="4"/>
    <x v="7"/>
    <x v="0"/>
    <s v="Bluetooth Speaker"/>
    <x v="0"/>
    <x v="0"/>
    <n v="10"/>
    <n v="9500"/>
    <n v="0.05"/>
    <n v="9025"/>
    <n v="0.95"/>
    <s v="Medium"/>
  </r>
  <r>
    <s v="ORD2682"/>
    <d v="2024-08-19T00:00:00"/>
    <x v="4"/>
    <x v="7"/>
    <x v="0"/>
    <s v="Wireless Mouse"/>
    <x v="1"/>
    <x v="0"/>
    <n v="4"/>
    <n v="7400"/>
    <n v="0.1"/>
    <n v="6660"/>
    <n v="0.9"/>
    <s v="Medium"/>
  </r>
  <r>
    <s v="ORD2683"/>
    <d v="2024-08-20T00:00:00"/>
    <x v="4"/>
    <x v="7"/>
    <x v="0"/>
    <s v="Keyboard"/>
    <x v="2"/>
    <x v="0"/>
    <n v="10"/>
    <n v="14000"/>
    <n v="0.15000000000000002"/>
    <n v="11900"/>
    <n v="0.85"/>
    <s v="High"/>
  </r>
  <r>
    <s v="ORD2684"/>
    <d v="2024-08-21T00:00:00"/>
    <x v="4"/>
    <x v="7"/>
    <x v="0"/>
    <s v="Laptop Stand"/>
    <x v="3"/>
    <x v="0"/>
    <n v="2"/>
    <n v="14000"/>
    <n v="0.2"/>
    <n v="11200"/>
    <n v="0.8"/>
    <s v="High"/>
  </r>
  <r>
    <s v="ORD2685"/>
    <d v="2024-08-22T00:00:00"/>
    <x v="4"/>
    <x v="7"/>
    <x v="0"/>
    <s v="USB Flash Drive"/>
    <x v="0"/>
    <x v="0"/>
    <n v="2"/>
    <n v="12000"/>
    <n v="0.25"/>
    <n v="9000"/>
    <n v="0.75"/>
    <s v="High"/>
  </r>
  <r>
    <s v="ORD2686"/>
    <d v="2024-08-23T00:00:00"/>
    <x v="4"/>
    <x v="7"/>
    <x v="0"/>
    <s v="External Hard Disk"/>
    <x v="1"/>
    <x v="0"/>
    <n v="8"/>
    <n v="4500"/>
    <n v="0.05"/>
    <n v="4275"/>
    <n v="0.95"/>
    <s v="Low"/>
  </r>
  <r>
    <s v="ORD2687"/>
    <d v="2024-08-24T00:00:00"/>
    <x v="4"/>
    <x v="7"/>
    <x v="0"/>
    <s v="Webcam"/>
    <x v="2"/>
    <x v="0"/>
    <n v="3"/>
    <n v="8600"/>
    <n v="0.1"/>
    <n v="7740"/>
    <n v="0.9"/>
    <s v="Medium"/>
  </r>
  <r>
    <s v="ORD2688"/>
    <d v="2024-08-25T00:00:00"/>
    <x v="4"/>
    <x v="7"/>
    <x v="0"/>
    <s v="Noise Cancelling Headphones"/>
    <x v="3"/>
    <x v="0"/>
    <n v="7"/>
    <n v="8900"/>
    <n v="0.15000000000000002"/>
    <n v="7565"/>
    <n v="0.85"/>
    <s v="Medium"/>
  </r>
  <r>
    <s v="ORD2689"/>
    <d v="2024-08-26T00:00:00"/>
    <x v="4"/>
    <x v="7"/>
    <x v="0"/>
    <s v="Smart Watch"/>
    <x v="0"/>
    <x v="0"/>
    <n v="10"/>
    <n v="10700"/>
    <n v="0.2"/>
    <n v="8560"/>
    <n v="0.8"/>
    <s v="High"/>
  </r>
  <r>
    <s v="ORD2690"/>
    <d v="2024-08-27T00:00:00"/>
    <x v="4"/>
    <x v="7"/>
    <x v="0"/>
    <s v="Portable Power Bank"/>
    <x v="1"/>
    <x v="0"/>
    <n v="5"/>
    <n v="11400"/>
    <n v="0.25"/>
    <n v="8550"/>
    <n v="0.75"/>
    <s v="High"/>
  </r>
  <r>
    <s v="ORD2691"/>
    <d v="2024-08-28T00:00:00"/>
    <x v="4"/>
    <x v="7"/>
    <x v="1"/>
    <s v="Office Chair"/>
    <x v="2"/>
    <x v="1"/>
    <n v="2"/>
    <n v="13900"/>
    <n v="0.05"/>
    <n v="13205"/>
    <n v="0.95"/>
    <s v="High"/>
  </r>
  <r>
    <s v="ORD2692"/>
    <d v="2024-08-29T00:00:00"/>
    <x v="4"/>
    <x v="7"/>
    <x v="1"/>
    <s v="Study Table"/>
    <x v="3"/>
    <x v="1"/>
    <n v="7"/>
    <n v="5900"/>
    <n v="0.1"/>
    <n v="5310"/>
    <n v="0.9"/>
    <s v="Medium"/>
  </r>
  <r>
    <s v="ORD2693"/>
    <d v="2024-08-30T00:00:00"/>
    <x v="4"/>
    <x v="7"/>
    <x v="1"/>
    <s v="Wooden Bookshelf"/>
    <x v="0"/>
    <x v="1"/>
    <n v="3"/>
    <n v="12000"/>
    <n v="0.15000000000000002"/>
    <n v="10200"/>
    <n v="0.85"/>
    <s v="High"/>
  </r>
  <r>
    <s v="ORD2694"/>
    <d v="2024-08-31T00:00:00"/>
    <x v="4"/>
    <x v="7"/>
    <x v="1"/>
    <s v="Computer Desk"/>
    <x v="1"/>
    <x v="1"/>
    <n v="4"/>
    <n v="14100"/>
    <n v="0.2"/>
    <n v="11280"/>
    <n v="0.8"/>
    <s v="High"/>
  </r>
  <r>
    <s v="ORD2695"/>
    <d v="2024-09-01T00:00:00"/>
    <x v="4"/>
    <x v="8"/>
    <x v="1"/>
    <s v="Filing Cabinet"/>
    <x v="2"/>
    <x v="1"/>
    <n v="7"/>
    <n v="11800"/>
    <n v="0.25"/>
    <n v="8850"/>
    <n v="0.75"/>
    <s v="High"/>
  </r>
  <r>
    <s v="ORD2696"/>
    <d v="2024-09-02T00:00:00"/>
    <x v="4"/>
    <x v="8"/>
    <x v="1"/>
    <s v="Visitor Chair"/>
    <x v="3"/>
    <x v="1"/>
    <n v="5"/>
    <n v="9800"/>
    <n v="0.05"/>
    <n v="9310"/>
    <n v="0.95"/>
    <s v="Medium"/>
  </r>
  <r>
    <s v="ORD2697"/>
    <d v="2024-09-03T00:00:00"/>
    <x v="4"/>
    <x v="8"/>
    <x v="1"/>
    <s v="Conference Table"/>
    <x v="0"/>
    <x v="1"/>
    <n v="6"/>
    <n v="4500"/>
    <n v="0.1"/>
    <n v="4050"/>
    <n v="0.9"/>
    <s v="Low"/>
  </r>
  <r>
    <s v="ORD2698"/>
    <d v="2024-09-04T00:00:00"/>
    <x v="4"/>
    <x v="8"/>
    <x v="1"/>
    <s v="Drawer Unit"/>
    <x v="1"/>
    <x v="1"/>
    <n v="6"/>
    <n v="10200"/>
    <n v="0.15000000000000002"/>
    <n v="8670"/>
    <n v="0.85"/>
    <s v="High"/>
  </r>
  <r>
    <s v="ORD2699"/>
    <d v="2024-09-05T00:00:00"/>
    <x v="4"/>
    <x v="8"/>
    <x v="1"/>
    <s v="Ergonomic Stool"/>
    <x v="2"/>
    <x v="1"/>
    <n v="5"/>
    <n v="14500"/>
    <n v="0.2"/>
    <n v="11600"/>
    <n v="0.8"/>
    <s v="High"/>
  </r>
  <r>
    <s v="ORD2700"/>
    <d v="2024-09-06T00:00:00"/>
    <x v="4"/>
    <x v="8"/>
    <x v="1"/>
    <s v="Office Sofa"/>
    <x v="3"/>
    <x v="1"/>
    <n v="1"/>
    <n v="14400"/>
    <n v="0.25"/>
    <n v="10800"/>
    <n v="0.75"/>
    <s v="High"/>
  </r>
  <r>
    <s v="ORD2701"/>
    <d v="2024-09-07T00:00:00"/>
    <x v="4"/>
    <x v="8"/>
    <x v="2"/>
    <s v="Ball Pen Pack"/>
    <x v="0"/>
    <x v="2"/>
    <n v="1"/>
    <n v="6600"/>
    <n v="0.05"/>
    <n v="6270"/>
    <n v="0.95"/>
    <s v="Medium"/>
  </r>
  <r>
    <s v="ORD2702"/>
    <d v="2024-09-08T00:00:00"/>
    <x v="4"/>
    <x v="8"/>
    <x v="2"/>
    <s v="Notebook"/>
    <x v="1"/>
    <x v="2"/>
    <n v="10"/>
    <n v="14500"/>
    <n v="0.1"/>
    <n v="13050"/>
    <n v="0.9"/>
    <s v="High"/>
  </r>
  <r>
    <s v="ORD2703"/>
    <d v="2024-09-09T00:00:00"/>
    <x v="4"/>
    <x v="8"/>
    <x v="2"/>
    <s v="Printer Paper Ream"/>
    <x v="2"/>
    <x v="2"/>
    <n v="10"/>
    <n v="5300"/>
    <n v="0.15000000000000002"/>
    <n v="4505"/>
    <n v="0.85"/>
    <s v="Medium"/>
  </r>
  <r>
    <s v="ORD2704"/>
    <d v="2024-09-10T00:00:00"/>
    <x v="4"/>
    <x v="8"/>
    <x v="2"/>
    <s v="Stapler"/>
    <x v="3"/>
    <x v="2"/>
    <n v="1"/>
    <n v="14800"/>
    <n v="0.2"/>
    <n v="11840"/>
    <n v="0.8"/>
    <s v="High"/>
  </r>
  <r>
    <s v="ORD2705"/>
    <d v="2024-09-11T00:00:00"/>
    <x v="4"/>
    <x v="8"/>
    <x v="2"/>
    <s v="Paper Clips Box"/>
    <x v="0"/>
    <x v="2"/>
    <n v="7"/>
    <n v="11600"/>
    <n v="0.25"/>
    <n v="8700"/>
    <n v="0.75"/>
    <s v="High"/>
  </r>
  <r>
    <s v="ORD2706"/>
    <d v="2024-09-12T00:00:00"/>
    <x v="4"/>
    <x v="8"/>
    <x v="2"/>
    <s v="Highlighter Set"/>
    <x v="1"/>
    <x v="2"/>
    <n v="6"/>
    <n v="4200"/>
    <n v="0.05"/>
    <n v="3990"/>
    <n v="0.95"/>
    <s v="Low"/>
  </r>
  <r>
    <s v="ORD2707"/>
    <d v="2024-09-13T00:00:00"/>
    <x v="4"/>
    <x v="8"/>
    <x v="2"/>
    <s v="Desk Organizer"/>
    <x v="2"/>
    <x v="2"/>
    <n v="8"/>
    <n v="13100"/>
    <n v="0.1"/>
    <n v="11790"/>
    <n v="0.9"/>
    <s v="High"/>
  </r>
  <r>
    <s v="ORD2708"/>
    <d v="2024-09-14T00:00:00"/>
    <x v="4"/>
    <x v="8"/>
    <x v="2"/>
    <s v="Calculator"/>
    <x v="3"/>
    <x v="2"/>
    <n v="9"/>
    <n v="8200"/>
    <n v="0.15000000000000002"/>
    <n v="6970"/>
    <n v="0.85"/>
    <s v="Medium"/>
  </r>
  <r>
    <s v="ORD2709"/>
    <d v="2024-09-15T00:00:00"/>
    <x v="4"/>
    <x v="8"/>
    <x v="2"/>
    <s v="Sticky Notes"/>
    <x v="0"/>
    <x v="2"/>
    <n v="4"/>
    <n v="6000"/>
    <n v="0.2"/>
    <n v="4800"/>
    <n v="0.8"/>
    <s v="Medium"/>
  </r>
  <r>
    <s v="ORD2710"/>
    <d v="2024-09-16T00:00:00"/>
    <x v="4"/>
    <x v="8"/>
    <x v="2"/>
    <s v="Whiteboard Marker"/>
    <x v="1"/>
    <x v="2"/>
    <n v="5"/>
    <n v="9000"/>
    <n v="0.25"/>
    <n v="6750"/>
    <n v="0.75"/>
    <s v="Medium"/>
  </r>
  <r>
    <s v="ORD2711"/>
    <d v="2024-09-17T00:00:00"/>
    <x v="4"/>
    <x v="8"/>
    <x v="0"/>
    <s v="Bluetooth Speaker"/>
    <x v="2"/>
    <x v="0"/>
    <n v="10"/>
    <n v="12700"/>
    <n v="0.05"/>
    <n v="12065"/>
    <n v="0.95"/>
    <s v="High"/>
  </r>
  <r>
    <s v="ORD2712"/>
    <d v="2024-09-18T00:00:00"/>
    <x v="4"/>
    <x v="8"/>
    <x v="0"/>
    <s v="Wireless Mouse"/>
    <x v="3"/>
    <x v="0"/>
    <n v="3"/>
    <n v="9500"/>
    <n v="0.1"/>
    <n v="8550"/>
    <n v="0.9"/>
    <s v="Medium"/>
  </r>
  <r>
    <s v="ORD2713"/>
    <d v="2024-09-19T00:00:00"/>
    <x v="4"/>
    <x v="8"/>
    <x v="0"/>
    <s v="Keyboard"/>
    <x v="0"/>
    <x v="0"/>
    <n v="4"/>
    <n v="14500"/>
    <n v="0.15000000000000002"/>
    <n v="12325"/>
    <n v="0.85"/>
    <s v="High"/>
  </r>
  <r>
    <s v="ORD2714"/>
    <d v="2024-09-20T00:00:00"/>
    <x v="4"/>
    <x v="8"/>
    <x v="0"/>
    <s v="Laptop Stand"/>
    <x v="1"/>
    <x v="0"/>
    <n v="1"/>
    <n v="8200"/>
    <n v="0.2"/>
    <n v="6560"/>
    <n v="0.8"/>
    <s v="Medium"/>
  </r>
  <r>
    <s v="ORD2715"/>
    <d v="2024-09-21T00:00:00"/>
    <x v="4"/>
    <x v="8"/>
    <x v="0"/>
    <s v="USB Flash Drive"/>
    <x v="2"/>
    <x v="0"/>
    <n v="8"/>
    <n v="13400"/>
    <n v="0.25"/>
    <n v="10050"/>
    <n v="0.75"/>
    <s v="High"/>
  </r>
  <r>
    <s v="ORD2716"/>
    <d v="2024-09-22T00:00:00"/>
    <x v="4"/>
    <x v="8"/>
    <x v="0"/>
    <s v="External Hard Disk"/>
    <x v="3"/>
    <x v="0"/>
    <n v="5"/>
    <n v="11900"/>
    <n v="0.05"/>
    <n v="11305"/>
    <n v="0.95"/>
    <s v="High"/>
  </r>
  <r>
    <s v="ORD2717"/>
    <d v="2024-09-23T00:00:00"/>
    <x v="4"/>
    <x v="8"/>
    <x v="0"/>
    <s v="Webcam"/>
    <x v="0"/>
    <x v="0"/>
    <n v="6"/>
    <n v="10300"/>
    <n v="0.1"/>
    <n v="9270"/>
    <n v="0.9"/>
    <s v="High"/>
  </r>
  <r>
    <s v="ORD2718"/>
    <d v="2024-09-24T00:00:00"/>
    <x v="4"/>
    <x v="8"/>
    <x v="0"/>
    <s v="Noise Cancelling Headphones"/>
    <x v="1"/>
    <x v="0"/>
    <n v="1"/>
    <n v="4500"/>
    <n v="0.15000000000000002"/>
    <n v="3825"/>
    <n v="0.85"/>
    <s v="Low"/>
  </r>
  <r>
    <s v="ORD2719"/>
    <d v="2024-09-25T00:00:00"/>
    <x v="4"/>
    <x v="8"/>
    <x v="0"/>
    <s v="Smart Watch"/>
    <x v="2"/>
    <x v="0"/>
    <n v="2"/>
    <n v="6800"/>
    <n v="0.2"/>
    <n v="5440"/>
    <n v="0.8"/>
    <s v="Medium"/>
  </r>
  <r>
    <s v="ORD2720"/>
    <d v="2024-09-26T00:00:00"/>
    <x v="4"/>
    <x v="8"/>
    <x v="0"/>
    <s v="Portable Power Bank"/>
    <x v="3"/>
    <x v="0"/>
    <n v="2"/>
    <n v="9800"/>
    <n v="0.25"/>
    <n v="7350"/>
    <n v="0.75"/>
    <s v="Medium"/>
  </r>
  <r>
    <s v="ORD2721"/>
    <d v="2024-09-27T00:00:00"/>
    <x v="4"/>
    <x v="8"/>
    <x v="1"/>
    <s v="Office Chair"/>
    <x v="0"/>
    <x v="1"/>
    <n v="6"/>
    <n v="7300"/>
    <n v="0.05"/>
    <n v="6935"/>
    <n v="0.95"/>
    <s v="Medium"/>
  </r>
  <r>
    <s v="ORD2722"/>
    <d v="2024-09-28T00:00:00"/>
    <x v="4"/>
    <x v="8"/>
    <x v="1"/>
    <s v="Study Table"/>
    <x v="1"/>
    <x v="1"/>
    <n v="1"/>
    <n v="14800"/>
    <n v="0.1"/>
    <n v="13320"/>
    <n v="0.9"/>
    <s v="High"/>
  </r>
  <r>
    <s v="ORD2723"/>
    <d v="2024-09-29T00:00:00"/>
    <x v="4"/>
    <x v="8"/>
    <x v="1"/>
    <s v="Wooden Bookshelf"/>
    <x v="2"/>
    <x v="1"/>
    <n v="3"/>
    <n v="7600"/>
    <n v="0.15000000000000002"/>
    <n v="6460"/>
    <n v="0.85"/>
    <s v="Medium"/>
  </r>
  <r>
    <s v="ORD2724"/>
    <d v="2024-09-30T00:00:00"/>
    <x v="4"/>
    <x v="8"/>
    <x v="1"/>
    <s v="Computer Desk"/>
    <x v="3"/>
    <x v="1"/>
    <n v="1"/>
    <n v="14000"/>
    <n v="0.2"/>
    <n v="11200"/>
    <n v="0.8"/>
    <s v="High"/>
  </r>
  <r>
    <s v="ORD2725"/>
    <d v="2024-10-01T00:00:00"/>
    <x v="4"/>
    <x v="9"/>
    <x v="1"/>
    <s v="Filing Cabinet"/>
    <x v="0"/>
    <x v="1"/>
    <n v="4"/>
    <n v="7000"/>
    <n v="0.25"/>
    <n v="5250"/>
    <n v="0.75"/>
    <s v="Medium"/>
  </r>
  <r>
    <s v="ORD2726"/>
    <d v="2024-10-02T00:00:00"/>
    <x v="4"/>
    <x v="9"/>
    <x v="1"/>
    <s v="Visitor Chair"/>
    <x v="1"/>
    <x v="1"/>
    <n v="3"/>
    <n v="5600"/>
    <n v="0.05"/>
    <n v="5320"/>
    <n v="0.95"/>
    <s v="Medium"/>
  </r>
  <r>
    <s v="ORD2727"/>
    <d v="2024-10-03T00:00:00"/>
    <x v="4"/>
    <x v="9"/>
    <x v="1"/>
    <s v="Conference Table"/>
    <x v="2"/>
    <x v="1"/>
    <n v="1"/>
    <n v="14100"/>
    <n v="0.1"/>
    <n v="12690"/>
    <n v="0.9"/>
    <s v="High"/>
  </r>
  <r>
    <s v="ORD2728"/>
    <d v="2024-10-04T00:00:00"/>
    <x v="4"/>
    <x v="9"/>
    <x v="1"/>
    <s v="Drawer Unit"/>
    <x v="3"/>
    <x v="1"/>
    <n v="6"/>
    <n v="11100"/>
    <n v="0.15000000000000002"/>
    <n v="9435"/>
    <n v="0.85"/>
    <s v="High"/>
  </r>
  <r>
    <s v="ORD2729"/>
    <d v="2024-10-05T00:00:00"/>
    <x v="4"/>
    <x v="9"/>
    <x v="1"/>
    <s v="Ergonomic Stool"/>
    <x v="0"/>
    <x v="1"/>
    <n v="6"/>
    <n v="7900"/>
    <n v="0.2"/>
    <n v="6320"/>
    <n v="0.8"/>
    <s v="Medium"/>
  </r>
  <r>
    <s v="ORD2730"/>
    <d v="2024-10-06T00:00:00"/>
    <x v="4"/>
    <x v="9"/>
    <x v="1"/>
    <s v="Office Sofa"/>
    <x v="1"/>
    <x v="1"/>
    <n v="10"/>
    <n v="7400"/>
    <n v="0.25"/>
    <n v="5550"/>
    <n v="0.75"/>
    <s v="Medium"/>
  </r>
  <r>
    <s v="ORD2731"/>
    <d v="2024-10-07T00:00:00"/>
    <x v="4"/>
    <x v="9"/>
    <x v="2"/>
    <s v="Ball Pen Pack"/>
    <x v="2"/>
    <x v="2"/>
    <n v="7"/>
    <n v="8200"/>
    <n v="0.05"/>
    <n v="7790"/>
    <n v="0.95"/>
    <s v="Medium"/>
  </r>
  <r>
    <s v="ORD2732"/>
    <d v="2024-10-08T00:00:00"/>
    <x v="4"/>
    <x v="9"/>
    <x v="2"/>
    <s v="Notebook"/>
    <x v="3"/>
    <x v="2"/>
    <n v="10"/>
    <n v="9400"/>
    <n v="0.1"/>
    <n v="8460"/>
    <n v="0.9"/>
    <s v="Medium"/>
  </r>
  <r>
    <s v="ORD2733"/>
    <d v="2024-10-09T00:00:00"/>
    <x v="4"/>
    <x v="9"/>
    <x v="2"/>
    <s v="Printer Paper Ream"/>
    <x v="0"/>
    <x v="2"/>
    <n v="8"/>
    <n v="10900"/>
    <n v="0.15000000000000002"/>
    <n v="9265"/>
    <n v="0.85"/>
    <s v="High"/>
  </r>
  <r>
    <s v="ORD2734"/>
    <d v="2024-10-10T00:00:00"/>
    <x v="4"/>
    <x v="9"/>
    <x v="2"/>
    <s v="Stapler"/>
    <x v="1"/>
    <x v="2"/>
    <n v="2"/>
    <n v="13700"/>
    <n v="0.2"/>
    <n v="10960"/>
    <n v="0.8"/>
    <s v="High"/>
  </r>
  <r>
    <s v="ORD2735"/>
    <d v="2024-10-11T00:00:00"/>
    <x v="4"/>
    <x v="9"/>
    <x v="2"/>
    <s v="Paper Clips Box"/>
    <x v="2"/>
    <x v="2"/>
    <n v="3"/>
    <n v="8100"/>
    <n v="0.25"/>
    <n v="6075"/>
    <n v="0.75"/>
    <s v="Medium"/>
  </r>
  <r>
    <s v="ORD2736"/>
    <d v="2024-10-12T00:00:00"/>
    <x v="4"/>
    <x v="9"/>
    <x v="2"/>
    <s v="Highlighter Set"/>
    <x v="3"/>
    <x v="2"/>
    <n v="9"/>
    <n v="10600"/>
    <n v="0.05"/>
    <n v="10070"/>
    <n v="0.95"/>
    <s v="High"/>
  </r>
  <r>
    <s v="ORD2737"/>
    <d v="2024-10-13T00:00:00"/>
    <x v="4"/>
    <x v="9"/>
    <x v="2"/>
    <s v="Desk Organizer"/>
    <x v="0"/>
    <x v="2"/>
    <n v="8"/>
    <n v="8300"/>
    <n v="0.1"/>
    <n v="7470"/>
    <n v="0.9"/>
    <s v="Medium"/>
  </r>
  <r>
    <s v="ORD2738"/>
    <d v="2024-10-14T00:00:00"/>
    <x v="4"/>
    <x v="9"/>
    <x v="2"/>
    <s v="Calculator"/>
    <x v="1"/>
    <x v="2"/>
    <n v="5"/>
    <n v="7400"/>
    <n v="0.15000000000000002"/>
    <n v="6290"/>
    <n v="0.85"/>
    <s v="Medium"/>
  </r>
  <r>
    <s v="ORD2739"/>
    <d v="2024-10-15T00:00:00"/>
    <x v="4"/>
    <x v="9"/>
    <x v="2"/>
    <s v="Sticky Notes"/>
    <x v="2"/>
    <x v="2"/>
    <n v="3"/>
    <n v="6500"/>
    <n v="0.2"/>
    <n v="5200"/>
    <n v="0.8"/>
    <s v="Medium"/>
  </r>
  <r>
    <s v="ORD2740"/>
    <d v="2024-10-16T00:00:00"/>
    <x v="4"/>
    <x v="9"/>
    <x v="2"/>
    <s v="Whiteboard Marker"/>
    <x v="3"/>
    <x v="2"/>
    <n v="1"/>
    <n v="6500"/>
    <n v="0.25"/>
    <n v="4875"/>
    <n v="0.75"/>
    <s v="Medium"/>
  </r>
  <r>
    <s v="ORD2741"/>
    <d v="2024-10-17T00:00:00"/>
    <x v="4"/>
    <x v="9"/>
    <x v="0"/>
    <s v="Bluetooth Speaker"/>
    <x v="0"/>
    <x v="0"/>
    <n v="10"/>
    <n v="5000"/>
    <n v="0.05"/>
    <n v="4750"/>
    <n v="0.95"/>
    <s v="Low"/>
  </r>
  <r>
    <s v="ORD2742"/>
    <d v="2024-10-18T00:00:00"/>
    <x v="4"/>
    <x v="9"/>
    <x v="0"/>
    <s v="Wireless Mouse"/>
    <x v="1"/>
    <x v="0"/>
    <n v="3"/>
    <n v="6300"/>
    <n v="0.1"/>
    <n v="5670"/>
    <n v="0.9"/>
    <s v="Medium"/>
  </r>
  <r>
    <s v="ORD2743"/>
    <d v="2024-10-19T00:00:00"/>
    <x v="4"/>
    <x v="9"/>
    <x v="0"/>
    <s v="Keyboard"/>
    <x v="2"/>
    <x v="0"/>
    <n v="4"/>
    <n v="8000"/>
    <n v="0.15000000000000002"/>
    <n v="6800"/>
    <n v="0.85"/>
    <s v="Medium"/>
  </r>
  <r>
    <s v="ORD2744"/>
    <d v="2024-10-20T00:00:00"/>
    <x v="4"/>
    <x v="9"/>
    <x v="0"/>
    <s v="Laptop Stand"/>
    <x v="3"/>
    <x v="0"/>
    <n v="3"/>
    <n v="9300"/>
    <n v="0.2"/>
    <n v="7440"/>
    <n v="0.8"/>
    <s v="Medium"/>
  </r>
  <r>
    <s v="ORD2745"/>
    <d v="2024-10-21T00:00:00"/>
    <x v="4"/>
    <x v="9"/>
    <x v="0"/>
    <s v="USB Flash Drive"/>
    <x v="0"/>
    <x v="0"/>
    <n v="4"/>
    <n v="14600"/>
    <n v="0.25"/>
    <n v="10950"/>
    <n v="0.75"/>
    <s v="High"/>
  </r>
  <r>
    <s v="ORD2746"/>
    <d v="2024-10-22T00:00:00"/>
    <x v="4"/>
    <x v="9"/>
    <x v="0"/>
    <s v="External Hard Disk"/>
    <x v="1"/>
    <x v="0"/>
    <n v="7"/>
    <n v="7600"/>
    <n v="0.05"/>
    <n v="7220"/>
    <n v="0.95"/>
    <s v="Medium"/>
  </r>
  <r>
    <s v="ORD2747"/>
    <d v="2024-10-23T00:00:00"/>
    <x v="4"/>
    <x v="9"/>
    <x v="0"/>
    <s v="Webcam"/>
    <x v="2"/>
    <x v="0"/>
    <n v="1"/>
    <n v="12300"/>
    <n v="0.1"/>
    <n v="11070"/>
    <n v="0.9"/>
    <s v="High"/>
  </r>
  <r>
    <s v="ORD2748"/>
    <d v="2024-10-24T00:00:00"/>
    <x v="4"/>
    <x v="9"/>
    <x v="0"/>
    <s v="Noise Cancelling Headphones"/>
    <x v="3"/>
    <x v="0"/>
    <n v="2"/>
    <n v="11300"/>
    <n v="0.15000000000000002"/>
    <n v="9605"/>
    <n v="0.85"/>
    <s v="High"/>
  </r>
  <r>
    <s v="ORD2749"/>
    <d v="2024-10-25T00:00:00"/>
    <x v="4"/>
    <x v="9"/>
    <x v="0"/>
    <s v="Smart Watch"/>
    <x v="0"/>
    <x v="0"/>
    <n v="7"/>
    <n v="11800"/>
    <n v="0.2"/>
    <n v="9440"/>
    <n v="0.8"/>
    <s v="High"/>
  </r>
  <r>
    <s v="ORD2750"/>
    <d v="2024-10-26T00:00:00"/>
    <x v="4"/>
    <x v="9"/>
    <x v="0"/>
    <s v="Portable Power Bank"/>
    <x v="1"/>
    <x v="0"/>
    <n v="4"/>
    <n v="9000"/>
    <n v="0.25"/>
    <n v="6750"/>
    <n v="0.75"/>
    <s v="Medium"/>
  </r>
  <r>
    <s v="ORD2751"/>
    <d v="2024-10-27T00:00:00"/>
    <x v="4"/>
    <x v="9"/>
    <x v="1"/>
    <s v="Office Chair"/>
    <x v="2"/>
    <x v="1"/>
    <n v="1"/>
    <n v="8700"/>
    <n v="0.05"/>
    <n v="8265"/>
    <n v="0.95"/>
    <s v="Medium"/>
  </r>
  <r>
    <s v="ORD2752"/>
    <d v="2024-10-28T00:00:00"/>
    <x v="4"/>
    <x v="9"/>
    <x v="1"/>
    <s v="Study Table"/>
    <x v="3"/>
    <x v="1"/>
    <n v="10"/>
    <n v="8100"/>
    <n v="0.1"/>
    <n v="7290"/>
    <n v="0.9"/>
    <s v="Medium"/>
  </r>
  <r>
    <s v="ORD2753"/>
    <d v="2024-10-29T00:00:00"/>
    <x v="4"/>
    <x v="9"/>
    <x v="1"/>
    <s v="Wooden Bookshelf"/>
    <x v="0"/>
    <x v="1"/>
    <n v="1"/>
    <n v="4500"/>
    <n v="0.15000000000000002"/>
    <n v="3825"/>
    <n v="0.85"/>
    <s v="Low"/>
  </r>
  <r>
    <s v="ORD2754"/>
    <d v="2024-10-30T00:00:00"/>
    <x v="4"/>
    <x v="9"/>
    <x v="1"/>
    <s v="Computer Desk"/>
    <x v="1"/>
    <x v="1"/>
    <n v="4"/>
    <n v="4000"/>
    <n v="0.2"/>
    <n v="3200"/>
    <n v="0.8"/>
    <s v="Low"/>
  </r>
  <r>
    <s v="ORD2755"/>
    <d v="2024-10-31T00:00:00"/>
    <x v="4"/>
    <x v="9"/>
    <x v="1"/>
    <s v="Filing Cabinet"/>
    <x v="2"/>
    <x v="1"/>
    <n v="4"/>
    <n v="6100"/>
    <n v="0.25"/>
    <n v="4575"/>
    <n v="0.75"/>
    <s v="Medium"/>
  </r>
  <r>
    <s v="ORD2756"/>
    <d v="2024-11-01T00:00:00"/>
    <x v="4"/>
    <x v="10"/>
    <x v="1"/>
    <s v="Visitor Chair"/>
    <x v="3"/>
    <x v="1"/>
    <n v="1"/>
    <n v="13700"/>
    <n v="0.05"/>
    <n v="13015"/>
    <n v="0.95"/>
    <s v="High"/>
  </r>
  <r>
    <s v="ORD2757"/>
    <d v="2024-11-02T00:00:00"/>
    <x v="4"/>
    <x v="10"/>
    <x v="1"/>
    <s v="Conference Table"/>
    <x v="0"/>
    <x v="1"/>
    <n v="10"/>
    <n v="9500"/>
    <n v="0.1"/>
    <n v="8550"/>
    <n v="0.9"/>
    <s v="Medium"/>
  </r>
  <r>
    <s v="ORD2758"/>
    <d v="2024-11-03T00:00:00"/>
    <x v="4"/>
    <x v="10"/>
    <x v="1"/>
    <s v="Drawer Unit"/>
    <x v="1"/>
    <x v="1"/>
    <n v="7"/>
    <n v="5100"/>
    <n v="0.15000000000000002"/>
    <n v="4335"/>
    <n v="0.85"/>
    <s v="Medium"/>
  </r>
  <r>
    <s v="ORD2759"/>
    <d v="2024-11-04T00:00:00"/>
    <x v="4"/>
    <x v="10"/>
    <x v="1"/>
    <s v="Ergonomic Stool"/>
    <x v="2"/>
    <x v="1"/>
    <n v="8"/>
    <n v="8700"/>
    <n v="0.2"/>
    <n v="6960"/>
    <n v="0.8"/>
    <s v="Medium"/>
  </r>
  <r>
    <s v="ORD2760"/>
    <d v="2024-11-05T00:00:00"/>
    <x v="4"/>
    <x v="10"/>
    <x v="1"/>
    <s v="Office Sofa"/>
    <x v="3"/>
    <x v="1"/>
    <n v="5"/>
    <n v="13900"/>
    <n v="0.25"/>
    <n v="10425"/>
    <n v="0.75"/>
    <s v="High"/>
  </r>
  <r>
    <s v="ORD2761"/>
    <d v="2024-11-06T00:00:00"/>
    <x v="4"/>
    <x v="10"/>
    <x v="2"/>
    <s v="Ball Pen Pack"/>
    <x v="0"/>
    <x v="2"/>
    <n v="3"/>
    <n v="12700"/>
    <n v="0.05"/>
    <n v="12065"/>
    <n v="0.95"/>
    <s v="High"/>
  </r>
  <r>
    <s v="ORD2762"/>
    <d v="2024-11-07T00:00:00"/>
    <x v="4"/>
    <x v="10"/>
    <x v="2"/>
    <s v="Notebook"/>
    <x v="1"/>
    <x v="2"/>
    <n v="2"/>
    <n v="10600"/>
    <n v="0.1"/>
    <n v="9540"/>
    <n v="0.9"/>
    <s v="High"/>
  </r>
  <r>
    <s v="ORD2763"/>
    <d v="2024-11-08T00:00:00"/>
    <x v="4"/>
    <x v="10"/>
    <x v="2"/>
    <s v="Printer Paper Ream"/>
    <x v="2"/>
    <x v="2"/>
    <n v="8"/>
    <n v="6700"/>
    <n v="0.15000000000000002"/>
    <n v="5695"/>
    <n v="0.85"/>
    <s v="Medium"/>
  </r>
  <r>
    <s v="ORD2764"/>
    <d v="2024-11-09T00:00:00"/>
    <x v="4"/>
    <x v="10"/>
    <x v="2"/>
    <s v="Stapler"/>
    <x v="3"/>
    <x v="2"/>
    <n v="7"/>
    <n v="5300"/>
    <n v="0.2"/>
    <n v="4240"/>
    <n v="0.8"/>
    <s v="Medium"/>
  </r>
  <r>
    <s v="ORD2765"/>
    <d v="2024-11-10T00:00:00"/>
    <x v="4"/>
    <x v="10"/>
    <x v="2"/>
    <s v="Paper Clips Box"/>
    <x v="0"/>
    <x v="2"/>
    <n v="7"/>
    <n v="10100"/>
    <n v="0.25"/>
    <n v="7575"/>
    <n v="0.75"/>
    <s v="High"/>
  </r>
  <r>
    <s v="ORD2766"/>
    <d v="2024-11-11T00:00:00"/>
    <x v="4"/>
    <x v="10"/>
    <x v="2"/>
    <s v="Highlighter Set"/>
    <x v="1"/>
    <x v="2"/>
    <n v="6"/>
    <n v="9400"/>
    <n v="0.05"/>
    <n v="8930"/>
    <n v="0.95"/>
    <s v="Medium"/>
  </r>
  <r>
    <s v="ORD2767"/>
    <d v="2024-11-12T00:00:00"/>
    <x v="4"/>
    <x v="10"/>
    <x v="2"/>
    <s v="Desk Organizer"/>
    <x v="2"/>
    <x v="2"/>
    <n v="8"/>
    <n v="6400"/>
    <n v="0.1"/>
    <n v="5760"/>
    <n v="0.9"/>
    <s v="Medium"/>
  </r>
  <r>
    <s v="ORD2768"/>
    <d v="2024-11-13T00:00:00"/>
    <x v="4"/>
    <x v="10"/>
    <x v="2"/>
    <s v="Calculator"/>
    <x v="3"/>
    <x v="2"/>
    <n v="5"/>
    <n v="7100"/>
    <n v="0.15000000000000002"/>
    <n v="6035"/>
    <n v="0.85"/>
    <s v="Medium"/>
  </r>
  <r>
    <s v="ORD2769"/>
    <d v="2024-11-14T00:00:00"/>
    <x v="4"/>
    <x v="10"/>
    <x v="2"/>
    <s v="Sticky Notes"/>
    <x v="0"/>
    <x v="2"/>
    <n v="9"/>
    <n v="8500"/>
    <n v="0.2"/>
    <n v="6800"/>
    <n v="0.8"/>
    <s v="Medium"/>
  </r>
  <r>
    <s v="ORD2770"/>
    <d v="2024-11-15T00:00:00"/>
    <x v="4"/>
    <x v="10"/>
    <x v="2"/>
    <s v="Whiteboard Marker"/>
    <x v="1"/>
    <x v="2"/>
    <n v="1"/>
    <n v="14600"/>
    <n v="0.25"/>
    <n v="10950"/>
    <n v="0.75"/>
    <s v="High"/>
  </r>
  <r>
    <s v="ORD2771"/>
    <d v="2024-11-16T00:00:00"/>
    <x v="4"/>
    <x v="10"/>
    <x v="0"/>
    <s v="Bluetooth Speaker"/>
    <x v="2"/>
    <x v="0"/>
    <n v="4"/>
    <n v="5800"/>
    <n v="0.05"/>
    <n v="5510"/>
    <n v="0.95"/>
    <s v="Medium"/>
  </r>
  <r>
    <s v="ORD2772"/>
    <d v="2024-11-17T00:00:00"/>
    <x v="4"/>
    <x v="10"/>
    <x v="0"/>
    <s v="Wireless Mouse"/>
    <x v="3"/>
    <x v="0"/>
    <n v="3"/>
    <n v="6100"/>
    <n v="0.1"/>
    <n v="5490"/>
    <n v="0.9"/>
    <s v="Medium"/>
  </r>
  <r>
    <s v="ORD2773"/>
    <d v="2024-11-18T00:00:00"/>
    <x v="4"/>
    <x v="10"/>
    <x v="0"/>
    <s v="Keyboard"/>
    <x v="0"/>
    <x v="0"/>
    <n v="1"/>
    <n v="7600"/>
    <n v="0.15000000000000002"/>
    <n v="6460"/>
    <n v="0.85"/>
    <s v="Medium"/>
  </r>
  <r>
    <s v="ORD2774"/>
    <d v="2024-11-19T00:00:00"/>
    <x v="4"/>
    <x v="10"/>
    <x v="0"/>
    <s v="Laptop Stand"/>
    <x v="1"/>
    <x v="0"/>
    <n v="2"/>
    <n v="8700"/>
    <n v="0.2"/>
    <n v="6960"/>
    <n v="0.8"/>
    <s v="Medium"/>
  </r>
  <r>
    <s v="ORD2775"/>
    <d v="2024-11-20T00:00:00"/>
    <x v="4"/>
    <x v="10"/>
    <x v="0"/>
    <s v="USB Flash Drive"/>
    <x v="2"/>
    <x v="0"/>
    <n v="2"/>
    <n v="6000"/>
    <n v="0.25"/>
    <n v="4500"/>
    <n v="0.75"/>
    <s v="Medium"/>
  </r>
  <r>
    <s v="ORD2776"/>
    <d v="2024-11-21T00:00:00"/>
    <x v="4"/>
    <x v="10"/>
    <x v="0"/>
    <s v="External Hard Disk"/>
    <x v="3"/>
    <x v="0"/>
    <n v="9"/>
    <n v="8300"/>
    <n v="0.05"/>
    <n v="7885"/>
    <n v="0.95"/>
    <s v="Medium"/>
  </r>
  <r>
    <s v="ORD2777"/>
    <d v="2024-11-22T00:00:00"/>
    <x v="4"/>
    <x v="10"/>
    <x v="0"/>
    <s v="Webcam"/>
    <x v="0"/>
    <x v="0"/>
    <n v="4"/>
    <n v="10100"/>
    <n v="0.1"/>
    <n v="9090"/>
    <n v="0.9"/>
    <s v="High"/>
  </r>
  <r>
    <s v="ORD2778"/>
    <d v="2024-11-23T00:00:00"/>
    <x v="4"/>
    <x v="10"/>
    <x v="0"/>
    <s v="Noise Cancelling Headphones"/>
    <x v="1"/>
    <x v="0"/>
    <n v="2"/>
    <n v="11400"/>
    <n v="0.15000000000000002"/>
    <n v="9690"/>
    <n v="0.85"/>
    <s v="High"/>
  </r>
  <r>
    <s v="ORD2779"/>
    <d v="2024-11-24T00:00:00"/>
    <x v="4"/>
    <x v="10"/>
    <x v="0"/>
    <s v="Smart Watch"/>
    <x v="2"/>
    <x v="0"/>
    <n v="7"/>
    <n v="4500"/>
    <n v="0.2"/>
    <n v="3600"/>
    <n v="0.8"/>
    <s v="Low"/>
  </r>
  <r>
    <s v="ORD2780"/>
    <d v="2024-11-25T00:00:00"/>
    <x v="4"/>
    <x v="10"/>
    <x v="0"/>
    <s v="Portable Power Bank"/>
    <x v="3"/>
    <x v="0"/>
    <n v="1"/>
    <n v="9100"/>
    <n v="0.25"/>
    <n v="6825"/>
    <n v="0.75"/>
    <s v="Medium"/>
  </r>
  <r>
    <s v="ORD2781"/>
    <d v="2024-11-26T00:00:00"/>
    <x v="4"/>
    <x v="10"/>
    <x v="1"/>
    <s v="Office Chair"/>
    <x v="0"/>
    <x v="1"/>
    <n v="5"/>
    <n v="13400"/>
    <n v="0.05"/>
    <n v="12730"/>
    <n v="0.95"/>
    <s v="High"/>
  </r>
  <r>
    <s v="ORD2782"/>
    <d v="2024-11-27T00:00:00"/>
    <x v="4"/>
    <x v="10"/>
    <x v="1"/>
    <s v="Study Table"/>
    <x v="1"/>
    <x v="1"/>
    <n v="1"/>
    <n v="13700"/>
    <n v="0.1"/>
    <n v="12330"/>
    <n v="0.9"/>
    <s v="High"/>
  </r>
  <r>
    <s v="ORD2783"/>
    <d v="2024-11-28T00:00:00"/>
    <x v="4"/>
    <x v="10"/>
    <x v="1"/>
    <s v="Wooden Bookshelf"/>
    <x v="2"/>
    <x v="1"/>
    <n v="2"/>
    <n v="7400"/>
    <n v="0.15000000000000002"/>
    <n v="6290"/>
    <n v="0.85"/>
    <s v="Medium"/>
  </r>
  <r>
    <s v="ORD2784"/>
    <d v="2024-11-29T00:00:00"/>
    <x v="4"/>
    <x v="10"/>
    <x v="1"/>
    <s v="Computer Desk"/>
    <x v="3"/>
    <x v="1"/>
    <n v="6"/>
    <n v="12000"/>
    <n v="0.2"/>
    <n v="9600"/>
    <n v="0.8"/>
    <s v="High"/>
  </r>
  <r>
    <s v="ORD2785"/>
    <d v="2024-11-30T00:00:00"/>
    <x v="4"/>
    <x v="10"/>
    <x v="1"/>
    <s v="Filing Cabinet"/>
    <x v="0"/>
    <x v="1"/>
    <n v="4"/>
    <n v="6300"/>
    <n v="0.25"/>
    <n v="4725"/>
    <n v="0.75"/>
    <s v="Medium"/>
  </r>
  <r>
    <s v="ORD2786"/>
    <d v="2024-12-01T00:00:00"/>
    <x v="4"/>
    <x v="11"/>
    <x v="1"/>
    <s v="Visitor Chair"/>
    <x v="1"/>
    <x v="1"/>
    <n v="5"/>
    <n v="4100"/>
    <n v="0.05"/>
    <n v="3895"/>
    <n v="0.95"/>
    <s v="Low"/>
  </r>
  <r>
    <s v="ORD2787"/>
    <d v="2024-12-02T00:00:00"/>
    <x v="4"/>
    <x v="11"/>
    <x v="1"/>
    <s v="Conference Table"/>
    <x v="2"/>
    <x v="1"/>
    <n v="4"/>
    <n v="5800"/>
    <n v="0.1"/>
    <n v="5220"/>
    <n v="0.9"/>
    <s v="Medium"/>
  </r>
  <r>
    <s v="ORD2788"/>
    <d v="2024-12-03T00:00:00"/>
    <x v="4"/>
    <x v="11"/>
    <x v="1"/>
    <s v="Drawer Unit"/>
    <x v="3"/>
    <x v="1"/>
    <n v="4"/>
    <n v="8500"/>
    <n v="0.15000000000000002"/>
    <n v="7225"/>
    <n v="0.85"/>
    <s v="Medium"/>
  </r>
  <r>
    <s v="ORD2789"/>
    <d v="2024-12-04T00:00:00"/>
    <x v="4"/>
    <x v="11"/>
    <x v="1"/>
    <s v="Ergonomic Stool"/>
    <x v="0"/>
    <x v="1"/>
    <n v="8"/>
    <n v="11200"/>
    <n v="0.2"/>
    <n v="8960"/>
    <n v="0.8"/>
    <s v="High"/>
  </r>
  <r>
    <s v="ORD2790"/>
    <d v="2024-12-05T00:00:00"/>
    <x v="4"/>
    <x v="11"/>
    <x v="1"/>
    <s v="Office Sofa"/>
    <x v="1"/>
    <x v="1"/>
    <n v="3"/>
    <n v="14700"/>
    <n v="0.25"/>
    <n v="11025"/>
    <n v="0.75"/>
    <s v="High"/>
  </r>
  <r>
    <s v="ORD2791"/>
    <d v="2024-12-06T00:00:00"/>
    <x v="4"/>
    <x v="11"/>
    <x v="2"/>
    <s v="Ball Pen Pack"/>
    <x v="2"/>
    <x v="2"/>
    <n v="9"/>
    <n v="14200"/>
    <n v="0.05"/>
    <n v="13490"/>
    <n v="0.95"/>
    <s v="High"/>
  </r>
  <r>
    <s v="ORD2792"/>
    <d v="2024-12-07T00:00:00"/>
    <x v="4"/>
    <x v="11"/>
    <x v="2"/>
    <s v="Notebook"/>
    <x v="3"/>
    <x v="2"/>
    <n v="6"/>
    <n v="14500"/>
    <n v="0.1"/>
    <n v="13050"/>
    <n v="0.9"/>
    <s v="High"/>
  </r>
  <r>
    <s v="ORD2793"/>
    <d v="2024-12-08T00:00:00"/>
    <x v="4"/>
    <x v="11"/>
    <x v="2"/>
    <s v="Printer Paper Ream"/>
    <x v="0"/>
    <x v="2"/>
    <n v="10"/>
    <n v="11300"/>
    <n v="0.15000000000000002"/>
    <n v="9605"/>
    <n v="0.85"/>
    <s v="High"/>
  </r>
  <r>
    <s v="ORD2794"/>
    <d v="2024-12-09T00:00:00"/>
    <x v="4"/>
    <x v="11"/>
    <x v="2"/>
    <s v="Stapler"/>
    <x v="1"/>
    <x v="2"/>
    <n v="4"/>
    <n v="7800"/>
    <n v="0.2"/>
    <n v="6240"/>
    <n v="0.8"/>
    <s v="Medium"/>
  </r>
  <r>
    <s v="ORD2795"/>
    <d v="2024-12-10T00:00:00"/>
    <x v="4"/>
    <x v="11"/>
    <x v="2"/>
    <s v="Paper Clips Box"/>
    <x v="2"/>
    <x v="2"/>
    <n v="4"/>
    <n v="6600"/>
    <n v="0.25"/>
    <n v="4950"/>
    <n v="0.75"/>
    <s v="Medium"/>
  </r>
  <r>
    <s v="ORD2796"/>
    <d v="2024-12-11T00:00:00"/>
    <x v="4"/>
    <x v="11"/>
    <x v="2"/>
    <s v="Highlighter Set"/>
    <x v="3"/>
    <x v="2"/>
    <n v="10"/>
    <n v="12300"/>
    <n v="0.05"/>
    <n v="11685"/>
    <n v="0.95"/>
    <s v="High"/>
  </r>
  <r>
    <s v="ORD2797"/>
    <d v="2024-12-12T00:00:00"/>
    <x v="4"/>
    <x v="11"/>
    <x v="2"/>
    <s v="Desk Organizer"/>
    <x v="0"/>
    <x v="2"/>
    <n v="10"/>
    <n v="4000"/>
    <n v="0.1"/>
    <n v="3600"/>
    <n v="0.9"/>
    <s v="Low"/>
  </r>
  <r>
    <s v="ORD2798"/>
    <d v="2024-12-13T00:00:00"/>
    <x v="4"/>
    <x v="11"/>
    <x v="2"/>
    <s v="Calculator"/>
    <x v="1"/>
    <x v="2"/>
    <n v="1"/>
    <n v="12100"/>
    <n v="0.15000000000000002"/>
    <n v="10285"/>
    <n v="0.85"/>
    <s v="High"/>
  </r>
  <r>
    <s v="ORD2799"/>
    <d v="2024-12-14T00:00:00"/>
    <x v="4"/>
    <x v="11"/>
    <x v="2"/>
    <s v="Sticky Notes"/>
    <x v="2"/>
    <x v="2"/>
    <n v="3"/>
    <n v="14700"/>
    <n v="0.2"/>
    <n v="11760"/>
    <n v="0.8"/>
    <s v="High"/>
  </r>
  <r>
    <s v="ORD2800"/>
    <d v="2024-12-15T00:00:00"/>
    <x v="4"/>
    <x v="11"/>
    <x v="2"/>
    <s v="Whiteboard Marker"/>
    <x v="3"/>
    <x v="2"/>
    <n v="8"/>
    <n v="8400"/>
    <n v="0.25"/>
    <n v="6300"/>
    <n v="0.75"/>
    <s v="Medium"/>
  </r>
  <r>
    <s v="ORD2801"/>
    <d v="2024-12-16T00:00:00"/>
    <x v="4"/>
    <x v="11"/>
    <x v="0"/>
    <s v="Bluetooth Speaker"/>
    <x v="0"/>
    <x v="0"/>
    <n v="10"/>
    <n v="4700"/>
    <n v="0.05"/>
    <n v="4465"/>
    <n v="0.95"/>
    <s v="Low"/>
  </r>
  <r>
    <s v="ORD2802"/>
    <d v="2024-12-17T00:00:00"/>
    <x v="4"/>
    <x v="11"/>
    <x v="0"/>
    <s v="Wireless Mouse"/>
    <x v="1"/>
    <x v="0"/>
    <n v="5"/>
    <n v="7000"/>
    <n v="0.1"/>
    <n v="6300"/>
    <n v="0.9"/>
    <s v="Medium"/>
  </r>
  <r>
    <s v="ORD2803"/>
    <d v="2024-12-18T00:00:00"/>
    <x v="4"/>
    <x v="11"/>
    <x v="0"/>
    <s v="Keyboard"/>
    <x v="2"/>
    <x v="0"/>
    <n v="8"/>
    <n v="7900"/>
    <n v="0.15000000000000002"/>
    <n v="6715"/>
    <n v="0.85"/>
    <s v="Medium"/>
  </r>
  <r>
    <s v="ORD2804"/>
    <d v="2024-12-19T00:00:00"/>
    <x v="4"/>
    <x v="11"/>
    <x v="0"/>
    <s v="Laptop Stand"/>
    <x v="3"/>
    <x v="0"/>
    <n v="6"/>
    <n v="12100"/>
    <n v="0.2"/>
    <n v="9680"/>
    <n v="0.8"/>
    <s v="High"/>
  </r>
  <r>
    <s v="ORD2805"/>
    <d v="2024-12-20T00:00:00"/>
    <x v="4"/>
    <x v="11"/>
    <x v="0"/>
    <s v="USB Flash Drive"/>
    <x v="0"/>
    <x v="0"/>
    <n v="5"/>
    <n v="9200"/>
    <n v="0.25"/>
    <n v="6900"/>
    <n v="0.75"/>
    <s v="Medium"/>
  </r>
  <r>
    <s v="ORD2806"/>
    <d v="2024-12-21T00:00:00"/>
    <x v="4"/>
    <x v="11"/>
    <x v="0"/>
    <s v="External Hard Disk"/>
    <x v="1"/>
    <x v="0"/>
    <n v="2"/>
    <n v="9700"/>
    <n v="0.05"/>
    <n v="9215"/>
    <n v="0.95"/>
    <s v="Medium"/>
  </r>
  <r>
    <s v="ORD2807"/>
    <d v="2024-12-22T00:00:00"/>
    <x v="4"/>
    <x v="11"/>
    <x v="0"/>
    <s v="Webcam"/>
    <x v="2"/>
    <x v="0"/>
    <n v="1"/>
    <n v="14600"/>
    <n v="0.1"/>
    <n v="13140"/>
    <n v="0.9"/>
    <s v="High"/>
  </r>
  <r>
    <s v="ORD2808"/>
    <d v="2024-12-23T00:00:00"/>
    <x v="4"/>
    <x v="11"/>
    <x v="0"/>
    <s v="Noise Cancelling Headphones"/>
    <x v="3"/>
    <x v="0"/>
    <n v="5"/>
    <n v="13700"/>
    <n v="0.15000000000000002"/>
    <n v="11645"/>
    <n v="0.85"/>
    <s v="High"/>
  </r>
  <r>
    <s v="ORD2809"/>
    <d v="2024-12-24T00:00:00"/>
    <x v="4"/>
    <x v="11"/>
    <x v="0"/>
    <s v="Smart Watch"/>
    <x v="0"/>
    <x v="0"/>
    <n v="5"/>
    <n v="14800"/>
    <n v="0.2"/>
    <n v="11840"/>
    <n v="0.8"/>
    <s v="High"/>
  </r>
  <r>
    <s v="ORD2810"/>
    <d v="2024-12-25T00:00:00"/>
    <x v="4"/>
    <x v="11"/>
    <x v="0"/>
    <s v="Portable Power Bank"/>
    <x v="1"/>
    <x v="0"/>
    <n v="5"/>
    <n v="9000"/>
    <n v="0.25"/>
    <n v="6750"/>
    <n v="0.75"/>
    <s v="Medium"/>
  </r>
  <r>
    <s v="ORD2811"/>
    <d v="2024-12-26T00:00:00"/>
    <x v="4"/>
    <x v="11"/>
    <x v="1"/>
    <s v="Office Chair"/>
    <x v="2"/>
    <x v="1"/>
    <n v="10"/>
    <n v="12100"/>
    <n v="0.05"/>
    <n v="11495"/>
    <n v="0.95"/>
    <s v="High"/>
  </r>
  <r>
    <s v="ORD2812"/>
    <d v="2024-12-27T00:00:00"/>
    <x v="4"/>
    <x v="11"/>
    <x v="1"/>
    <s v="Study Table"/>
    <x v="3"/>
    <x v="1"/>
    <n v="4"/>
    <n v="8000"/>
    <n v="0.1"/>
    <n v="7200"/>
    <n v="0.9"/>
    <s v="Medium"/>
  </r>
  <r>
    <s v="ORD2813"/>
    <d v="2024-12-28T00:00:00"/>
    <x v="4"/>
    <x v="11"/>
    <x v="1"/>
    <s v="Wooden Bookshelf"/>
    <x v="0"/>
    <x v="1"/>
    <n v="5"/>
    <n v="5700"/>
    <n v="0.15000000000000002"/>
    <n v="4845"/>
    <n v="0.85"/>
    <s v="Medium"/>
  </r>
  <r>
    <s v="ORD2814"/>
    <d v="2024-12-29T00:00:00"/>
    <x v="4"/>
    <x v="11"/>
    <x v="1"/>
    <s v="Computer Desk"/>
    <x v="1"/>
    <x v="1"/>
    <n v="8"/>
    <n v="6000"/>
    <n v="0.2"/>
    <n v="4800"/>
    <n v="0.8"/>
    <s v="Medium"/>
  </r>
  <r>
    <s v="ORD2815"/>
    <d v="2024-12-30T00:00:00"/>
    <x v="4"/>
    <x v="11"/>
    <x v="1"/>
    <s v="Filing Cabinet"/>
    <x v="2"/>
    <x v="1"/>
    <n v="7"/>
    <n v="11900"/>
    <n v="0.25"/>
    <n v="8925"/>
    <n v="0.75"/>
    <s v="High"/>
  </r>
  <r>
    <s v="ORD2816"/>
    <d v="2024-12-31T00:00:00"/>
    <x v="4"/>
    <x v="11"/>
    <x v="1"/>
    <s v="Visitor Chair"/>
    <x v="3"/>
    <x v="1"/>
    <n v="6"/>
    <n v="5300"/>
    <n v="0.05"/>
    <n v="5035"/>
    <n v="0.95"/>
    <s v="Medium"/>
  </r>
  <r>
    <s v="ORD2817"/>
    <d v="2025-01-01T00:00:00"/>
    <x v="5"/>
    <x v="0"/>
    <x v="1"/>
    <s v="Conference Table"/>
    <x v="0"/>
    <x v="1"/>
    <n v="9"/>
    <n v="14600"/>
    <n v="0.1"/>
    <n v="13140"/>
    <n v="0.9"/>
    <s v="High"/>
  </r>
  <r>
    <s v="ORD2818"/>
    <d v="2025-01-02T00:00:00"/>
    <x v="5"/>
    <x v="0"/>
    <x v="1"/>
    <s v="Drawer Unit"/>
    <x v="1"/>
    <x v="1"/>
    <n v="6"/>
    <n v="10800"/>
    <n v="0.15000000000000002"/>
    <n v="9180"/>
    <n v="0.85"/>
    <s v="High"/>
  </r>
  <r>
    <s v="ORD2819"/>
    <d v="2025-01-03T00:00:00"/>
    <x v="5"/>
    <x v="0"/>
    <x v="1"/>
    <s v="Ergonomic Stool"/>
    <x v="2"/>
    <x v="1"/>
    <n v="2"/>
    <n v="9700"/>
    <n v="0.2"/>
    <n v="7760"/>
    <n v="0.8"/>
    <s v="Medium"/>
  </r>
  <r>
    <s v="ORD2820"/>
    <d v="2025-01-04T00:00:00"/>
    <x v="5"/>
    <x v="0"/>
    <x v="1"/>
    <s v="Office Sofa"/>
    <x v="3"/>
    <x v="1"/>
    <n v="9"/>
    <n v="12500"/>
    <n v="0.25"/>
    <n v="9375"/>
    <n v="0.75"/>
    <s v="High"/>
  </r>
  <r>
    <s v="ORD2821"/>
    <d v="2025-01-05T00:00:00"/>
    <x v="5"/>
    <x v="0"/>
    <x v="2"/>
    <s v="Ball Pen Pack"/>
    <x v="0"/>
    <x v="2"/>
    <n v="8"/>
    <n v="4600"/>
    <n v="0.05"/>
    <n v="4370"/>
    <n v="0.95"/>
    <s v="Low"/>
  </r>
  <r>
    <s v="ORD2822"/>
    <d v="2025-01-06T00:00:00"/>
    <x v="5"/>
    <x v="0"/>
    <x v="2"/>
    <s v="Notebook"/>
    <x v="1"/>
    <x v="2"/>
    <n v="1"/>
    <n v="11900"/>
    <n v="0.1"/>
    <n v="10710"/>
    <n v="0.9"/>
    <s v="High"/>
  </r>
  <r>
    <s v="ORD2823"/>
    <d v="2025-01-07T00:00:00"/>
    <x v="5"/>
    <x v="0"/>
    <x v="2"/>
    <s v="Printer Paper Ream"/>
    <x v="2"/>
    <x v="2"/>
    <n v="3"/>
    <n v="12600"/>
    <n v="0.15000000000000002"/>
    <n v="10710"/>
    <n v="0.85"/>
    <s v="High"/>
  </r>
  <r>
    <s v="ORD2824"/>
    <d v="2025-01-08T00:00:00"/>
    <x v="5"/>
    <x v="0"/>
    <x v="2"/>
    <s v="Stapler"/>
    <x v="3"/>
    <x v="2"/>
    <n v="2"/>
    <n v="9100"/>
    <n v="0.2"/>
    <n v="7280"/>
    <n v="0.8"/>
    <s v="Medium"/>
  </r>
  <r>
    <s v="ORD2825"/>
    <d v="2025-01-09T00:00:00"/>
    <x v="5"/>
    <x v="0"/>
    <x v="2"/>
    <s v="Paper Clips Box"/>
    <x v="0"/>
    <x v="2"/>
    <n v="4"/>
    <n v="7500"/>
    <n v="0.25"/>
    <n v="5625"/>
    <n v="0.75"/>
    <s v="Medium"/>
  </r>
  <r>
    <s v="ORD2826"/>
    <d v="2025-01-10T00:00:00"/>
    <x v="5"/>
    <x v="0"/>
    <x v="2"/>
    <s v="Highlighter Set"/>
    <x v="1"/>
    <x v="2"/>
    <n v="7"/>
    <n v="10900"/>
    <n v="0.05"/>
    <n v="10355"/>
    <n v="0.95"/>
    <s v="High"/>
  </r>
  <r>
    <s v="ORD2827"/>
    <d v="2025-01-11T00:00:00"/>
    <x v="5"/>
    <x v="0"/>
    <x v="2"/>
    <s v="Desk Organizer"/>
    <x v="2"/>
    <x v="2"/>
    <n v="10"/>
    <n v="14400"/>
    <n v="0.1"/>
    <n v="12960"/>
    <n v="0.9"/>
    <s v="High"/>
  </r>
  <r>
    <s v="ORD2828"/>
    <d v="2025-01-12T00:00:00"/>
    <x v="5"/>
    <x v="0"/>
    <x v="2"/>
    <s v="Calculator"/>
    <x v="3"/>
    <x v="2"/>
    <n v="2"/>
    <n v="14400"/>
    <n v="0.15000000000000002"/>
    <n v="12240"/>
    <n v="0.85"/>
    <s v="High"/>
  </r>
  <r>
    <s v="ORD2829"/>
    <d v="2025-01-13T00:00:00"/>
    <x v="5"/>
    <x v="0"/>
    <x v="2"/>
    <s v="Sticky Notes"/>
    <x v="0"/>
    <x v="2"/>
    <n v="4"/>
    <n v="12100"/>
    <n v="0.2"/>
    <n v="9680"/>
    <n v="0.8"/>
    <s v="High"/>
  </r>
  <r>
    <s v="ORD2830"/>
    <d v="2025-01-14T00:00:00"/>
    <x v="5"/>
    <x v="0"/>
    <x v="2"/>
    <s v="Whiteboard Marker"/>
    <x v="1"/>
    <x v="2"/>
    <n v="6"/>
    <n v="13600"/>
    <n v="0.25"/>
    <n v="10200"/>
    <n v="0.75"/>
    <s v="High"/>
  </r>
  <r>
    <s v="ORD2831"/>
    <d v="2025-01-15T00:00:00"/>
    <x v="5"/>
    <x v="0"/>
    <x v="0"/>
    <s v="Bluetooth Speaker"/>
    <x v="2"/>
    <x v="0"/>
    <n v="9"/>
    <n v="14500"/>
    <n v="0.05"/>
    <n v="13775"/>
    <n v="0.95"/>
    <s v="High"/>
  </r>
  <r>
    <s v="ORD2832"/>
    <d v="2025-01-16T00:00:00"/>
    <x v="5"/>
    <x v="0"/>
    <x v="0"/>
    <s v="Wireless Mouse"/>
    <x v="3"/>
    <x v="0"/>
    <n v="2"/>
    <n v="6100"/>
    <n v="0.1"/>
    <n v="5490"/>
    <n v="0.9"/>
    <s v="Medium"/>
  </r>
  <r>
    <s v="ORD2833"/>
    <d v="2025-01-17T00:00:00"/>
    <x v="5"/>
    <x v="0"/>
    <x v="0"/>
    <s v="Keyboard"/>
    <x v="0"/>
    <x v="0"/>
    <n v="9"/>
    <n v="7900"/>
    <n v="0.15000000000000002"/>
    <n v="6715"/>
    <n v="0.85"/>
    <s v="Medium"/>
  </r>
  <r>
    <s v="ORD2834"/>
    <d v="2025-01-18T00:00:00"/>
    <x v="5"/>
    <x v="0"/>
    <x v="0"/>
    <s v="Laptop Stand"/>
    <x v="1"/>
    <x v="0"/>
    <n v="4"/>
    <n v="5400"/>
    <n v="0.2"/>
    <n v="4320"/>
    <n v="0.8"/>
    <s v="Medium"/>
  </r>
  <r>
    <s v="ORD2835"/>
    <d v="2025-01-19T00:00:00"/>
    <x v="5"/>
    <x v="0"/>
    <x v="0"/>
    <s v="USB Flash Drive"/>
    <x v="2"/>
    <x v="0"/>
    <n v="3"/>
    <n v="7000"/>
    <n v="0.25"/>
    <n v="5250"/>
    <n v="0.75"/>
    <s v="Medium"/>
  </r>
  <r>
    <s v="ORD2836"/>
    <d v="2025-01-20T00:00:00"/>
    <x v="5"/>
    <x v="0"/>
    <x v="0"/>
    <s v="External Hard Disk"/>
    <x v="3"/>
    <x v="0"/>
    <n v="6"/>
    <n v="6800"/>
    <n v="0.05"/>
    <n v="6460"/>
    <n v="0.95"/>
    <s v="Medium"/>
  </r>
  <r>
    <s v="ORD2837"/>
    <d v="2025-01-21T00:00:00"/>
    <x v="5"/>
    <x v="0"/>
    <x v="0"/>
    <s v="Webcam"/>
    <x v="0"/>
    <x v="0"/>
    <n v="9"/>
    <n v="9500"/>
    <n v="0.1"/>
    <n v="8550"/>
    <n v="0.9"/>
    <s v="Medium"/>
  </r>
  <r>
    <s v="ORD2838"/>
    <d v="2025-01-22T00:00:00"/>
    <x v="5"/>
    <x v="0"/>
    <x v="0"/>
    <s v="Noise Cancelling Headphones"/>
    <x v="1"/>
    <x v="0"/>
    <n v="3"/>
    <n v="13000"/>
    <n v="0.15000000000000002"/>
    <n v="11050"/>
    <n v="0.85"/>
    <s v="High"/>
  </r>
  <r>
    <s v="ORD2839"/>
    <d v="2025-01-23T00:00:00"/>
    <x v="5"/>
    <x v="0"/>
    <x v="0"/>
    <s v="Smart Watch"/>
    <x v="2"/>
    <x v="0"/>
    <n v="10"/>
    <n v="14700"/>
    <n v="0.2"/>
    <n v="11760"/>
    <n v="0.8"/>
    <s v="High"/>
  </r>
  <r>
    <s v="ORD2840"/>
    <d v="2025-01-24T00:00:00"/>
    <x v="5"/>
    <x v="0"/>
    <x v="0"/>
    <s v="Portable Power Bank"/>
    <x v="3"/>
    <x v="0"/>
    <n v="9"/>
    <n v="4200"/>
    <n v="0.25"/>
    <n v="3150"/>
    <n v="0.75"/>
    <s v="Low"/>
  </r>
  <r>
    <s v="ORD2841"/>
    <d v="2025-01-25T00:00:00"/>
    <x v="5"/>
    <x v="0"/>
    <x v="1"/>
    <s v="Office Chair"/>
    <x v="0"/>
    <x v="1"/>
    <n v="6"/>
    <n v="14800"/>
    <n v="0.05"/>
    <n v="14060"/>
    <n v="0.95"/>
    <s v="High"/>
  </r>
  <r>
    <s v="ORD2842"/>
    <d v="2025-01-26T00:00:00"/>
    <x v="5"/>
    <x v="0"/>
    <x v="1"/>
    <s v="Study Table"/>
    <x v="1"/>
    <x v="1"/>
    <n v="3"/>
    <n v="4700"/>
    <n v="0.1"/>
    <n v="4230"/>
    <n v="0.9"/>
    <s v="Low"/>
  </r>
  <r>
    <s v="ORD2843"/>
    <d v="2025-01-27T00:00:00"/>
    <x v="5"/>
    <x v="0"/>
    <x v="1"/>
    <s v="Wooden Bookshelf"/>
    <x v="2"/>
    <x v="1"/>
    <n v="6"/>
    <n v="11200"/>
    <n v="0.15000000000000002"/>
    <n v="9520"/>
    <n v="0.85"/>
    <s v="High"/>
  </r>
  <r>
    <s v="ORD2844"/>
    <d v="2025-01-28T00:00:00"/>
    <x v="5"/>
    <x v="0"/>
    <x v="1"/>
    <s v="Computer Desk"/>
    <x v="3"/>
    <x v="1"/>
    <n v="4"/>
    <n v="7400"/>
    <n v="0.2"/>
    <n v="5920"/>
    <n v="0.8"/>
    <s v="Medium"/>
  </r>
  <r>
    <s v="ORD2845"/>
    <d v="2025-01-29T00:00:00"/>
    <x v="5"/>
    <x v="0"/>
    <x v="1"/>
    <s v="Filing Cabinet"/>
    <x v="0"/>
    <x v="1"/>
    <n v="9"/>
    <n v="10400"/>
    <n v="0.25"/>
    <n v="7800"/>
    <n v="0.75"/>
    <s v="High"/>
  </r>
  <r>
    <s v="ORD2846"/>
    <d v="2025-01-30T00:00:00"/>
    <x v="5"/>
    <x v="0"/>
    <x v="1"/>
    <s v="Visitor Chair"/>
    <x v="1"/>
    <x v="1"/>
    <n v="10"/>
    <n v="5100"/>
    <n v="0.05"/>
    <n v="4845"/>
    <n v="0.95"/>
    <s v="Medium"/>
  </r>
  <r>
    <s v="ORD2847"/>
    <d v="2025-01-31T00:00:00"/>
    <x v="5"/>
    <x v="0"/>
    <x v="1"/>
    <s v="Conference Table"/>
    <x v="2"/>
    <x v="1"/>
    <n v="7"/>
    <n v="8000"/>
    <n v="0.1"/>
    <n v="7200"/>
    <n v="0.9"/>
    <s v="Medium"/>
  </r>
  <r>
    <s v="ORD2848"/>
    <d v="2025-02-01T00:00:00"/>
    <x v="5"/>
    <x v="1"/>
    <x v="1"/>
    <s v="Drawer Unit"/>
    <x v="3"/>
    <x v="1"/>
    <n v="5"/>
    <n v="7400"/>
    <n v="0.15000000000000002"/>
    <n v="6290"/>
    <n v="0.85"/>
    <s v="Medium"/>
  </r>
  <r>
    <s v="ORD2849"/>
    <d v="2025-02-02T00:00:00"/>
    <x v="5"/>
    <x v="1"/>
    <x v="1"/>
    <s v="Ergonomic Stool"/>
    <x v="0"/>
    <x v="1"/>
    <n v="3"/>
    <n v="6200"/>
    <n v="0.2"/>
    <n v="4960"/>
    <n v="0.8"/>
    <s v="Medium"/>
  </r>
  <r>
    <s v="ORD2850"/>
    <d v="2025-02-03T00:00:00"/>
    <x v="5"/>
    <x v="1"/>
    <x v="1"/>
    <s v="Office Sofa"/>
    <x v="1"/>
    <x v="1"/>
    <n v="10"/>
    <n v="8300"/>
    <n v="0.25"/>
    <n v="6225"/>
    <n v="0.75"/>
    <s v="Medium"/>
  </r>
  <r>
    <s v="ORD2851"/>
    <d v="2025-02-04T00:00:00"/>
    <x v="5"/>
    <x v="1"/>
    <x v="2"/>
    <s v="Ball Pen Pack"/>
    <x v="2"/>
    <x v="2"/>
    <n v="6"/>
    <n v="7100"/>
    <n v="0.05"/>
    <n v="6745"/>
    <n v="0.95"/>
    <s v="Medium"/>
  </r>
  <r>
    <s v="ORD2852"/>
    <d v="2025-02-05T00:00:00"/>
    <x v="5"/>
    <x v="1"/>
    <x v="2"/>
    <s v="Notebook"/>
    <x v="3"/>
    <x v="2"/>
    <n v="4"/>
    <n v="7700"/>
    <n v="0.1"/>
    <n v="6930"/>
    <n v="0.9"/>
    <s v="Medium"/>
  </r>
  <r>
    <s v="ORD2853"/>
    <d v="2025-02-06T00:00:00"/>
    <x v="5"/>
    <x v="1"/>
    <x v="2"/>
    <s v="Printer Paper Ream"/>
    <x v="0"/>
    <x v="2"/>
    <n v="6"/>
    <n v="7400"/>
    <n v="0.15000000000000002"/>
    <n v="6290"/>
    <n v="0.85"/>
    <s v="Medium"/>
  </r>
  <r>
    <s v="ORD2854"/>
    <d v="2025-02-07T00:00:00"/>
    <x v="5"/>
    <x v="1"/>
    <x v="2"/>
    <s v="Stapler"/>
    <x v="1"/>
    <x v="2"/>
    <n v="1"/>
    <n v="12800"/>
    <n v="0.2"/>
    <n v="10240"/>
    <n v="0.8"/>
    <s v="High"/>
  </r>
  <r>
    <s v="ORD2855"/>
    <d v="2025-02-08T00:00:00"/>
    <x v="5"/>
    <x v="1"/>
    <x v="2"/>
    <s v="Paper Clips Box"/>
    <x v="2"/>
    <x v="2"/>
    <n v="10"/>
    <n v="12500"/>
    <n v="0.25"/>
    <n v="9375"/>
    <n v="0.75"/>
    <s v="High"/>
  </r>
  <r>
    <s v="ORD2856"/>
    <d v="2025-02-09T00:00:00"/>
    <x v="5"/>
    <x v="1"/>
    <x v="2"/>
    <s v="Highlighter Set"/>
    <x v="3"/>
    <x v="2"/>
    <n v="1"/>
    <n v="12000"/>
    <n v="0.05"/>
    <n v="11400"/>
    <n v="0.95"/>
    <s v="High"/>
  </r>
  <r>
    <s v="ORD2857"/>
    <d v="2025-02-10T00:00:00"/>
    <x v="5"/>
    <x v="1"/>
    <x v="2"/>
    <s v="Desk Organizer"/>
    <x v="0"/>
    <x v="2"/>
    <n v="10"/>
    <n v="14300"/>
    <n v="0.1"/>
    <n v="12870"/>
    <n v="0.9"/>
    <s v="High"/>
  </r>
  <r>
    <s v="ORD2858"/>
    <d v="2025-02-11T00:00:00"/>
    <x v="5"/>
    <x v="1"/>
    <x v="2"/>
    <s v="Calculator"/>
    <x v="1"/>
    <x v="2"/>
    <n v="7"/>
    <n v="9100"/>
    <n v="0.15000000000000002"/>
    <n v="7735"/>
    <n v="0.85"/>
    <s v="Medium"/>
  </r>
  <r>
    <s v="ORD2859"/>
    <d v="2025-02-12T00:00:00"/>
    <x v="5"/>
    <x v="1"/>
    <x v="2"/>
    <s v="Sticky Notes"/>
    <x v="2"/>
    <x v="2"/>
    <n v="6"/>
    <n v="7700"/>
    <n v="0.2"/>
    <n v="6160"/>
    <n v="0.8"/>
    <s v="Medium"/>
  </r>
  <r>
    <s v="ORD2860"/>
    <d v="2025-02-13T00:00:00"/>
    <x v="5"/>
    <x v="1"/>
    <x v="2"/>
    <s v="Whiteboard Marker"/>
    <x v="3"/>
    <x v="2"/>
    <n v="2"/>
    <n v="4700"/>
    <n v="0.25"/>
    <n v="3525"/>
    <n v="0.75"/>
    <s v="Low"/>
  </r>
  <r>
    <s v="ORD2861"/>
    <d v="2025-02-14T00:00:00"/>
    <x v="5"/>
    <x v="1"/>
    <x v="0"/>
    <s v="Bluetooth Speaker"/>
    <x v="0"/>
    <x v="0"/>
    <n v="9"/>
    <n v="14600"/>
    <n v="0.05"/>
    <n v="13870"/>
    <n v="0.95"/>
    <s v="High"/>
  </r>
  <r>
    <s v="ORD2862"/>
    <d v="2025-02-15T00:00:00"/>
    <x v="5"/>
    <x v="1"/>
    <x v="0"/>
    <s v="Wireless Mouse"/>
    <x v="1"/>
    <x v="0"/>
    <n v="2"/>
    <n v="7600"/>
    <n v="0.1"/>
    <n v="6840"/>
    <n v="0.9"/>
    <s v="Medium"/>
  </r>
  <r>
    <s v="ORD2863"/>
    <d v="2025-02-16T00:00:00"/>
    <x v="5"/>
    <x v="1"/>
    <x v="0"/>
    <s v="Keyboard"/>
    <x v="2"/>
    <x v="0"/>
    <n v="9"/>
    <n v="11200"/>
    <n v="0.15000000000000002"/>
    <n v="9520"/>
    <n v="0.85"/>
    <s v="High"/>
  </r>
  <r>
    <s v="ORD2864"/>
    <d v="2025-02-17T00:00:00"/>
    <x v="5"/>
    <x v="1"/>
    <x v="0"/>
    <s v="Laptop Stand"/>
    <x v="3"/>
    <x v="0"/>
    <n v="6"/>
    <n v="14500"/>
    <n v="0.2"/>
    <n v="11600"/>
    <n v="0.8"/>
    <s v="High"/>
  </r>
  <r>
    <s v="ORD2865"/>
    <d v="2025-02-18T00:00:00"/>
    <x v="5"/>
    <x v="1"/>
    <x v="0"/>
    <s v="USB Flash Drive"/>
    <x v="0"/>
    <x v="0"/>
    <n v="1"/>
    <n v="4600"/>
    <n v="0.25"/>
    <n v="3450"/>
    <n v="0.75"/>
    <s v="Low"/>
  </r>
  <r>
    <s v="ORD2866"/>
    <d v="2025-02-19T00:00:00"/>
    <x v="5"/>
    <x v="1"/>
    <x v="0"/>
    <s v="External Hard Disk"/>
    <x v="1"/>
    <x v="0"/>
    <n v="9"/>
    <n v="10400"/>
    <n v="0.05"/>
    <n v="9880"/>
    <n v="0.95"/>
    <s v="High"/>
  </r>
  <r>
    <s v="ORD2867"/>
    <d v="2025-02-20T00:00:00"/>
    <x v="5"/>
    <x v="1"/>
    <x v="0"/>
    <s v="Webcam"/>
    <x v="2"/>
    <x v="0"/>
    <n v="9"/>
    <n v="13400"/>
    <n v="0.1"/>
    <n v="12060"/>
    <n v="0.9"/>
    <s v="High"/>
  </r>
  <r>
    <s v="ORD2868"/>
    <d v="2025-02-21T00:00:00"/>
    <x v="5"/>
    <x v="1"/>
    <x v="0"/>
    <s v="Noise Cancelling Headphones"/>
    <x v="3"/>
    <x v="0"/>
    <n v="10"/>
    <n v="4900"/>
    <n v="0.15000000000000002"/>
    <n v="4165"/>
    <n v="0.85"/>
    <s v="Low"/>
  </r>
  <r>
    <s v="ORD2869"/>
    <d v="2025-02-22T00:00:00"/>
    <x v="5"/>
    <x v="1"/>
    <x v="0"/>
    <s v="Smart Watch"/>
    <x v="0"/>
    <x v="0"/>
    <n v="10"/>
    <n v="14100"/>
    <n v="0.2"/>
    <n v="11280"/>
    <n v="0.8"/>
    <s v="High"/>
  </r>
  <r>
    <s v="ORD2870"/>
    <d v="2025-02-23T00:00:00"/>
    <x v="5"/>
    <x v="1"/>
    <x v="0"/>
    <s v="Portable Power Bank"/>
    <x v="1"/>
    <x v="0"/>
    <n v="7"/>
    <n v="12200"/>
    <n v="0.25"/>
    <n v="9150"/>
    <n v="0.75"/>
    <s v="High"/>
  </r>
  <r>
    <s v="ORD2871"/>
    <d v="2025-02-24T00:00:00"/>
    <x v="5"/>
    <x v="1"/>
    <x v="1"/>
    <s v="Office Chair"/>
    <x v="2"/>
    <x v="1"/>
    <n v="4"/>
    <n v="6900"/>
    <n v="0.05"/>
    <n v="6555"/>
    <n v="0.95"/>
    <s v="Medium"/>
  </r>
  <r>
    <s v="ORD2872"/>
    <d v="2025-02-25T00:00:00"/>
    <x v="5"/>
    <x v="1"/>
    <x v="1"/>
    <s v="Study Table"/>
    <x v="3"/>
    <x v="1"/>
    <n v="2"/>
    <n v="14600"/>
    <n v="0.1"/>
    <n v="13140"/>
    <n v="0.9"/>
    <s v="High"/>
  </r>
  <r>
    <s v="ORD2873"/>
    <d v="2025-02-26T00:00:00"/>
    <x v="5"/>
    <x v="1"/>
    <x v="1"/>
    <s v="Wooden Bookshelf"/>
    <x v="0"/>
    <x v="1"/>
    <n v="9"/>
    <n v="6300"/>
    <n v="0.15000000000000002"/>
    <n v="5355"/>
    <n v="0.85"/>
    <s v="Medium"/>
  </r>
  <r>
    <s v="ORD2874"/>
    <d v="2025-02-27T00:00:00"/>
    <x v="5"/>
    <x v="1"/>
    <x v="1"/>
    <s v="Computer Desk"/>
    <x v="1"/>
    <x v="1"/>
    <n v="1"/>
    <n v="9100"/>
    <n v="0.2"/>
    <n v="7280"/>
    <n v="0.8"/>
    <s v="Medium"/>
  </r>
  <r>
    <s v="ORD2875"/>
    <d v="2025-02-28T00:00:00"/>
    <x v="5"/>
    <x v="1"/>
    <x v="1"/>
    <s v="Filing Cabinet"/>
    <x v="2"/>
    <x v="1"/>
    <n v="9"/>
    <n v="14400"/>
    <n v="0.25"/>
    <n v="10800"/>
    <n v="0.75"/>
    <s v="High"/>
  </r>
  <r>
    <s v="ORD2876"/>
    <d v="2025-03-01T00:00:00"/>
    <x v="5"/>
    <x v="2"/>
    <x v="1"/>
    <s v="Visitor Chair"/>
    <x v="3"/>
    <x v="1"/>
    <n v="8"/>
    <n v="9700"/>
    <n v="0.05"/>
    <n v="9215"/>
    <n v="0.95"/>
    <s v="Medium"/>
  </r>
  <r>
    <s v="ORD2877"/>
    <d v="2025-03-02T00:00:00"/>
    <x v="5"/>
    <x v="2"/>
    <x v="1"/>
    <s v="Conference Table"/>
    <x v="0"/>
    <x v="1"/>
    <n v="9"/>
    <n v="14000"/>
    <n v="0.1"/>
    <n v="12600"/>
    <n v="0.9"/>
    <s v="High"/>
  </r>
  <r>
    <s v="ORD2878"/>
    <d v="2025-03-03T00:00:00"/>
    <x v="5"/>
    <x v="2"/>
    <x v="1"/>
    <s v="Drawer Unit"/>
    <x v="1"/>
    <x v="1"/>
    <n v="7"/>
    <n v="13400"/>
    <n v="0.15000000000000002"/>
    <n v="11390"/>
    <n v="0.85"/>
    <s v="High"/>
  </r>
  <r>
    <s v="ORD2879"/>
    <d v="2025-03-04T00:00:00"/>
    <x v="5"/>
    <x v="2"/>
    <x v="1"/>
    <s v="Ergonomic Stool"/>
    <x v="2"/>
    <x v="1"/>
    <n v="8"/>
    <n v="5200"/>
    <n v="0.2"/>
    <n v="4160"/>
    <n v="0.8"/>
    <s v="Medium"/>
  </r>
  <r>
    <s v="ORD2880"/>
    <d v="2025-03-05T00:00:00"/>
    <x v="5"/>
    <x v="2"/>
    <x v="1"/>
    <s v="Office Sofa"/>
    <x v="3"/>
    <x v="1"/>
    <n v="2"/>
    <n v="11100"/>
    <n v="0.25"/>
    <n v="8325"/>
    <n v="0.75"/>
    <s v="High"/>
  </r>
  <r>
    <s v="ORD2881"/>
    <d v="2025-03-06T00:00:00"/>
    <x v="5"/>
    <x v="2"/>
    <x v="2"/>
    <s v="Ball Pen Pack"/>
    <x v="0"/>
    <x v="2"/>
    <n v="9"/>
    <n v="8000"/>
    <n v="0.05"/>
    <n v="7600"/>
    <n v="0.95"/>
    <s v="Medium"/>
  </r>
  <r>
    <s v="ORD2882"/>
    <d v="2025-03-07T00:00:00"/>
    <x v="5"/>
    <x v="2"/>
    <x v="2"/>
    <s v="Notebook"/>
    <x v="1"/>
    <x v="2"/>
    <n v="6"/>
    <n v="12800"/>
    <n v="0.1"/>
    <n v="11520"/>
    <n v="0.9"/>
    <s v="High"/>
  </r>
  <r>
    <s v="ORD2883"/>
    <d v="2025-03-08T00:00:00"/>
    <x v="5"/>
    <x v="2"/>
    <x v="2"/>
    <s v="Printer Paper Ream"/>
    <x v="2"/>
    <x v="2"/>
    <n v="7"/>
    <n v="8100"/>
    <n v="0.15000000000000002"/>
    <n v="6885"/>
    <n v="0.85"/>
    <s v="Medium"/>
  </r>
  <r>
    <s v="ORD2884"/>
    <d v="2025-03-09T00:00:00"/>
    <x v="5"/>
    <x v="2"/>
    <x v="2"/>
    <s v="Stapler"/>
    <x v="3"/>
    <x v="2"/>
    <n v="5"/>
    <n v="11300"/>
    <n v="0.2"/>
    <n v="9040"/>
    <n v="0.8"/>
    <s v="High"/>
  </r>
  <r>
    <s v="ORD2885"/>
    <d v="2025-03-10T00:00:00"/>
    <x v="5"/>
    <x v="2"/>
    <x v="2"/>
    <s v="Paper Clips Box"/>
    <x v="0"/>
    <x v="2"/>
    <n v="6"/>
    <n v="4000"/>
    <n v="0.25"/>
    <n v="3000"/>
    <n v="0.75"/>
    <s v="Low"/>
  </r>
  <r>
    <s v="ORD2886"/>
    <d v="2025-03-11T00:00:00"/>
    <x v="5"/>
    <x v="2"/>
    <x v="2"/>
    <s v="Highlighter Set"/>
    <x v="1"/>
    <x v="2"/>
    <n v="8"/>
    <n v="7200"/>
    <n v="0.05"/>
    <n v="6840"/>
    <n v="0.95"/>
    <s v="Medium"/>
  </r>
  <r>
    <s v="ORD2887"/>
    <d v="2025-03-12T00:00:00"/>
    <x v="5"/>
    <x v="2"/>
    <x v="2"/>
    <s v="Desk Organizer"/>
    <x v="2"/>
    <x v="2"/>
    <n v="5"/>
    <n v="4300"/>
    <n v="0.1"/>
    <n v="3870"/>
    <n v="0.9"/>
    <s v="Low"/>
  </r>
  <r>
    <s v="ORD2888"/>
    <d v="2025-03-13T00:00:00"/>
    <x v="5"/>
    <x v="2"/>
    <x v="2"/>
    <s v="Calculator"/>
    <x v="3"/>
    <x v="2"/>
    <n v="2"/>
    <n v="11600"/>
    <n v="0.15000000000000002"/>
    <n v="9860"/>
    <n v="0.85"/>
    <s v="High"/>
  </r>
  <r>
    <s v="ORD2889"/>
    <d v="2025-03-14T00:00:00"/>
    <x v="5"/>
    <x v="2"/>
    <x v="2"/>
    <s v="Sticky Notes"/>
    <x v="0"/>
    <x v="2"/>
    <n v="5"/>
    <n v="6200"/>
    <n v="0.2"/>
    <n v="4960"/>
    <n v="0.8"/>
    <s v="Medium"/>
  </r>
  <r>
    <s v="ORD2890"/>
    <d v="2025-03-15T00:00:00"/>
    <x v="5"/>
    <x v="2"/>
    <x v="2"/>
    <s v="Whiteboard Marker"/>
    <x v="1"/>
    <x v="2"/>
    <n v="6"/>
    <n v="7200"/>
    <n v="0.25"/>
    <n v="5400"/>
    <n v="0.75"/>
    <s v="Medium"/>
  </r>
  <r>
    <s v="ORD2891"/>
    <d v="2025-03-16T00:00:00"/>
    <x v="5"/>
    <x v="2"/>
    <x v="0"/>
    <s v="Bluetooth Speaker"/>
    <x v="2"/>
    <x v="0"/>
    <n v="5"/>
    <n v="6600"/>
    <n v="0.05"/>
    <n v="6270"/>
    <n v="0.95"/>
    <s v="Medium"/>
  </r>
  <r>
    <s v="ORD2892"/>
    <d v="2025-03-17T00:00:00"/>
    <x v="5"/>
    <x v="2"/>
    <x v="0"/>
    <s v="Wireless Mouse"/>
    <x v="3"/>
    <x v="0"/>
    <n v="2"/>
    <n v="9900"/>
    <n v="0.1"/>
    <n v="8910"/>
    <n v="0.9"/>
    <s v="Medium"/>
  </r>
  <r>
    <s v="ORD2893"/>
    <d v="2025-03-18T00:00:00"/>
    <x v="5"/>
    <x v="2"/>
    <x v="0"/>
    <s v="Keyboard"/>
    <x v="0"/>
    <x v="0"/>
    <n v="6"/>
    <n v="10900"/>
    <n v="0.15000000000000002"/>
    <n v="9265"/>
    <n v="0.85"/>
    <s v="High"/>
  </r>
  <r>
    <s v="ORD2894"/>
    <d v="2025-03-19T00:00:00"/>
    <x v="5"/>
    <x v="2"/>
    <x v="0"/>
    <s v="Laptop Stand"/>
    <x v="1"/>
    <x v="0"/>
    <n v="3"/>
    <n v="10500"/>
    <n v="0.2"/>
    <n v="8400"/>
    <n v="0.8"/>
    <s v="High"/>
  </r>
  <r>
    <s v="ORD2895"/>
    <d v="2025-03-20T00:00:00"/>
    <x v="5"/>
    <x v="2"/>
    <x v="0"/>
    <s v="USB Flash Drive"/>
    <x v="2"/>
    <x v="0"/>
    <n v="10"/>
    <n v="10300"/>
    <n v="0.25"/>
    <n v="7725"/>
    <n v="0.75"/>
    <s v="High"/>
  </r>
  <r>
    <s v="ORD2896"/>
    <d v="2025-03-21T00:00:00"/>
    <x v="5"/>
    <x v="2"/>
    <x v="0"/>
    <s v="External Hard Disk"/>
    <x v="3"/>
    <x v="0"/>
    <n v="2"/>
    <n v="13700"/>
    <n v="0.05"/>
    <n v="13015"/>
    <n v="0.95"/>
    <s v="High"/>
  </r>
  <r>
    <s v="ORD2897"/>
    <d v="2025-03-22T00:00:00"/>
    <x v="5"/>
    <x v="2"/>
    <x v="0"/>
    <s v="Webcam"/>
    <x v="0"/>
    <x v="0"/>
    <n v="9"/>
    <n v="11100"/>
    <n v="0.1"/>
    <n v="9990"/>
    <n v="0.9"/>
    <s v="High"/>
  </r>
  <r>
    <s v="ORD2898"/>
    <d v="2025-03-23T00:00:00"/>
    <x v="5"/>
    <x v="2"/>
    <x v="0"/>
    <s v="Noise Cancelling Headphones"/>
    <x v="1"/>
    <x v="0"/>
    <n v="10"/>
    <n v="4200"/>
    <n v="0.15000000000000002"/>
    <n v="3570"/>
    <n v="0.85"/>
    <s v="Low"/>
  </r>
  <r>
    <s v="ORD2899"/>
    <d v="2025-03-24T00:00:00"/>
    <x v="5"/>
    <x v="2"/>
    <x v="0"/>
    <s v="Smart Watch"/>
    <x v="2"/>
    <x v="0"/>
    <n v="3"/>
    <n v="6600"/>
    <n v="0.2"/>
    <n v="5280"/>
    <n v="0.8"/>
    <s v="Medium"/>
  </r>
  <r>
    <s v="ORD2900"/>
    <d v="2025-03-25T00:00:00"/>
    <x v="5"/>
    <x v="2"/>
    <x v="0"/>
    <s v="Portable Power Bank"/>
    <x v="3"/>
    <x v="0"/>
    <n v="1"/>
    <n v="5600"/>
    <n v="0.25"/>
    <n v="4200"/>
    <n v="0.75"/>
    <s v="Medium"/>
  </r>
  <r>
    <s v="ORD2901"/>
    <d v="2025-03-26T00:00:00"/>
    <x v="5"/>
    <x v="2"/>
    <x v="1"/>
    <s v="Office Chair"/>
    <x v="0"/>
    <x v="1"/>
    <n v="8"/>
    <n v="5500"/>
    <n v="0.05"/>
    <n v="5225"/>
    <n v="0.95"/>
    <s v="Medium"/>
  </r>
  <r>
    <s v="ORD2902"/>
    <d v="2025-03-27T00:00:00"/>
    <x v="5"/>
    <x v="2"/>
    <x v="1"/>
    <s v="Study Table"/>
    <x v="1"/>
    <x v="1"/>
    <n v="10"/>
    <n v="7900"/>
    <n v="0.1"/>
    <n v="7110"/>
    <n v="0.9"/>
    <s v="Medium"/>
  </r>
  <r>
    <s v="ORD2903"/>
    <d v="2025-03-28T00:00:00"/>
    <x v="5"/>
    <x v="2"/>
    <x v="1"/>
    <s v="Wooden Bookshelf"/>
    <x v="2"/>
    <x v="1"/>
    <n v="5"/>
    <n v="10100"/>
    <n v="0.15000000000000002"/>
    <n v="8585"/>
    <n v="0.85"/>
    <s v="High"/>
  </r>
  <r>
    <s v="ORD2904"/>
    <d v="2025-03-29T00:00:00"/>
    <x v="5"/>
    <x v="2"/>
    <x v="1"/>
    <s v="Computer Desk"/>
    <x v="3"/>
    <x v="1"/>
    <n v="3"/>
    <n v="7300"/>
    <n v="0.2"/>
    <n v="5840"/>
    <n v="0.8"/>
    <s v="Medium"/>
  </r>
  <r>
    <s v="ORD2905"/>
    <d v="2025-03-30T00:00:00"/>
    <x v="5"/>
    <x v="2"/>
    <x v="1"/>
    <s v="Filing Cabinet"/>
    <x v="0"/>
    <x v="1"/>
    <n v="3"/>
    <n v="8500"/>
    <n v="0.25"/>
    <n v="6375"/>
    <n v="0.75"/>
    <s v="Medium"/>
  </r>
  <r>
    <s v="ORD2906"/>
    <d v="2025-03-31T00:00:00"/>
    <x v="5"/>
    <x v="2"/>
    <x v="1"/>
    <s v="Visitor Chair"/>
    <x v="1"/>
    <x v="1"/>
    <n v="3"/>
    <n v="14900"/>
    <n v="0.05"/>
    <n v="14155"/>
    <n v="0.95"/>
    <s v="High"/>
  </r>
  <r>
    <s v="ORD2907"/>
    <d v="2025-04-01T00:00:00"/>
    <x v="5"/>
    <x v="3"/>
    <x v="1"/>
    <s v="Conference Table"/>
    <x v="2"/>
    <x v="1"/>
    <n v="4"/>
    <n v="13000"/>
    <n v="0.1"/>
    <n v="11700"/>
    <n v="0.9"/>
    <s v="High"/>
  </r>
  <r>
    <s v="ORD2908"/>
    <d v="2025-04-02T00:00:00"/>
    <x v="5"/>
    <x v="3"/>
    <x v="1"/>
    <s v="Drawer Unit"/>
    <x v="3"/>
    <x v="1"/>
    <n v="1"/>
    <n v="4800"/>
    <n v="0.15000000000000002"/>
    <n v="4080"/>
    <n v="0.85"/>
    <s v="Low"/>
  </r>
  <r>
    <s v="ORD2909"/>
    <d v="2025-04-03T00:00:00"/>
    <x v="5"/>
    <x v="3"/>
    <x v="1"/>
    <s v="Ergonomic Stool"/>
    <x v="0"/>
    <x v="1"/>
    <n v="1"/>
    <n v="5500"/>
    <n v="0.2"/>
    <n v="4400"/>
    <n v="0.8"/>
    <s v="Medium"/>
  </r>
  <r>
    <s v="ORD2910"/>
    <d v="2025-04-04T00:00:00"/>
    <x v="5"/>
    <x v="3"/>
    <x v="1"/>
    <s v="Office Sofa"/>
    <x v="1"/>
    <x v="1"/>
    <n v="4"/>
    <n v="15000"/>
    <n v="0.25"/>
    <n v="11250"/>
    <n v="0.75"/>
    <s v="High"/>
  </r>
  <r>
    <s v="ORD2911"/>
    <d v="2025-04-05T00:00:00"/>
    <x v="5"/>
    <x v="3"/>
    <x v="2"/>
    <s v="Ball Pen Pack"/>
    <x v="2"/>
    <x v="2"/>
    <n v="7"/>
    <n v="11300"/>
    <n v="0.05"/>
    <n v="10735"/>
    <n v="0.95"/>
    <s v="High"/>
  </r>
  <r>
    <s v="ORD2912"/>
    <d v="2025-04-06T00:00:00"/>
    <x v="5"/>
    <x v="3"/>
    <x v="2"/>
    <s v="Notebook"/>
    <x v="3"/>
    <x v="2"/>
    <n v="5"/>
    <n v="12300"/>
    <n v="0.1"/>
    <n v="11070"/>
    <n v="0.9"/>
    <s v="High"/>
  </r>
  <r>
    <s v="ORD2913"/>
    <d v="2025-04-07T00:00:00"/>
    <x v="5"/>
    <x v="3"/>
    <x v="2"/>
    <s v="Printer Paper Ream"/>
    <x v="0"/>
    <x v="2"/>
    <n v="6"/>
    <n v="5600"/>
    <n v="0.15000000000000002"/>
    <n v="4760"/>
    <n v="0.85"/>
    <s v="Medium"/>
  </r>
  <r>
    <s v="ORD2914"/>
    <d v="2025-04-08T00:00:00"/>
    <x v="5"/>
    <x v="3"/>
    <x v="2"/>
    <s v="Stapler"/>
    <x v="1"/>
    <x v="2"/>
    <n v="10"/>
    <n v="12100"/>
    <n v="0.2"/>
    <n v="9680"/>
    <n v="0.8"/>
    <s v="High"/>
  </r>
  <r>
    <s v="ORD2915"/>
    <d v="2025-04-09T00:00:00"/>
    <x v="5"/>
    <x v="3"/>
    <x v="2"/>
    <s v="Paper Clips Box"/>
    <x v="2"/>
    <x v="2"/>
    <n v="9"/>
    <n v="4700"/>
    <n v="0.25"/>
    <n v="3525"/>
    <n v="0.75"/>
    <s v="Low"/>
  </r>
  <r>
    <s v="ORD2916"/>
    <d v="2025-04-10T00:00:00"/>
    <x v="5"/>
    <x v="3"/>
    <x v="2"/>
    <s v="Highlighter Set"/>
    <x v="3"/>
    <x v="2"/>
    <n v="9"/>
    <n v="9800"/>
    <n v="0.05"/>
    <n v="9310"/>
    <n v="0.95"/>
    <s v="Medium"/>
  </r>
  <r>
    <s v="ORD2917"/>
    <d v="2025-04-11T00:00:00"/>
    <x v="5"/>
    <x v="3"/>
    <x v="2"/>
    <s v="Desk Organizer"/>
    <x v="0"/>
    <x v="2"/>
    <n v="1"/>
    <n v="9400"/>
    <n v="0.1"/>
    <n v="8460"/>
    <n v="0.9"/>
    <s v="Medium"/>
  </r>
  <r>
    <s v="ORD2918"/>
    <d v="2025-04-12T00:00:00"/>
    <x v="5"/>
    <x v="3"/>
    <x v="2"/>
    <s v="Calculator"/>
    <x v="1"/>
    <x v="2"/>
    <n v="8"/>
    <n v="7400"/>
    <n v="0.15000000000000002"/>
    <n v="6290"/>
    <n v="0.85"/>
    <s v="Medium"/>
  </r>
  <r>
    <s v="ORD2919"/>
    <d v="2025-04-13T00:00:00"/>
    <x v="5"/>
    <x v="3"/>
    <x v="2"/>
    <s v="Sticky Notes"/>
    <x v="2"/>
    <x v="2"/>
    <n v="6"/>
    <n v="9300"/>
    <n v="0.2"/>
    <n v="7440"/>
    <n v="0.8"/>
    <s v="Medium"/>
  </r>
  <r>
    <s v="ORD2920"/>
    <d v="2025-04-14T00:00:00"/>
    <x v="5"/>
    <x v="3"/>
    <x v="2"/>
    <s v="Whiteboard Marker"/>
    <x v="3"/>
    <x v="2"/>
    <n v="3"/>
    <n v="7100"/>
    <n v="0.25"/>
    <n v="5325"/>
    <n v="0.75"/>
    <s v="Medium"/>
  </r>
  <r>
    <s v="ORD2921"/>
    <d v="2025-04-15T00:00:00"/>
    <x v="5"/>
    <x v="3"/>
    <x v="0"/>
    <s v="Bluetooth Speaker"/>
    <x v="0"/>
    <x v="0"/>
    <n v="9"/>
    <n v="13700"/>
    <n v="0.05"/>
    <n v="13015"/>
    <n v="0.95"/>
    <s v="High"/>
  </r>
  <r>
    <s v="ORD2922"/>
    <d v="2025-04-16T00:00:00"/>
    <x v="5"/>
    <x v="3"/>
    <x v="0"/>
    <s v="Wireless Mouse"/>
    <x v="1"/>
    <x v="0"/>
    <n v="10"/>
    <n v="4400"/>
    <n v="0.1"/>
    <n v="3960"/>
    <n v="0.9"/>
    <s v="Low"/>
  </r>
  <r>
    <s v="ORD2923"/>
    <d v="2025-04-17T00:00:00"/>
    <x v="5"/>
    <x v="3"/>
    <x v="0"/>
    <s v="Keyboard"/>
    <x v="2"/>
    <x v="0"/>
    <n v="3"/>
    <n v="7700"/>
    <n v="0.15000000000000002"/>
    <n v="6545"/>
    <n v="0.85"/>
    <s v="Medium"/>
  </r>
  <r>
    <s v="ORD2924"/>
    <d v="2025-04-18T00:00:00"/>
    <x v="5"/>
    <x v="3"/>
    <x v="0"/>
    <s v="Laptop Stand"/>
    <x v="3"/>
    <x v="0"/>
    <n v="7"/>
    <n v="4200"/>
    <n v="0.2"/>
    <n v="3360"/>
    <n v="0.8"/>
    <s v="Low"/>
  </r>
  <r>
    <s v="ORD2925"/>
    <d v="2025-04-19T00:00:00"/>
    <x v="5"/>
    <x v="3"/>
    <x v="0"/>
    <s v="USB Flash Drive"/>
    <x v="0"/>
    <x v="0"/>
    <n v="5"/>
    <n v="14600"/>
    <n v="0.25"/>
    <n v="10950"/>
    <n v="0.75"/>
    <s v="High"/>
  </r>
  <r>
    <s v="ORD2926"/>
    <d v="2025-04-20T00:00:00"/>
    <x v="5"/>
    <x v="3"/>
    <x v="0"/>
    <s v="External Hard Disk"/>
    <x v="1"/>
    <x v="0"/>
    <n v="8"/>
    <n v="8700"/>
    <n v="0.05"/>
    <n v="8265"/>
    <n v="0.95"/>
    <s v="Medium"/>
  </r>
  <r>
    <s v="ORD2927"/>
    <d v="2025-04-21T00:00:00"/>
    <x v="5"/>
    <x v="3"/>
    <x v="0"/>
    <s v="Webcam"/>
    <x v="2"/>
    <x v="0"/>
    <n v="3"/>
    <n v="12400"/>
    <n v="0.1"/>
    <n v="11160"/>
    <n v="0.9"/>
    <s v="High"/>
  </r>
  <r>
    <s v="ORD2928"/>
    <d v="2025-04-22T00:00:00"/>
    <x v="5"/>
    <x v="3"/>
    <x v="0"/>
    <s v="Noise Cancelling Headphones"/>
    <x v="3"/>
    <x v="0"/>
    <n v="9"/>
    <n v="7200"/>
    <n v="0.15000000000000002"/>
    <n v="6120"/>
    <n v="0.85"/>
    <s v="Medium"/>
  </r>
  <r>
    <s v="ORD2929"/>
    <d v="2025-04-23T00:00:00"/>
    <x v="5"/>
    <x v="3"/>
    <x v="0"/>
    <s v="Smart Watch"/>
    <x v="0"/>
    <x v="0"/>
    <n v="4"/>
    <n v="4600"/>
    <n v="0.2"/>
    <n v="3680"/>
    <n v="0.8"/>
    <s v="Low"/>
  </r>
  <r>
    <s v="ORD2930"/>
    <d v="2025-04-24T00:00:00"/>
    <x v="5"/>
    <x v="3"/>
    <x v="0"/>
    <s v="Portable Power Bank"/>
    <x v="1"/>
    <x v="0"/>
    <n v="7"/>
    <n v="7300"/>
    <n v="0.25"/>
    <n v="5475"/>
    <n v="0.75"/>
    <s v="Medium"/>
  </r>
  <r>
    <s v="ORD2931"/>
    <d v="2025-04-25T00:00:00"/>
    <x v="5"/>
    <x v="3"/>
    <x v="1"/>
    <s v="Office Chair"/>
    <x v="2"/>
    <x v="1"/>
    <n v="3"/>
    <n v="6300"/>
    <n v="0.05"/>
    <n v="5985"/>
    <n v="0.95"/>
    <s v="Medium"/>
  </r>
  <r>
    <s v="ORD2932"/>
    <d v="2025-04-26T00:00:00"/>
    <x v="5"/>
    <x v="3"/>
    <x v="1"/>
    <s v="Study Table"/>
    <x v="3"/>
    <x v="1"/>
    <n v="1"/>
    <n v="7500"/>
    <n v="0.1"/>
    <n v="6750"/>
    <n v="0.9"/>
    <s v="Medium"/>
  </r>
  <r>
    <s v="ORD2933"/>
    <d v="2025-04-27T00:00:00"/>
    <x v="5"/>
    <x v="3"/>
    <x v="1"/>
    <s v="Wooden Bookshelf"/>
    <x v="0"/>
    <x v="1"/>
    <n v="5"/>
    <n v="4600"/>
    <n v="0.15000000000000002"/>
    <n v="3910"/>
    <n v="0.85"/>
    <s v="Low"/>
  </r>
  <r>
    <s v="ORD2934"/>
    <d v="2025-04-28T00:00:00"/>
    <x v="5"/>
    <x v="3"/>
    <x v="1"/>
    <s v="Computer Desk"/>
    <x v="1"/>
    <x v="1"/>
    <n v="7"/>
    <n v="14300"/>
    <n v="0.2"/>
    <n v="11440"/>
    <n v="0.8"/>
    <s v="High"/>
  </r>
  <r>
    <s v="ORD2935"/>
    <d v="2025-04-29T00:00:00"/>
    <x v="5"/>
    <x v="3"/>
    <x v="1"/>
    <s v="Filing Cabinet"/>
    <x v="2"/>
    <x v="1"/>
    <n v="3"/>
    <n v="11600"/>
    <n v="0.25"/>
    <n v="8700"/>
    <n v="0.75"/>
    <s v="High"/>
  </r>
  <r>
    <s v="ORD2936"/>
    <d v="2025-04-30T00:00:00"/>
    <x v="5"/>
    <x v="3"/>
    <x v="1"/>
    <s v="Visitor Chair"/>
    <x v="3"/>
    <x v="1"/>
    <n v="5"/>
    <n v="14900"/>
    <n v="0.05"/>
    <n v="14155"/>
    <n v="0.95"/>
    <s v="High"/>
  </r>
  <r>
    <s v="ORD2937"/>
    <d v="2025-05-01T00:00:00"/>
    <x v="5"/>
    <x v="4"/>
    <x v="1"/>
    <s v="Conference Table"/>
    <x v="0"/>
    <x v="1"/>
    <n v="1"/>
    <n v="6300"/>
    <n v="0.1"/>
    <n v="5670"/>
    <n v="0.9"/>
    <s v="Medium"/>
  </r>
  <r>
    <s v="ORD2938"/>
    <d v="2025-05-02T00:00:00"/>
    <x v="5"/>
    <x v="4"/>
    <x v="1"/>
    <s v="Drawer Unit"/>
    <x v="1"/>
    <x v="1"/>
    <n v="4"/>
    <n v="8700"/>
    <n v="0.15000000000000002"/>
    <n v="7395"/>
    <n v="0.85"/>
    <s v="Medium"/>
  </r>
  <r>
    <s v="ORD2939"/>
    <d v="2025-05-03T00:00:00"/>
    <x v="5"/>
    <x v="4"/>
    <x v="1"/>
    <s v="Ergonomic Stool"/>
    <x v="2"/>
    <x v="1"/>
    <n v="4"/>
    <n v="13800"/>
    <n v="0.2"/>
    <n v="11040"/>
    <n v="0.8"/>
    <s v="High"/>
  </r>
  <r>
    <s v="ORD2940"/>
    <d v="2025-05-04T00:00:00"/>
    <x v="5"/>
    <x v="4"/>
    <x v="1"/>
    <s v="Office Sofa"/>
    <x v="3"/>
    <x v="1"/>
    <n v="5"/>
    <n v="13600"/>
    <n v="0.25"/>
    <n v="10200"/>
    <n v="0.75"/>
    <s v="High"/>
  </r>
  <r>
    <s v="ORD2941"/>
    <d v="2025-05-05T00:00:00"/>
    <x v="5"/>
    <x v="4"/>
    <x v="2"/>
    <s v="Ball Pen Pack"/>
    <x v="0"/>
    <x v="2"/>
    <n v="9"/>
    <n v="11200"/>
    <n v="0.05"/>
    <n v="10640"/>
    <n v="0.95"/>
    <s v="High"/>
  </r>
  <r>
    <s v="ORD2942"/>
    <d v="2025-05-06T00:00:00"/>
    <x v="5"/>
    <x v="4"/>
    <x v="2"/>
    <s v="Notebook"/>
    <x v="1"/>
    <x v="2"/>
    <n v="4"/>
    <n v="8200"/>
    <n v="0.1"/>
    <n v="7380"/>
    <n v="0.9"/>
    <s v="Medium"/>
  </r>
  <r>
    <s v="ORD2943"/>
    <d v="2025-05-07T00:00:00"/>
    <x v="5"/>
    <x v="4"/>
    <x v="2"/>
    <s v="Printer Paper Ream"/>
    <x v="2"/>
    <x v="2"/>
    <n v="1"/>
    <n v="8000"/>
    <n v="0.15000000000000002"/>
    <n v="6800"/>
    <n v="0.85"/>
    <s v="Medium"/>
  </r>
  <r>
    <s v="ORD2944"/>
    <d v="2025-05-08T00:00:00"/>
    <x v="5"/>
    <x v="4"/>
    <x v="2"/>
    <s v="Stapler"/>
    <x v="3"/>
    <x v="2"/>
    <n v="6"/>
    <n v="11800"/>
    <n v="0.2"/>
    <n v="9440"/>
    <n v="0.8"/>
    <s v="High"/>
  </r>
  <r>
    <s v="ORD2945"/>
    <d v="2025-05-09T00:00:00"/>
    <x v="5"/>
    <x v="4"/>
    <x v="2"/>
    <s v="Paper Clips Box"/>
    <x v="0"/>
    <x v="2"/>
    <n v="7"/>
    <n v="7400"/>
    <n v="0.25"/>
    <n v="5550"/>
    <n v="0.75"/>
    <s v="Medium"/>
  </r>
  <r>
    <s v="ORD2946"/>
    <d v="2025-05-10T00:00:00"/>
    <x v="5"/>
    <x v="4"/>
    <x v="2"/>
    <s v="Highlighter Set"/>
    <x v="1"/>
    <x v="2"/>
    <n v="6"/>
    <n v="12900"/>
    <n v="0.05"/>
    <n v="12255"/>
    <n v="0.95"/>
    <s v="High"/>
  </r>
  <r>
    <s v="ORD2947"/>
    <d v="2025-05-11T00:00:00"/>
    <x v="5"/>
    <x v="4"/>
    <x v="2"/>
    <s v="Desk Organizer"/>
    <x v="2"/>
    <x v="2"/>
    <n v="1"/>
    <n v="11800"/>
    <n v="0.1"/>
    <n v="10620"/>
    <n v="0.9"/>
    <s v="High"/>
  </r>
  <r>
    <s v="ORD2948"/>
    <d v="2025-05-12T00:00:00"/>
    <x v="5"/>
    <x v="4"/>
    <x v="2"/>
    <s v="Calculator"/>
    <x v="3"/>
    <x v="2"/>
    <n v="8"/>
    <n v="5800"/>
    <n v="0.15000000000000002"/>
    <n v="4930"/>
    <n v="0.85"/>
    <s v="Medium"/>
  </r>
  <r>
    <s v="ORD2949"/>
    <d v="2025-05-13T00:00:00"/>
    <x v="5"/>
    <x v="4"/>
    <x v="2"/>
    <s v="Sticky Notes"/>
    <x v="0"/>
    <x v="2"/>
    <n v="3"/>
    <n v="8700"/>
    <n v="0.2"/>
    <n v="6960"/>
    <n v="0.8"/>
    <s v="Medium"/>
  </r>
  <r>
    <s v="ORD2950"/>
    <d v="2025-05-14T00:00:00"/>
    <x v="5"/>
    <x v="4"/>
    <x v="2"/>
    <s v="Whiteboard Marker"/>
    <x v="1"/>
    <x v="2"/>
    <n v="4"/>
    <n v="13500"/>
    <n v="0.25"/>
    <n v="10125"/>
    <n v="0.75"/>
    <s v="High"/>
  </r>
  <r>
    <s v="ORD2951"/>
    <d v="2025-05-15T00:00:00"/>
    <x v="5"/>
    <x v="4"/>
    <x v="0"/>
    <s v="Bluetooth Speaker"/>
    <x v="2"/>
    <x v="0"/>
    <n v="4"/>
    <n v="7100"/>
    <n v="0.05"/>
    <n v="6745"/>
    <n v="0.95"/>
    <s v="Medium"/>
  </r>
  <r>
    <s v="ORD2952"/>
    <d v="2025-05-16T00:00:00"/>
    <x v="5"/>
    <x v="4"/>
    <x v="0"/>
    <s v="Wireless Mouse"/>
    <x v="3"/>
    <x v="0"/>
    <n v="8"/>
    <n v="7600"/>
    <n v="0.1"/>
    <n v="6840"/>
    <n v="0.9"/>
    <s v="Medium"/>
  </r>
  <r>
    <s v="ORD2953"/>
    <d v="2025-05-17T00:00:00"/>
    <x v="5"/>
    <x v="4"/>
    <x v="0"/>
    <s v="Keyboard"/>
    <x v="0"/>
    <x v="0"/>
    <n v="9"/>
    <n v="4100"/>
    <n v="0.15000000000000002"/>
    <n v="3485"/>
    <n v="0.85"/>
    <s v="Low"/>
  </r>
  <r>
    <s v="ORD2954"/>
    <d v="2025-05-18T00:00:00"/>
    <x v="5"/>
    <x v="4"/>
    <x v="0"/>
    <s v="Laptop Stand"/>
    <x v="1"/>
    <x v="0"/>
    <n v="3"/>
    <n v="5800"/>
    <n v="0.2"/>
    <n v="4640"/>
    <n v="0.8"/>
    <s v="Medium"/>
  </r>
  <r>
    <s v="ORD2955"/>
    <d v="2025-05-19T00:00:00"/>
    <x v="5"/>
    <x v="4"/>
    <x v="0"/>
    <s v="USB Flash Drive"/>
    <x v="2"/>
    <x v="0"/>
    <n v="8"/>
    <n v="5200"/>
    <n v="0.25"/>
    <n v="3900"/>
    <n v="0.75"/>
    <s v="Medium"/>
  </r>
  <r>
    <s v="ORD2956"/>
    <d v="2025-05-20T00:00:00"/>
    <x v="5"/>
    <x v="4"/>
    <x v="0"/>
    <s v="External Hard Disk"/>
    <x v="3"/>
    <x v="0"/>
    <n v="1"/>
    <n v="7400"/>
    <n v="0.05"/>
    <n v="7030"/>
    <n v="0.95"/>
    <s v="Medium"/>
  </r>
  <r>
    <s v="ORD2957"/>
    <d v="2025-05-21T00:00:00"/>
    <x v="5"/>
    <x v="4"/>
    <x v="0"/>
    <s v="Webcam"/>
    <x v="0"/>
    <x v="0"/>
    <n v="6"/>
    <n v="14100"/>
    <n v="0.1"/>
    <n v="12690"/>
    <n v="0.9"/>
    <s v="High"/>
  </r>
  <r>
    <s v="ORD2958"/>
    <d v="2025-05-22T00:00:00"/>
    <x v="5"/>
    <x v="4"/>
    <x v="0"/>
    <s v="Noise Cancelling Headphones"/>
    <x v="1"/>
    <x v="0"/>
    <n v="3"/>
    <n v="7800"/>
    <n v="0.15000000000000002"/>
    <n v="6630"/>
    <n v="0.85"/>
    <s v="Medium"/>
  </r>
  <r>
    <s v="ORD2959"/>
    <d v="2025-05-23T00:00:00"/>
    <x v="5"/>
    <x v="4"/>
    <x v="0"/>
    <s v="Smart Watch"/>
    <x v="2"/>
    <x v="0"/>
    <n v="8"/>
    <n v="8100"/>
    <n v="0.2"/>
    <n v="6480"/>
    <n v="0.8"/>
    <s v="Medium"/>
  </r>
  <r>
    <s v="ORD2960"/>
    <d v="2025-05-24T00:00:00"/>
    <x v="5"/>
    <x v="4"/>
    <x v="0"/>
    <s v="Portable Power Bank"/>
    <x v="3"/>
    <x v="0"/>
    <n v="5"/>
    <n v="9200"/>
    <n v="0.25"/>
    <n v="6900"/>
    <n v="0.75"/>
    <s v="Medium"/>
  </r>
  <r>
    <s v="ORD2961"/>
    <d v="2025-05-25T00:00:00"/>
    <x v="5"/>
    <x v="4"/>
    <x v="1"/>
    <s v="Office Chair"/>
    <x v="0"/>
    <x v="1"/>
    <n v="8"/>
    <n v="11400"/>
    <n v="0.05"/>
    <n v="10830"/>
    <n v="0.95"/>
    <s v="High"/>
  </r>
  <r>
    <s v="ORD2962"/>
    <d v="2025-05-26T00:00:00"/>
    <x v="5"/>
    <x v="4"/>
    <x v="1"/>
    <s v="Study Table"/>
    <x v="1"/>
    <x v="1"/>
    <n v="2"/>
    <n v="11700"/>
    <n v="0.1"/>
    <n v="10530"/>
    <n v="0.9"/>
    <s v="High"/>
  </r>
  <r>
    <s v="ORD2963"/>
    <d v="2025-05-27T00:00:00"/>
    <x v="5"/>
    <x v="4"/>
    <x v="1"/>
    <s v="Wooden Bookshelf"/>
    <x v="2"/>
    <x v="1"/>
    <n v="3"/>
    <n v="4800"/>
    <n v="0.15000000000000002"/>
    <n v="4080"/>
    <n v="0.85"/>
    <s v="Low"/>
  </r>
  <r>
    <s v="ORD2964"/>
    <d v="2025-05-28T00:00:00"/>
    <x v="5"/>
    <x v="4"/>
    <x v="1"/>
    <s v="Computer Desk"/>
    <x v="3"/>
    <x v="1"/>
    <n v="3"/>
    <n v="14500"/>
    <n v="0.2"/>
    <n v="11600"/>
    <n v="0.8"/>
    <s v="High"/>
  </r>
  <r>
    <s v="ORD2965"/>
    <d v="2025-05-29T00:00:00"/>
    <x v="5"/>
    <x v="4"/>
    <x v="1"/>
    <s v="Filing Cabinet"/>
    <x v="0"/>
    <x v="1"/>
    <n v="5"/>
    <n v="5600"/>
    <n v="0.25"/>
    <n v="4200"/>
    <n v="0.75"/>
    <s v="Medium"/>
  </r>
  <r>
    <s v="ORD2966"/>
    <d v="2025-05-30T00:00:00"/>
    <x v="5"/>
    <x v="4"/>
    <x v="1"/>
    <s v="Visitor Chair"/>
    <x v="1"/>
    <x v="1"/>
    <n v="3"/>
    <n v="14200"/>
    <n v="0.05"/>
    <n v="13490"/>
    <n v="0.95"/>
    <s v="High"/>
  </r>
  <r>
    <s v="ORD2967"/>
    <d v="2025-05-31T00:00:00"/>
    <x v="5"/>
    <x v="4"/>
    <x v="1"/>
    <s v="Conference Table"/>
    <x v="2"/>
    <x v="1"/>
    <n v="9"/>
    <n v="5000"/>
    <n v="0.1"/>
    <n v="4500"/>
    <n v="0.9"/>
    <s v="Low"/>
  </r>
  <r>
    <s v="ORD2968"/>
    <d v="2025-06-01T00:00:00"/>
    <x v="5"/>
    <x v="5"/>
    <x v="1"/>
    <s v="Drawer Unit"/>
    <x v="3"/>
    <x v="1"/>
    <n v="7"/>
    <n v="4600"/>
    <n v="0.15000000000000002"/>
    <n v="3910"/>
    <n v="0.85"/>
    <s v="Low"/>
  </r>
  <r>
    <s v="ORD2969"/>
    <d v="2025-06-02T00:00:00"/>
    <x v="5"/>
    <x v="5"/>
    <x v="1"/>
    <s v="Ergonomic Stool"/>
    <x v="0"/>
    <x v="1"/>
    <n v="9"/>
    <n v="4200"/>
    <n v="0.2"/>
    <n v="3360"/>
    <n v="0.8"/>
    <s v="Low"/>
  </r>
  <r>
    <s v="ORD2970"/>
    <d v="2025-06-03T00:00:00"/>
    <x v="5"/>
    <x v="5"/>
    <x v="1"/>
    <s v="Office Sofa"/>
    <x v="1"/>
    <x v="1"/>
    <n v="5"/>
    <n v="4900"/>
    <n v="0.25"/>
    <n v="3675"/>
    <n v="0.75"/>
    <s v="Low"/>
  </r>
  <r>
    <s v="ORD2971"/>
    <d v="2025-06-04T00:00:00"/>
    <x v="5"/>
    <x v="5"/>
    <x v="2"/>
    <s v="Ball Pen Pack"/>
    <x v="2"/>
    <x v="2"/>
    <n v="3"/>
    <n v="11300"/>
    <n v="0.05"/>
    <n v="10735"/>
    <n v="0.95"/>
    <s v="High"/>
  </r>
  <r>
    <s v="ORD2972"/>
    <d v="2025-06-05T00:00:00"/>
    <x v="5"/>
    <x v="5"/>
    <x v="2"/>
    <s v="Notebook"/>
    <x v="3"/>
    <x v="2"/>
    <n v="8"/>
    <n v="7900"/>
    <n v="0.1"/>
    <n v="7110"/>
    <n v="0.9"/>
    <s v="Medium"/>
  </r>
  <r>
    <s v="ORD2973"/>
    <d v="2025-06-06T00:00:00"/>
    <x v="5"/>
    <x v="5"/>
    <x v="2"/>
    <s v="Printer Paper Ream"/>
    <x v="0"/>
    <x v="2"/>
    <n v="5"/>
    <n v="5400"/>
    <n v="0.15000000000000002"/>
    <n v="4590"/>
    <n v="0.85"/>
    <s v="Medium"/>
  </r>
  <r>
    <s v="ORD2974"/>
    <d v="2025-06-07T00:00:00"/>
    <x v="5"/>
    <x v="5"/>
    <x v="2"/>
    <s v="Stapler"/>
    <x v="1"/>
    <x v="2"/>
    <n v="3"/>
    <n v="5900"/>
    <n v="0.2"/>
    <n v="4720"/>
    <n v="0.8"/>
    <s v="Medium"/>
  </r>
  <r>
    <s v="ORD2975"/>
    <d v="2025-06-08T00:00:00"/>
    <x v="5"/>
    <x v="5"/>
    <x v="2"/>
    <s v="Paper Clips Box"/>
    <x v="2"/>
    <x v="2"/>
    <n v="7"/>
    <n v="8400"/>
    <n v="0.25"/>
    <n v="6300"/>
    <n v="0.75"/>
    <s v="Medium"/>
  </r>
  <r>
    <s v="ORD2976"/>
    <d v="2025-06-09T00:00:00"/>
    <x v="5"/>
    <x v="5"/>
    <x v="2"/>
    <s v="Highlighter Set"/>
    <x v="3"/>
    <x v="2"/>
    <n v="7"/>
    <n v="14200"/>
    <n v="0.05"/>
    <n v="13490"/>
    <n v="0.95"/>
    <s v="High"/>
  </r>
  <r>
    <s v="ORD2977"/>
    <d v="2025-06-10T00:00:00"/>
    <x v="5"/>
    <x v="5"/>
    <x v="2"/>
    <s v="Desk Organizer"/>
    <x v="0"/>
    <x v="2"/>
    <n v="5"/>
    <n v="9100"/>
    <n v="0.1"/>
    <n v="8190"/>
    <n v="0.9"/>
    <s v="Medium"/>
  </r>
  <r>
    <s v="ORD2978"/>
    <d v="2025-06-11T00:00:00"/>
    <x v="5"/>
    <x v="5"/>
    <x v="2"/>
    <s v="Calculator"/>
    <x v="1"/>
    <x v="2"/>
    <n v="6"/>
    <n v="9100"/>
    <n v="0.15000000000000002"/>
    <n v="7735"/>
    <n v="0.85"/>
    <s v="Medium"/>
  </r>
  <r>
    <s v="ORD2979"/>
    <d v="2025-06-12T00:00:00"/>
    <x v="5"/>
    <x v="5"/>
    <x v="2"/>
    <s v="Sticky Notes"/>
    <x v="2"/>
    <x v="2"/>
    <n v="10"/>
    <n v="11700"/>
    <n v="0.2"/>
    <n v="9360"/>
    <n v="0.8"/>
    <s v="High"/>
  </r>
  <r>
    <s v="ORD2980"/>
    <d v="2025-06-13T00:00:00"/>
    <x v="5"/>
    <x v="5"/>
    <x v="2"/>
    <s v="Whiteboard Marker"/>
    <x v="3"/>
    <x v="2"/>
    <n v="8"/>
    <n v="9300"/>
    <n v="0.25"/>
    <n v="6975"/>
    <n v="0.75"/>
    <s v="Medium"/>
  </r>
  <r>
    <s v="ORD2981"/>
    <d v="2025-06-14T00:00:00"/>
    <x v="5"/>
    <x v="5"/>
    <x v="0"/>
    <s v="Bluetooth Speaker"/>
    <x v="0"/>
    <x v="0"/>
    <n v="8"/>
    <n v="10500"/>
    <n v="0.05"/>
    <n v="9975"/>
    <n v="0.95"/>
    <s v="High"/>
  </r>
  <r>
    <s v="ORD2982"/>
    <d v="2025-06-15T00:00:00"/>
    <x v="5"/>
    <x v="5"/>
    <x v="0"/>
    <s v="Wireless Mouse"/>
    <x v="1"/>
    <x v="0"/>
    <n v="9"/>
    <n v="8200"/>
    <n v="0.1"/>
    <n v="7380"/>
    <n v="0.9"/>
    <s v="Medium"/>
  </r>
  <r>
    <s v="ORD2983"/>
    <d v="2025-06-16T00:00:00"/>
    <x v="5"/>
    <x v="5"/>
    <x v="0"/>
    <s v="Keyboard"/>
    <x v="2"/>
    <x v="0"/>
    <n v="4"/>
    <n v="15000"/>
    <n v="0.15000000000000002"/>
    <n v="12750"/>
    <n v="0.85"/>
    <s v="High"/>
  </r>
  <r>
    <s v="ORD2984"/>
    <d v="2025-06-17T00:00:00"/>
    <x v="5"/>
    <x v="5"/>
    <x v="0"/>
    <s v="Laptop Stand"/>
    <x v="3"/>
    <x v="0"/>
    <n v="8"/>
    <n v="11600"/>
    <n v="0.2"/>
    <n v="9280"/>
    <n v="0.8"/>
    <s v="High"/>
  </r>
  <r>
    <s v="ORD2985"/>
    <d v="2025-06-18T00:00:00"/>
    <x v="5"/>
    <x v="5"/>
    <x v="0"/>
    <s v="USB Flash Drive"/>
    <x v="0"/>
    <x v="0"/>
    <n v="10"/>
    <n v="11900"/>
    <n v="0.25"/>
    <n v="8925"/>
    <n v="0.75"/>
    <s v="High"/>
  </r>
  <r>
    <s v="ORD2986"/>
    <d v="2025-06-19T00:00:00"/>
    <x v="5"/>
    <x v="5"/>
    <x v="0"/>
    <s v="External Hard Disk"/>
    <x v="1"/>
    <x v="0"/>
    <n v="1"/>
    <n v="12100"/>
    <n v="0.05"/>
    <n v="11495"/>
    <n v="0.95"/>
    <s v="High"/>
  </r>
  <r>
    <s v="ORD2987"/>
    <d v="2025-06-20T00:00:00"/>
    <x v="5"/>
    <x v="5"/>
    <x v="0"/>
    <s v="Webcam"/>
    <x v="2"/>
    <x v="0"/>
    <n v="9"/>
    <n v="10400"/>
    <n v="0.1"/>
    <n v="9360"/>
    <n v="0.9"/>
    <s v="High"/>
  </r>
  <r>
    <s v="ORD2988"/>
    <d v="2025-06-21T00:00:00"/>
    <x v="5"/>
    <x v="5"/>
    <x v="0"/>
    <s v="Noise Cancelling Headphones"/>
    <x v="3"/>
    <x v="0"/>
    <n v="5"/>
    <n v="14200"/>
    <n v="0.15000000000000002"/>
    <n v="12070"/>
    <n v="0.85"/>
    <s v="High"/>
  </r>
  <r>
    <s v="ORD2989"/>
    <d v="2025-06-22T00:00:00"/>
    <x v="5"/>
    <x v="5"/>
    <x v="0"/>
    <s v="Smart Watch"/>
    <x v="0"/>
    <x v="0"/>
    <n v="6"/>
    <n v="13600"/>
    <n v="0.2"/>
    <n v="10880"/>
    <n v="0.8"/>
    <s v="High"/>
  </r>
  <r>
    <s v="ORD2990"/>
    <d v="2025-06-23T00:00:00"/>
    <x v="5"/>
    <x v="5"/>
    <x v="0"/>
    <s v="Portable Power Bank"/>
    <x v="1"/>
    <x v="0"/>
    <n v="6"/>
    <n v="8200"/>
    <n v="0.25"/>
    <n v="6150"/>
    <n v="0.75"/>
    <s v="Medium"/>
  </r>
  <r>
    <s v="ORD2991"/>
    <d v="2025-06-24T00:00:00"/>
    <x v="5"/>
    <x v="5"/>
    <x v="1"/>
    <s v="Office Chair"/>
    <x v="2"/>
    <x v="1"/>
    <n v="2"/>
    <n v="13000"/>
    <n v="0.05"/>
    <n v="12350"/>
    <n v="0.95"/>
    <s v="High"/>
  </r>
  <r>
    <s v="ORD2992"/>
    <d v="2025-06-25T00:00:00"/>
    <x v="5"/>
    <x v="5"/>
    <x v="1"/>
    <s v="Study Table"/>
    <x v="3"/>
    <x v="1"/>
    <n v="8"/>
    <n v="12500"/>
    <n v="0.1"/>
    <n v="11250"/>
    <n v="0.9"/>
    <s v="High"/>
  </r>
  <r>
    <s v="ORD2993"/>
    <d v="2025-06-26T00:00:00"/>
    <x v="5"/>
    <x v="5"/>
    <x v="1"/>
    <s v="Wooden Bookshelf"/>
    <x v="0"/>
    <x v="1"/>
    <n v="8"/>
    <n v="4000"/>
    <n v="0.15000000000000002"/>
    <n v="3400"/>
    <n v="0.85"/>
    <s v="Low"/>
  </r>
  <r>
    <s v="ORD2994"/>
    <d v="2025-06-27T00:00:00"/>
    <x v="5"/>
    <x v="5"/>
    <x v="1"/>
    <s v="Computer Desk"/>
    <x v="1"/>
    <x v="1"/>
    <n v="2"/>
    <n v="4000"/>
    <n v="0.2"/>
    <n v="3200"/>
    <n v="0.8"/>
    <s v="Low"/>
  </r>
  <r>
    <s v="ORD2995"/>
    <d v="2025-06-28T00:00:00"/>
    <x v="5"/>
    <x v="5"/>
    <x v="1"/>
    <s v="Filing Cabinet"/>
    <x v="2"/>
    <x v="1"/>
    <n v="5"/>
    <n v="10600"/>
    <n v="0.25"/>
    <n v="7950"/>
    <n v="0.75"/>
    <s v="High"/>
  </r>
  <r>
    <s v="ORD2996"/>
    <d v="2025-06-29T00:00:00"/>
    <x v="5"/>
    <x v="5"/>
    <x v="1"/>
    <s v="Visitor Chair"/>
    <x v="3"/>
    <x v="1"/>
    <n v="10"/>
    <n v="12000"/>
    <n v="0.05"/>
    <n v="11400"/>
    <n v="0.95"/>
    <s v="High"/>
  </r>
  <r>
    <s v="ORD2997"/>
    <d v="2025-06-30T00:00:00"/>
    <x v="5"/>
    <x v="5"/>
    <x v="1"/>
    <s v="Conference Table"/>
    <x v="0"/>
    <x v="1"/>
    <n v="1"/>
    <n v="9200"/>
    <n v="0.1"/>
    <n v="8280"/>
    <n v="0.9"/>
    <s v="Medium"/>
  </r>
  <r>
    <s v="ORD2998"/>
    <d v="2025-07-01T00:00:00"/>
    <x v="5"/>
    <x v="6"/>
    <x v="1"/>
    <s v="Drawer Unit"/>
    <x v="1"/>
    <x v="1"/>
    <n v="4"/>
    <n v="4200"/>
    <n v="0.15000000000000002"/>
    <n v="3570"/>
    <n v="0.85"/>
    <s v="Low"/>
  </r>
  <r>
    <s v="ORD2999"/>
    <d v="2025-07-02T00:00:00"/>
    <x v="5"/>
    <x v="6"/>
    <x v="1"/>
    <s v="Ergonomic Stool"/>
    <x v="2"/>
    <x v="1"/>
    <n v="8"/>
    <n v="13600"/>
    <n v="0.2"/>
    <n v="10880"/>
    <n v="0.8"/>
    <s v="High"/>
  </r>
  <r>
    <s v="ORD3000"/>
    <d v="2025-07-03T00:00:00"/>
    <x v="5"/>
    <x v="6"/>
    <x v="1"/>
    <s v="Office Sofa"/>
    <x v="3"/>
    <x v="1"/>
    <n v="1"/>
    <n v="10400"/>
    <n v="0.25"/>
    <n v="7800"/>
    <n v="0.75"/>
    <s v="Hig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r>
    <n v="0.05"/>
  </r>
  <r>
    <n v="0.1"/>
  </r>
  <r>
    <n v="0.15000000000000002"/>
  </r>
  <r>
    <n v="0.2"/>
  </r>
  <r>
    <n v="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FA166D-3A18-4EBF-97B5-E634766A996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D2:F6" firstHeaderRow="0" firstDataRow="1" firstDataCol="1"/>
  <pivotFields count="14">
    <pivotField showAll="0"/>
    <pivotField numFmtId="14" showAll="0"/>
    <pivotField showAll="0">
      <items count="7">
        <item x="0"/>
        <item x="1"/>
        <item x="2"/>
        <item x="3"/>
        <item x="4"/>
        <item x="5"/>
        <item t="default"/>
      </items>
    </pivotField>
    <pivotField showAll="0"/>
    <pivotField showAll="0">
      <items count="4">
        <item x="0"/>
        <item x="1"/>
        <item x="2"/>
        <item t="default"/>
      </items>
    </pivotField>
    <pivotField showAll="0"/>
    <pivotField axis="axisRow" showAll="0">
      <items count="5">
        <item x="2"/>
        <item x="0"/>
        <item x="1"/>
        <item x="3"/>
        <item t="default"/>
      </items>
    </pivotField>
    <pivotField showAll="0"/>
    <pivotField showAll="0"/>
    <pivotField dataField="1" numFmtId="1" showAll="0"/>
    <pivotField numFmtId="2" showAll="0"/>
    <pivotField dataField="1" numFmtId="1" showAll="0"/>
    <pivotField numFmtId="10" showAll="0"/>
    <pivotField showAll="0"/>
  </pivotFields>
  <rowFields count="1">
    <field x="6"/>
  </rowFields>
  <rowItems count="4">
    <i>
      <x/>
    </i>
    <i>
      <x v="1"/>
    </i>
    <i>
      <x v="2"/>
    </i>
    <i>
      <x v="3"/>
    </i>
  </rowItems>
  <colFields count="1">
    <field x="-2"/>
  </colFields>
  <colItems count="2">
    <i>
      <x/>
    </i>
    <i i="1">
      <x v="1"/>
    </i>
  </colItems>
  <dataFields count="2">
    <dataField name="Sum of Sales" fld="9" baseField="6" baseItem="1" numFmtId="164"/>
    <dataField name="Sum of Profit" fld="11" baseField="6" baseItem="1"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A09A03-C9D8-470D-B0AE-BB18EBCC6BD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P2" firstHeaderRow="1" firstDataRow="1" firstDataCol="0"/>
  <pivotFields count="1">
    <pivotField dataField="1" numFmtId="9" showAll="0"/>
  </pivotFields>
  <rowItems count="1">
    <i/>
  </rowItems>
  <colItems count="1">
    <i/>
  </colItems>
  <dataFields count="1">
    <dataField name="Average of Discount" fld="0"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642E54-3EB5-4E2E-B02E-A57DDDDB646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2:B75" firstHeaderRow="1" firstDataRow="1" firstDataCol="1"/>
  <pivotFields count="14">
    <pivotField showAll="0"/>
    <pivotField numFmtId="14" showAll="0"/>
    <pivotField axis="axisRow" showAll="0">
      <items count="7">
        <item x="0"/>
        <item x="1"/>
        <item x="2"/>
        <item x="3"/>
        <item x="4"/>
        <item x="5"/>
        <item t="default"/>
      </items>
    </pivotField>
    <pivotField axis="axisRow" showAll="0">
      <items count="13">
        <item x="0"/>
        <item x="1"/>
        <item x="2"/>
        <item x="3"/>
        <item x="4"/>
        <item x="5"/>
        <item x="6"/>
        <item x="7"/>
        <item x="8"/>
        <item x="9"/>
        <item x="10"/>
        <item x="11"/>
        <item t="default"/>
      </items>
    </pivotField>
    <pivotField showAll="0">
      <items count="4">
        <item x="0"/>
        <item x="1"/>
        <item x="2"/>
        <item t="default"/>
      </items>
    </pivotField>
    <pivotField showAll="0"/>
    <pivotField showAll="0">
      <items count="5">
        <item x="2"/>
        <item x="0"/>
        <item x="1"/>
        <item x="3"/>
        <item t="default"/>
      </items>
    </pivotField>
    <pivotField showAll="0"/>
    <pivotField showAll="0"/>
    <pivotField dataField="1" numFmtId="1" showAll="0"/>
    <pivotField numFmtId="2" showAll="0"/>
    <pivotField numFmtId="1" showAll="0"/>
    <pivotField numFmtId="10" showAll="0"/>
    <pivotField showAll="0"/>
  </pivotFields>
  <rowFields count="2">
    <field x="2"/>
    <field x="3"/>
  </rowFields>
  <rowItems count="7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x v="5"/>
    </i>
    <i r="1">
      <x/>
    </i>
    <i r="1">
      <x v="1"/>
    </i>
    <i r="1">
      <x v="2"/>
    </i>
    <i r="1">
      <x v="3"/>
    </i>
    <i r="1">
      <x v="4"/>
    </i>
    <i r="1">
      <x v="5"/>
    </i>
    <i r="1">
      <x v="6"/>
    </i>
  </rowItems>
  <colItems count="1">
    <i/>
  </colItems>
  <dataFields count="1">
    <dataField name="Sum of Sales" fld="9" baseField="3"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024DB0-51F2-40A7-A782-1CC30220841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L2:M5" firstHeaderRow="1" firstDataRow="1" firstDataCol="1"/>
  <pivotFields count="14">
    <pivotField showAll="0"/>
    <pivotField numFmtId="14" showAll="0"/>
    <pivotField showAll="0">
      <items count="7">
        <item x="0"/>
        <item x="1"/>
        <item x="2"/>
        <item x="3"/>
        <item x="4"/>
        <item x="5"/>
        <item t="default"/>
      </items>
    </pivotField>
    <pivotField showAll="0"/>
    <pivotField showAll="0">
      <items count="4">
        <item x="0"/>
        <item x="1"/>
        <item x="2"/>
        <item t="default"/>
      </items>
    </pivotField>
    <pivotField showAll="0"/>
    <pivotField showAll="0">
      <items count="5">
        <item x="2"/>
        <item x="0"/>
        <item x="1"/>
        <item x="3"/>
        <item t="default"/>
      </items>
    </pivotField>
    <pivotField axis="axisRow" showAll="0">
      <items count="4">
        <item x="0"/>
        <item x="1"/>
        <item x="2"/>
        <item t="default"/>
      </items>
    </pivotField>
    <pivotField showAll="0"/>
    <pivotField dataField="1" numFmtId="1" showAll="0"/>
    <pivotField numFmtId="2" showAll="0"/>
    <pivotField numFmtId="1" showAll="0"/>
    <pivotField numFmtId="10" showAll="0"/>
    <pivotField showAll="0"/>
  </pivotFields>
  <rowFields count="1">
    <field x="7"/>
  </rowFields>
  <rowItems count="3">
    <i>
      <x/>
    </i>
    <i>
      <x v="1"/>
    </i>
    <i>
      <x v="2"/>
    </i>
  </rowItems>
  <colItems count="1">
    <i/>
  </colItems>
  <dataFields count="1">
    <dataField name="Sum of Sales" fld="9" baseField="7" baseItem="0" numFmtId="164"/>
  </dataFields>
  <formats count="1">
    <format dxfId="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7" count="1" selected="0">
            <x v="0"/>
          </reference>
        </references>
      </pivotArea>
    </chartFormat>
    <chartFormat chart="6" format="7">
      <pivotArea type="data" outline="0" fieldPosition="0">
        <references count="2">
          <reference field="4294967294" count="1" selected="0">
            <x v="0"/>
          </reference>
          <reference field="7" count="1" selected="0">
            <x v="1"/>
          </reference>
        </references>
      </pivotArea>
    </chartFormat>
    <chartFormat chart="6" format="8">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0"/>
          </reference>
        </references>
      </pivotArea>
    </chartFormat>
    <chartFormat chart="0" format="5">
      <pivotArea type="data" outline="0" fieldPosition="0">
        <references count="2">
          <reference field="4294967294" count="1" selected="0">
            <x v="0"/>
          </reference>
          <reference field="7" count="1" selected="0">
            <x v="1"/>
          </reference>
        </references>
      </pivotArea>
    </chartFormat>
    <chartFormat chart="0" format="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1A8E83-55D8-44B9-8F7F-D8593C9216FA}"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H2:J5"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3">
    <i>
      <x/>
    </i>
    <i>
      <x v="1"/>
    </i>
    <i>
      <x v="2"/>
    </i>
  </rowItems>
  <colFields count="1">
    <field x="-2"/>
  </colFields>
  <colItems count="2">
    <i>
      <x/>
    </i>
    <i i="1">
      <x v="1"/>
    </i>
  </colItems>
  <dataFields count="2">
    <dataField name="Sum of Sales" fld="1" baseField="0" baseItem="0" numFmtId="164"/>
    <dataField name="Profit_Margin" fld="2" subtotal="average" baseField="0" baseItem="0" numFmtId="9"/>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Profit_Margin"/>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Sales_Insight_Dashboard.xlsx!Sales_Data3">
        <x15:activeTabTopLevelEntity name="[Sales_Data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BB581FD-7FBC-4C40-9483-C87361FE8FBA}" sourceName="Year">
  <pivotTables>
    <pivotTable tabId="3" name="PivotTable1"/>
    <pivotTable tabId="3" name="PivotTable2"/>
    <pivotTable tabId="3" name="PivotTable4"/>
  </pivotTables>
  <data>
    <tabular pivotCacheId="1072029474">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9A77A72-9E96-4A26-80E0-84E48CA804F4}" sourceName="Product_Category">
  <pivotTables>
    <pivotTable tabId="3" name="PivotTable1"/>
    <pivotTable tabId="3" name="PivotTable2"/>
    <pivotTable tabId="3" name="PivotTable4"/>
  </pivotTables>
  <data>
    <tabular pivotCacheId="107202947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7DB605-0B6C-4E6C-BE29-800D00EBA454}" sourceName="Region">
  <pivotTables>
    <pivotTable tabId="3" name="PivotTable1"/>
    <pivotTable tabId="3" name="PivotTable2"/>
    <pivotTable tabId="3" name="PivotTable4"/>
  </pivotTables>
  <data>
    <tabular pivotCacheId="1072029474">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56E2DB3-5171-4CF4-8CF8-4B269BE8E6ED}" cache="Slicer_Year" caption="Year" rowHeight="241300"/>
  <slicer name="Product_Category" xr10:uid="{0BDA575E-65CF-4CC3-8574-74534D53BD81}" cache="Slicer_Product_Category" caption="Product_Category" rowHeight="241300"/>
  <slicer name="Region" xr10:uid="{FF51A82F-371C-4F43-AE69-8D6AC688A6E1}"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D801BE-8932-4D12-8F47-0283DEA58AAE}" name="Sales_Data" displayName="Sales_Data" ref="A1:J2001" totalsRowShown="0" headerRowDxfId="28" headerRowBorderDxfId="27" tableBorderDxfId="26">
  <autoFilter ref="A1:J2001" xr:uid="{6AD801BE-8932-4D12-8F47-0283DEA58AAE}"/>
  <tableColumns count="10">
    <tableColumn id="1" xr3:uid="{47AEC9DE-9BB2-42EC-BAFD-A48B2527DB89}" name="Order_ID"/>
    <tableColumn id="2" xr3:uid="{D68FDE0A-3E11-4961-AD8F-8CE231422E3D}" name="Order_Date" dataDxfId="25"/>
    <tableColumn id="3" xr3:uid="{7355E997-33B0-4378-A41B-31254E555E8F}" name="Product_Category"/>
    <tableColumn id="4" xr3:uid="{53EB2D06-E890-417B-A306-0D93BB451C5B}" name="Product_Name"/>
    <tableColumn id="5" xr3:uid="{EDBBCB26-D7C5-4E1C-AB0A-794C281D7E82}" name="Region"/>
    <tableColumn id="6" xr3:uid="{30FF24BB-524F-41DB-B8E9-7DABE15F5C0C}" name="Customer_Segment"/>
    <tableColumn id="7" xr3:uid="{DB65C13B-E7A6-473C-9622-66F165E4BB6F}" name="Quantity" dataDxfId="24"/>
    <tableColumn id="8" xr3:uid="{18F3FF8C-F531-4D55-B0AB-CEC24160C032}" name="Sales" dataDxfId="23"/>
    <tableColumn id="9" xr3:uid="{7C67897D-078E-4C30-90FB-F2D7E2FFE257}" name="Discount" dataDxfId="22"/>
    <tableColumn id="10" xr3:uid="{E3E65631-DCCE-434B-9ED1-22563B0961D5}"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1ABE3D-0D5F-4B66-B658-51ED0FF05D65}" name="Sales_Data3" displayName="Sales_Data3" ref="A1:P2001" totalsRowShown="0" headerRowDxfId="21" headerRowBorderDxfId="20" tableBorderDxfId="19">
  <autoFilter ref="A1:P2001" xr:uid="{A41ABE3D-0D5F-4B66-B658-51ED0FF05D65}"/>
  <tableColumns count="16">
    <tableColumn id="1" xr3:uid="{9072E95A-AE3B-4674-B52E-A70D134E4022}" name="Order_ID"/>
    <tableColumn id="2" xr3:uid="{FC503EC6-808E-4AA2-8C15-42C790E6ECFE}" name="Order_Date" dataDxfId="18"/>
    <tableColumn id="13" xr3:uid="{4AA67B39-6C9B-47FC-9A64-9308ACBE4C6C}" name="Year" dataDxfId="17"/>
    <tableColumn id="15" xr3:uid="{02C14A5A-6AF1-4C49-B320-B8EF814F4F38}" name="Month" dataDxfId="16">
      <calculatedColumnFormula>TEXT(B2,"MMM")</calculatedColumnFormula>
    </tableColumn>
    <tableColumn id="3" xr3:uid="{CC0696FB-AE2F-4853-9317-9E44B2A8FDDB}" name="Product_Category"/>
    <tableColumn id="4" xr3:uid="{FFC9A4B5-F617-4E36-A095-30E4874C50BD}" name="Product_Name"/>
    <tableColumn id="5" xr3:uid="{4641EB48-82C4-422B-A46F-8A326BAC58FC}" name="Region"/>
    <tableColumn id="6" xr3:uid="{D80D0C4F-1D52-4F10-B4B0-D83E07E698AE}" name="Customer_Segment"/>
    <tableColumn id="7" xr3:uid="{189613E1-D55F-4BBE-A879-E9DCC4D8BF77}" name="Quantity" dataDxfId="15"/>
    <tableColumn id="8" xr3:uid="{B2C3EF8A-9660-4426-91E4-EEEDA511FBBE}" name="Sales" dataDxfId="14"/>
    <tableColumn id="9" xr3:uid="{EE74FBBF-20B3-471F-8C13-A6BD4D3FA3AE}" name="Discount" dataDxfId="13"/>
    <tableColumn id="10" xr3:uid="{0DD8C6AA-F0CC-4BC2-ABF2-A56C611A2CEE}" name="Profit" dataDxfId="12"/>
    <tableColumn id="17" xr3:uid="{64D0695B-E513-41BE-BC20-B3DC1166504C}" name="Profit_Margin" dataDxfId="11">
      <calculatedColumnFormula>Sales_Data3[[#This Row],[Profit]]/Sales_Data3[[#This Row],[Sales]]</calculatedColumnFormula>
    </tableColumn>
    <tableColumn id="19" xr3:uid="{45119B2C-C870-48D4-9765-A2BD1F8D3F13}" name="Sales_Band" dataDxfId="10">
      <calculatedColumnFormula>IF(J2&gt;10000,"High",IF(J2&gt;5000,"Medium","Low"))</calculatedColumnFormula>
    </tableColumn>
    <tableColumn id="12" xr3:uid="{5D5D6E90-0729-42BA-B74C-C9B4719D209E}" name="Forecast_Date" dataDxfId="9"/>
    <tableColumn id="14" xr3:uid="{68877973-F8A2-4255-A0E0-784D44DF4921}" name="Forecast_Sales"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523878-1280-4464-95AA-08C1359DAFE4}" name="Table4" displayName="Table4" ref="A1:E2367" totalsRowShown="0">
  <autoFilter ref="A1:E2367" xr:uid="{16523878-1280-4464-95AA-08C1359DAFE4}"/>
  <tableColumns count="5">
    <tableColumn id="1" xr3:uid="{2F33FB2B-1818-43C6-AB43-CBD421AC335E}" name="Forecast_Date" dataDxfId="6"/>
    <tableColumn id="2" xr3:uid="{EC1F4463-0224-42D3-A556-FFBEF155371A}" name="Forecast_Sales"/>
    <tableColumn id="3" xr3:uid="{230B7ED8-0DDB-4F41-8E7D-CE842F5FB519}" name="Forecast(Forecast_Sales)" dataDxfId="5">
      <calculatedColumnFormula>_xlfn.FORECAST.ETS(A2,$B$2:$B$2001,$A$2:$A$2001,12,1)</calculatedColumnFormula>
    </tableColumn>
    <tableColumn id="4" xr3:uid="{06B02CDA-B0AB-4D80-A641-D5FC21E52AE9}" name="Lower Confidence Bound(Forecast_Sales)" dataDxfId="4">
      <calculatedColumnFormula>C2-_xlfn.FORECAST.ETS.CONFINT(A2,$B$2:$B$2001,$A$2:$A$2001,0.95,12,1)</calculatedColumnFormula>
    </tableColumn>
    <tableColumn id="5" xr3:uid="{565FE516-D42B-4F19-B6A6-63566D81A83D}" name="Upper Confidence Bound(Forecast_Sales)" dataDxfId="3">
      <calculatedColumnFormula>C2+_xlfn.FORECAST.ETS.CONFINT(A2,$B$2:$B$2001,$A$2:$A$2001,0.95,12,1)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95417-2CE6-45B1-AAF8-218EE76C3613}">
  <dimension ref="A1:H3"/>
  <sheetViews>
    <sheetView showGridLines="0" workbookViewId="0">
      <selection activeCell="I1" sqref="I1"/>
    </sheetView>
  </sheetViews>
  <sheetFormatPr defaultRowHeight="15" x14ac:dyDescent="0.25"/>
  <cols>
    <col min="1" max="1" width="12" style="22" customWidth="1"/>
    <col min="2" max="2" width="12.42578125" style="22" customWidth="1"/>
    <col min="3" max="4" width="13" style="22" customWidth="1"/>
    <col min="5" max="5" width="12.7109375" style="22" customWidth="1"/>
    <col min="6" max="6" width="12.85546875" style="22" customWidth="1"/>
    <col min="7" max="7" width="12.7109375" style="22" customWidth="1"/>
    <col min="8" max="8" width="13" style="22" customWidth="1"/>
    <col min="9" max="11" width="12.7109375" style="22" customWidth="1"/>
    <col min="12" max="12" width="12.85546875" style="22" customWidth="1"/>
    <col min="13" max="14" width="13.140625" style="22" customWidth="1"/>
    <col min="15" max="15" width="12.85546875" style="22" customWidth="1"/>
    <col min="16" max="16384" width="9.140625" style="22"/>
  </cols>
  <sheetData>
    <row r="1" spans="1:8" x14ac:dyDescent="0.25">
      <c r="A1" s="24" t="s">
        <v>2095</v>
      </c>
      <c r="B1" s="24"/>
      <c r="C1" s="24"/>
      <c r="D1" s="24"/>
      <c r="E1" s="24"/>
      <c r="F1" s="24"/>
      <c r="G1" s="24"/>
      <c r="H1" s="24"/>
    </row>
    <row r="2" spans="1:8" x14ac:dyDescent="0.25">
      <c r="A2" s="24"/>
      <c r="B2" s="24"/>
      <c r="C2" s="24"/>
      <c r="D2" s="24"/>
      <c r="E2" s="24"/>
      <c r="F2" s="24"/>
      <c r="G2" s="24"/>
      <c r="H2" s="24"/>
    </row>
    <row r="3" spans="1:8" ht="18.75" x14ac:dyDescent="0.3">
      <c r="A3" s="25" t="s">
        <v>2096</v>
      </c>
      <c r="B3" s="25"/>
      <c r="C3" s="25"/>
      <c r="D3" s="25"/>
      <c r="E3" s="25"/>
      <c r="F3" s="25"/>
      <c r="G3" s="25"/>
      <c r="H3" s="25"/>
    </row>
  </sheetData>
  <sheetProtection algorithmName="SHA-512" hashValue="1hrB42U9kohzymqNL3D8P/33R/ooFNWpY3sH5m3ikq8UiKIAGHJKa0vQAcafiMEwqS9PBU6XjBPdaEDnb7C0pA==" saltValue="wYa/Uf7qzcuAjr/67CGCQw==" spinCount="100000" sheet="1" objects="1" scenarios="1"/>
  <mergeCells count="2">
    <mergeCell ref="A1:H2"/>
    <mergeCell ref="A3:H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28E58-9111-419E-9A46-5C37662BDE2F}">
  <dimension ref="A1:J2001"/>
  <sheetViews>
    <sheetView workbookViewId="0">
      <selection activeCell="A2001" sqref="A2:A2001"/>
    </sheetView>
  </sheetViews>
  <sheetFormatPr defaultRowHeight="15" x14ac:dyDescent="0.25"/>
  <cols>
    <col min="1" max="1" width="11.140625" customWidth="1"/>
    <col min="2" max="2" width="13.42578125" style="2" customWidth="1"/>
    <col min="3" max="3" width="18.85546875" customWidth="1"/>
    <col min="4" max="4" width="27.85546875" bestFit="1" customWidth="1"/>
    <col min="5" max="5" width="9.28515625" customWidth="1"/>
    <col min="6" max="6" width="21" bestFit="1" customWidth="1"/>
    <col min="7" max="7" width="10.85546875" customWidth="1"/>
    <col min="8" max="8" width="7.7109375" customWidth="1"/>
    <col min="9" max="9" width="14.28515625" customWidth="1"/>
    <col min="10" max="10" width="8.140625" customWidth="1"/>
  </cols>
  <sheetData>
    <row r="1" spans="1:10" x14ac:dyDescent="0.25">
      <c r="A1" s="3" t="s">
        <v>0</v>
      </c>
      <c r="B1" s="4" t="s">
        <v>1</v>
      </c>
      <c r="C1" s="3" t="s">
        <v>2</v>
      </c>
      <c r="D1" s="3" t="s">
        <v>3</v>
      </c>
      <c r="E1" s="3" t="s">
        <v>4</v>
      </c>
      <c r="F1" s="3" t="s">
        <v>5</v>
      </c>
      <c r="G1" s="3" t="s">
        <v>6</v>
      </c>
      <c r="H1" s="5" t="s">
        <v>7</v>
      </c>
      <c r="I1" s="3" t="s">
        <v>2049</v>
      </c>
      <c r="J1" s="3" t="s">
        <v>8</v>
      </c>
    </row>
    <row r="2" spans="1:10" x14ac:dyDescent="0.25">
      <c r="A2" t="s">
        <v>9</v>
      </c>
      <c r="B2" s="2">
        <v>43842</v>
      </c>
      <c r="C2" t="s">
        <v>12</v>
      </c>
      <c r="D2" t="s">
        <v>15</v>
      </c>
      <c r="E2" t="s">
        <v>19</v>
      </c>
      <c r="F2" t="s">
        <v>23</v>
      </c>
      <c r="G2">
        <v>6</v>
      </c>
      <c r="H2" s="1">
        <v>4000</v>
      </c>
      <c r="I2" s="6">
        <v>0.05</v>
      </c>
      <c r="J2">
        <v>3800</v>
      </c>
    </row>
    <row r="3" spans="1:10" x14ac:dyDescent="0.25">
      <c r="A3" t="s">
        <v>10</v>
      </c>
      <c r="B3" s="2">
        <v>43843</v>
      </c>
      <c r="C3" t="s">
        <v>12</v>
      </c>
      <c r="D3" t="s">
        <v>17</v>
      </c>
      <c r="E3" t="s">
        <v>20</v>
      </c>
      <c r="F3" t="s">
        <v>23</v>
      </c>
      <c r="G3">
        <v>2</v>
      </c>
      <c r="H3">
        <v>6400</v>
      </c>
      <c r="I3" s="6">
        <v>0.1</v>
      </c>
      <c r="J3">
        <v>5760</v>
      </c>
    </row>
    <row r="4" spans="1:10" x14ac:dyDescent="0.25">
      <c r="A4" t="s">
        <v>11</v>
      </c>
      <c r="B4" s="2">
        <v>43844</v>
      </c>
      <c r="C4" t="s">
        <v>12</v>
      </c>
      <c r="D4" t="s">
        <v>2023</v>
      </c>
      <c r="E4" t="s">
        <v>21</v>
      </c>
      <c r="F4" t="s">
        <v>23</v>
      </c>
      <c r="G4">
        <v>7</v>
      </c>
      <c r="H4">
        <v>13900</v>
      </c>
      <c r="I4" s="6">
        <v>0.15000000000000002</v>
      </c>
      <c r="J4">
        <v>11815</v>
      </c>
    </row>
    <row r="5" spans="1:10" x14ac:dyDescent="0.25">
      <c r="A5" t="s">
        <v>26</v>
      </c>
      <c r="B5" s="2">
        <v>43845</v>
      </c>
      <c r="C5" t="s">
        <v>12</v>
      </c>
      <c r="D5" t="s">
        <v>18</v>
      </c>
      <c r="E5" t="s">
        <v>22</v>
      </c>
      <c r="F5" t="s">
        <v>23</v>
      </c>
      <c r="G5">
        <v>9</v>
      </c>
      <c r="H5">
        <v>9500</v>
      </c>
      <c r="I5" s="6">
        <v>0.2</v>
      </c>
      <c r="J5">
        <v>7600</v>
      </c>
    </row>
    <row r="6" spans="1:10" x14ac:dyDescent="0.25">
      <c r="A6" t="s">
        <v>27</v>
      </c>
      <c r="B6" s="2">
        <v>43846</v>
      </c>
      <c r="C6" t="s">
        <v>12</v>
      </c>
      <c r="D6" t="s">
        <v>2024</v>
      </c>
      <c r="E6" t="s">
        <v>19</v>
      </c>
      <c r="F6" t="s">
        <v>23</v>
      </c>
      <c r="G6">
        <v>10</v>
      </c>
      <c r="H6">
        <v>5500</v>
      </c>
      <c r="I6" s="6">
        <v>0.25</v>
      </c>
      <c r="J6">
        <v>4125</v>
      </c>
    </row>
    <row r="7" spans="1:10" x14ac:dyDescent="0.25">
      <c r="A7" t="s">
        <v>28</v>
      </c>
      <c r="B7" s="2">
        <v>43847</v>
      </c>
      <c r="C7" t="s">
        <v>12</v>
      </c>
      <c r="D7" t="s">
        <v>2025</v>
      </c>
      <c r="E7" t="s">
        <v>20</v>
      </c>
      <c r="F7" t="s">
        <v>23</v>
      </c>
      <c r="G7">
        <v>3</v>
      </c>
      <c r="H7">
        <v>9300</v>
      </c>
      <c r="I7" s="6">
        <v>0.05</v>
      </c>
      <c r="J7">
        <v>8835</v>
      </c>
    </row>
    <row r="8" spans="1:10" x14ac:dyDescent="0.25">
      <c r="A8" t="s">
        <v>29</v>
      </c>
      <c r="B8" s="2">
        <v>43848</v>
      </c>
      <c r="C8" t="s">
        <v>12</v>
      </c>
      <c r="D8" t="s">
        <v>2026</v>
      </c>
      <c r="E8" t="s">
        <v>21</v>
      </c>
      <c r="F8" t="s">
        <v>23</v>
      </c>
      <c r="G8">
        <v>9</v>
      </c>
      <c r="H8">
        <v>13500</v>
      </c>
      <c r="I8" s="6">
        <v>0.1</v>
      </c>
      <c r="J8">
        <v>12150</v>
      </c>
    </row>
    <row r="9" spans="1:10" x14ac:dyDescent="0.25">
      <c r="A9" t="s">
        <v>30</v>
      </c>
      <c r="B9" s="2">
        <v>43849</v>
      </c>
      <c r="C9" t="s">
        <v>12</v>
      </c>
      <c r="D9" t="s">
        <v>2027</v>
      </c>
      <c r="E9" t="s">
        <v>22</v>
      </c>
      <c r="F9" t="s">
        <v>23</v>
      </c>
      <c r="G9">
        <v>3</v>
      </c>
      <c r="H9">
        <v>12400</v>
      </c>
      <c r="I9" s="6">
        <v>0.15000000000000002</v>
      </c>
      <c r="J9">
        <v>10540</v>
      </c>
    </row>
    <row r="10" spans="1:10" x14ac:dyDescent="0.25">
      <c r="A10" t="s">
        <v>31</v>
      </c>
      <c r="B10" s="2">
        <v>43850</v>
      </c>
      <c r="C10" t="s">
        <v>12</v>
      </c>
      <c r="D10" t="s">
        <v>2028</v>
      </c>
      <c r="E10" t="s">
        <v>19</v>
      </c>
      <c r="F10" t="s">
        <v>23</v>
      </c>
      <c r="G10">
        <v>9</v>
      </c>
      <c r="H10">
        <v>9400</v>
      </c>
      <c r="I10" s="6">
        <v>0.2</v>
      </c>
      <c r="J10">
        <v>7520</v>
      </c>
    </row>
    <row r="11" spans="1:10" x14ac:dyDescent="0.25">
      <c r="A11" t="s">
        <v>32</v>
      </c>
      <c r="B11" s="2">
        <v>43851</v>
      </c>
      <c r="C11" t="s">
        <v>12</v>
      </c>
      <c r="D11" t="s">
        <v>2029</v>
      </c>
      <c r="E11" t="s">
        <v>20</v>
      </c>
      <c r="F11" t="s">
        <v>23</v>
      </c>
      <c r="G11">
        <v>1</v>
      </c>
      <c r="H11">
        <v>5400</v>
      </c>
      <c r="I11" s="6">
        <v>0.25</v>
      </c>
      <c r="J11">
        <v>4050</v>
      </c>
    </row>
    <row r="12" spans="1:10" x14ac:dyDescent="0.25">
      <c r="A12" t="s">
        <v>33</v>
      </c>
      <c r="B12" s="2">
        <v>43852</v>
      </c>
      <c r="C12" t="s">
        <v>13</v>
      </c>
      <c r="D12" t="s">
        <v>16</v>
      </c>
      <c r="E12" t="s">
        <v>21</v>
      </c>
      <c r="F12" t="s">
        <v>24</v>
      </c>
      <c r="G12">
        <v>8</v>
      </c>
      <c r="H12">
        <v>6200</v>
      </c>
      <c r="I12" s="6">
        <v>0.05</v>
      </c>
      <c r="J12">
        <v>5890</v>
      </c>
    </row>
    <row r="13" spans="1:10" x14ac:dyDescent="0.25">
      <c r="A13" t="s">
        <v>34</v>
      </c>
      <c r="B13" s="2">
        <v>43853</v>
      </c>
      <c r="C13" t="s">
        <v>13</v>
      </c>
      <c r="D13" t="s">
        <v>2030</v>
      </c>
      <c r="E13" t="s">
        <v>22</v>
      </c>
      <c r="F13" t="s">
        <v>24</v>
      </c>
      <c r="G13">
        <v>2</v>
      </c>
      <c r="H13">
        <v>14500</v>
      </c>
      <c r="I13" s="6">
        <v>0.1</v>
      </c>
      <c r="J13">
        <v>13050</v>
      </c>
    </row>
    <row r="14" spans="1:10" x14ac:dyDescent="0.25">
      <c r="A14" t="s">
        <v>35</v>
      </c>
      <c r="B14" s="2">
        <v>43854</v>
      </c>
      <c r="C14" t="s">
        <v>13</v>
      </c>
      <c r="D14" t="s">
        <v>2031</v>
      </c>
      <c r="E14" t="s">
        <v>19</v>
      </c>
      <c r="F14" t="s">
        <v>24</v>
      </c>
      <c r="G14">
        <v>8</v>
      </c>
      <c r="H14">
        <v>14300</v>
      </c>
      <c r="I14" s="6">
        <v>0.15000000000000002</v>
      </c>
      <c r="J14">
        <v>12155</v>
      </c>
    </row>
    <row r="15" spans="1:10" x14ac:dyDescent="0.25">
      <c r="A15" t="s">
        <v>36</v>
      </c>
      <c r="B15" s="2">
        <v>43855</v>
      </c>
      <c r="C15" t="s">
        <v>13</v>
      </c>
      <c r="D15" t="s">
        <v>2032</v>
      </c>
      <c r="E15" t="s">
        <v>20</v>
      </c>
      <c r="F15" t="s">
        <v>24</v>
      </c>
      <c r="G15">
        <v>10</v>
      </c>
      <c r="H15">
        <v>13500</v>
      </c>
      <c r="I15" s="6">
        <v>0.2</v>
      </c>
      <c r="J15">
        <v>10800</v>
      </c>
    </row>
    <row r="16" spans="1:10" x14ac:dyDescent="0.25">
      <c r="A16" t="s">
        <v>37</v>
      </c>
      <c r="B16" s="2">
        <v>43856</v>
      </c>
      <c r="C16" t="s">
        <v>13</v>
      </c>
      <c r="D16" t="s">
        <v>2033</v>
      </c>
      <c r="E16" t="s">
        <v>21</v>
      </c>
      <c r="F16" t="s">
        <v>24</v>
      </c>
      <c r="G16">
        <v>10</v>
      </c>
      <c r="H16">
        <v>12500</v>
      </c>
      <c r="I16" s="6">
        <v>0.25</v>
      </c>
      <c r="J16">
        <v>9375</v>
      </c>
    </row>
    <row r="17" spans="1:10" x14ac:dyDescent="0.25">
      <c r="A17" t="s">
        <v>38</v>
      </c>
      <c r="B17" s="2">
        <v>43857</v>
      </c>
      <c r="C17" t="s">
        <v>13</v>
      </c>
      <c r="D17" t="s">
        <v>2034</v>
      </c>
      <c r="E17" t="s">
        <v>22</v>
      </c>
      <c r="F17" t="s">
        <v>24</v>
      </c>
      <c r="G17">
        <v>8</v>
      </c>
      <c r="H17">
        <v>5500</v>
      </c>
      <c r="I17" s="6">
        <v>0.05</v>
      </c>
      <c r="J17">
        <v>5225</v>
      </c>
    </row>
    <row r="18" spans="1:10" x14ac:dyDescent="0.25">
      <c r="A18" t="s">
        <v>39</v>
      </c>
      <c r="B18" s="2">
        <v>43858</v>
      </c>
      <c r="C18" t="s">
        <v>13</v>
      </c>
      <c r="D18" t="s">
        <v>2035</v>
      </c>
      <c r="E18" t="s">
        <v>19</v>
      </c>
      <c r="F18" t="s">
        <v>24</v>
      </c>
      <c r="G18">
        <v>5</v>
      </c>
      <c r="H18">
        <v>12500</v>
      </c>
      <c r="I18" s="6">
        <v>0.1</v>
      </c>
      <c r="J18">
        <v>11250</v>
      </c>
    </row>
    <row r="19" spans="1:10" x14ac:dyDescent="0.25">
      <c r="A19" t="s">
        <v>40</v>
      </c>
      <c r="B19" s="2">
        <v>43859</v>
      </c>
      <c r="C19" t="s">
        <v>13</v>
      </c>
      <c r="D19" t="s">
        <v>2036</v>
      </c>
      <c r="E19" t="s">
        <v>20</v>
      </c>
      <c r="F19" t="s">
        <v>24</v>
      </c>
      <c r="G19">
        <v>5</v>
      </c>
      <c r="H19">
        <v>4900</v>
      </c>
      <c r="I19" s="6">
        <v>0.15000000000000002</v>
      </c>
      <c r="J19">
        <v>4165</v>
      </c>
    </row>
    <row r="20" spans="1:10" x14ac:dyDescent="0.25">
      <c r="A20" t="s">
        <v>41</v>
      </c>
      <c r="B20" s="2">
        <v>43860</v>
      </c>
      <c r="C20" t="s">
        <v>13</v>
      </c>
      <c r="D20" t="s">
        <v>2037</v>
      </c>
      <c r="E20" t="s">
        <v>21</v>
      </c>
      <c r="F20" t="s">
        <v>24</v>
      </c>
      <c r="G20">
        <v>7</v>
      </c>
      <c r="H20">
        <v>12700</v>
      </c>
      <c r="I20" s="6">
        <v>0.2</v>
      </c>
      <c r="J20">
        <v>10160</v>
      </c>
    </row>
    <row r="21" spans="1:10" x14ac:dyDescent="0.25">
      <c r="A21" t="s">
        <v>42</v>
      </c>
      <c r="B21" s="2">
        <v>43861</v>
      </c>
      <c r="C21" t="s">
        <v>13</v>
      </c>
      <c r="D21" t="s">
        <v>2038</v>
      </c>
      <c r="E21" t="s">
        <v>22</v>
      </c>
      <c r="F21" t="s">
        <v>24</v>
      </c>
      <c r="G21">
        <v>4</v>
      </c>
      <c r="H21">
        <v>5700</v>
      </c>
      <c r="I21" s="6">
        <v>0.25</v>
      </c>
      <c r="J21">
        <v>4275</v>
      </c>
    </row>
    <row r="22" spans="1:10" x14ac:dyDescent="0.25">
      <c r="A22" t="s">
        <v>43</v>
      </c>
      <c r="B22" s="2">
        <v>43862</v>
      </c>
      <c r="C22" t="s">
        <v>14</v>
      </c>
      <c r="D22" t="s">
        <v>2039</v>
      </c>
      <c r="E22" t="s">
        <v>19</v>
      </c>
      <c r="F22" t="s">
        <v>25</v>
      </c>
      <c r="G22">
        <v>9</v>
      </c>
      <c r="H22">
        <v>4100</v>
      </c>
      <c r="I22" s="6">
        <v>0.05</v>
      </c>
      <c r="J22">
        <v>3895</v>
      </c>
    </row>
    <row r="23" spans="1:10" x14ac:dyDescent="0.25">
      <c r="A23" t="s">
        <v>44</v>
      </c>
      <c r="B23" s="2">
        <v>43863</v>
      </c>
      <c r="C23" t="s">
        <v>14</v>
      </c>
      <c r="D23" t="s">
        <v>2040</v>
      </c>
      <c r="E23" t="s">
        <v>20</v>
      </c>
      <c r="F23" t="s">
        <v>25</v>
      </c>
      <c r="G23">
        <v>2</v>
      </c>
      <c r="H23">
        <v>9400</v>
      </c>
      <c r="I23" s="6">
        <v>0.1</v>
      </c>
      <c r="J23">
        <v>8460</v>
      </c>
    </row>
    <row r="24" spans="1:10" x14ac:dyDescent="0.25">
      <c r="A24" t="s">
        <v>45</v>
      </c>
      <c r="B24" s="2">
        <v>43864</v>
      </c>
      <c r="C24" t="s">
        <v>14</v>
      </c>
      <c r="D24" t="s">
        <v>2041</v>
      </c>
      <c r="E24" t="s">
        <v>21</v>
      </c>
      <c r="F24" t="s">
        <v>25</v>
      </c>
      <c r="G24">
        <v>2</v>
      </c>
      <c r="H24">
        <v>14400</v>
      </c>
      <c r="I24" s="6">
        <v>0.15000000000000002</v>
      </c>
      <c r="J24">
        <v>12240</v>
      </c>
    </row>
    <row r="25" spans="1:10" x14ac:dyDescent="0.25">
      <c r="A25" t="s">
        <v>46</v>
      </c>
      <c r="B25" s="2">
        <v>43865</v>
      </c>
      <c r="C25" t="s">
        <v>14</v>
      </c>
      <c r="D25" t="s">
        <v>2042</v>
      </c>
      <c r="E25" t="s">
        <v>22</v>
      </c>
      <c r="F25" t="s">
        <v>25</v>
      </c>
      <c r="G25">
        <v>1</v>
      </c>
      <c r="H25">
        <v>5300</v>
      </c>
      <c r="I25" s="6">
        <v>0.2</v>
      </c>
      <c r="J25">
        <v>4240</v>
      </c>
    </row>
    <row r="26" spans="1:10" x14ac:dyDescent="0.25">
      <c r="A26" t="s">
        <v>47</v>
      </c>
      <c r="B26" s="2">
        <v>43866</v>
      </c>
      <c r="C26" t="s">
        <v>14</v>
      </c>
      <c r="D26" t="s">
        <v>2043</v>
      </c>
      <c r="E26" t="s">
        <v>19</v>
      </c>
      <c r="F26" t="s">
        <v>25</v>
      </c>
      <c r="G26">
        <v>10</v>
      </c>
      <c r="H26">
        <v>4000</v>
      </c>
      <c r="I26" s="6">
        <v>0.25</v>
      </c>
      <c r="J26">
        <v>3000</v>
      </c>
    </row>
    <row r="27" spans="1:10" x14ac:dyDescent="0.25">
      <c r="A27" t="s">
        <v>48</v>
      </c>
      <c r="B27" s="2">
        <v>43867</v>
      </c>
      <c r="C27" t="s">
        <v>14</v>
      </c>
      <c r="D27" t="s">
        <v>2044</v>
      </c>
      <c r="E27" t="s">
        <v>20</v>
      </c>
      <c r="F27" t="s">
        <v>25</v>
      </c>
      <c r="G27">
        <v>7</v>
      </c>
      <c r="H27">
        <v>12800</v>
      </c>
      <c r="I27" s="6">
        <v>0.05</v>
      </c>
      <c r="J27">
        <v>12160</v>
      </c>
    </row>
    <row r="28" spans="1:10" x14ac:dyDescent="0.25">
      <c r="A28" t="s">
        <v>49</v>
      </c>
      <c r="B28" s="2">
        <v>43868</v>
      </c>
      <c r="C28" t="s">
        <v>14</v>
      </c>
      <c r="D28" t="s">
        <v>2045</v>
      </c>
      <c r="E28" t="s">
        <v>21</v>
      </c>
      <c r="F28" t="s">
        <v>25</v>
      </c>
      <c r="G28">
        <v>3</v>
      </c>
      <c r="H28">
        <v>10400</v>
      </c>
      <c r="I28" s="6">
        <v>0.1</v>
      </c>
      <c r="J28">
        <v>9360</v>
      </c>
    </row>
    <row r="29" spans="1:10" x14ac:dyDescent="0.25">
      <c r="A29" t="s">
        <v>50</v>
      </c>
      <c r="B29" s="2">
        <v>43869</v>
      </c>
      <c r="C29" t="s">
        <v>14</v>
      </c>
      <c r="D29" t="s">
        <v>2046</v>
      </c>
      <c r="E29" t="s">
        <v>22</v>
      </c>
      <c r="F29" t="s">
        <v>25</v>
      </c>
      <c r="G29">
        <v>2</v>
      </c>
      <c r="H29">
        <v>13200</v>
      </c>
      <c r="I29" s="6">
        <v>0.15000000000000002</v>
      </c>
      <c r="J29">
        <v>11220</v>
      </c>
    </row>
    <row r="30" spans="1:10" x14ac:dyDescent="0.25">
      <c r="A30" t="s">
        <v>51</v>
      </c>
      <c r="B30" s="2">
        <v>43870</v>
      </c>
      <c r="C30" t="s">
        <v>14</v>
      </c>
      <c r="D30" t="s">
        <v>2047</v>
      </c>
      <c r="E30" t="s">
        <v>19</v>
      </c>
      <c r="F30" t="s">
        <v>25</v>
      </c>
      <c r="G30">
        <v>6</v>
      </c>
      <c r="H30">
        <v>10000</v>
      </c>
      <c r="I30" s="6">
        <v>0.2</v>
      </c>
      <c r="J30">
        <v>8000</v>
      </c>
    </row>
    <row r="31" spans="1:10" x14ac:dyDescent="0.25">
      <c r="A31" t="s">
        <v>52</v>
      </c>
      <c r="B31" s="2">
        <v>43871</v>
      </c>
      <c r="C31" t="s">
        <v>14</v>
      </c>
      <c r="D31" t="s">
        <v>2048</v>
      </c>
      <c r="E31" t="s">
        <v>20</v>
      </c>
      <c r="F31" t="s">
        <v>25</v>
      </c>
      <c r="G31">
        <v>9</v>
      </c>
      <c r="H31">
        <v>13400</v>
      </c>
      <c r="I31" s="6">
        <v>0.25</v>
      </c>
      <c r="J31">
        <v>10050</v>
      </c>
    </row>
    <row r="32" spans="1:10" x14ac:dyDescent="0.25">
      <c r="A32" t="s">
        <v>53</v>
      </c>
      <c r="B32" s="2">
        <v>43872</v>
      </c>
      <c r="C32" t="s">
        <v>12</v>
      </c>
      <c r="D32" t="s">
        <v>15</v>
      </c>
      <c r="E32" t="s">
        <v>21</v>
      </c>
      <c r="F32" t="s">
        <v>23</v>
      </c>
      <c r="G32">
        <v>2</v>
      </c>
      <c r="H32">
        <v>7900</v>
      </c>
      <c r="I32" s="6">
        <v>0.05</v>
      </c>
      <c r="J32">
        <v>7505</v>
      </c>
    </row>
    <row r="33" spans="1:10" x14ac:dyDescent="0.25">
      <c r="A33" t="s">
        <v>54</v>
      </c>
      <c r="B33" s="2">
        <v>43873</v>
      </c>
      <c r="C33" t="s">
        <v>12</v>
      </c>
      <c r="D33" t="s">
        <v>17</v>
      </c>
      <c r="E33" t="s">
        <v>22</v>
      </c>
      <c r="F33" t="s">
        <v>23</v>
      </c>
      <c r="G33">
        <v>8</v>
      </c>
      <c r="H33">
        <v>8900</v>
      </c>
      <c r="I33" s="6">
        <v>0.1</v>
      </c>
      <c r="J33">
        <v>8010</v>
      </c>
    </row>
    <row r="34" spans="1:10" x14ac:dyDescent="0.25">
      <c r="A34" t="s">
        <v>55</v>
      </c>
      <c r="B34" s="2">
        <v>43874</v>
      </c>
      <c r="C34" t="s">
        <v>12</v>
      </c>
      <c r="D34" t="s">
        <v>2023</v>
      </c>
      <c r="E34" t="s">
        <v>19</v>
      </c>
      <c r="F34" t="s">
        <v>23</v>
      </c>
      <c r="G34">
        <v>5</v>
      </c>
      <c r="H34">
        <v>7100</v>
      </c>
      <c r="I34" s="6">
        <v>0.15000000000000002</v>
      </c>
      <c r="J34">
        <v>6035</v>
      </c>
    </row>
    <row r="35" spans="1:10" x14ac:dyDescent="0.25">
      <c r="A35" t="s">
        <v>56</v>
      </c>
      <c r="B35" s="2">
        <v>43875</v>
      </c>
      <c r="C35" t="s">
        <v>12</v>
      </c>
      <c r="D35" t="s">
        <v>18</v>
      </c>
      <c r="E35" t="s">
        <v>20</v>
      </c>
      <c r="F35" t="s">
        <v>23</v>
      </c>
      <c r="G35">
        <v>10</v>
      </c>
      <c r="H35">
        <v>4700</v>
      </c>
      <c r="I35" s="6">
        <v>0.2</v>
      </c>
      <c r="J35">
        <v>3760</v>
      </c>
    </row>
    <row r="36" spans="1:10" x14ac:dyDescent="0.25">
      <c r="A36" t="s">
        <v>57</v>
      </c>
      <c r="B36" s="2">
        <v>43876</v>
      </c>
      <c r="C36" t="s">
        <v>12</v>
      </c>
      <c r="D36" t="s">
        <v>2024</v>
      </c>
      <c r="E36" t="s">
        <v>21</v>
      </c>
      <c r="F36" t="s">
        <v>23</v>
      </c>
      <c r="G36">
        <v>1</v>
      </c>
      <c r="H36">
        <v>5100</v>
      </c>
      <c r="I36" s="6">
        <v>0.25</v>
      </c>
      <c r="J36">
        <v>3825</v>
      </c>
    </row>
    <row r="37" spans="1:10" x14ac:dyDescent="0.25">
      <c r="A37" t="s">
        <v>58</v>
      </c>
      <c r="B37" s="2">
        <v>43877</v>
      </c>
      <c r="C37" t="s">
        <v>12</v>
      </c>
      <c r="D37" t="s">
        <v>2025</v>
      </c>
      <c r="E37" t="s">
        <v>22</v>
      </c>
      <c r="F37" t="s">
        <v>23</v>
      </c>
      <c r="G37">
        <v>9</v>
      </c>
      <c r="H37">
        <v>14900</v>
      </c>
      <c r="I37" s="6">
        <v>0.05</v>
      </c>
      <c r="J37">
        <v>14155</v>
      </c>
    </row>
    <row r="38" spans="1:10" x14ac:dyDescent="0.25">
      <c r="A38" t="s">
        <v>59</v>
      </c>
      <c r="B38" s="2">
        <v>43878</v>
      </c>
      <c r="C38" t="s">
        <v>12</v>
      </c>
      <c r="D38" t="s">
        <v>2026</v>
      </c>
      <c r="E38" t="s">
        <v>19</v>
      </c>
      <c r="F38" t="s">
        <v>23</v>
      </c>
      <c r="G38">
        <v>2</v>
      </c>
      <c r="H38">
        <v>13300</v>
      </c>
      <c r="I38" s="6">
        <v>0.1</v>
      </c>
      <c r="J38">
        <v>11970</v>
      </c>
    </row>
    <row r="39" spans="1:10" x14ac:dyDescent="0.25">
      <c r="A39" t="s">
        <v>60</v>
      </c>
      <c r="B39" s="2">
        <v>43879</v>
      </c>
      <c r="C39" t="s">
        <v>12</v>
      </c>
      <c r="D39" t="s">
        <v>2027</v>
      </c>
      <c r="E39" t="s">
        <v>20</v>
      </c>
      <c r="F39" t="s">
        <v>23</v>
      </c>
      <c r="G39">
        <v>7</v>
      </c>
      <c r="H39">
        <v>4600</v>
      </c>
      <c r="I39" s="6">
        <v>0.15000000000000002</v>
      </c>
      <c r="J39">
        <v>3910</v>
      </c>
    </row>
    <row r="40" spans="1:10" x14ac:dyDescent="0.25">
      <c r="A40" t="s">
        <v>61</v>
      </c>
      <c r="B40" s="2">
        <v>43880</v>
      </c>
      <c r="C40" t="s">
        <v>12</v>
      </c>
      <c r="D40" t="s">
        <v>2028</v>
      </c>
      <c r="E40" t="s">
        <v>21</v>
      </c>
      <c r="F40" t="s">
        <v>23</v>
      </c>
      <c r="G40">
        <v>6</v>
      </c>
      <c r="H40">
        <v>5700</v>
      </c>
      <c r="I40" s="6">
        <v>0.2</v>
      </c>
      <c r="J40">
        <v>4560</v>
      </c>
    </row>
    <row r="41" spans="1:10" x14ac:dyDescent="0.25">
      <c r="A41" t="s">
        <v>62</v>
      </c>
      <c r="B41" s="2">
        <v>43881</v>
      </c>
      <c r="C41" t="s">
        <v>12</v>
      </c>
      <c r="D41" t="s">
        <v>2029</v>
      </c>
      <c r="E41" t="s">
        <v>22</v>
      </c>
      <c r="F41" t="s">
        <v>23</v>
      </c>
      <c r="G41">
        <v>9</v>
      </c>
      <c r="H41">
        <v>8200</v>
      </c>
      <c r="I41" s="6">
        <v>0.25</v>
      </c>
      <c r="J41">
        <v>6150</v>
      </c>
    </row>
    <row r="42" spans="1:10" x14ac:dyDescent="0.25">
      <c r="A42" t="s">
        <v>63</v>
      </c>
      <c r="B42" s="2">
        <v>43882</v>
      </c>
      <c r="C42" t="s">
        <v>13</v>
      </c>
      <c r="D42" t="s">
        <v>16</v>
      </c>
      <c r="E42" t="s">
        <v>19</v>
      </c>
      <c r="F42" t="s">
        <v>24</v>
      </c>
      <c r="G42">
        <v>8</v>
      </c>
      <c r="H42">
        <v>8200</v>
      </c>
      <c r="I42" s="6">
        <v>0.05</v>
      </c>
      <c r="J42">
        <v>7790</v>
      </c>
    </row>
    <row r="43" spans="1:10" x14ac:dyDescent="0.25">
      <c r="A43" t="s">
        <v>64</v>
      </c>
      <c r="B43" s="2">
        <v>43883</v>
      </c>
      <c r="C43" t="s">
        <v>13</v>
      </c>
      <c r="D43" t="s">
        <v>2030</v>
      </c>
      <c r="E43" t="s">
        <v>20</v>
      </c>
      <c r="F43" t="s">
        <v>24</v>
      </c>
      <c r="G43">
        <v>10</v>
      </c>
      <c r="H43">
        <v>5900</v>
      </c>
      <c r="I43" s="6">
        <v>0.1</v>
      </c>
      <c r="J43">
        <v>5310</v>
      </c>
    </row>
    <row r="44" spans="1:10" x14ac:dyDescent="0.25">
      <c r="A44" t="s">
        <v>65</v>
      </c>
      <c r="B44" s="2">
        <v>43884</v>
      </c>
      <c r="C44" t="s">
        <v>13</v>
      </c>
      <c r="D44" t="s">
        <v>2031</v>
      </c>
      <c r="E44" t="s">
        <v>21</v>
      </c>
      <c r="F44" t="s">
        <v>24</v>
      </c>
      <c r="G44">
        <v>10</v>
      </c>
      <c r="H44">
        <v>14100</v>
      </c>
      <c r="I44" s="6">
        <v>0.15000000000000002</v>
      </c>
      <c r="J44">
        <v>11985</v>
      </c>
    </row>
    <row r="45" spans="1:10" x14ac:dyDescent="0.25">
      <c r="A45" t="s">
        <v>66</v>
      </c>
      <c r="B45" s="2">
        <v>43885</v>
      </c>
      <c r="C45" t="s">
        <v>13</v>
      </c>
      <c r="D45" t="s">
        <v>2032</v>
      </c>
      <c r="E45" t="s">
        <v>22</v>
      </c>
      <c r="F45" t="s">
        <v>24</v>
      </c>
      <c r="G45">
        <v>3</v>
      </c>
      <c r="H45">
        <v>7400</v>
      </c>
      <c r="I45" s="6">
        <v>0.2</v>
      </c>
      <c r="J45">
        <v>5920</v>
      </c>
    </row>
    <row r="46" spans="1:10" x14ac:dyDescent="0.25">
      <c r="A46" t="s">
        <v>67</v>
      </c>
      <c r="B46" s="2">
        <v>43886</v>
      </c>
      <c r="C46" t="s">
        <v>13</v>
      </c>
      <c r="D46" t="s">
        <v>2033</v>
      </c>
      <c r="E46" t="s">
        <v>19</v>
      </c>
      <c r="F46" t="s">
        <v>24</v>
      </c>
      <c r="G46">
        <v>2</v>
      </c>
      <c r="H46">
        <v>15000</v>
      </c>
      <c r="I46" s="6">
        <v>0.25</v>
      </c>
      <c r="J46">
        <v>11250</v>
      </c>
    </row>
    <row r="47" spans="1:10" x14ac:dyDescent="0.25">
      <c r="A47" t="s">
        <v>68</v>
      </c>
      <c r="B47" s="2">
        <v>43887</v>
      </c>
      <c r="C47" t="s">
        <v>13</v>
      </c>
      <c r="D47" t="s">
        <v>2034</v>
      </c>
      <c r="E47" t="s">
        <v>20</v>
      </c>
      <c r="F47" t="s">
        <v>24</v>
      </c>
      <c r="G47">
        <v>9</v>
      </c>
      <c r="H47">
        <v>6800</v>
      </c>
      <c r="I47" s="6">
        <v>0.05</v>
      </c>
      <c r="J47">
        <v>6460</v>
      </c>
    </row>
    <row r="48" spans="1:10" x14ac:dyDescent="0.25">
      <c r="A48" t="s">
        <v>69</v>
      </c>
      <c r="B48" s="2">
        <v>43888</v>
      </c>
      <c r="C48" t="s">
        <v>13</v>
      </c>
      <c r="D48" t="s">
        <v>2035</v>
      </c>
      <c r="E48" t="s">
        <v>21</v>
      </c>
      <c r="F48" t="s">
        <v>24</v>
      </c>
      <c r="G48">
        <v>6</v>
      </c>
      <c r="H48">
        <v>7800</v>
      </c>
      <c r="I48" s="6">
        <v>0.1</v>
      </c>
      <c r="J48">
        <v>7020</v>
      </c>
    </row>
    <row r="49" spans="1:10" x14ac:dyDescent="0.25">
      <c r="A49" t="s">
        <v>70</v>
      </c>
      <c r="B49" s="2">
        <v>43889</v>
      </c>
      <c r="C49" t="s">
        <v>13</v>
      </c>
      <c r="D49" t="s">
        <v>2036</v>
      </c>
      <c r="E49" t="s">
        <v>22</v>
      </c>
      <c r="F49" t="s">
        <v>24</v>
      </c>
      <c r="G49">
        <v>10</v>
      </c>
      <c r="H49">
        <v>11600</v>
      </c>
      <c r="I49" s="6">
        <v>0.15000000000000002</v>
      </c>
      <c r="J49">
        <v>9860</v>
      </c>
    </row>
    <row r="50" spans="1:10" x14ac:dyDescent="0.25">
      <c r="A50" t="s">
        <v>71</v>
      </c>
      <c r="B50" s="2">
        <v>43890</v>
      </c>
      <c r="C50" t="s">
        <v>13</v>
      </c>
      <c r="D50" t="s">
        <v>2037</v>
      </c>
      <c r="E50" t="s">
        <v>19</v>
      </c>
      <c r="F50" t="s">
        <v>24</v>
      </c>
      <c r="G50">
        <v>8</v>
      </c>
      <c r="H50">
        <v>12500</v>
      </c>
      <c r="I50" s="6">
        <v>0.2</v>
      </c>
      <c r="J50">
        <v>10000</v>
      </c>
    </row>
    <row r="51" spans="1:10" x14ac:dyDescent="0.25">
      <c r="A51" t="s">
        <v>72</v>
      </c>
      <c r="B51" s="2">
        <v>43891</v>
      </c>
      <c r="C51" t="s">
        <v>13</v>
      </c>
      <c r="D51" t="s">
        <v>2038</v>
      </c>
      <c r="E51" t="s">
        <v>20</v>
      </c>
      <c r="F51" t="s">
        <v>24</v>
      </c>
      <c r="G51">
        <v>7</v>
      </c>
      <c r="H51">
        <v>11700</v>
      </c>
      <c r="I51" s="6">
        <v>0.25</v>
      </c>
      <c r="J51">
        <v>8775</v>
      </c>
    </row>
    <row r="52" spans="1:10" x14ac:dyDescent="0.25">
      <c r="A52" t="s">
        <v>73</v>
      </c>
      <c r="B52" s="2">
        <v>43892</v>
      </c>
      <c r="C52" t="s">
        <v>14</v>
      </c>
      <c r="D52" t="s">
        <v>2039</v>
      </c>
      <c r="E52" t="s">
        <v>21</v>
      </c>
      <c r="F52" t="s">
        <v>25</v>
      </c>
      <c r="G52">
        <v>10</v>
      </c>
      <c r="H52">
        <v>10800</v>
      </c>
      <c r="I52" s="6">
        <v>0.05</v>
      </c>
      <c r="J52">
        <v>10260</v>
      </c>
    </row>
    <row r="53" spans="1:10" x14ac:dyDescent="0.25">
      <c r="A53" t="s">
        <v>74</v>
      </c>
      <c r="B53" s="2">
        <v>43893</v>
      </c>
      <c r="C53" t="s">
        <v>14</v>
      </c>
      <c r="D53" t="s">
        <v>2040</v>
      </c>
      <c r="E53" t="s">
        <v>22</v>
      </c>
      <c r="F53" t="s">
        <v>25</v>
      </c>
      <c r="G53">
        <v>7</v>
      </c>
      <c r="H53">
        <v>9100</v>
      </c>
      <c r="I53" s="6">
        <v>0.1</v>
      </c>
      <c r="J53">
        <v>8190</v>
      </c>
    </row>
    <row r="54" spans="1:10" x14ac:dyDescent="0.25">
      <c r="A54" t="s">
        <v>75</v>
      </c>
      <c r="B54" s="2">
        <v>43894</v>
      </c>
      <c r="C54" t="s">
        <v>14</v>
      </c>
      <c r="D54" t="s">
        <v>2041</v>
      </c>
      <c r="E54" t="s">
        <v>19</v>
      </c>
      <c r="F54" t="s">
        <v>25</v>
      </c>
      <c r="G54">
        <v>1</v>
      </c>
      <c r="H54">
        <v>7400</v>
      </c>
      <c r="I54" s="6">
        <v>0.15000000000000002</v>
      </c>
      <c r="J54">
        <v>6290</v>
      </c>
    </row>
    <row r="55" spans="1:10" x14ac:dyDescent="0.25">
      <c r="A55" t="s">
        <v>76</v>
      </c>
      <c r="B55" s="2">
        <v>43895</v>
      </c>
      <c r="C55" t="s">
        <v>14</v>
      </c>
      <c r="D55" t="s">
        <v>2042</v>
      </c>
      <c r="E55" t="s">
        <v>20</v>
      </c>
      <c r="F55" t="s">
        <v>25</v>
      </c>
      <c r="G55">
        <v>4</v>
      </c>
      <c r="H55">
        <v>14800</v>
      </c>
      <c r="I55" s="6">
        <v>0.2</v>
      </c>
      <c r="J55">
        <v>11840</v>
      </c>
    </row>
    <row r="56" spans="1:10" x14ac:dyDescent="0.25">
      <c r="A56" t="s">
        <v>77</v>
      </c>
      <c r="B56" s="2">
        <v>43896</v>
      </c>
      <c r="C56" t="s">
        <v>14</v>
      </c>
      <c r="D56" t="s">
        <v>2043</v>
      </c>
      <c r="E56" t="s">
        <v>21</v>
      </c>
      <c r="F56" t="s">
        <v>25</v>
      </c>
      <c r="G56">
        <v>7</v>
      </c>
      <c r="H56">
        <v>9400</v>
      </c>
      <c r="I56" s="6">
        <v>0.25</v>
      </c>
      <c r="J56">
        <v>7050</v>
      </c>
    </row>
    <row r="57" spans="1:10" x14ac:dyDescent="0.25">
      <c r="A57" t="s">
        <v>78</v>
      </c>
      <c r="B57" s="2">
        <v>43897</v>
      </c>
      <c r="C57" t="s">
        <v>14</v>
      </c>
      <c r="D57" t="s">
        <v>2044</v>
      </c>
      <c r="E57" t="s">
        <v>22</v>
      </c>
      <c r="F57" t="s">
        <v>25</v>
      </c>
      <c r="G57">
        <v>10</v>
      </c>
      <c r="H57">
        <v>4100</v>
      </c>
      <c r="I57" s="6">
        <v>0.05</v>
      </c>
      <c r="J57">
        <v>3895</v>
      </c>
    </row>
    <row r="58" spans="1:10" x14ac:dyDescent="0.25">
      <c r="A58" t="s">
        <v>79</v>
      </c>
      <c r="B58" s="2">
        <v>43898</v>
      </c>
      <c r="C58" t="s">
        <v>14</v>
      </c>
      <c r="D58" t="s">
        <v>2045</v>
      </c>
      <c r="E58" t="s">
        <v>19</v>
      </c>
      <c r="F58" t="s">
        <v>25</v>
      </c>
      <c r="G58">
        <v>7</v>
      </c>
      <c r="H58">
        <v>14800</v>
      </c>
      <c r="I58" s="6">
        <v>0.1</v>
      </c>
      <c r="J58">
        <v>13320</v>
      </c>
    </row>
    <row r="59" spans="1:10" x14ac:dyDescent="0.25">
      <c r="A59" t="s">
        <v>80</v>
      </c>
      <c r="B59" s="2">
        <v>43899</v>
      </c>
      <c r="C59" t="s">
        <v>14</v>
      </c>
      <c r="D59" t="s">
        <v>2046</v>
      </c>
      <c r="E59" t="s">
        <v>20</v>
      </c>
      <c r="F59" t="s">
        <v>25</v>
      </c>
      <c r="G59">
        <v>7</v>
      </c>
      <c r="H59">
        <v>4200</v>
      </c>
      <c r="I59" s="6">
        <v>0.15000000000000002</v>
      </c>
      <c r="J59">
        <v>3570</v>
      </c>
    </row>
    <row r="60" spans="1:10" x14ac:dyDescent="0.25">
      <c r="A60" t="s">
        <v>81</v>
      </c>
      <c r="B60" s="2">
        <v>43900</v>
      </c>
      <c r="C60" t="s">
        <v>14</v>
      </c>
      <c r="D60" t="s">
        <v>2047</v>
      </c>
      <c r="E60" t="s">
        <v>21</v>
      </c>
      <c r="F60" t="s">
        <v>25</v>
      </c>
      <c r="G60">
        <v>10</v>
      </c>
      <c r="H60">
        <v>14900</v>
      </c>
      <c r="I60" s="6">
        <v>0.2</v>
      </c>
      <c r="J60">
        <v>11920</v>
      </c>
    </row>
    <row r="61" spans="1:10" x14ac:dyDescent="0.25">
      <c r="A61" t="s">
        <v>82</v>
      </c>
      <c r="B61" s="2">
        <v>43901</v>
      </c>
      <c r="C61" t="s">
        <v>14</v>
      </c>
      <c r="D61" t="s">
        <v>2048</v>
      </c>
      <c r="E61" t="s">
        <v>22</v>
      </c>
      <c r="F61" t="s">
        <v>25</v>
      </c>
      <c r="G61">
        <v>1</v>
      </c>
      <c r="H61">
        <v>6700</v>
      </c>
      <c r="I61" s="6">
        <v>0.25</v>
      </c>
      <c r="J61">
        <v>5025</v>
      </c>
    </row>
    <row r="62" spans="1:10" x14ac:dyDescent="0.25">
      <c r="A62" t="s">
        <v>83</v>
      </c>
      <c r="B62" s="2">
        <v>43902</v>
      </c>
      <c r="C62" t="s">
        <v>12</v>
      </c>
      <c r="D62" t="s">
        <v>15</v>
      </c>
      <c r="E62" t="s">
        <v>19</v>
      </c>
      <c r="F62" t="s">
        <v>23</v>
      </c>
      <c r="G62">
        <v>2</v>
      </c>
      <c r="H62">
        <v>8300</v>
      </c>
      <c r="I62" s="6">
        <v>0.05</v>
      </c>
      <c r="J62">
        <v>7885</v>
      </c>
    </row>
    <row r="63" spans="1:10" x14ac:dyDescent="0.25">
      <c r="A63" t="s">
        <v>84</v>
      </c>
      <c r="B63" s="2">
        <v>43903</v>
      </c>
      <c r="C63" t="s">
        <v>12</v>
      </c>
      <c r="D63" t="s">
        <v>17</v>
      </c>
      <c r="E63" t="s">
        <v>20</v>
      </c>
      <c r="F63" t="s">
        <v>23</v>
      </c>
      <c r="G63">
        <v>8</v>
      </c>
      <c r="H63">
        <v>6500</v>
      </c>
      <c r="I63" s="6">
        <v>0.1</v>
      </c>
      <c r="J63">
        <v>5850</v>
      </c>
    </row>
    <row r="64" spans="1:10" x14ac:dyDescent="0.25">
      <c r="A64" t="s">
        <v>85</v>
      </c>
      <c r="B64" s="2">
        <v>43904</v>
      </c>
      <c r="C64" t="s">
        <v>12</v>
      </c>
      <c r="D64" t="s">
        <v>2023</v>
      </c>
      <c r="E64" t="s">
        <v>21</v>
      </c>
      <c r="F64" t="s">
        <v>23</v>
      </c>
      <c r="G64">
        <v>5</v>
      </c>
      <c r="H64">
        <v>6600</v>
      </c>
      <c r="I64" s="6">
        <v>0.15000000000000002</v>
      </c>
      <c r="J64">
        <v>5610</v>
      </c>
    </row>
    <row r="65" spans="1:10" x14ac:dyDescent="0.25">
      <c r="A65" t="s">
        <v>86</v>
      </c>
      <c r="B65" s="2">
        <v>43905</v>
      </c>
      <c r="C65" t="s">
        <v>12</v>
      </c>
      <c r="D65" t="s">
        <v>18</v>
      </c>
      <c r="E65" t="s">
        <v>22</v>
      </c>
      <c r="F65" t="s">
        <v>23</v>
      </c>
      <c r="G65">
        <v>2</v>
      </c>
      <c r="H65">
        <v>8700</v>
      </c>
      <c r="I65" s="6">
        <v>0.2</v>
      </c>
      <c r="J65">
        <v>6960</v>
      </c>
    </row>
    <row r="66" spans="1:10" x14ac:dyDescent="0.25">
      <c r="A66" t="s">
        <v>87</v>
      </c>
      <c r="B66" s="2">
        <v>43906</v>
      </c>
      <c r="C66" t="s">
        <v>12</v>
      </c>
      <c r="D66" t="s">
        <v>2024</v>
      </c>
      <c r="E66" t="s">
        <v>19</v>
      </c>
      <c r="F66" t="s">
        <v>23</v>
      </c>
      <c r="G66">
        <v>3</v>
      </c>
      <c r="H66">
        <v>14500</v>
      </c>
      <c r="I66" s="6">
        <v>0.25</v>
      </c>
      <c r="J66">
        <v>10875</v>
      </c>
    </row>
    <row r="67" spans="1:10" x14ac:dyDescent="0.25">
      <c r="A67" t="s">
        <v>88</v>
      </c>
      <c r="B67" s="2">
        <v>43907</v>
      </c>
      <c r="C67" t="s">
        <v>12</v>
      </c>
      <c r="D67" t="s">
        <v>2025</v>
      </c>
      <c r="E67" t="s">
        <v>20</v>
      </c>
      <c r="F67" t="s">
        <v>23</v>
      </c>
      <c r="G67">
        <v>4</v>
      </c>
      <c r="H67">
        <v>5300</v>
      </c>
      <c r="I67" s="6">
        <v>0.05</v>
      </c>
      <c r="J67">
        <v>5035</v>
      </c>
    </row>
    <row r="68" spans="1:10" x14ac:dyDescent="0.25">
      <c r="A68" t="s">
        <v>89</v>
      </c>
      <c r="B68" s="2">
        <v>43908</v>
      </c>
      <c r="C68" t="s">
        <v>12</v>
      </c>
      <c r="D68" t="s">
        <v>2026</v>
      </c>
      <c r="E68" t="s">
        <v>21</v>
      </c>
      <c r="F68" t="s">
        <v>23</v>
      </c>
      <c r="G68">
        <v>6</v>
      </c>
      <c r="H68">
        <v>11900</v>
      </c>
      <c r="I68" s="6">
        <v>0.1</v>
      </c>
      <c r="J68">
        <v>10710</v>
      </c>
    </row>
    <row r="69" spans="1:10" x14ac:dyDescent="0.25">
      <c r="A69" t="s">
        <v>90</v>
      </c>
      <c r="B69" s="2">
        <v>43909</v>
      </c>
      <c r="C69" t="s">
        <v>12</v>
      </c>
      <c r="D69" t="s">
        <v>2027</v>
      </c>
      <c r="E69" t="s">
        <v>22</v>
      </c>
      <c r="F69" t="s">
        <v>23</v>
      </c>
      <c r="G69">
        <v>1</v>
      </c>
      <c r="H69">
        <v>6600</v>
      </c>
      <c r="I69" s="6">
        <v>0.15000000000000002</v>
      </c>
      <c r="J69">
        <v>5610</v>
      </c>
    </row>
    <row r="70" spans="1:10" x14ac:dyDescent="0.25">
      <c r="A70" t="s">
        <v>91</v>
      </c>
      <c r="B70" s="2">
        <v>43910</v>
      </c>
      <c r="C70" t="s">
        <v>12</v>
      </c>
      <c r="D70" t="s">
        <v>2028</v>
      </c>
      <c r="E70" t="s">
        <v>19</v>
      </c>
      <c r="F70" t="s">
        <v>23</v>
      </c>
      <c r="G70">
        <v>9</v>
      </c>
      <c r="H70">
        <v>9300</v>
      </c>
      <c r="I70" s="6">
        <v>0.2</v>
      </c>
      <c r="J70">
        <v>7440</v>
      </c>
    </row>
    <row r="71" spans="1:10" x14ac:dyDescent="0.25">
      <c r="A71" t="s">
        <v>92</v>
      </c>
      <c r="B71" s="2">
        <v>43911</v>
      </c>
      <c r="C71" t="s">
        <v>12</v>
      </c>
      <c r="D71" t="s">
        <v>2029</v>
      </c>
      <c r="E71" t="s">
        <v>20</v>
      </c>
      <c r="F71" t="s">
        <v>23</v>
      </c>
      <c r="G71">
        <v>9</v>
      </c>
      <c r="H71">
        <v>14900</v>
      </c>
      <c r="I71" s="6">
        <v>0.25</v>
      </c>
      <c r="J71">
        <v>11175</v>
      </c>
    </row>
    <row r="72" spans="1:10" x14ac:dyDescent="0.25">
      <c r="A72" t="s">
        <v>93</v>
      </c>
      <c r="B72" s="2">
        <v>43912</v>
      </c>
      <c r="C72" t="s">
        <v>13</v>
      </c>
      <c r="D72" t="s">
        <v>16</v>
      </c>
      <c r="E72" t="s">
        <v>21</v>
      </c>
      <c r="F72" t="s">
        <v>24</v>
      </c>
      <c r="G72">
        <v>2</v>
      </c>
      <c r="H72">
        <v>14500</v>
      </c>
      <c r="I72" s="6">
        <v>0.05</v>
      </c>
      <c r="J72">
        <v>13775</v>
      </c>
    </row>
    <row r="73" spans="1:10" x14ac:dyDescent="0.25">
      <c r="A73" t="s">
        <v>94</v>
      </c>
      <c r="B73" s="2">
        <v>43913</v>
      </c>
      <c r="C73" t="s">
        <v>13</v>
      </c>
      <c r="D73" t="s">
        <v>2030</v>
      </c>
      <c r="E73" t="s">
        <v>22</v>
      </c>
      <c r="F73" t="s">
        <v>24</v>
      </c>
      <c r="G73">
        <v>3</v>
      </c>
      <c r="H73">
        <v>12500</v>
      </c>
      <c r="I73" s="6">
        <v>0.1</v>
      </c>
      <c r="J73">
        <v>11250</v>
      </c>
    </row>
    <row r="74" spans="1:10" x14ac:dyDescent="0.25">
      <c r="A74" t="s">
        <v>95</v>
      </c>
      <c r="B74" s="2">
        <v>43914</v>
      </c>
      <c r="C74" t="s">
        <v>13</v>
      </c>
      <c r="D74" t="s">
        <v>2031</v>
      </c>
      <c r="E74" t="s">
        <v>19</v>
      </c>
      <c r="F74" t="s">
        <v>24</v>
      </c>
      <c r="G74">
        <v>4</v>
      </c>
      <c r="H74">
        <v>14800</v>
      </c>
      <c r="I74" s="6">
        <v>0.15000000000000002</v>
      </c>
      <c r="J74">
        <v>12580</v>
      </c>
    </row>
    <row r="75" spans="1:10" x14ac:dyDescent="0.25">
      <c r="A75" t="s">
        <v>96</v>
      </c>
      <c r="B75" s="2">
        <v>43915</v>
      </c>
      <c r="C75" t="s">
        <v>13</v>
      </c>
      <c r="D75" t="s">
        <v>2032</v>
      </c>
      <c r="E75" t="s">
        <v>20</v>
      </c>
      <c r="F75" t="s">
        <v>24</v>
      </c>
      <c r="G75">
        <v>4</v>
      </c>
      <c r="H75">
        <v>8400</v>
      </c>
      <c r="I75" s="6">
        <v>0.2</v>
      </c>
      <c r="J75">
        <v>6720</v>
      </c>
    </row>
    <row r="76" spans="1:10" x14ac:dyDescent="0.25">
      <c r="A76" t="s">
        <v>97</v>
      </c>
      <c r="B76" s="2">
        <v>43916</v>
      </c>
      <c r="C76" t="s">
        <v>13</v>
      </c>
      <c r="D76" t="s">
        <v>2033</v>
      </c>
      <c r="E76" t="s">
        <v>21</v>
      </c>
      <c r="F76" t="s">
        <v>24</v>
      </c>
      <c r="G76">
        <v>10</v>
      </c>
      <c r="H76">
        <v>11400</v>
      </c>
      <c r="I76" s="6">
        <v>0.25</v>
      </c>
      <c r="J76">
        <v>8550</v>
      </c>
    </row>
    <row r="77" spans="1:10" x14ac:dyDescent="0.25">
      <c r="A77" t="s">
        <v>98</v>
      </c>
      <c r="B77" s="2">
        <v>43917</v>
      </c>
      <c r="C77" t="s">
        <v>13</v>
      </c>
      <c r="D77" t="s">
        <v>2034</v>
      </c>
      <c r="E77" t="s">
        <v>22</v>
      </c>
      <c r="F77" t="s">
        <v>24</v>
      </c>
      <c r="G77">
        <v>7</v>
      </c>
      <c r="H77">
        <v>10700</v>
      </c>
      <c r="I77" s="6">
        <v>0.05</v>
      </c>
      <c r="J77">
        <v>10165</v>
      </c>
    </row>
    <row r="78" spans="1:10" x14ac:dyDescent="0.25">
      <c r="A78" t="s">
        <v>99</v>
      </c>
      <c r="B78" s="2">
        <v>43918</v>
      </c>
      <c r="C78" t="s">
        <v>13</v>
      </c>
      <c r="D78" t="s">
        <v>2035</v>
      </c>
      <c r="E78" t="s">
        <v>19</v>
      </c>
      <c r="F78" t="s">
        <v>24</v>
      </c>
      <c r="G78">
        <v>7</v>
      </c>
      <c r="H78">
        <v>4300</v>
      </c>
      <c r="I78" s="6">
        <v>0.1</v>
      </c>
      <c r="J78">
        <v>3870</v>
      </c>
    </row>
    <row r="79" spans="1:10" x14ac:dyDescent="0.25">
      <c r="A79" t="s">
        <v>100</v>
      </c>
      <c r="B79" s="2">
        <v>43919</v>
      </c>
      <c r="C79" t="s">
        <v>13</v>
      </c>
      <c r="D79" t="s">
        <v>2036</v>
      </c>
      <c r="E79" t="s">
        <v>20</v>
      </c>
      <c r="F79" t="s">
        <v>24</v>
      </c>
      <c r="G79">
        <v>2</v>
      </c>
      <c r="H79">
        <v>12700</v>
      </c>
      <c r="I79" s="6">
        <v>0.15000000000000002</v>
      </c>
      <c r="J79">
        <v>10795</v>
      </c>
    </row>
    <row r="80" spans="1:10" x14ac:dyDescent="0.25">
      <c r="A80" t="s">
        <v>101</v>
      </c>
      <c r="B80" s="2">
        <v>43920</v>
      </c>
      <c r="C80" t="s">
        <v>13</v>
      </c>
      <c r="D80" t="s">
        <v>2037</v>
      </c>
      <c r="E80" t="s">
        <v>21</v>
      </c>
      <c r="F80" t="s">
        <v>24</v>
      </c>
      <c r="G80">
        <v>4</v>
      </c>
      <c r="H80">
        <v>4600</v>
      </c>
      <c r="I80" s="6">
        <v>0.2</v>
      </c>
      <c r="J80">
        <v>3680</v>
      </c>
    </row>
    <row r="81" spans="1:10" x14ac:dyDescent="0.25">
      <c r="A81" t="s">
        <v>102</v>
      </c>
      <c r="B81" s="2">
        <v>43921</v>
      </c>
      <c r="C81" t="s">
        <v>13</v>
      </c>
      <c r="D81" t="s">
        <v>2038</v>
      </c>
      <c r="E81" t="s">
        <v>22</v>
      </c>
      <c r="F81" t="s">
        <v>24</v>
      </c>
      <c r="G81">
        <v>9</v>
      </c>
      <c r="H81">
        <v>10200</v>
      </c>
      <c r="I81" s="6">
        <v>0.25</v>
      </c>
      <c r="J81">
        <v>7650</v>
      </c>
    </row>
    <row r="82" spans="1:10" x14ac:dyDescent="0.25">
      <c r="A82" t="s">
        <v>103</v>
      </c>
      <c r="B82" s="2">
        <v>43922</v>
      </c>
      <c r="C82" t="s">
        <v>14</v>
      </c>
      <c r="D82" t="s">
        <v>2039</v>
      </c>
      <c r="E82" t="s">
        <v>19</v>
      </c>
      <c r="F82" t="s">
        <v>25</v>
      </c>
      <c r="G82">
        <v>1</v>
      </c>
      <c r="H82">
        <v>12400</v>
      </c>
      <c r="I82" s="6">
        <v>0.05</v>
      </c>
      <c r="J82">
        <v>11780</v>
      </c>
    </row>
    <row r="83" spans="1:10" x14ac:dyDescent="0.25">
      <c r="A83" t="s">
        <v>104</v>
      </c>
      <c r="B83" s="2">
        <v>43923</v>
      </c>
      <c r="C83" t="s">
        <v>14</v>
      </c>
      <c r="D83" t="s">
        <v>2040</v>
      </c>
      <c r="E83" t="s">
        <v>20</v>
      </c>
      <c r="F83" t="s">
        <v>25</v>
      </c>
      <c r="G83">
        <v>4</v>
      </c>
      <c r="H83">
        <v>10200</v>
      </c>
      <c r="I83" s="6">
        <v>0.1</v>
      </c>
      <c r="J83">
        <v>9180</v>
      </c>
    </row>
    <row r="84" spans="1:10" x14ac:dyDescent="0.25">
      <c r="A84" t="s">
        <v>105</v>
      </c>
      <c r="B84" s="2">
        <v>43924</v>
      </c>
      <c r="C84" t="s">
        <v>14</v>
      </c>
      <c r="D84" t="s">
        <v>2041</v>
      </c>
      <c r="E84" t="s">
        <v>21</v>
      </c>
      <c r="F84" t="s">
        <v>25</v>
      </c>
      <c r="G84">
        <v>8</v>
      </c>
      <c r="H84">
        <v>12300</v>
      </c>
      <c r="I84" s="6">
        <v>0.15000000000000002</v>
      </c>
      <c r="J84">
        <v>10455</v>
      </c>
    </row>
    <row r="85" spans="1:10" x14ac:dyDescent="0.25">
      <c r="A85" t="s">
        <v>106</v>
      </c>
      <c r="B85" s="2">
        <v>43925</v>
      </c>
      <c r="C85" t="s">
        <v>14</v>
      </c>
      <c r="D85" t="s">
        <v>2042</v>
      </c>
      <c r="E85" t="s">
        <v>22</v>
      </c>
      <c r="F85" t="s">
        <v>25</v>
      </c>
      <c r="G85">
        <v>5</v>
      </c>
      <c r="H85">
        <v>8100</v>
      </c>
      <c r="I85" s="6">
        <v>0.2</v>
      </c>
      <c r="J85">
        <v>6480</v>
      </c>
    </row>
    <row r="86" spans="1:10" x14ac:dyDescent="0.25">
      <c r="A86" t="s">
        <v>107</v>
      </c>
      <c r="B86" s="2">
        <v>43926</v>
      </c>
      <c r="C86" t="s">
        <v>14</v>
      </c>
      <c r="D86" t="s">
        <v>2043</v>
      </c>
      <c r="E86" t="s">
        <v>19</v>
      </c>
      <c r="F86" t="s">
        <v>25</v>
      </c>
      <c r="G86">
        <v>4</v>
      </c>
      <c r="H86">
        <v>13400</v>
      </c>
      <c r="I86" s="6">
        <v>0.25</v>
      </c>
      <c r="J86">
        <v>10050</v>
      </c>
    </row>
    <row r="87" spans="1:10" x14ac:dyDescent="0.25">
      <c r="A87" t="s">
        <v>108</v>
      </c>
      <c r="B87" s="2">
        <v>43927</v>
      </c>
      <c r="C87" t="s">
        <v>14</v>
      </c>
      <c r="D87" t="s">
        <v>2044</v>
      </c>
      <c r="E87" t="s">
        <v>20</v>
      </c>
      <c r="F87" t="s">
        <v>25</v>
      </c>
      <c r="G87">
        <v>6</v>
      </c>
      <c r="H87">
        <v>14900</v>
      </c>
      <c r="I87" s="6">
        <v>0.05</v>
      </c>
      <c r="J87">
        <v>14155</v>
      </c>
    </row>
    <row r="88" spans="1:10" x14ac:dyDescent="0.25">
      <c r="A88" t="s">
        <v>109</v>
      </c>
      <c r="B88" s="2">
        <v>43928</v>
      </c>
      <c r="C88" t="s">
        <v>14</v>
      </c>
      <c r="D88" t="s">
        <v>2045</v>
      </c>
      <c r="E88" t="s">
        <v>21</v>
      </c>
      <c r="F88" t="s">
        <v>25</v>
      </c>
      <c r="G88">
        <v>9</v>
      </c>
      <c r="H88">
        <v>10800</v>
      </c>
      <c r="I88" s="6">
        <v>0.1</v>
      </c>
      <c r="J88">
        <v>9720</v>
      </c>
    </row>
    <row r="89" spans="1:10" x14ac:dyDescent="0.25">
      <c r="A89" t="s">
        <v>110</v>
      </c>
      <c r="B89" s="2">
        <v>43929</v>
      </c>
      <c r="C89" t="s">
        <v>14</v>
      </c>
      <c r="D89" t="s">
        <v>2046</v>
      </c>
      <c r="E89" t="s">
        <v>22</v>
      </c>
      <c r="F89" t="s">
        <v>25</v>
      </c>
      <c r="G89">
        <v>1</v>
      </c>
      <c r="H89">
        <v>5100</v>
      </c>
      <c r="I89" s="6">
        <v>0.15000000000000002</v>
      </c>
      <c r="J89">
        <v>4335</v>
      </c>
    </row>
    <row r="90" spans="1:10" x14ac:dyDescent="0.25">
      <c r="A90" t="s">
        <v>111</v>
      </c>
      <c r="B90" s="2">
        <v>43930</v>
      </c>
      <c r="C90" t="s">
        <v>14</v>
      </c>
      <c r="D90" t="s">
        <v>2047</v>
      </c>
      <c r="E90" t="s">
        <v>19</v>
      </c>
      <c r="F90" t="s">
        <v>25</v>
      </c>
      <c r="G90">
        <v>2</v>
      </c>
      <c r="H90">
        <v>6600</v>
      </c>
      <c r="I90" s="6">
        <v>0.2</v>
      </c>
      <c r="J90">
        <v>5280</v>
      </c>
    </row>
    <row r="91" spans="1:10" x14ac:dyDescent="0.25">
      <c r="A91" t="s">
        <v>112</v>
      </c>
      <c r="B91" s="2">
        <v>43931</v>
      </c>
      <c r="C91" t="s">
        <v>14</v>
      </c>
      <c r="D91" t="s">
        <v>2048</v>
      </c>
      <c r="E91" t="s">
        <v>20</v>
      </c>
      <c r="F91" t="s">
        <v>25</v>
      </c>
      <c r="G91">
        <v>6</v>
      </c>
      <c r="H91">
        <v>14000</v>
      </c>
      <c r="I91" s="6">
        <v>0.25</v>
      </c>
      <c r="J91">
        <v>10500</v>
      </c>
    </row>
    <row r="92" spans="1:10" x14ac:dyDescent="0.25">
      <c r="A92" t="s">
        <v>113</v>
      </c>
      <c r="B92" s="2">
        <v>43932</v>
      </c>
      <c r="C92" t="s">
        <v>12</v>
      </c>
      <c r="D92" t="s">
        <v>15</v>
      </c>
      <c r="E92" t="s">
        <v>21</v>
      </c>
      <c r="F92" t="s">
        <v>23</v>
      </c>
      <c r="G92">
        <v>8</v>
      </c>
      <c r="H92">
        <v>9400</v>
      </c>
      <c r="I92" s="6">
        <v>0.05</v>
      </c>
      <c r="J92">
        <v>8930</v>
      </c>
    </row>
    <row r="93" spans="1:10" x14ac:dyDescent="0.25">
      <c r="A93" t="s">
        <v>114</v>
      </c>
      <c r="B93" s="2">
        <v>43933</v>
      </c>
      <c r="C93" t="s">
        <v>12</v>
      </c>
      <c r="D93" t="s">
        <v>17</v>
      </c>
      <c r="E93" t="s">
        <v>22</v>
      </c>
      <c r="F93" t="s">
        <v>23</v>
      </c>
      <c r="G93">
        <v>2</v>
      </c>
      <c r="H93">
        <v>4800</v>
      </c>
      <c r="I93" s="6">
        <v>0.1</v>
      </c>
      <c r="J93">
        <v>4320</v>
      </c>
    </row>
    <row r="94" spans="1:10" x14ac:dyDescent="0.25">
      <c r="A94" t="s">
        <v>115</v>
      </c>
      <c r="B94" s="2">
        <v>43934</v>
      </c>
      <c r="C94" t="s">
        <v>12</v>
      </c>
      <c r="D94" t="s">
        <v>2023</v>
      </c>
      <c r="E94" t="s">
        <v>19</v>
      </c>
      <c r="F94" t="s">
        <v>23</v>
      </c>
      <c r="G94">
        <v>6</v>
      </c>
      <c r="H94">
        <v>14700</v>
      </c>
      <c r="I94" s="6">
        <v>0.15000000000000002</v>
      </c>
      <c r="J94">
        <v>12495</v>
      </c>
    </row>
    <row r="95" spans="1:10" x14ac:dyDescent="0.25">
      <c r="A95" t="s">
        <v>116</v>
      </c>
      <c r="B95" s="2">
        <v>43935</v>
      </c>
      <c r="C95" t="s">
        <v>12</v>
      </c>
      <c r="D95" t="s">
        <v>18</v>
      </c>
      <c r="E95" t="s">
        <v>20</v>
      </c>
      <c r="F95" t="s">
        <v>23</v>
      </c>
      <c r="G95">
        <v>4</v>
      </c>
      <c r="H95">
        <v>10200</v>
      </c>
      <c r="I95" s="6">
        <v>0.2</v>
      </c>
      <c r="J95">
        <v>8160</v>
      </c>
    </row>
    <row r="96" spans="1:10" x14ac:dyDescent="0.25">
      <c r="A96" t="s">
        <v>117</v>
      </c>
      <c r="B96" s="2">
        <v>43936</v>
      </c>
      <c r="C96" t="s">
        <v>12</v>
      </c>
      <c r="D96" t="s">
        <v>2024</v>
      </c>
      <c r="E96" t="s">
        <v>21</v>
      </c>
      <c r="F96" t="s">
        <v>23</v>
      </c>
      <c r="G96">
        <v>3</v>
      </c>
      <c r="H96">
        <v>11100</v>
      </c>
      <c r="I96" s="6">
        <v>0.25</v>
      </c>
      <c r="J96">
        <v>8325</v>
      </c>
    </row>
    <row r="97" spans="1:10" x14ac:dyDescent="0.25">
      <c r="A97" t="s">
        <v>118</v>
      </c>
      <c r="B97" s="2">
        <v>43937</v>
      </c>
      <c r="C97" t="s">
        <v>12</v>
      </c>
      <c r="D97" t="s">
        <v>2025</v>
      </c>
      <c r="E97" t="s">
        <v>22</v>
      </c>
      <c r="F97" t="s">
        <v>23</v>
      </c>
      <c r="G97">
        <v>6</v>
      </c>
      <c r="H97">
        <v>7400</v>
      </c>
      <c r="I97" s="6">
        <v>0.05</v>
      </c>
      <c r="J97">
        <v>7030</v>
      </c>
    </row>
    <row r="98" spans="1:10" x14ac:dyDescent="0.25">
      <c r="A98" t="s">
        <v>119</v>
      </c>
      <c r="B98" s="2">
        <v>43938</v>
      </c>
      <c r="C98" t="s">
        <v>12</v>
      </c>
      <c r="D98" t="s">
        <v>2026</v>
      </c>
      <c r="E98" t="s">
        <v>19</v>
      </c>
      <c r="F98" t="s">
        <v>23</v>
      </c>
      <c r="G98">
        <v>5</v>
      </c>
      <c r="H98">
        <v>7400</v>
      </c>
      <c r="I98" s="6">
        <v>0.1</v>
      </c>
      <c r="J98">
        <v>6660</v>
      </c>
    </row>
    <row r="99" spans="1:10" x14ac:dyDescent="0.25">
      <c r="A99" t="s">
        <v>120</v>
      </c>
      <c r="B99" s="2">
        <v>43939</v>
      </c>
      <c r="C99" t="s">
        <v>12</v>
      </c>
      <c r="D99" t="s">
        <v>2027</v>
      </c>
      <c r="E99" t="s">
        <v>20</v>
      </c>
      <c r="F99" t="s">
        <v>23</v>
      </c>
      <c r="G99">
        <v>8</v>
      </c>
      <c r="H99">
        <v>8000</v>
      </c>
      <c r="I99" s="6">
        <v>0.15000000000000002</v>
      </c>
      <c r="J99">
        <v>6800</v>
      </c>
    </row>
    <row r="100" spans="1:10" x14ac:dyDescent="0.25">
      <c r="A100" t="s">
        <v>121</v>
      </c>
      <c r="B100" s="2">
        <v>43940</v>
      </c>
      <c r="C100" t="s">
        <v>12</v>
      </c>
      <c r="D100" t="s">
        <v>2028</v>
      </c>
      <c r="E100" t="s">
        <v>21</v>
      </c>
      <c r="F100" t="s">
        <v>23</v>
      </c>
      <c r="G100">
        <v>8</v>
      </c>
      <c r="H100">
        <v>7600</v>
      </c>
      <c r="I100" s="6">
        <v>0.2</v>
      </c>
      <c r="J100">
        <v>6080</v>
      </c>
    </row>
    <row r="101" spans="1:10" x14ac:dyDescent="0.25">
      <c r="A101" t="s">
        <v>122</v>
      </c>
      <c r="B101" s="2">
        <v>43941</v>
      </c>
      <c r="C101" t="s">
        <v>12</v>
      </c>
      <c r="D101" t="s">
        <v>2029</v>
      </c>
      <c r="E101" t="s">
        <v>22</v>
      </c>
      <c r="F101" t="s">
        <v>23</v>
      </c>
      <c r="G101">
        <v>4</v>
      </c>
      <c r="H101">
        <v>10800</v>
      </c>
      <c r="I101" s="6">
        <v>0.25</v>
      </c>
      <c r="J101">
        <v>8100</v>
      </c>
    </row>
    <row r="102" spans="1:10" x14ac:dyDescent="0.25">
      <c r="A102" t="s">
        <v>123</v>
      </c>
      <c r="B102" s="2">
        <v>43942</v>
      </c>
      <c r="C102" t="s">
        <v>13</v>
      </c>
      <c r="D102" t="s">
        <v>16</v>
      </c>
      <c r="E102" t="s">
        <v>19</v>
      </c>
      <c r="F102" t="s">
        <v>24</v>
      </c>
      <c r="G102">
        <v>3</v>
      </c>
      <c r="H102">
        <v>13900</v>
      </c>
      <c r="I102" s="6">
        <v>0.05</v>
      </c>
      <c r="J102">
        <v>13205</v>
      </c>
    </row>
    <row r="103" spans="1:10" x14ac:dyDescent="0.25">
      <c r="A103" t="s">
        <v>124</v>
      </c>
      <c r="B103" s="2">
        <v>43943</v>
      </c>
      <c r="C103" t="s">
        <v>13</v>
      </c>
      <c r="D103" t="s">
        <v>2030</v>
      </c>
      <c r="E103" t="s">
        <v>20</v>
      </c>
      <c r="F103" t="s">
        <v>24</v>
      </c>
      <c r="G103">
        <v>7</v>
      </c>
      <c r="H103">
        <v>6600</v>
      </c>
      <c r="I103" s="6">
        <v>0.1</v>
      </c>
      <c r="J103">
        <v>5940</v>
      </c>
    </row>
    <row r="104" spans="1:10" x14ac:dyDescent="0.25">
      <c r="A104" t="s">
        <v>125</v>
      </c>
      <c r="B104" s="2">
        <v>43944</v>
      </c>
      <c r="C104" t="s">
        <v>13</v>
      </c>
      <c r="D104" t="s">
        <v>2031</v>
      </c>
      <c r="E104" t="s">
        <v>21</v>
      </c>
      <c r="F104" t="s">
        <v>24</v>
      </c>
      <c r="G104">
        <v>4</v>
      </c>
      <c r="H104">
        <v>9200</v>
      </c>
      <c r="I104" s="6">
        <v>0.15000000000000002</v>
      </c>
      <c r="J104">
        <v>7820</v>
      </c>
    </row>
    <row r="105" spans="1:10" x14ac:dyDescent="0.25">
      <c r="A105" t="s">
        <v>126</v>
      </c>
      <c r="B105" s="2">
        <v>43945</v>
      </c>
      <c r="C105" t="s">
        <v>13</v>
      </c>
      <c r="D105" t="s">
        <v>2032</v>
      </c>
      <c r="E105" t="s">
        <v>22</v>
      </c>
      <c r="F105" t="s">
        <v>24</v>
      </c>
      <c r="G105">
        <v>9</v>
      </c>
      <c r="H105">
        <v>5100</v>
      </c>
      <c r="I105" s="6">
        <v>0.2</v>
      </c>
      <c r="J105">
        <v>4080</v>
      </c>
    </row>
    <row r="106" spans="1:10" x14ac:dyDescent="0.25">
      <c r="A106" t="s">
        <v>127</v>
      </c>
      <c r="B106" s="2">
        <v>43946</v>
      </c>
      <c r="C106" t="s">
        <v>13</v>
      </c>
      <c r="D106" t="s">
        <v>2033</v>
      </c>
      <c r="E106" t="s">
        <v>19</v>
      </c>
      <c r="F106" t="s">
        <v>24</v>
      </c>
      <c r="G106">
        <v>9</v>
      </c>
      <c r="H106">
        <v>11900</v>
      </c>
      <c r="I106" s="6">
        <v>0.25</v>
      </c>
      <c r="J106">
        <v>8925</v>
      </c>
    </row>
    <row r="107" spans="1:10" x14ac:dyDescent="0.25">
      <c r="A107" t="s">
        <v>128</v>
      </c>
      <c r="B107" s="2">
        <v>43947</v>
      </c>
      <c r="C107" t="s">
        <v>13</v>
      </c>
      <c r="D107" t="s">
        <v>2034</v>
      </c>
      <c r="E107" t="s">
        <v>20</v>
      </c>
      <c r="F107" t="s">
        <v>24</v>
      </c>
      <c r="G107">
        <v>4</v>
      </c>
      <c r="H107">
        <v>13000</v>
      </c>
      <c r="I107" s="6">
        <v>0.05</v>
      </c>
      <c r="J107">
        <v>12350</v>
      </c>
    </row>
    <row r="108" spans="1:10" x14ac:dyDescent="0.25">
      <c r="A108" t="s">
        <v>129</v>
      </c>
      <c r="B108" s="2">
        <v>43948</v>
      </c>
      <c r="C108" t="s">
        <v>13</v>
      </c>
      <c r="D108" t="s">
        <v>2035</v>
      </c>
      <c r="E108" t="s">
        <v>21</v>
      </c>
      <c r="F108" t="s">
        <v>24</v>
      </c>
      <c r="G108">
        <v>8</v>
      </c>
      <c r="H108">
        <v>10000</v>
      </c>
      <c r="I108" s="6">
        <v>0.1</v>
      </c>
      <c r="J108">
        <v>9000</v>
      </c>
    </row>
    <row r="109" spans="1:10" x14ac:dyDescent="0.25">
      <c r="A109" t="s">
        <v>130</v>
      </c>
      <c r="B109" s="2">
        <v>43949</v>
      </c>
      <c r="C109" t="s">
        <v>13</v>
      </c>
      <c r="D109" t="s">
        <v>2036</v>
      </c>
      <c r="E109" t="s">
        <v>22</v>
      </c>
      <c r="F109" t="s">
        <v>24</v>
      </c>
      <c r="G109">
        <v>7</v>
      </c>
      <c r="H109">
        <v>10400</v>
      </c>
      <c r="I109" s="6">
        <v>0.15000000000000002</v>
      </c>
      <c r="J109">
        <v>8840</v>
      </c>
    </row>
    <row r="110" spans="1:10" x14ac:dyDescent="0.25">
      <c r="A110" t="s">
        <v>131</v>
      </c>
      <c r="B110" s="2">
        <v>43950</v>
      </c>
      <c r="C110" t="s">
        <v>13</v>
      </c>
      <c r="D110" t="s">
        <v>2037</v>
      </c>
      <c r="E110" t="s">
        <v>19</v>
      </c>
      <c r="F110" t="s">
        <v>24</v>
      </c>
      <c r="G110">
        <v>10</v>
      </c>
      <c r="H110">
        <v>8400</v>
      </c>
      <c r="I110" s="6">
        <v>0.2</v>
      </c>
      <c r="J110">
        <v>6720</v>
      </c>
    </row>
    <row r="111" spans="1:10" x14ac:dyDescent="0.25">
      <c r="A111" t="s">
        <v>132</v>
      </c>
      <c r="B111" s="2">
        <v>43951</v>
      </c>
      <c r="C111" t="s">
        <v>13</v>
      </c>
      <c r="D111" t="s">
        <v>2038</v>
      </c>
      <c r="E111" t="s">
        <v>20</v>
      </c>
      <c r="F111" t="s">
        <v>24</v>
      </c>
      <c r="G111">
        <v>6</v>
      </c>
      <c r="H111">
        <v>12300</v>
      </c>
      <c r="I111" s="6">
        <v>0.25</v>
      </c>
      <c r="J111">
        <v>9225</v>
      </c>
    </row>
    <row r="112" spans="1:10" x14ac:dyDescent="0.25">
      <c r="A112" t="s">
        <v>133</v>
      </c>
      <c r="B112" s="2">
        <v>43952</v>
      </c>
      <c r="C112" t="s">
        <v>14</v>
      </c>
      <c r="D112" t="s">
        <v>2039</v>
      </c>
      <c r="E112" t="s">
        <v>21</v>
      </c>
      <c r="F112" t="s">
        <v>25</v>
      </c>
      <c r="G112">
        <v>4</v>
      </c>
      <c r="H112">
        <v>10400</v>
      </c>
      <c r="I112" s="6">
        <v>0.05</v>
      </c>
      <c r="J112">
        <v>9880</v>
      </c>
    </row>
    <row r="113" spans="1:10" x14ac:dyDescent="0.25">
      <c r="A113" t="s">
        <v>134</v>
      </c>
      <c r="B113" s="2">
        <v>43953</v>
      </c>
      <c r="C113" t="s">
        <v>14</v>
      </c>
      <c r="D113" t="s">
        <v>2040</v>
      </c>
      <c r="E113" t="s">
        <v>22</v>
      </c>
      <c r="F113" t="s">
        <v>25</v>
      </c>
      <c r="G113">
        <v>9</v>
      </c>
      <c r="H113">
        <v>13500</v>
      </c>
      <c r="I113" s="6">
        <v>0.1</v>
      </c>
      <c r="J113">
        <v>12150</v>
      </c>
    </row>
    <row r="114" spans="1:10" x14ac:dyDescent="0.25">
      <c r="A114" t="s">
        <v>135</v>
      </c>
      <c r="B114" s="2">
        <v>43954</v>
      </c>
      <c r="C114" t="s">
        <v>14</v>
      </c>
      <c r="D114" t="s">
        <v>2041</v>
      </c>
      <c r="E114" t="s">
        <v>19</v>
      </c>
      <c r="F114" t="s">
        <v>25</v>
      </c>
      <c r="G114">
        <v>7</v>
      </c>
      <c r="H114">
        <v>10300</v>
      </c>
      <c r="I114" s="6">
        <v>0.15000000000000002</v>
      </c>
      <c r="J114">
        <v>8755</v>
      </c>
    </row>
    <row r="115" spans="1:10" x14ac:dyDescent="0.25">
      <c r="A115" t="s">
        <v>136</v>
      </c>
      <c r="B115" s="2">
        <v>43955</v>
      </c>
      <c r="C115" t="s">
        <v>14</v>
      </c>
      <c r="D115" t="s">
        <v>2042</v>
      </c>
      <c r="E115" t="s">
        <v>20</v>
      </c>
      <c r="F115" t="s">
        <v>25</v>
      </c>
      <c r="G115">
        <v>8</v>
      </c>
      <c r="H115">
        <v>11700</v>
      </c>
      <c r="I115" s="6">
        <v>0.2</v>
      </c>
      <c r="J115">
        <v>9360</v>
      </c>
    </row>
    <row r="116" spans="1:10" x14ac:dyDescent="0.25">
      <c r="A116" t="s">
        <v>137</v>
      </c>
      <c r="B116" s="2">
        <v>43956</v>
      </c>
      <c r="C116" t="s">
        <v>14</v>
      </c>
      <c r="D116" t="s">
        <v>2043</v>
      </c>
      <c r="E116" t="s">
        <v>21</v>
      </c>
      <c r="F116" t="s">
        <v>25</v>
      </c>
      <c r="G116">
        <v>2</v>
      </c>
      <c r="H116">
        <v>10400</v>
      </c>
      <c r="I116" s="6">
        <v>0.25</v>
      </c>
      <c r="J116">
        <v>7800</v>
      </c>
    </row>
    <row r="117" spans="1:10" x14ac:dyDescent="0.25">
      <c r="A117" t="s">
        <v>138</v>
      </c>
      <c r="B117" s="2">
        <v>43957</v>
      </c>
      <c r="C117" t="s">
        <v>14</v>
      </c>
      <c r="D117" t="s">
        <v>2044</v>
      </c>
      <c r="E117" t="s">
        <v>22</v>
      </c>
      <c r="F117" t="s">
        <v>25</v>
      </c>
      <c r="G117">
        <v>2</v>
      </c>
      <c r="H117">
        <v>5400</v>
      </c>
      <c r="I117" s="6">
        <v>0.05</v>
      </c>
      <c r="J117">
        <v>5130</v>
      </c>
    </row>
    <row r="118" spans="1:10" x14ac:dyDescent="0.25">
      <c r="A118" t="s">
        <v>139</v>
      </c>
      <c r="B118" s="2">
        <v>43958</v>
      </c>
      <c r="C118" t="s">
        <v>14</v>
      </c>
      <c r="D118" t="s">
        <v>2045</v>
      </c>
      <c r="E118" t="s">
        <v>19</v>
      </c>
      <c r="F118" t="s">
        <v>25</v>
      </c>
      <c r="G118">
        <v>7</v>
      </c>
      <c r="H118">
        <v>4400</v>
      </c>
      <c r="I118" s="6">
        <v>0.1</v>
      </c>
      <c r="J118">
        <v>3960</v>
      </c>
    </row>
    <row r="119" spans="1:10" x14ac:dyDescent="0.25">
      <c r="A119" t="s">
        <v>140</v>
      </c>
      <c r="B119" s="2">
        <v>43959</v>
      </c>
      <c r="C119" t="s">
        <v>14</v>
      </c>
      <c r="D119" t="s">
        <v>2046</v>
      </c>
      <c r="E119" t="s">
        <v>20</v>
      </c>
      <c r="F119" t="s">
        <v>25</v>
      </c>
      <c r="G119">
        <v>10</v>
      </c>
      <c r="H119">
        <v>13700</v>
      </c>
      <c r="I119" s="6">
        <v>0.15000000000000002</v>
      </c>
      <c r="J119">
        <v>11645</v>
      </c>
    </row>
    <row r="120" spans="1:10" x14ac:dyDescent="0.25">
      <c r="A120" t="s">
        <v>141</v>
      </c>
      <c r="B120" s="2">
        <v>43960</v>
      </c>
      <c r="C120" t="s">
        <v>14</v>
      </c>
      <c r="D120" t="s">
        <v>2047</v>
      </c>
      <c r="E120" t="s">
        <v>21</v>
      </c>
      <c r="F120" t="s">
        <v>25</v>
      </c>
      <c r="G120">
        <v>2</v>
      </c>
      <c r="H120">
        <v>8700</v>
      </c>
      <c r="I120" s="6">
        <v>0.2</v>
      </c>
      <c r="J120">
        <v>6960</v>
      </c>
    </row>
    <row r="121" spans="1:10" x14ac:dyDescent="0.25">
      <c r="A121" t="s">
        <v>142</v>
      </c>
      <c r="B121" s="2">
        <v>43961</v>
      </c>
      <c r="C121" t="s">
        <v>14</v>
      </c>
      <c r="D121" t="s">
        <v>2048</v>
      </c>
      <c r="E121" t="s">
        <v>22</v>
      </c>
      <c r="F121" t="s">
        <v>25</v>
      </c>
      <c r="G121">
        <v>3</v>
      </c>
      <c r="H121">
        <v>10500</v>
      </c>
      <c r="I121" s="6">
        <v>0.25</v>
      </c>
      <c r="J121">
        <v>7875</v>
      </c>
    </row>
    <row r="122" spans="1:10" x14ac:dyDescent="0.25">
      <c r="A122" t="s">
        <v>143</v>
      </c>
      <c r="B122" s="2">
        <v>43962</v>
      </c>
      <c r="C122" t="s">
        <v>12</v>
      </c>
      <c r="D122" t="s">
        <v>15</v>
      </c>
      <c r="E122" t="s">
        <v>19</v>
      </c>
      <c r="F122" t="s">
        <v>23</v>
      </c>
      <c r="G122">
        <v>7</v>
      </c>
      <c r="H122">
        <v>11800</v>
      </c>
      <c r="I122" s="6">
        <v>0.05</v>
      </c>
      <c r="J122">
        <v>11210</v>
      </c>
    </row>
    <row r="123" spans="1:10" x14ac:dyDescent="0.25">
      <c r="A123" t="s">
        <v>144</v>
      </c>
      <c r="B123" s="2">
        <v>43963</v>
      </c>
      <c r="C123" t="s">
        <v>12</v>
      </c>
      <c r="D123" t="s">
        <v>17</v>
      </c>
      <c r="E123" t="s">
        <v>20</v>
      </c>
      <c r="F123" t="s">
        <v>23</v>
      </c>
      <c r="G123">
        <v>3</v>
      </c>
      <c r="H123">
        <v>5500</v>
      </c>
      <c r="I123" s="6">
        <v>0.1</v>
      </c>
      <c r="J123">
        <v>4950</v>
      </c>
    </row>
    <row r="124" spans="1:10" x14ac:dyDescent="0.25">
      <c r="A124" t="s">
        <v>145</v>
      </c>
      <c r="B124" s="2">
        <v>43964</v>
      </c>
      <c r="C124" t="s">
        <v>12</v>
      </c>
      <c r="D124" t="s">
        <v>2023</v>
      </c>
      <c r="E124" t="s">
        <v>21</v>
      </c>
      <c r="F124" t="s">
        <v>23</v>
      </c>
      <c r="G124">
        <v>2</v>
      </c>
      <c r="H124">
        <v>14900</v>
      </c>
      <c r="I124" s="6">
        <v>0.15000000000000002</v>
      </c>
      <c r="J124">
        <v>12665</v>
      </c>
    </row>
    <row r="125" spans="1:10" x14ac:dyDescent="0.25">
      <c r="A125" t="s">
        <v>146</v>
      </c>
      <c r="B125" s="2">
        <v>43965</v>
      </c>
      <c r="C125" t="s">
        <v>12</v>
      </c>
      <c r="D125" t="s">
        <v>18</v>
      </c>
      <c r="E125" t="s">
        <v>22</v>
      </c>
      <c r="F125" t="s">
        <v>23</v>
      </c>
      <c r="G125">
        <v>2</v>
      </c>
      <c r="H125">
        <v>4800</v>
      </c>
      <c r="I125" s="6">
        <v>0.2</v>
      </c>
      <c r="J125">
        <v>3840</v>
      </c>
    </row>
    <row r="126" spans="1:10" x14ac:dyDescent="0.25">
      <c r="A126" t="s">
        <v>147</v>
      </c>
      <c r="B126" s="2">
        <v>43966</v>
      </c>
      <c r="C126" t="s">
        <v>12</v>
      </c>
      <c r="D126" t="s">
        <v>2024</v>
      </c>
      <c r="E126" t="s">
        <v>19</v>
      </c>
      <c r="F126" t="s">
        <v>23</v>
      </c>
      <c r="G126">
        <v>9</v>
      </c>
      <c r="H126">
        <v>14300</v>
      </c>
      <c r="I126" s="6">
        <v>0.25</v>
      </c>
      <c r="J126">
        <v>10725</v>
      </c>
    </row>
    <row r="127" spans="1:10" x14ac:dyDescent="0.25">
      <c r="A127" t="s">
        <v>148</v>
      </c>
      <c r="B127" s="2">
        <v>43967</v>
      </c>
      <c r="C127" t="s">
        <v>12</v>
      </c>
      <c r="D127" t="s">
        <v>2025</v>
      </c>
      <c r="E127" t="s">
        <v>20</v>
      </c>
      <c r="F127" t="s">
        <v>23</v>
      </c>
      <c r="G127">
        <v>6</v>
      </c>
      <c r="H127">
        <v>9700</v>
      </c>
      <c r="I127" s="6">
        <v>0.05</v>
      </c>
      <c r="J127">
        <v>9215</v>
      </c>
    </row>
    <row r="128" spans="1:10" x14ac:dyDescent="0.25">
      <c r="A128" t="s">
        <v>149</v>
      </c>
      <c r="B128" s="2">
        <v>43968</v>
      </c>
      <c r="C128" t="s">
        <v>12</v>
      </c>
      <c r="D128" t="s">
        <v>2026</v>
      </c>
      <c r="E128" t="s">
        <v>21</v>
      </c>
      <c r="F128" t="s">
        <v>23</v>
      </c>
      <c r="G128">
        <v>4</v>
      </c>
      <c r="H128">
        <v>5800</v>
      </c>
      <c r="I128" s="6">
        <v>0.1</v>
      </c>
      <c r="J128">
        <v>5220</v>
      </c>
    </row>
    <row r="129" spans="1:10" x14ac:dyDescent="0.25">
      <c r="A129" t="s">
        <v>150</v>
      </c>
      <c r="B129" s="2">
        <v>43969</v>
      </c>
      <c r="C129" t="s">
        <v>12</v>
      </c>
      <c r="D129" t="s">
        <v>2027</v>
      </c>
      <c r="E129" t="s">
        <v>22</v>
      </c>
      <c r="F129" t="s">
        <v>23</v>
      </c>
      <c r="G129">
        <v>9</v>
      </c>
      <c r="H129">
        <v>9400</v>
      </c>
      <c r="I129" s="6">
        <v>0.15000000000000002</v>
      </c>
      <c r="J129">
        <v>7990</v>
      </c>
    </row>
    <row r="130" spans="1:10" x14ac:dyDescent="0.25">
      <c r="A130" t="s">
        <v>151</v>
      </c>
      <c r="B130" s="2">
        <v>43970</v>
      </c>
      <c r="C130" t="s">
        <v>12</v>
      </c>
      <c r="D130" t="s">
        <v>2028</v>
      </c>
      <c r="E130" t="s">
        <v>19</v>
      </c>
      <c r="F130" t="s">
        <v>23</v>
      </c>
      <c r="G130">
        <v>7</v>
      </c>
      <c r="H130">
        <v>5500</v>
      </c>
      <c r="I130" s="6">
        <v>0.2</v>
      </c>
      <c r="J130">
        <v>4400</v>
      </c>
    </row>
    <row r="131" spans="1:10" x14ac:dyDescent="0.25">
      <c r="A131" t="s">
        <v>152</v>
      </c>
      <c r="B131" s="2">
        <v>43971</v>
      </c>
      <c r="C131" t="s">
        <v>12</v>
      </c>
      <c r="D131" t="s">
        <v>2029</v>
      </c>
      <c r="E131" t="s">
        <v>20</v>
      </c>
      <c r="F131" t="s">
        <v>23</v>
      </c>
      <c r="G131">
        <v>10</v>
      </c>
      <c r="H131">
        <v>10900</v>
      </c>
      <c r="I131" s="6">
        <v>0.25</v>
      </c>
      <c r="J131">
        <v>8175</v>
      </c>
    </row>
    <row r="132" spans="1:10" x14ac:dyDescent="0.25">
      <c r="A132" t="s">
        <v>153</v>
      </c>
      <c r="B132" s="2">
        <v>43972</v>
      </c>
      <c r="C132" t="s">
        <v>13</v>
      </c>
      <c r="D132" t="s">
        <v>16</v>
      </c>
      <c r="E132" t="s">
        <v>21</v>
      </c>
      <c r="F132" t="s">
        <v>24</v>
      </c>
      <c r="G132">
        <v>4</v>
      </c>
      <c r="H132">
        <v>11700</v>
      </c>
      <c r="I132" s="6">
        <v>0.05</v>
      </c>
      <c r="J132">
        <v>11115</v>
      </c>
    </row>
    <row r="133" spans="1:10" x14ac:dyDescent="0.25">
      <c r="A133" t="s">
        <v>154</v>
      </c>
      <c r="B133" s="2">
        <v>43973</v>
      </c>
      <c r="C133" t="s">
        <v>13</v>
      </c>
      <c r="D133" t="s">
        <v>2030</v>
      </c>
      <c r="E133" t="s">
        <v>22</v>
      </c>
      <c r="F133" t="s">
        <v>24</v>
      </c>
      <c r="G133">
        <v>6</v>
      </c>
      <c r="H133">
        <v>9500</v>
      </c>
      <c r="I133" s="6">
        <v>0.1</v>
      </c>
      <c r="J133">
        <v>8550</v>
      </c>
    </row>
    <row r="134" spans="1:10" x14ac:dyDescent="0.25">
      <c r="A134" t="s">
        <v>155</v>
      </c>
      <c r="B134" s="2">
        <v>43974</v>
      </c>
      <c r="C134" t="s">
        <v>13</v>
      </c>
      <c r="D134" t="s">
        <v>2031</v>
      </c>
      <c r="E134" t="s">
        <v>19</v>
      </c>
      <c r="F134" t="s">
        <v>24</v>
      </c>
      <c r="G134">
        <v>9</v>
      </c>
      <c r="H134">
        <v>9600</v>
      </c>
      <c r="I134" s="6">
        <v>0.15000000000000002</v>
      </c>
      <c r="J134">
        <v>8160</v>
      </c>
    </row>
    <row r="135" spans="1:10" x14ac:dyDescent="0.25">
      <c r="A135" t="s">
        <v>156</v>
      </c>
      <c r="B135" s="2">
        <v>43975</v>
      </c>
      <c r="C135" t="s">
        <v>13</v>
      </c>
      <c r="D135" t="s">
        <v>2032</v>
      </c>
      <c r="E135" t="s">
        <v>20</v>
      </c>
      <c r="F135" t="s">
        <v>24</v>
      </c>
      <c r="G135">
        <v>9</v>
      </c>
      <c r="H135">
        <v>11600</v>
      </c>
      <c r="I135" s="6">
        <v>0.2</v>
      </c>
      <c r="J135">
        <v>9280</v>
      </c>
    </row>
    <row r="136" spans="1:10" x14ac:dyDescent="0.25">
      <c r="A136" t="s">
        <v>157</v>
      </c>
      <c r="B136" s="2">
        <v>43976</v>
      </c>
      <c r="C136" t="s">
        <v>13</v>
      </c>
      <c r="D136" t="s">
        <v>2033</v>
      </c>
      <c r="E136" t="s">
        <v>21</v>
      </c>
      <c r="F136" t="s">
        <v>24</v>
      </c>
      <c r="G136">
        <v>5</v>
      </c>
      <c r="H136">
        <v>5700</v>
      </c>
      <c r="I136" s="6">
        <v>0.25</v>
      </c>
      <c r="J136">
        <v>4275</v>
      </c>
    </row>
    <row r="137" spans="1:10" x14ac:dyDescent="0.25">
      <c r="A137" t="s">
        <v>158</v>
      </c>
      <c r="B137" s="2">
        <v>43977</v>
      </c>
      <c r="C137" t="s">
        <v>13</v>
      </c>
      <c r="D137" t="s">
        <v>2034</v>
      </c>
      <c r="E137" t="s">
        <v>22</v>
      </c>
      <c r="F137" t="s">
        <v>24</v>
      </c>
      <c r="G137">
        <v>4</v>
      </c>
      <c r="H137">
        <v>13200</v>
      </c>
      <c r="I137" s="6">
        <v>0.05</v>
      </c>
      <c r="J137">
        <v>12540</v>
      </c>
    </row>
    <row r="138" spans="1:10" x14ac:dyDescent="0.25">
      <c r="A138" t="s">
        <v>159</v>
      </c>
      <c r="B138" s="2">
        <v>43978</v>
      </c>
      <c r="C138" t="s">
        <v>13</v>
      </c>
      <c r="D138" t="s">
        <v>2035</v>
      </c>
      <c r="E138" t="s">
        <v>19</v>
      </c>
      <c r="F138" t="s">
        <v>24</v>
      </c>
      <c r="G138">
        <v>9</v>
      </c>
      <c r="H138">
        <v>9800</v>
      </c>
      <c r="I138" s="6">
        <v>0.1</v>
      </c>
      <c r="J138">
        <v>8820</v>
      </c>
    </row>
    <row r="139" spans="1:10" x14ac:dyDescent="0.25">
      <c r="A139" t="s">
        <v>160</v>
      </c>
      <c r="B139" s="2">
        <v>43979</v>
      </c>
      <c r="C139" t="s">
        <v>13</v>
      </c>
      <c r="D139" t="s">
        <v>2036</v>
      </c>
      <c r="E139" t="s">
        <v>20</v>
      </c>
      <c r="F139" t="s">
        <v>24</v>
      </c>
      <c r="G139">
        <v>8</v>
      </c>
      <c r="H139">
        <v>14600</v>
      </c>
      <c r="I139" s="6">
        <v>0.15000000000000002</v>
      </c>
      <c r="J139">
        <v>12410</v>
      </c>
    </row>
    <row r="140" spans="1:10" x14ac:dyDescent="0.25">
      <c r="A140" t="s">
        <v>161</v>
      </c>
      <c r="B140" s="2">
        <v>43980</v>
      </c>
      <c r="C140" t="s">
        <v>13</v>
      </c>
      <c r="D140" t="s">
        <v>2037</v>
      </c>
      <c r="E140" t="s">
        <v>21</v>
      </c>
      <c r="F140" t="s">
        <v>24</v>
      </c>
      <c r="G140">
        <v>10</v>
      </c>
      <c r="H140">
        <v>4600</v>
      </c>
      <c r="I140" s="6">
        <v>0.2</v>
      </c>
      <c r="J140">
        <v>3680</v>
      </c>
    </row>
    <row r="141" spans="1:10" x14ac:dyDescent="0.25">
      <c r="A141" t="s">
        <v>162</v>
      </c>
      <c r="B141" s="2">
        <v>43981</v>
      </c>
      <c r="C141" t="s">
        <v>13</v>
      </c>
      <c r="D141" t="s">
        <v>2038</v>
      </c>
      <c r="E141" t="s">
        <v>22</v>
      </c>
      <c r="F141" t="s">
        <v>24</v>
      </c>
      <c r="G141">
        <v>7</v>
      </c>
      <c r="H141">
        <v>4000</v>
      </c>
      <c r="I141" s="6">
        <v>0.25</v>
      </c>
      <c r="J141">
        <v>3000</v>
      </c>
    </row>
    <row r="142" spans="1:10" x14ac:dyDescent="0.25">
      <c r="A142" t="s">
        <v>163</v>
      </c>
      <c r="B142" s="2">
        <v>43982</v>
      </c>
      <c r="C142" t="s">
        <v>14</v>
      </c>
      <c r="D142" t="s">
        <v>2039</v>
      </c>
      <c r="E142" t="s">
        <v>19</v>
      </c>
      <c r="F142" t="s">
        <v>25</v>
      </c>
      <c r="G142">
        <v>1</v>
      </c>
      <c r="H142">
        <v>9100</v>
      </c>
      <c r="I142" s="6">
        <v>0.05</v>
      </c>
      <c r="J142">
        <v>8645</v>
      </c>
    </row>
    <row r="143" spans="1:10" x14ac:dyDescent="0.25">
      <c r="A143" t="s">
        <v>164</v>
      </c>
      <c r="B143" s="2">
        <v>43983</v>
      </c>
      <c r="C143" t="s">
        <v>14</v>
      </c>
      <c r="D143" t="s">
        <v>2040</v>
      </c>
      <c r="E143" t="s">
        <v>20</v>
      </c>
      <c r="F143" t="s">
        <v>25</v>
      </c>
      <c r="G143">
        <v>6</v>
      </c>
      <c r="H143">
        <v>6300</v>
      </c>
      <c r="I143" s="6">
        <v>0.1</v>
      </c>
      <c r="J143">
        <v>5670</v>
      </c>
    </row>
    <row r="144" spans="1:10" x14ac:dyDescent="0.25">
      <c r="A144" t="s">
        <v>165</v>
      </c>
      <c r="B144" s="2">
        <v>43984</v>
      </c>
      <c r="C144" t="s">
        <v>14</v>
      </c>
      <c r="D144" t="s">
        <v>2041</v>
      </c>
      <c r="E144" t="s">
        <v>21</v>
      </c>
      <c r="F144" t="s">
        <v>25</v>
      </c>
      <c r="G144">
        <v>4</v>
      </c>
      <c r="H144">
        <v>10700</v>
      </c>
      <c r="I144" s="6">
        <v>0.15000000000000002</v>
      </c>
      <c r="J144">
        <v>9095</v>
      </c>
    </row>
    <row r="145" spans="1:10" x14ac:dyDescent="0.25">
      <c r="A145" t="s">
        <v>166</v>
      </c>
      <c r="B145" s="2">
        <v>43985</v>
      </c>
      <c r="C145" t="s">
        <v>14</v>
      </c>
      <c r="D145" t="s">
        <v>2042</v>
      </c>
      <c r="E145" t="s">
        <v>22</v>
      </c>
      <c r="F145" t="s">
        <v>25</v>
      </c>
      <c r="G145">
        <v>2</v>
      </c>
      <c r="H145">
        <v>6500</v>
      </c>
      <c r="I145" s="6">
        <v>0.2</v>
      </c>
      <c r="J145">
        <v>5200</v>
      </c>
    </row>
    <row r="146" spans="1:10" x14ac:dyDescent="0.25">
      <c r="A146" t="s">
        <v>167</v>
      </c>
      <c r="B146" s="2">
        <v>43986</v>
      </c>
      <c r="C146" t="s">
        <v>14</v>
      </c>
      <c r="D146" t="s">
        <v>2043</v>
      </c>
      <c r="E146" t="s">
        <v>19</v>
      </c>
      <c r="F146" t="s">
        <v>25</v>
      </c>
      <c r="G146">
        <v>4</v>
      </c>
      <c r="H146">
        <v>5100</v>
      </c>
      <c r="I146" s="6">
        <v>0.25</v>
      </c>
      <c r="J146">
        <v>3825</v>
      </c>
    </row>
    <row r="147" spans="1:10" x14ac:dyDescent="0.25">
      <c r="A147" t="s">
        <v>168</v>
      </c>
      <c r="B147" s="2">
        <v>43987</v>
      </c>
      <c r="C147" t="s">
        <v>14</v>
      </c>
      <c r="D147" t="s">
        <v>2044</v>
      </c>
      <c r="E147" t="s">
        <v>20</v>
      </c>
      <c r="F147" t="s">
        <v>25</v>
      </c>
      <c r="G147">
        <v>8</v>
      </c>
      <c r="H147">
        <v>14700</v>
      </c>
      <c r="I147" s="6">
        <v>0.05</v>
      </c>
      <c r="J147">
        <v>13965</v>
      </c>
    </row>
    <row r="148" spans="1:10" x14ac:dyDescent="0.25">
      <c r="A148" t="s">
        <v>169</v>
      </c>
      <c r="B148" s="2">
        <v>43988</v>
      </c>
      <c r="C148" t="s">
        <v>14</v>
      </c>
      <c r="D148" t="s">
        <v>2045</v>
      </c>
      <c r="E148" t="s">
        <v>21</v>
      </c>
      <c r="F148" t="s">
        <v>25</v>
      </c>
      <c r="G148">
        <v>7</v>
      </c>
      <c r="H148">
        <v>9600</v>
      </c>
      <c r="I148" s="6">
        <v>0.1</v>
      </c>
      <c r="J148">
        <v>8640</v>
      </c>
    </row>
    <row r="149" spans="1:10" x14ac:dyDescent="0.25">
      <c r="A149" t="s">
        <v>170</v>
      </c>
      <c r="B149" s="2">
        <v>43989</v>
      </c>
      <c r="C149" t="s">
        <v>14</v>
      </c>
      <c r="D149" t="s">
        <v>2046</v>
      </c>
      <c r="E149" t="s">
        <v>22</v>
      </c>
      <c r="F149" t="s">
        <v>25</v>
      </c>
      <c r="G149">
        <v>4</v>
      </c>
      <c r="H149">
        <v>8900</v>
      </c>
      <c r="I149" s="6">
        <v>0.15000000000000002</v>
      </c>
      <c r="J149">
        <v>7565</v>
      </c>
    </row>
    <row r="150" spans="1:10" x14ac:dyDescent="0.25">
      <c r="A150" t="s">
        <v>171</v>
      </c>
      <c r="B150" s="2">
        <v>43990</v>
      </c>
      <c r="C150" t="s">
        <v>14</v>
      </c>
      <c r="D150" t="s">
        <v>2047</v>
      </c>
      <c r="E150" t="s">
        <v>19</v>
      </c>
      <c r="F150" t="s">
        <v>25</v>
      </c>
      <c r="G150">
        <v>1</v>
      </c>
      <c r="H150">
        <v>5000</v>
      </c>
      <c r="I150" s="6">
        <v>0.2</v>
      </c>
      <c r="J150">
        <v>4000</v>
      </c>
    </row>
    <row r="151" spans="1:10" x14ac:dyDescent="0.25">
      <c r="A151" t="s">
        <v>172</v>
      </c>
      <c r="B151" s="2">
        <v>43991</v>
      </c>
      <c r="C151" t="s">
        <v>14</v>
      </c>
      <c r="D151" t="s">
        <v>2048</v>
      </c>
      <c r="E151" t="s">
        <v>20</v>
      </c>
      <c r="F151" t="s">
        <v>25</v>
      </c>
      <c r="G151">
        <v>7</v>
      </c>
      <c r="H151">
        <v>9200</v>
      </c>
      <c r="I151" s="6">
        <v>0.25</v>
      </c>
      <c r="J151">
        <v>6900</v>
      </c>
    </row>
    <row r="152" spans="1:10" x14ac:dyDescent="0.25">
      <c r="A152" t="s">
        <v>173</v>
      </c>
      <c r="B152" s="2">
        <v>43992</v>
      </c>
      <c r="C152" t="s">
        <v>12</v>
      </c>
      <c r="D152" t="s">
        <v>15</v>
      </c>
      <c r="E152" t="s">
        <v>21</v>
      </c>
      <c r="F152" t="s">
        <v>23</v>
      </c>
      <c r="G152">
        <v>4</v>
      </c>
      <c r="H152">
        <v>4400</v>
      </c>
      <c r="I152" s="6">
        <v>0.05</v>
      </c>
      <c r="J152">
        <v>4180</v>
      </c>
    </row>
    <row r="153" spans="1:10" x14ac:dyDescent="0.25">
      <c r="A153" t="s">
        <v>174</v>
      </c>
      <c r="B153" s="2">
        <v>43993</v>
      </c>
      <c r="C153" t="s">
        <v>12</v>
      </c>
      <c r="D153" t="s">
        <v>17</v>
      </c>
      <c r="E153" t="s">
        <v>22</v>
      </c>
      <c r="F153" t="s">
        <v>23</v>
      </c>
      <c r="G153">
        <v>2</v>
      </c>
      <c r="H153">
        <v>5700</v>
      </c>
      <c r="I153" s="6">
        <v>0.1</v>
      </c>
      <c r="J153">
        <v>5130</v>
      </c>
    </row>
    <row r="154" spans="1:10" x14ac:dyDescent="0.25">
      <c r="A154" t="s">
        <v>175</v>
      </c>
      <c r="B154" s="2">
        <v>43994</v>
      </c>
      <c r="C154" t="s">
        <v>12</v>
      </c>
      <c r="D154" t="s">
        <v>2023</v>
      </c>
      <c r="E154" t="s">
        <v>19</v>
      </c>
      <c r="F154" t="s">
        <v>23</v>
      </c>
      <c r="G154">
        <v>6</v>
      </c>
      <c r="H154">
        <v>8800</v>
      </c>
      <c r="I154" s="6">
        <v>0.15000000000000002</v>
      </c>
      <c r="J154">
        <v>7480</v>
      </c>
    </row>
    <row r="155" spans="1:10" x14ac:dyDescent="0.25">
      <c r="A155" t="s">
        <v>176</v>
      </c>
      <c r="B155" s="2">
        <v>43995</v>
      </c>
      <c r="C155" t="s">
        <v>12</v>
      </c>
      <c r="D155" t="s">
        <v>18</v>
      </c>
      <c r="E155" t="s">
        <v>20</v>
      </c>
      <c r="F155" t="s">
        <v>23</v>
      </c>
      <c r="G155">
        <v>5</v>
      </c>
      <c r="H155">
        <v>8300</v>
      </c>
      <c r="I155" s="6">
        <v>0.2</v>
      </c>
      <c r="J155">
        <v>6640</v>
      </c>
    </row>
    <row r="156" spans="1:10" x14ac:dyDescent="0.25">
      <c r="A156" t="s">
        <v>177</v>
      </c>
      <c r="B156" s="2">
        <v>43996</v>
      </c>
      <c r="C156" t="s">
        <v>12</v>
      </c>
      <c r="D156" t="s">
        <v>2024</v>
      </c>
      <c r="E156" t="s">
        <v>21</v>
      </c>
      <c r="F156" t="s">
        <v>23</v>
      </c>
      <c r="G156">
        <v>8</v>
      </c>
      <c r="H156">
        <v>6000</v>
      </c>
      <c r="I156" s="6">
        <v>0.25</v>
      </c>
      <c r="J156">
        <v>4500</v>
      </c>
    </row>
    <row r="157" spans="1:10" x14ac:dyDescent="0.25">
      <c r="A157" t="s">
        <v>178</v>
      </c>
      <c r="B157" s="2">
        <v>43997</v>
      </c>
      <c r="C157" t="s">
        <v>12</v>
      </c>
      <c r="D157" t="s">
        <v>2025</v>
      </c>
      <c r="E157" t="s">
        <v>22</v>
      </c>
      <c r="F157" t="s">
        <v>23</v>
      </c>
      <c r="G157">
        <v>9</v>
      </c>
      <c r="H157">
        <v>6800</v>
      </c>
      <c r="I157" s="6">
        <v>0.05</v>
      </c>
      <c r="J157">
        <v>6460</v>
      </c>
    </row>
    <row r="158" spans="1:10" x14ac:dyDescent="0.25">
      <c r="A158" t="s">
        <v>179</v>
      </c>
      <c r="B158" s="2">
        <v>43998</v>
      </c>
      <c r="C158" t="s">
        <v>12</v>
      </c>
      <c r="D158" t="s">
        <v>2026</v>
      </c>
      <c r="E158" t="s">
        <v>19</v>
      </c>
      <c r="F158" t="s">
        <v>23</v>
      </c>
      <c r="G158">
        <v>8</v>
      </c>
      <c r="H158">
        <v>12300</v>
      </c>
      <c r="I158" s="6">
        <v>0.1</v>
      </c>
      <c r="J158">
        <v>11070</v>
      </c>
    </row>
    <row r="159" spans="1:10" x14ac:dyDescent="0.25">
      <c r="A159" t="s">
        <v>180</v>
      </c>
      <c r="B159" s="2">
        <v>43999</v>
      </c>
      <c r="C159" t="s">
        <v>12</v>
      </c>
      <c r="D159" t="s">
        <v>2027</v>
      </c>
      <c r="E159" t="s">
        <v>20</v>
      </c>
      <c r="F159" t="s">
        <v>23</v>
      </c>
      <c r="G159">
        <v>7</v>
      </c>
      <c r="H159">
        <v>8600</v>
      </c>
      <c r="I159" s="6">
        <v>0.15000000000000002</v>
      </c>
      <c r="J159">
        <v>7310</v>
      </c>
    </row>
    <row r="160" spans="1:10" x14ac:dyDescent="0.25">
      <c r="A160" t="s">
        <v>181</v>
      </c>
      <c r="B160" s="2">
        <v>44000</v>
      </c>
      <c r="C160" t="s">
        <v>12</v>
      </c>
      <c r="D160" t="s">
        <v>2028</v>
      </c>
      <c r="E160" t="s">
        <v>21</v>
      </c>
      <c r="F160" t="s">
        <v>23</v>
      </c>
      <c r="G160">
        <v>1</v>
      </c>
      <c r="H160">
        <v>7200</v>
      </c>
      <c r="I160" s="6">
        <v>0.2</v>
      </c>
      <c r="J160">
        <v>5760</v>
      </c>
    </row>
    <row r="161" spans="1:10" x14ac:dyDescent="0.25">
      <c r="A161" t="s">
        <v>182</v>
      </c>
      <c r="B161" s="2">
        <v>44001</v>
      </c>
      <c r="C161" t="s">
        <v>12</v>
      </c>
      <c r="D161" t="s">
        <v>2029</v>
      </c>
      <c r="E161" t="s">
        <v>22</v>
      </c>
      <c r="F161" t="s">
        <v>23</v>
      </c>
      <c r="G161">
        <v>8</v>
      </c>
      <c r="H161">
        <v>8300</v>
      </c>
      <c r="I161" s="6">
        <v>0.25</v>
      </c>
      <c r="J161">
        <v>6225</v>
      </c>
    </row>
    <row r="162" spans="1:10" x14ac:dyDescent="0.25">
      <c r="A162" t="s">
        <v>183</v>
      </c>
      <c r="B162" s="2">
        <v>44002</v>
      </c>
      <c r="C162" t="s">
        <v>13</v>
      </c>
      <c r="D162" t="s">
        <v>16</v>
      </c>
      <c r="E162" t="s">
        <v>19</v>
      </c>
      <c r="F162" t="s">
        <v>24</v>
      </c>
      <c r="G162">
        <v>9</v>
      </c>
      <c r="H162">
        <v>9000</v>
      </c>
      <c r="I162" s="6">
        <v>0.05</v>
      </c>
      <c r="J162">
        <v>8550</v>
      </c>
    </row>
    <row r="163" spans="1:10" x14ac:dyDescent="0.25">
      <c r="A163" t="s">
        <v>184</v>
      </c>
      <c r="B163" s="2">
        <v>44003</v>
      </c>
      <c r="C163" t="s">
        <v>13</v>
      </c>
      <c r="D163" t="s">
        <v>2030</v>
      </c>
      <c r="E163" t="s">
        <v>20</v>
      </c>
      <c r="F163" t="s">
        <v>24</v>
      </c>
      <c r="G163">
        <v>3</v>
      </c>
      <c r="H163">
        <v>10300</v>
      </c>
      <c r="I163" s="6">
        <v>0.1</v>
      </c>
      <c r="J163">
        <v>9270</v>
      </c>
    </row>
    <row r="164" spans="1:10" x14ac:dyDescent="0.25">
      <c r="A164" t="s">
        <v>185</v>
      </c>
      <c r="B164" s="2">
        <v>44004</v>
      </c>
      <c r="C164" t="s">
        <v>13</v>
      </c>
      <c r="D164" t="s">
        <v>2031</v>
      </c>
      <c r="E164" t="s">
        <v>21</v>
      </c>
      <c r="F164" t="s">
        <v>24</v>
      </c>
      <c r="G164">
        <v>3</v>
      </c>
      <c r="H164">
        <v>10100</v>
      </c>
      <c r="I164" s="6">
        <v>0.15000000000000002</v>
      </c>
      <c r="J164">
        <v>8585</v>
      </c>
    </row>
    <row r="165" spans="1:10" x14ac:dyDescent="0.25">
      <c r="A165" t="s">
        <v>186</v>
      </c>
      <c r="B165" s="2">
        <v>44005</v>
      </c>
      <c r="C165" t="s">
        <v>13</v>
      </c>
      <c r="D165" t="s">
        <v>2032</v>
      </c>
      <c r="E165" t="s">
        <v>22</v>
      </c>
      <c r="F165" t="s">
        <v>24</v>
      </c>
      <c r="G165">
        <v>1</v>
      </c>
      <c r="H165">
        <v>7700</v>
      </c>
      <c r="I165" s="6">
        <v>0.2</v>
      </c>
      <c r="J165">
        <v>6160</v>
      </c>
    </row>
    <row r="166" spans="1:10" x14ac:dyDescent="0.25">
      <c r="A166" t="s">
        <v>187</v>
      </c>
      <c r="B166" s="2">
        <v>44006</v>
      </c>
      <c r="C166" t="s">
        <v>13</v>
      </c>
      <c r="D166" t="s">
        <v>2033</v>
      </c>
      <c r="E166" t="s">
        <v>19</v>
      </c>
      <c r="F166" t="s">
        <v>24</v>
      </c>
      <c r="G166">
        <v>5</v>
      </c>
      <c r="H166">
        <v>14000</v>
      </c>
      <c r="I166" s="6">
        <v>0.25</v>
      </c>
      <c r="J166">
        <v>10500</v>
      </c>
    </row>
    <row r="167" spans="1:10" x14ac:dyDescent="0.25">
      <c r="A167" t="s">
        <v>188</v>
      </c>
      <c r="B167" s="2">
        <v>44007</v>
      </c>
      <c r="C167" t="s">
        <v>13</v>
      </c>
      <c r="D167" t="s">
        <v>2034</v>
      </c>
      <c r="E167" t="s">
        <v>20</v>
      </c>
      <c r="F167" t="s">
        <v>24</v>
      </c>
      <c r="G167">
        <v>8</v>
      </c>
      <c r="H167">
        <v>13400</v>
      </c>
      <c r="I167" s="6">
        <v>0.05</v>
      </c>
      <c r="J167">
        <v>12730</v>
      </c>
    </row>
    <row r="168" spans="1:10" x14ac:dyDescent="0.25">
      <c r="A168" t="s">
        <v>189</v>
      </c>
      <c r="B168" s="2">
        <v>44008</v>
      </c>
      <c r="C168" t="s">
        <v>13</v>
      </c>
      <c r="D168" t="s">
        <v>2035</v>
      </c>
      <c r="E168" t="s">
        <v>21</v>
      </c>
      <c r="F168" t="s">
        <v>24</v>
      </c>
      <c r="G168">
        <v>9</v>
      </c>
      <c r="H168">
        <v>4600</v>
      </c>
      <c r="I168" s="6">
        <v>0.1</v>
      </c>
      <c r="J168">
        <v>4140</v>
      </c>
    </row>
    <row r="169" spans="1:10" x14ac:dyDescent="0.25">
      <c r="A169" t="s">
        <v>190</v>
      </c>
      <c r="B169" s="2">
        <v>44009</v>
      </c>
      <c r="C169" t="s">
        <v>13</v>
      </c>
      <c r="D169" t="s">
        <v>2036</v>
      </c>
      <c r="E169" t="s">
        <v>22</v>
      </c>
      <c r="F169" t="s">
        <v>24</v>
      </c>
      <c r="G169">
        <v>10</v>
      </c>
      <c r="H169">
        <v>12400</v>
      </c>
      <c r="I169" s="6">
        <v>0.15000000000000002</v>
      </c>
      <c r="J169">
        <v>10540</v>
      </c>
    </row>
    <row r="170" spans="1:10" x14ac:dyDescent="0.25">
      <c r="A170" t="s">
        <v>191</v>
      </c>
      <c r="B170" s="2">
        <v>44010</v>
      </c>
      <c r="C170" t="s">
        <v>13</v>
      </c>
      <c r="D170" t="s">
        <v>2037</v>
      </c>
      <c r="E170" t="s">
        <v>19</v>
      </c>
      <c r="F170" t="s">
        <v>24</v>
      </c>
      <c r="G170">
        <v>7</v>
      </c>
      <c r="H170">
        <v>14000</v>
      </c>
      <c r="I170" s="6">
        <v>0.2</v>
      </c>
      <c r="J170">
        <v>11200</v>
      </c>
    </row>
    <row r="171" spans="1:10" x14ac:dyDescent="0.25">
      <c r="A171" t="s">
        <v>192</v>
      </c>
      <c r="B171" s="2">
        <v>44011</v>
      </c>
      <c r="C171" t="s">
        <v>13</v>
      </c>
      <c r="D171" t="s">
        <v>2038</v>
      </c>
      <c r="E171" t="s">
        <v>20</v>
      </c>
      <c r="F171" t="s">
        <v>24</v>
      </c>
      <c r="G171">
        <v>4</v>
      </c>
      <c r="H171">
        <v>7200</v>
      </c>
      <c r="I171" s="6">
        <v>0.25</v>
      </c>
      <c r="J171">
        <v>5400</v>
      </c>
    </row>
    <row r="172" spans="1:10" x14ac:dyDescent="0.25">
      <c r="A172" t="s">
        <v>193</v>
      </c>
      <c r="B172" s="2">
        <v>44012</v>
      </c>
      <c r="C172" t="s">
        <v>14</v>
      </c>
      <c r="D172" t="s">
        <v>2039</v>
      </c>
      <c r="E172" t="s">
        <v>21</v>
      </c>
      <c r="F172" t="s">
        <v>25</v>
      </c>
      <c r="G172">
        <v>7</v>
      </c>
      <c r="H172">
        <v>10700</v>
      </c>
      <c r="I172" s="6">
        <v>0.05</v>
      </c>
      <c r="J172">
        <v>10165</v>
      </c>
    </row>
    <row r="173" spans="1:10" x14ac:dyDescent="0.25">
      <c r="A173" t="s">
        <v>194</v>
      </c>
      <c r="B173" s="2">
        <v>44013</v>
      </c>
      <c r="C173" t="s">
        <v>14</v>
      </c>
      <c r="D173" t="s">
        <v>2040</v>
      </c>
      <c r="E173" t="s">
        <v>22</v>
      </c>
      <c r="F173" t="s">
        <v>25</v>
      </c>
      <c r="G173">
        <v>4</v>
      </c>
      <c r="H173">
        <v>6900</v>
      </c>
      <c r="I173" s="6">
        <v>0.1</v>
      </c>
      <c r="J173">
        <v>6210</v>
      </c>
    </row>
    <row r="174" spans="1:10" x14ac:dyDescent="0.25">
      <c r="A174" t="s">
        <v>195</v>
      </c>
      <c r="B174" s="2">
        <v>44014</v>
      </c>
      <c r="C174" t="s">
        <v>14</v>
      </c>
      <c r="D174" t="s">
        <v>2041</v>
      </c>
      <c r="E174" t="s">
        <v>19</v>
      </c>
      <c r="F174" t="s">
        <v>25</v>
      </c>
      <c r="G174">
        <v>1</v>
      </c>
      <c r="H174">
        <v>8500</v>
      </c>
      <c r="I174" s="6">
        <v>0.15000000000000002</v>
      </c>
      <c r="J174">
        <v>7225</v>
      </c>
    </row>
    <row r="175" spans="1:10" x14ac:dyDescent="0.25">
      <c r="A175" t="s">
        <v>196</v>
      </c>
      <c r="B175" s="2">
        <v>44015</v>
      </c>
      <c r="C175" t="s">
        <v>14</v>
      </c>
      <c r="D175" t="s">
        <v>2042</v>
      </c>
      <c r="E175" t="s">
        <v>20</v>
      </c>
      <c r="F175" t="s">
        <v>25</v>
      </c>
      <c r="G175">
        <v>9</v>
      </c>
      <c r="H175">
        <v>13500</v>
      </c>
      <c r="I175" s="6">
        <v>0.2</v>
      </c>
      <c r="J175">
        <v>10800</v>
      </c>
    </row>
    <row r="176" spans="1:10" x14ac:dyDescent="0.25">
      <c r="A176" t="s">
        <v>197</v>
      </c>
      <c r="B176" s="2">
        <v>44016</v>
      </c>
      <c r="C176" t="s">
        <v>14</v>
      </c>
      <c r="D176" t="s">
        <v>2043</v>
      </c>
      <c r="E176" t="s">
        <v>21</v>
      </c>
      <c r="F176" t="s">
        <v>25</v>
      </c>
      <c r="G176">
        <v>4</v>
      </c>
      <c r="H176">
        <v>7900</v>
      </c>
      <c r="I176" s="6">
        <v>0.25</v>
      </c>
      <c r="J176">
        <v>5925</v>
      </c>
    </row>
    <row r="177" spans="1:10" x14ac:dyDescent="0.25">
      <c r="A177" t="s">
        <v>198</v>
      </c>
      <c r="B177" s="2">
        <v>44017</v>
      </c>
      <c r="C177" t="s">
        <v>14</v>
      </c>
      <c r="D177" t="s">
        <v>2044</v>
      </c>
      <c r="E177" t="s">
        <v>22</v>
      </c>
      <c r="F177" t="s">
        <v>25</v>
      </c>
      <c r="G177">
        <v>4</v>
      </c>
      <c r="H177">
        <v>12100</v>
      </c>
      <c r="I177" s="6">
        <v>0.05</v>
      </c>
      <c r="J177">
        <v>11495</v>
      </c>
    </row>
    <row r="178" spans="1:10" x14ac:dyDescent="0.25">
      <c r="A178" t="s">
        <v>199</v>
      </c>
      <c r="B178" s="2">
        <v>44018</v>
      </c>
      <c r="C178" t="s">
        <v>14</v>
      </c>
      <c r="D178" t="s">
        <v>2045</v>
      </c>
      <c r="E178" t="s">
        <v>19</v>
      </c>
      <c r="F178" t="s">
        <v>25</v>
      </c>
      <c r="G178">
        <v>9</v>
      </c>
      <c r="H178">
        <v>13800</v>
      </c>
      <c r="I178" s="6">
        <v>0.1</v>
      </c>
      <c r="J178">
        <v>12420</v>
      </c>
    </row>
    <row r="179" spans="1:10" x14ac:dyDescent="0.25">
      <c r="A179" t="s">
        <v>200</v>
      </c>
      <c r="B179" s="2">
        <v>44019</v>
      </c>
      <c r="C179" t="s">
        <v>14</v>
      </c>
      <c r="D179" t="s">
        <v>2046</v>
      </c>
      <c r="E179" t="s">
        <v>20</v>
      </c>
      <c r="F179" t="s">
        <v>25</v>
      </c>
      <c r="G179">
        <v>9</v>
      </c>
      <c r="H179">
        <v>6100</v>
      </c>
      <c r="I179" s="6">
        <v>0.15000000000000002</v>
      </c>
      <c r="J179">
        <v>5185</v>
      </c>
    </row>
    <row r="180" spans="1:10" x14ac:dyDescent="0.25">
      <c r="A180" t="s">
        <v>201</v>
      </c>
      <c r="B180" s="2">
        <v>44020</v>
      </c>
      <c r="C180" t="s">
        <v>14</v>
      </c>
      <c r="D180" t="s">
        <v>2047</v>
      </c>
      <c r="E180" t="s">
        <v>21</v>
      </c>
      <c r="F180" t="s">
        <v>25</v>
      </c>
      <c r="G180">
        <v>6</v>
      </c>
      <c r="H180">
        <v>13000</v>
      </c>
      <c r="I180" s="6">
        <v>0.2</v>
      </c>
      <c r="J180">
        <v>10400</v>
      </c>
    </row>
    <row r="181" spans="1:10" x14ac:dyDescent="0.25">
      <c r="A181" t="s">
        <v>202</v>
      </c>
      <c r="B181" s="2">
        <v>44021</v>
      </c>
      <c r="C181" t="s">
        <v>14</v>
      </c>
      <c r="D181" t="s">
        <v>2048</v>
      </c>
      <c r="E181" t="s">
        <v>22</v>
      </c>
      <c r="F181" t="s">
        <v>25</v>
      </c>
      <c r="G181">
        <v>7</v>
      </c>
      <c r="H181">
        <v>6500</v>
      </c>
      <c r="I181" s="6">
        <v>0.25</v>
      </c>
      <c r="J181">
        <v>4875</v>
      </c>
    </row>
    <row r="182" spans="1:10" x14ac:dyDescent="0.25">
      <c r="A182" t="s">
        <v>203</v>
      </c>
      <c r="B182" s="2">
        <v>44022</v>
      </c>
      <c r="C182" t="s">
        <v>12</v>
      </c>
      <c r="D182" t="s">
        <v>15</v>
      </c>
      <c r="E182" t="s">
        <v>19</v>
      </c>
      <c r="F182" t="s">
        <v>23</v>
      </c>
      <c r="G182">
        <v>10</v>
      </c>
      <c r="H182">
        <v>8500</v>
      </c>
      <c r="I182" s="6">
        <v>0.05</v>
      </c>
      <c r="J182">
        <v>8075</v>
      </c>
    </row>
    <row r="183" spans="1:10" x14ac:dyDescent="0.25">
      <c r="A183" t="s">
        <v>204</v>
      </c>
      <c r="B183" s="2">
        <v>44023</v>
      </c>
      <c r="C183" t="s">
        <v>12</v>
      </c>
      <c r="D183" t="s">
        <v>17</v>
      </c>
      <c r="E183" t="s">
        <v>20</v>
      </c>
      <c r="F183" t="s">
        <v>23</v>
      </c>
      <c r="G183">
        <v>10</v>
      </c>
      <c r="H183">
        <v>9400</v>
      </c>
      <c r="I183" s="6">
        <v>0.1</v>
      </c>
      <c r="J183">
        <v>8460</v>
      </c>
    </row>
    <row r="184" spans="1:10" x14ac:dyDescent="0.25">
      <c r="A184" t="s">
        <v>205</v>
      </c>
      <c r="B184" s="2">
        <v>44024</v>
      </c>
      <c r="C184" t="s">
        <v>12</v>
      </c>
      <c r="D184" t="s">
        <v>2023</v>
      </c>
      <c r="E184" t="s">
        <v>21</v>
      </c>
      <c r="F184" t="s">
        <v>23</v>
      </c>
      <c r="G184">
        <v>4</v>
      </c>
      <c r="H184">
        <v>12900</v>
      </c>
      <c r="I184" s="6">
        <v>0.15000000000000002</v>
      </c>
      <c r="J184">
        <v>10965</v>
      </c>
    </row>
    <row r="185" spans="1:10" x14ac:dyDescent="0.25">
      <c r="A185" t="s">
        <v>206</v>
      </c>
      <c r="B185" s="2">
        <v>44025</v>
      </c>
      <c r="C185" t="s">
        <v>12</v>
      </c>
      <c r="D185" t="s">
        <v>18</v>
      </c>
      <c r="E185" t="s">
        <v>22</v>
      </c>
      <c r="F185" t="s">
        <v>23</v>
      </c>
      <c r="G185">
        <v>2</v>
      </c>
      <c r="H185">
        <v>14200</v>
      </c>
      <c r="I185" s="6">
        <v>0.2</v>
      </c>
      <c r="J185">
        <v>11360</v>
      </c>
    </row>
    <row r="186" spans="1:10" x14ac:dyDescent="0.25">
      <c r="A186" t="s">
        <v>207</v>
      </c>
      <c r="B186" s="2">
        <v>44026</v>
      </c>
      <c r="C186" t="s">
        <v>12</v>
      </c>
      <c r="D186" t="s">
        <v>2024</v>
      </c>
      <c r="E186" t="s">
        <v>19</v>
      </c>
      <c r="F186" t="s">
        <v>23</v>
      </c>
      <c r="G186">
        <v>9</v>
      </c>
      <c r="H186">
        <v>7200</v>
      </c>
      <c r="I186" s="6">
        <v>0.25</v>
      </c>
      <c r="J186">
        <v>5400</v>
      </c>
    </row>
    <row r="187" spans="1:10" x14ac:dyDescent="0.25">
      <c r="A187" t="s">
        <v>208</v>
      </c>
      <c r="B187" s="2">
        <v>44027</v>
      </c>
      <c r="C187" t="s">
        <v>12</v>
      </c>
      <c r="D187" t="s">
        <v>2025</v>
      </c>
      <c r="E187" t="s">
        <v>20</v>
      </c>
      <c r="F187" t="s">
        <v>23</v>
      </c>
      <c r="G187">
        <v>3</v>
      </c>
      <c r="H187">
        <v>7300</v>
      </c>
      <c r="I187" s="6">
        <v>0.05</v>
      </c>
      <c r="J187">
        <v>6935</v>
      </c>
    </row>
    <row r="188" spans="1:10" x14ac:dyDescent="0.25">
      <c r="A188" t="s">
        <v>209</v>
      </c>
      <c r="B188" s="2">
        <v>44028</v>
      </c>
      <c r="C188" t="s">
        <v>12</v>
      </c>
      <c r="D188" t="s">
        <v>2026</v>
      </c>
      <c r="E188" t="s">
        <v>21</v>
      </c>
      <c r="F188" t="s">
        <v>23</v>
      </c>
      <c r="G188">
        <v>4</v>
      </c>
      <c r="H188">
        <v>10600</v>
      </c>
      <c r="I188" s="6">
        <v>0.1</v>
      </c>
      <c r="J188">
        <v>9540</v>
      </c>
    </row>
    <row r="189" spans="1:10" x14ac:dyDescent="0.25">
      <c r="A189" t="s">
        <v>210</v>
      </c>
      <c r="B189" s="2">
        <v>44029</v>
      </c>
      <c r="C189" t="s">
        <v>12</v>
      </c>
      <c r="D189" t="s">
        <v>2027</v>
      </c>
      <c r="E189" t="s">
        <v>22</v>
      </c>
      <c r="F189" t="s">
        <v>23</v>
      </c>
      <c r="G189">
        <v>5</v>
      </c>
      <c r="H189">
        <v>14000</v>
      </c>
      <c r="I189" s="6">
        <v>0.15000000000000002</v>
      </c>
      <c r="J189">
        <v>11900</v>
      </c>
    </row>
    <row r="190" spans="1:10" x14ac:dyDescent="0.25">
      <c r="A190" t="s">
        <v>211</v>
      </c>
      <c r="B190" s="2">
        <v>44030</v>
      </c>
      <c r="C190" t="s">
        <v>12</v>
      </c>
      <c r="D190" t="s">
        <v>2028</v>
      </c>
      <c r="E190" t="s">
        <v>19</v>
      </c>
      <c r="F190" t="s">
        <v>23</v>
      </c>
      <c r="G190">
        <v>2</v>
      </c>
      <c r="H190">
        <v>11200</v>
      </c>
      <c r="I190" s="6">
        <v>0.2</v>
      </c>
      <c r="J190">
        <v>8960</v>
      </c>
    </row>
    <row r="191" spans="1:10" x14ac:dyDescent="0.25">
      <c r="A191" t="s">
        <v>212</v>
      </c>
      <c r="B191" s="2">
        <v>44031</v>
      </c>
      <c r="C191" t="s">
        <v>12</v>
      </c>
      <c r="D191" t="s">
        <v>2029</v>
      </c>
      <c r="E191" t="s">
        <v>20</v>
      </c>
      <c r="F191" t="s">
        <v>23</v>
      </c>
      <c r="G191">
        <v>4</v>
      </c>
      <c r="H191">
        <v>14800</v>
      </c>
      <c r="I191" s="6">
        <v>0.25</v>
      </c>
      <c r="J191">
        <v>11100</v>
      </c>
    </row>
    <row r="192" spans="1:10" x14ac:dyDescent="0.25">
      <c r="A192" t="s">
        <v>213</v>
      </c>
      <c r="B192" s="2">
        <v>44032</v>
      </c>
      <c r="C192" t="s">
        <v>13</v>
      </c>
      <c r="D192" t="s">
        <v>16</v>
      </c>
      <c r="E192" t="s">
        <v>21</v>
      </c>
      <c r="F192" t="s">
        <v>24</v>
      </c>
      <c r="G192">
        <v>3</v>
      </c>
      <c r="H192">
        <v>8700</v>
      </c>
      <c r="I192" s="6">
        <v>0.05</v>
      </c>
      <c r="J192">
        <v>8265</v>
      </c>
    </row>
    <row r="193" spans="1:10" x14ac:dyDescent="0.25">
      <c r="A193" t="s">
        <v>214</v>
      </c>
      <c r="B193" s="2">
        <v>44033</v>
      </c>
      <c r="C193" t="s">
        <v>13</v>
      </c>
      <c r="D193" t="s">
        <v>2030</v>
      </c>
      <c r="E193" t="s">
        <v>22</v>
      </c>
      <c r="F193" t="s">
        <v>24</v>
      </c>
      <c r="G193">
        <v>2</v>
      </c>
      <c r="H193">
        <v>8700</v>
      </c>
      <c r="I193" s="6">
        <v>0.1</v>
      </c>
      <c r="J193">
        <v>7830</v>
      </c>
    </row>
    <row r="194" spans="1:10" x14ac:dyDescent="0.25">
      <c r="A194" t="s">
        <v>215</v>
      </c>
      <c r="B194" s="2">
        <v>44034</v>
      </c>
      <c r="C194" t="s">
        <v>13</v>
      </c>
      <c r="D194" t="s">
        <v>2031</v>
      </c>
      <c r="E194" t="s">
        <v>19</v>
      </c>
      <c r="F194" t="s">
        <v>24</v>
      </c>
      <c r="G194">
        <v>1</v>
      </c>
      <c r="H194">
        <v>14800</v>
      </c>
      <c r="I194" s="6">
        <v>0.15000000000000002</v>
      </c>
      <c r="J194">
        <v>12580</v>
      </c>
    </row>
    <row r="195" spans="1:10" x14ac:dyDescent="0.25">
      <c r="A195" t="s">
        <v>216</v>
      </c>
      <c r="B195" s="2">
        <v>44035</v>
      </c>
      <c r="C195" t="s">
        <v>13</v>
      </c>
      <c r="D195" t="s">
        <v>2032</v>
      </c>
      <c r="E195" t="s">
        <v>20</v>
      </c>
      <c r="F195" t="s">
        <v>24</v>
      </c>
      <c r="G195">
        <v>2</v>
      </c>
      <c r="H195">
        <v>12700</v>
      </c>
      <c r="I195" s="6">
        <v>0.2</v>
      </c>
      <c r="J195">
        <v>10160</v>
      </c>
    </row>
    <row r="196" spans="1:10" x14ac:dyDescent="0.25">
      <c r="A196" t="s">
        <v>217</v>
      </c>
      <c r="B196" s="2">
        <v>44036</v>
      </c>
      <c r="C196" t="s">
        <v>13</v>
      </c>
      <c r="D196" t="s">
        <v>2033</v>
      </c>
      <c r="E196" t="s">
        <v>21</v>
      </c>
      <c r="F196" t="s">
        <v>24</v>
      </c>
      <c r="G196">
        <v>10</v>
      </c>
      <c r="H196">
        <v>10300</v>
      </c>
      <c r="I196" s="6">
        <v>0.25</v>
      </c>
      <c r="J196">
        <v>7725</v>
      </c>
    </row>
    <row r="197" spans="1:10" x14ac:dyDescent="0.25">
      <c r="A197" t="s">
        <v>218</v>
      </c>
      <c r="B197" s="2">
        <v>44037</v>
      </c>
      <c r="C197" t="s">
        <v>13</v>
      </c>
      <c r="D197" t="s">
        <v>2034</v>
      </c>
      <c r="E197" t="s">
        <v>22</v>
      </c>
      <c r="F197" t="s">
        <v>24</v>
      </c>
      <c r="G197">
        <v>9</v>
      </c>
      <c r="H197">
        <v>8500</v>
      </c>
      <c r="I197" s="6">
        <v>0.05</v>
      </c>
      <c r="J197">
        <v>8075</v>
      </c>
    </row>
    <row r="198" spans="1:10" x14ac:dyDescent="0.25">
      <c r="A198" t="s">
        <v>219</v>
      </c>
      <c r="B198" s="2">
        <v>44038</v>
      </c>
      <c r="C198" t="s">
        <v>13</v>
      </c>
      <c r="D198" t="s">
        <v>2035</v>
      </c>
      <c r="E198" t="s">
        <v>19</v>
      </c>
      <c r="F198" t="s">
        <v>24</v>
      </c>
      <c r="G198">
        <v>1</v>
      </c>
      <c r="H198">
        <v>11900</v>
      </c>
      <c r="I198" s="6">
        <v>0.1</v>
      </c>
      <c r="J198">
        <v>10710</v>
      </c>
    </row>
    <row r="199" spans="1:10" x14ac:dyDescent="0.25">
      <c r="A199" t="s">
        <v>220</v>
      </c>
      <c r="B199" s="2">
        <v>44039</v>
      </c>
      <c r="C199" t="s">
        <v>13</v>
      </c>
      <c r="D199" t="s">
        <v>2036</v>
      </c>
      <c r="E199" t="s">
        <v>20</v>
      </c>
      <c r="F199" t="s">
        <v>24</v>
      </c>
      <c r="G199">
        <v>8</v>
      </c>
      <c r="H199">
        <v>10300</v>
      </c>
      <c r="I199" s="6">
        <v>0.15000000000000002</v>
      </c>
      <c r="J199">
        <v>8755</v>
      </c>
    </row>
    <row r="200" spans="1:10" x14ac:dyDescent="0.25">
      <c r="A200" t="s">
        <v>221</v>
      </c>
      <c r="B200" s="2">
        <v>44040</v>
      </c>
      <c r="C200" t="s">
        <v>13</v>
      </c>
      <c r="D200" t="s">
        <v>2037</v>
      </c>
      <c r="E200" t="s">
        <v>21</v>
      </c>
      <c r="F200" t="s">
        <v>24</v>
      </c>
      <c r="G200">
        <v>7</v>
      </c>
      <c r="H200">
        <v>5600</v>
      </c>
      <c r="I200" s="6">
        <v>0.2</v>
      </c>
      <c r="J200">
        <v>4480</v>
      </c>
    </row>
    <row r="201" spans="1:10" x14ac:dyDescent="0.25">
      <c r="A201" t="s">
        <v>222</v>
      </c>
      <c r="B201" s="2">
        <v>44041</v>
      </c>
      <c r="C201" t="s">
        <v>13</v>
      </c>
      <c r="D201" t="s">
        <v>2038</v>
      </c>
      <c r="E201" t="s">
        <v>22</v>
      </c>
      <c r="F201" t="s">
        <v>24</v>
      </c>
      <c r="G201">
        <v>3</v>
      </c>
      <c r="H201">
        <v>10900</v>
      </c>
      <c r="I201" s="6">
        <v>0.25</v>
      </c>
      <c r="J201">
        <v>8175</v>
      </c>
    </row>
    <row r="202" spans="1:10" x14ac:dyDescent="0.25">
      <c r="A202" t="s">
        <v>223</v>
      </c>
      <c r="B202" s="2">
        <v>44042</v>
      </c>
      <c r="C202" t="s">
        <v>14</v>
      </c>
      <c r="D202" t="s">
        <v>2039</v>
      </c>
      <c r="E202" t="s">
        <v>19</v>
      </c>
      <c r="F202" t="s">
        <v>25</v>
      </c>
      <c r="G202">
        <v>2</v>
      </c>
      <c r="H202">
        <v>8600</v>
      </c>
      <c r="I202" s="6">
        <v>0.05</v>
      </c>
      <c r="J202">
        <v>8170</v>
      </c>
    </row>
    <row r="203" spans="1:10" x14ac:dyDescent="0.25">
      <c r="A203" t="s">
        <v>224</v>
      </c>
      <c r="B203" s="2">
        <v>44043</v>
      </c>
      <c r="C203" t="s">
        <v>14</v>
      </c>
      <c r="D203" t="s">
        <v>2040</v>
      </c>
      <c r="E203" t="s">
        <v>20</v>
      </c>
      <c r="F203" t="s">
        <v>25</v>
      </c>
      <c r="G203">
        <v>2</v>
      </c>
      <c r="H203">
        <v>9400</v>
      </c>
      <c r="I203" s="6">
        <v>0.1</v>
      </c>
      <c r="J203">
        <v>8460</v>
      </c>
    </row>
    <row r="204" spans="1:10" x14ac:dyDescent="0.25">
      <c r="A204" t="s">
        <v>225</v>
      </c>
      <c r="B204" s="2">
        <v>44044</v>
      </c>
      <c r="C204" t="s">
        <v>14</v>
      </c>
      <c r="D204" t="s">
        <v>2041</v>
      </c>
      <c r="E204" t="s">
        <v>21</v>
      </c>
      <c r="F204" t="s">
        <v>25</v>
      </c>
      <c r="G204">
        <v>4</v>
      </c>
      <c r="H204">
        <v>11800</v>
      </c>
      <c r="I204" s="6">
        <v>0.15000000000000002</v>
      </c>
      <c r="J204">
        <v>10030</v>
      </c>
    </row>
    <row r="205" spans="1:10" x14ac:dyDescent="0.25">
      <c r="A205" t="s">
        <v>226</v>
      </c>
      <c r="B205" s="2">
        <v>44045</v>
      </c>
      <c r="C205" t="s">
        <v>14</v>
      </c>
      <c r="D205" t="s">
        <v>2042</v>
      </c>
      <c r="E205" t="s">
        <v>22</v>
      </c>
      <c r="F205" t="s">
        <v>25</v>
      </c>
      <c r="G205">
        <v>1</v>
      </c>
      <c r="H205">
        <v>10800</v>
      </c>
      <c r="I205" s="6">
        <v>0.2</v>
      </c>
      <c r="J205">
        <v>8640</v>
      </c>
    </row>
    <row r="206" spans="1:10" x14ac:dyDescent="0.25">
      <c r="A206" t="s">
        <v>227</v>
      </c>
      <c r="B206" s="2">
        <v>44046</v>
      </c>
      <c r="C206" t="s">
        <v>14</v>
      </c>
      <c r="D206" t="s">
        <v>2043</v>
      </c>
      <c r="E206" t="s">
        <v>19</v>
      </c>
      <c r="F206" t="s">
        <v>25</v>
      </c>
      <c r="G206">
        <v>7</v>
      </c>
      <c r="H206">
        <v>6500</v>
      </c>
      <c r="I206" s="6">
        <v>0.25</v>
      </c>
      <c r="J206">
        <v>4875</v>
      </c>
    </row>
    <row r="207" spans="1:10" x14ac:dyDescent="0.25">
      <c r="A207" t="s">
        <v>228</v>
      </c>
      <c r="B207" s="2">
        <v>44047</v>
      </c>
      <c r="C207" t="s">
        <v>14</v>
      </c>
      <c r="D207" t="s">
        <v>2044</v>
      </c>
      <c r="E207" t="s">
        <v>20</v>
      </c>
      <c r="F207" t="s">
        <v>25</v>
      </c>
      <c r="G207">
        <v>4</v>
      </c>
      <c r="H207">
        <v>5000</v>
      </c>
      <c r="I207" s="6">
        <v>0.05</v>
      </c>
      <c r="J207">
        <v>4750</v>
      </c>
    </row>
    <row r="208" spans="1:10" x14ac:dyDescent="0.25">
      <c r="A208" t="s">
        <v>229</v>
      </c>
      <c r="B208" s="2">
        <v>44048</v>
      </c>
      <c r="C208" t="s">
        <v>14</v>
      </c>
      <c r="D208" t="s">
        <v>2045</v>
      </c>
      <c r="E208" t="s">
        <v>21</v>
      </c>
      <c r="F208" t="s">
        <v>25</v>
      </c>
      <c r="G208">
        <v>2</v>
      </c>
      <c r="H208">
        <v>4300</v>
      </c>
      <c r="I208" s="6">
        <v>0.1</v>
      </c>
      <c r="J208">
        <v>3870</v>
      </c>
    </row>
    <row r="209" spans="1:10" x14ac:dyDescent="0.25">
      <c r="A209" t="s">
        <v>230</v>
      </c>
      <c r="B209" s="2">
        <v>44049</v>
      </c>
      <c r="C209" t="s">
        <v>14</v>
      </c>
      <c r="D209" t="s">
        <v>2046</v>
      </c>
      <c r="E209" t="s">
        <v>22</v>
      </c>
      <c r="F209" t="s">
        <v>25</v>
      </c>
      <c r="G209">
        <v>4</v>
      </c>
      <c r="H209">
        <v>11700</v>
      </c>
      <c r="I209" s="6">
        <v>0.15000000000000002</v>
      </c>
      <c r="J209">
        <v>9945</v>
      </c>
    </row>
    <row r="210" spans="1:10" x14ac:dyDescent="0.25">
      <c r="A210" t="s">
        <v>231</v>
      </c>
      <c r="B210" s="2">
        <v>44050</v>
      </c>
      <c r="C210" t="s">
        <v>14</v>
      </c>
      <c r="D210" t="s">
        <v>2047</v>
      </c>
      <c r="E210" t="s">
        <v>19</v>
      </c>
      <c r="F210" t="s">
        <v>25</v>
      </c>
      <c r="G210">
        <v>10</v>
      </c>
      <c r="H210">
        <v>10600</v>
      </c>
      <c r="I210" s="6">
        <v>0.2</v>
      </c>
      <c r="J210">
        <v>8480</v>
      </c>
    </row>
    <row r="211" spans="1:10" x14ac:dyDescent="0.25">
      <c r="A211" t="s">
        <v>232</v>
      </c>
      <c r="B211" s="2">
        <v>44051</v>
      </c>
      <c r="C211" t="s">
        <v>14</v>
      </c>
      <c r="D211" t="s">
        <v>2048</v>
      </c>
      <c r="E211" t="s">
        <v>20</v>
      </c>
      <c r="F211" t="s">
        <v>25</v>
      </c>
      <c r="G211">
        <v>4</v>
      </c>
      <c r="H211">
        <v>14500</v>
      </c>
      <c r="I211" s="6">
        <v>0.25</v>
      </c>
      <c r="J211">
        <v>10875</v>
      </c>
    </row>
    <row r="212" spans="1:10" x14ac:dyDescent="0.25">
      <c r="A212" t="s">
        <v>233</v>
      </c>
      <c r="B212" s="2">
        <v>44052</v>
      </c>
      <c r="C212" t="s">
        <v>12</v>
      </c>
      <c r="D212" t="s">
        <v>15</v>
      </c>
      <c r="E212" t="s">
        <v>21</v>
      </c>
      <c r="F212" t="s">
        <v>23</v>
      </c>
      <c r="G212">
        <v>9</v>
      </c>
      <c r="H212">
        <v>14600</v>
      </c>
      <c r="I212" s="6">
        <v>0.05</v>
      </c>
      <c r="J212">
        <v>13870</v>
      </c>
    </row>
    <row r="213" spans="1:10" x14ac:dyDescent="0.25">
      <c r="A213" t="s">
        <v>234</v>
      </c>
      <c r="B213" s="2">
        <v>44053</v>
      </c>
      <c r="C213" t="s">
        <v>12</v>
      </c>
      <c r="D213" t="s">
        <v>17</v>
      </c>
      <c r="E213" t="s">
        <v>22</v>
      </c>
      <c r="F213" t="s">
        <v>23</v>
      </c>
      <c r="G213">
        <v>2</v>
      </c>
      <c r="H213">
        <v>11700</v>
      </c>
      <c r="I213" s="6">
        <v>0.1</v>
      </c>
      <c r="J213">
        <v>10530</v>
      </c>
    </row>
    <row r="214" spans="1:10" x14ac:dyDescent="0.25">
      <c r="A214" t="s">
        <v>235</v>
      </c>
      <c r="B214" s="2">
        <v>44054</v>
      </c>
      <c r="C214" t="s">
        <v>12</v>
      </c>
      <c r="D214" t="s">
        <v>2023</v>
      </c>
      <c r="E214" t="s">
        <v>19</v>
      </c>
      <c r="F214" t="s">
        <v>23</v>
      </c>
      <c r="G214">
        <v>3</v>
      </c>
      <c r="H214">
        <v>11000</v>
      </c>
      <c r="I214" s="6">
        <v>0.15000000000000002</v>
      </c>
      <c r="J214">
        <v>9350</v>
      </c>
    </row>
    <row r="215" spans="1:10" x14ac:dyDescent="0.25">
      <c r="A215" t="s">
        <v>236</v>
      </c>
      <c r="B215" s="2">
        <v>44055</v>
      </c>
      <c r="C215" t="s">
        <v>12</v>
      </c>
      <c r="D215" t="s">
        <v>18</v>
      </c>
      <c r="E215" t="s">
        <v>20</v>
      </c>
      <c r="F215" t="s">
        <v>23</v>
      </c>
      <c r="G215">
        <v>9</v>
      </c>
      <c r="H215">
        <v>6700</v>
      </c>
      <c r="I215" s="6">
        <v>0.2</v>
      </c>
      <c r="J215">
        <v>5360</v>
      </c>
    </row>
    <row r="216" spans="1:10" x14ac:dyDescent="0.25">
      <c r="A216" t="s">
        <v>237</v>
      </c>
      <c r="B216" s="2">
        <v>44056</v>
      </c>
      <c r="C216" t="s">
        <v>12</v>
      </c>
      <c r="D216" t="s">
        <v>2024</v>
      </c>
      <c r="E216" t="s">
        <v>21</v>
      </c>
      <c r="F216" t="s">
        <v>23</v>
      </c>
      <c r="G216">
        <v>2</v>
      </c>
      <c r="H216">
        <v>10600</v>
      </c>
      <c r="I216" s="6">
        <v>0.25</v>
      </c>
      <c r="J216">
        <v>7950</v>
      </c>
    </row>
    <row r="217" spans="1:10" x14ac:dyDescent="0.25">
      <c r="A217" t="s">
        <v>238</v>
      </c>
      <c r="B217" s="2">
        <v>44057</v>
      </c>
      <c r="C217" t="s">
        <v>12</v>
      </c>
      <c r="D217" t="s">
        <v>2025</v>
      </c>
      <c r="E217" t="s">
        <v>22</v>
      </c>
      <c r="F217" t="s">
        <v>23</v>
      </c>
      <c r="G217">
        <v>1</v>
      </c>
      <c r="H217">
        <v>11300</v>
      </c>
      <c r="I217" s="6">
        <v>0.05</v>
      </c>
      <c r="J217">
        <v>10735</v>
      </c>
    </row>
    <row r="218" spans="1:10" x14ac:dyDescent="0.25">
      <c r="A218" t="s">
        <v>239</v>
      </c>
      <c r="B218" s="2">
        <v>44058</v>
      </c>
      <c r="C218" t="s">
        <v>12</v>
      </c>
      <c r="D218" t="s">
        <v>2026</v>
      </c>
      <c r="E218" t="s">
        <v>19</v>
      </c>
      <c r="F218" t="s">
        <v>23</v>
      </c>
      <c r="G218">
        <v>4</v>
      </c>
      <c r="H218">
        <v>6400</v>
      </c>
      <c r="I218" s="6">
        <v>0.1</v>
      </c>
      <c r="J218">
        <v>5760</v>
      </c>
    </row>
    <row r="219" spans="1:10" x14ac:dyDescent="0.25">
      <c r="A219" t="s">
        <v>240</v>
      </c>
      <c r="B219" s="2">
        <v>44059</v>
      </c>
      <c r="C219" t="s">
        <v>12</v>
      </c>
      <c r="D219" t="s">
        <v>2027</v>
      </c>
      <c r="E219" t="s">
        <v>20</v>
      </c>
      <c r="F219" t="s">
        <v>23</v>
      </c>
      <c r="G219">
        <v>2</v>
      </c>
      <c r="H219">
        <v>6600</v>
      </c>
      <c r="I219" s="6">
        <v>0.15000000000000002</v>
      </c>
      <c r="J219">
        <v>5610</v>
      </c>
    </row>
    <row r="220" spans="1:10" x14ac:dyDescent="0.25">
      <c r="A220" t="s">
        <v>241</v>
      </c>
      <c r="B220" s="2">
        <v>44060</v>
      </c>
      <c r="C220" t="s">
        <v>12</v>
      </c>
      <c r="D220" t="s">
        <v>2028</v>
      </c>
      <c r="E220" t="s">
        <v>21</v>
      </c>
      <c r="F220" t="s">
        <v>23</v>
      </c>
      <c r="G220">
        <v>5</v>
      </c>
      <c r="H220">
        <v>11700</v>
      </c>
      <c r="I220" s="6">
        <v>0.2</v>
      </c>
      <c r="J220">
        <v>9360</v>
      </c>
    </row>
    <row r="221" spans="1:10" x14ac:dyDescent="0.25">
      <c r="A221" t="s">
        <v>242</v>
      </c>
      <c r="B221" s="2">
        <v>44061</v>
      </c>
      <c r="C221" t="s">
        <v>12</v>
      </c>
      <c r="D221" t="s">
        <v>2029</v>
      </c>
      <c r="E221" t="s">
        <v>22</v>
      </c>
      <c r="F221" t="s">
        <v>23</v>
      </c>
      <c r="G221">
        <v>6</v>
      </c>
      <c r="H221">
        <v>13300</v>
      </c>
      <c r="I221" s="6">
        <v>0.25</v>
      </c>
      <c r="J221">
        <v>9975</v>
      </c>
    </row>
    <row r="222" spans="1:10" x14ac:dyDescent="0.25">
      <c r="A222" t="s">
        <v>243</v>
      </c>
      <c r="B222" s="2">
        <v>44062</v>
      </c>
      <c r="C222" t="s">
        <v>13</v>
      </c>
      <c r="D222" t="s">
        <v>16</v>
      </c>
      <c r="E222" t="s">
        <v>19</v>
      </c>
      <c r="F222" t="s">
        <v>24</v>
      </c>
      <c r="G222">
        <v>6</v>
      </c>
      <c r="H222">
        <v>9100</v>
      </c>
      <c r="I222" s="6">
        <v>0.05</v>
      </c>
      <c r="J222">
        <v>8645</v>
      </c>
    </row>
    <row r="223" spans="1:10" x14ac:dyDescent="0.25">
      <c r="A223" t="s">
        <v>244</v>
      </c>
      <c r="B223" s="2">
        <v>44063</v>
      </c>
      <c r="C223" t="s">
        <v>13</v>
      </c>
      <c r="D223" t="s">
        <v>2030</v>
      </c>
      <c r="E223" t="s">
        <v>20</v>
      </c>
      <c r="F223" t="s">
        <v>24</v>
      </c>
      <c r="G223">
        <v>1</v>
      </c>
      <c r="H223">
        <v>10100</v>
      </c>
      <c r="I223" s="6">
        <v>0.1</v>
      </c>
      <c r="J223">
        <v>9090</v>
      </c>
    </row>
    <row r="224" spans="1:10" x14ac:dyDescent="0.25">
      <c r="A224" t="s">
        <v>245</v>
      </c>
      <c r="B224" s="2">
        <v>44064</v>
      </c>
      <c r="C224" t="s">
        <v>13</v>
      </c>
      <c r="D224" t="s">
        <v>2031</v>
      </c>
      <c r="E224" t="s">
        <v>21</v>
      </c>
      <c r="F224" t="s">
        <v>24</v>
      </c>
      <c r="G224">
        <v>5</v>
      </c>
      <c r="H224">
        <v>4200</v>
      </c>
      <c r="I224" s="6">
        <v>0.15000000000000002</v>
      </c>
      <c r="J224">
        <v>3570</v>
      </c>
    </row>
    <row r="225" spans="1:10" x14ac:dyDescent="0.25">
      <c r="A225" t="s">
        <v>246</v>
      </c>
      <c r="B225" s="2">
        <v>44065</v>
      </c>
      <c r="C225" t="s">
        <v>13</v>
      </c>
      <c r="D225" t="s">
        <v>2032</v>
      </c>
      <c r="E225" t="s">
        <v>22</v>
      </c>
      <c r="F225" t="s">
        <v>24</v>
      </c>
      <c r="G225">
        <v>1</v>
      </c>
      <c r="H225">
        <v>13000</v>
      </c>
      <c r="I225" s="6">
        <v>0.2</v>
      </c>
      <c r="J225">
        <v>10400</v>
      </c>
    </row>
    <row r="226" spans="1:10" x14ac:dyDescent="0.25">
      <c r="A226" t="s">
        <v>247</v>
      </c>
      <c r="B226" s="2">
        <v>44066</v>
      </c>
      <c r="C226" t="s">
        <v>13</v>
      </c>
      <c r="D226" t="s">
        <v>2033</v>
      </c>
      <c r="E226" t="s">
        <v>19</v>
      </c>
      <c r="F226" t="s">
        <v>24</v>
      </c>
      <c r="G226">
        <v>6</v>
      </c>
      <c r="H226">
        <v>11500</v>
      </c>
      <c r="I226" s="6">
        <v>0.25</v>
      </c>
      <c r="J226">
        <v>8625</v>
      </c>
    </row>
    <row r="227" spans="1:10" x14ac:dyDescent="0.25">
      <c r="A227" t="s">
        <v>248</v>
      </c>
      <c r="B227" s="2">
        <v>44067</v>
      </c>
      <c r="C227" t="s">
        <v>13</v>
      </c>
      <c r="D227" t="s">
        <v>2034</v>
      </c>
      <c r="E227" t="s">
        <v>20</v>
      </c>
      <c r="F227" t="s">
        <v>24</v>
      </c>
      <c r="G227">
        <v>4</v>
      </c>
      <c r="H227">
        <v>6700</v>
      </c>
      <c r="I227" s="6">
        <v>0.05</v>
      </c>
      <c r="J227">
        <v>6365</v>
      </c>
    </row>
    <row r="228" spans="1:10" x14ac:dyDescent="0.25">
      <c r="A228" t="s">
        <v>249</v>
      </c>
      <c r="B228" s="2">
        <v>44068</v>
      </c>
      <c r="C228" t="s">
        <v>13</v>
      </c>
      <c r="D228" t="s">
        <v>2035</v>
      </c>
      <c r="E228" t="s">
        <v>21</v>
      </c>
      <c r="F228" t="s">
        <v>24</v>
      </c>
      <c r="G228">
        <v>7</v>
      </c>
      <c r="H228">
        <v>8400</v>
      </c>
      <c r="I228" s="6">
        <v>0.1</v>
      </c>
      <c r="J228">
        <v>7560</v>
      </c>
    </row>
    <row r="229" spans="1:10" x14ac:dyDescent="0.25">
      <c r="A229" t="s">
        <v>250</v>
      </c>
      <c r="B229" s="2">
        <v>44069</v>
      </c>
      <c r="C229" t="s">
        <v>13</v>
      </c>
      <c r="D229" t="s">
        <v>2036</v>
      </c>
      <c r="E229" t="s">
        <v>22</v>
      </c>
      <c r="F229" t="s">
        <v>24</v>
      </c>
      <c r="G229">
        <v>10</v>
      </c>
      <c r="H229">
        <v>12400</v>
      </c>
      <c r="I229" s="6">
        <v>0.15000000000000002</v>
      </c>
      <c r="J229">
        <v>10540</v>
      </c>
    </row>
    <row r="230" spans="1:10" x14ac:dyDescent="0.25">
      <c r="A230" t="s">
        <v>251</v>
      </c>
      <c r="B230" s="2">
        <v>44070</v>
      </c>
      <c r="C230" t="s">
        <v>13</v>
      </c>
      <c r="D230" t="s">
        <v>2037</v>
      </c>
      <c r="E230" t="s">
        <v>19</v>
      </c>
      <c r="F230" t="s">
        <v>24</v>
      </c>
      <c r="G230">
        <v>10</v>
      </c>
      <c r="H230">
        <v>12300</v>
      </c>
      <c r="I230" s="6">
        <v>0.2</v>
      </c>
      <c r="J230">
        <v>9840</v>
      </c>
    </row>
    <row r="231" spans="1:10" x14ac:dyDescent="0.25">
      <c r="A231" t="s">
        <v>252</v>
      </c>
      <c r="B231" s="2">
        <v>44071</v>
      </c>
      <c r="C231" t="s">
        <v>13</v>
      </c>
      <c r="D231" t="s">
        <v>2038</v>
      </c>
      <c r="E231" t="s">
        <v>20</v>
      </c>
      <c r="F231" t="s">
        <v>24</v>
      </c>
      <c r="G231">
        <v>4</v>
      </c>
      <c r="H231">
        <v>14500</v>
      </c>
      <c r="I231" s="6">
        <v>0.25</v>
      </c>
      <c r="J231">
        <v>10875</v>
      </c>
    </row>
    <row r="232" spans="1:10" x14ac:dyDescent="0.25">
      <c r="A232" t="s">
        <v>253</v>
      </c>
      <c r="B232" s="2">
        <v>44072</v>
      </c>
      <c r="C232" t="s">
        <v>14</v>
      </c>
      <c r="D232" t="s">
        <v>2039</v>
      </c>
      <c r="E232" t="s">
        <v>21</v>
      </c>
      <c r="F232" t="s">
        <v>25</v>
      </c>
      <c r="G232">
        <v>2</v>
      </c>
      <c r="H232">
        <v>9800</v>
      </c>
      <c r="I232" s="6">
        <v>0.05</v>
      </c>
      <c r="J232">
        <v>9310</v>
      </c>
    </row>
    <row r="233" spans="1:10" x14ac:dyDescent="0.25">
      <c r="A233" t="s">
        <v>254</v>
      </c>
      <c r="B233" s="2">
        <v>44073</v>
      </c>
      <c r="C233" t="s">
        <v>14</v>
      </c>
      <c r="D233" t="s">
        <v>2040</v>
      </c>
      <c r="E233" t="s">
        <v>22</v>
      </c>
      <c r="F233" t="s">
        <v>25</v>
      </c>
      <c r="G233">
        <v>4</v>
      </c>
      <c r="H233">
        <v>12200</v>
      </c>
      <c r="I233" s="6">
        <v>0.1</v>
      </c>
      <c r="J233">
        <v>10980</v>
      </c>
    </row>
    <row r="234" spans="1:10" x14ac:dyDescent="0.25">
      <c r="A234" t="s">
        <v>255</v>
      </c>
      <c r="B234" s="2">
        <v>44074</v>
      </c>
      <c r="C234" t="s">
        <v>14</v>
      </c>
      <c r="D234" t="s">
        <v>2041</v>
      </c>
      <c r="E234" t="s">
        <v>19</v>
      </c>
      <c r="F234" t="s">
        <v>25</v>
      </c>
      <c r="G234">
        <v>4</v>
      </c>
      <c r="H234">
        <v>4200</v>
      </c>
      <c r="I234" s="6">
        <v>0.15000000000000002</v>
      </c>
      <c r="J234">
        <v>3570</v>
      </c>
    </row>
    <row r="235" spans="1:10" x14ac:dyDescent="0.25">
      <c r="A235" t="s">
        <v>256</v>
      </c>
      <c r="B235" s="2">
        <v>44075</v>
      </c>
      <c r="C235" t="s">
        <v>14</v>
      </c>
      <c r="D235" t="s">
        <v>2042</v>
      </c>
      <c r="E235" t="s">
        <v>20</v>
      </c>
      <c r="F235" t="s">
        <v>25</v>
      </c>
      <c r="G235">
        <v>7</v>
      </c>
      <c r="H235">
        <v>5800</v>
      </c>
      <c r="I235" s="6">
        <v>0.2</v>
      </c>
      <c r="J235">
        <v>4640</v>
      </c>
    </row>
    <row r="236" spans="1:10" x14ac:dyDescent="0.25">
      <c r="A236" t="s">
        <v>257</v>
      </c>
      <c r="B236" s="2">
        <v>44076</v>
      </c>
      <c r="C236" t="s">
        <v>14</v>
      </c>
      <c r="D236" t="s">
        <v>2043</v>
      </c>
      <c r="E236" t="s">
        <v>21</v>
      </c>
      <c r="F236" t="s">
        <v>25</v>
      </c>
      <c r="G236">
        <v>4</v>
      </c>
      <c r="H236">
        <v>6800</v>
      </c>
      <c r="I236" s="6">
        <v>0.25</v>
      </c>
      <c r="J236">
        <v>5100</v>
      </c>
    </row>
    <row r="237" spans="1:10" x14ac:dyDescent="0.25">
      <c r="A237" t="s">
        <v>258</v>
      </c>
      <c r="B237" s="2">
        <v>44077</v>
      </c>
      <c r="C237" t="s">
        <v>14</v>
      </c>
      <c r="D237" t="s">
        <v>2044</v>
      </c>
      <c r="E237" t="s">
        <v>22</v>
      </c>
      <c r="F237" t="s">
        <v>25</v>
      </c>
      <c r="G237">
        <v>10</v>
      </c>
      <c r="H237">
        <v>10300</v>
      </c>
      <c r="I237" s="6">
        <v>0.05</v>
      </c>
      <c r="J237">
        <v>9785</v>
      </c>
    </row>
    <row r="238" spans="1:10" x14ac:dyDescent="0.25">
      <c r="A238" t="s">
        <v>259</v>
      </c>
      <c r="B238" s="2">
        <v>44078</v>
      </c>
      <c r="C238" t="s">
        <v>14</v>
      </c>
      <c r="D238" t="s">
        <v>2045</v>
      </c>
      <c r="E238" t="s">
        <v>19</v>
      </c>
      <c r="F238" t="s">
        <v>25</v>
      </c>
      <c r="G238">
        <v>4</v>
      </c>
      <c r="H238">
        <v>10800</v>
      </c>
      <c r="I238" s="6">
        <v>0.1</v>
      </c>
      <c r="J238">
        <v>9720</v>
      </c>
    </row>
    <row r="239" spans="1:10" x14ac:dyDescent="0.25">
      <c r="A239" t="s">
        <v>260</v>
      </c>
      <c r="B239" s="2">
        <v>44079</v>
      </c>
      <c r="C239" t="s">
        <v>14</v>
      </c>
      <c r="D239" t="s">
        <v>2046</v>
      </c>
      <c r="E239" t="s">
        <v>20</v>
      </c>
      <c r="F239" t="s">
        <v>25</v>
      </c>
      <c r="G239">
        <v>4</v>
      </c>
      <c r="H239">
        <v>7500</v>
      </c>
      <c r="I239" s="6">
        <v>0.15000000000000002</v>
      </c>
      <c r="J239">
        <v>6375</v>
      </c>
    </row>
    <row r="240" spans="1:10" x14ac:dyDescent="0.25">
      <c r="A240" t="s">
        <v>261</v>
      </c>
      <c r="B240" s="2">
        <v>44080</v>
      </c>
      <c r="C240" t="s">
        <v>14</v>
      </c>
      <c r="D240" t="s">
        <v>2047</v>
      </c>
      <c r="E240" t="s">
        <v>21</v>
      </c>
      <c r="F240" t="s">
        <v>25</v>
      </c>
      <c r="G240">
        <v>8</v>
      </c>
      <c r="H240">
        <v>6800</v>
      </c>
      <c r="I240" s="6">
        <v>0.2</v>
      </c>
      <c r="J240">
        <v>5440</v>
      </c>
    </row>
    <row r="241" spans="1:10" x14ac:dyDescent="0.25">
      <c r="A241" t="s">
        <v>262</v>
      </c>
      <c r="B241" s="2">
        <v>44081</v>
      </c>
      <c r="C241" t="s">
        <v>14</v>
      </c>
      <c r="D241" t="s">
        <v>2048</v>
      </c>
      <c r="E241" t="s">
        <v>22</v>
      </c>
      <c r="F241" t="s">
        <v>25</v>
      </c>
      <c r="G241">
        <v>1</v>
      </c>
      <c r="H241">
        <v>4900</v>
      </c>
      <c r="I241" s="6">
        <v>0.25</v>
      </c>
      <c r="J241">
        <v>3675</v>
      </c>
    </row>
    <row r="242" spans="1:10" x14ac:dyDescent="0.25">
      <c r="A242" t="s">
        <v>263</v>
      </c>
      <c r="B242" s="2">
        <v>44082</v>
      </c>
      <c r="C242" t="s">
        <v>12</v>
      </c>
      <c r="D242" t="s">
        <v>15</v>
      </c>
      <c r="E242" t="s">
        <v>19</v>
      </c>
      <c r="F242" t="s">
        <v>23</v>
      </c>
      <c r="G242">
        <v>9</v>
      </c>
      <c r="H242">
        <v>8700</v>
      </c>
      <c r="I242" s="6">
        <v>0.05</v>
      </c>
      <c r="J242">
        <v>8265</v>
      </c>
    </row>
    <row r="243" spans="1:10" x14ac:dyDescent="0.25">
      <c r="A243" t="s">
        <v>264</v>
      </c>
      <c r="B243" s="2">
        <v>44083</v>
      </c>
      <c r="C243" t="s">
        <v>12</v>
      </c>
      <c r="D243" t="s">
        <v>17</v>
      </c>
      <c r="E243" t="s">
        <v>20</v>
      </c>
      <c r="F243" t="s">
        <v>23</v>
      </c>
      <c r="G243">
        <v>8</v>
      </c>
      <c r="H243">
        <v>5500</v>
      </c>
      <c r="I243" s="6">
        <v>0.1</v>
      </c>
      <c r="J243">
        <v>4950</v>
      </c>
    </row>
    <row r="244" spans="1:10" x14ac:dyDescent="0.25">
      <c r="A244" t="s">
        <v>265</v>
      </c>
      <c r="B244" s="2">
        <v>44084</v>
      </c>
      <c r="C244" t="s">
        <v>12</v>
      </c>
      <c r="D244" t="s">
        <v>2023</v>
      </c>
      <c r="E244" t="s">
        <v>21</v>
      </c>
      <c r="F244" t="s">
        <v>23</v>
      </c>
      <c r="G244">
        <v>3</v>
      </c>
      <c r="H244">
        <v>14500</v>
      </c>
      <c r="I244" s="6">
        <v>0.15000000000000002</v>
      </c>
      <c r="J244">
        <v>12325</v>
      </c>
    </row>
    <row r="245" spans="1:10" x14ac:dyDescent="0.25">
      <c r="A245" t="s">
        <v>266</v>
      </c>
      <c r="B245" s="2">
        <v>44085</v>
      </c>
      <c r="C245" t="s">
        <v>12</v>
      </c>
      <c r="D245" t="s">
        <v>18</v>
      </c>
      <c r="E245" t="s">
        <v>22</v>
      </c>
      <c r="F245" t="s">
        <v>23</v>
      </c>
      <c r="G245">
        <v>3</v>
      </c>
      <c r="H245">
        <v>10700</v>
      </c>
      <c r="I245" s="6">
        <v>0.2</v>
      </c>
      <c r="J245">
        <v>8560</v>
      </c>
    </row>
    <row r="246" spans="1:10" x14ac:dyDescent="0.25">
      <c r="A246" t="s">
        <v>267</v>
      </c>
      <c r="B246" s="2">
        <v>44086</v>
      </c>
      <c r="C246" t="s">
        <v>12</v>
      </c>
      <c r="D246" t="s">
        <v>2024</v>
      </c>
      <c r="E246" t="s">
        <v>19</v>
      </c>
      <c r="F246" t="s">
        <v>23</v>
      </c>
      <c r="G246">
        <v>2</v>
      </c>
      <c r="H246">
        <v>6800</v>
      </c>
      <c r="I246" s="6">
        <v>0.25</v>
      </c>
      <c r="J246">
        <v>5100</v>
      </c>
    </row>
    <row r="247" spans="1:10" x14ac:dyDescent="0.25">
      <c r="A247" t="s">
        <v>268</v>
      </c>
      <c r="B247" s="2">
        <v>44087</v>
      </c>
      <c r="C247" t="s">
        <v>12</v>
      </c>
      <c r="D247" t="s">
        <v>2025</v>
      </c>
      <c r="E247" t="s">
        <v>20</v>
      </c>
      <c r="F247" t="s">
        <v>23</v>
      </c>
      <c r="G247">
        <v>1</v>
      </c>
      <c r="H247">
        <v>5700</v>
      </c>
      <c r="I247" s="6">
        <v>0.05</v>
      </c>
      <c r="J247">
        <v>5415</v>
      </c>
    </row>
    <row r="248" spans="1:10" x14ac:dyDescent="0.25">
      <c r="A248" t="s">
        <v>269</v>
      </c>
      <c r="B248" s="2">
        <v>44088</v>
      </c>
      <c r="C248" t="s">
        <v>12</v>
      </c>
      <c r="D248" t="s">
        <v>2026</v>
      </c>
      <c r="E248" t="s">
        <v>21</v>
      </c>
      <c r="F248" t="s">
        <v>23</v>
      </c>
      <c r="G248">
        <v>9</v>
      </c>
      <c r="H248">
        <v>4300</v>
      </c>
      <c r="I248" s="6">
        <v>0.1</v>
      </c>
      <c r="J248">
        <v>3870</v>
      </c>
    </row>
    <row r="249" spans="1:10" x14ac:dyDescent="0.25">
      <c r="A249" t="s">
        <v>270</v>
      </c>
      <c r="B249" s="2">
        <v>44089</v>
      </c>
      <c r="C249" t="s">
        <v>12</v>
      </c>
      <c r="D249" t="s">
        <v>2027</v>
      </c>
      <c r="E249" t="s">
        <v>22</v>
      </c>
      <c r="F249" t="s">
        <v>23</v>
      </c>
      <c r="G249">
        <v>8</v>
      </c>
      <c r="H249">
        <v>14600</v>
      </c>
      <c r="I249" s="6">
        <v>0.15000000000000002</v>
      </c>
      <c r="J249">
        <v>12410</v>
      </c>
    </row>
    <row r="250" spans="1:10" x14ac:dyDescent="0.25">
      <c r="A250" t="s">
        <v>271</v>
      </c>
      <c r="B250" s="2">
        <v>44090</v>
      </c>
      <c r="C250" t="s">
        <v>12</v>
      </c>
      <c r="D250" t="s">
        <v>2028</v>
      </c>
      <c r="E250" t="s">
        <v>19</v>
      </c>
      <c r="F250" t="s">
        <v>23</v>
      </c>
      <c r="G250">
        <v>3</v>
      </c>
      <c r="H250">
        <v>11400</v>
      </c>
      <c r="I250" s="6">
        <v>0.2</v>
      </c>
      <c r="J250">
        <v>9120</v>
      </c>
    </row>
    <row r="251" spans="1:10" x14ac:dyDescent="0.25">
      <c r="A251" t="s">
        <v>272</v>
      </c>
      <c r="B251" s="2">
        <v>44091</v>
      </c>
      <c r="C251" t="s">
        <v>12</v>
      </c>
      <c r="D251" t="s">
        <v>2029</v>
      </c>
      <c r="E251" t="s">
        <v>20</v>
      </c>
      <c r="F251" t="s">
        <v>23</v>
      </c>
      <c r="G251">
        <v>10</v>
      </c>
      <c r="H251">
        <v>12500</v>
      </c>
      <c r="I251" s="6">
        <v>0.25</v>
      </c>
      <c r="J251">
        <v>9375</v>
      </c>
    </row>
    <row r="252" spans="1:10" x14ac:dyDescent="0.25">
      <c r="A252" t="s">
        <v>273</v>
      </c>
      <c r="B252" s="2">
        <v>44092</v>
      </c>
      <c r="C252" t="s">
        <v>13</v>
      </c>
      <c r="D252" t="s">
        <v>16</v>
      </c>
      <c r="E252" t="s">
        <v>21</v>
      </c>
      <c r="F252" t="s">
        <v>24</v>
      </c>
      <c r="G252">
        <v>9</v>
      </c>
      <c r="H252">
        <v>9400</v>
      </c>
      <c r="I252" s="6">
        <v>0.05</v>
      </c>
      <c r="J252">
        <v>8930</v>
      </c>
    </row>
    <row r="253" spans="1:10" x14ac:dyDescent="0.25">
      <c r="A253" t="s">
        <v>274</v>
      </c>
      <c r="B253" s="2">
        <v>44093</v>
      </c>
      <c r="C253" t="s">
        <v>13</v>
      </c>
      <c r="D253" t="s">
        <v>2030</v>
      </c>
      <c r="E253" t="s">
        <v>22</v>
      </c>
      <c r="F253" t="s">
        <v>24</v>
      </c>
      <c r="G253">
        <v>9</v>
      </c>
      <c r="H253">
        <v>10400</v>
      </c>
      <c r="I253" s="6">
        <v>0.1</v>
      </c>
      <c r="J253">
        <v>9360</v>
      </c>
    </row>
    <row r="254" spans="1:10" x14ac:dyDescent="0.25">
      <c r="A254" t="s">
        <v>275</v>
      </c>
      <c r="B254" s="2">
        <v>44094</v>
      </c>
      <c r="C254" t="s">
        <v>13</v>
      </c>
      <c r="D254" t="s">
        <v>2031</v>
      </c>
      <c r="E254" t="s">
        <v>19</v>
      </c>
      <c r="F254" t="s">
        <v>24</v>
      </c>
      <c r="G254">
        <v>1</v>
      </c>
      <c r="H254">
        <v>12500</v>
      </c>
      <c r="I254" s="6">
        <v>0.15000000000000002</v>
      </c>
      <c r="J254">
        <v>10625</v>
      </c>
    </row>
    <row r="255" spans="1:10" x14ac:dyDescent="0.25">
      <c r="A255" t="s">
        <v>276</v>
      </c>
      <c r="B255" s="2">
        <v>44095</v>
      </c>
      <c r="C255" t="s">
        <v>13</v>
      </c>
      <c r="D255" t="s">
        <v>2032</v>
      </c>
      <c r="E255" t="s">
        <v>20</v>
      </c>
      <c r="F255" t="s">
        <v>24</v>
      </c>
      <c r="G255">
        <v>5</v>
      </c>
      <c r="H255">
        <v>5600</v>
      </c>
      <c r="I255" s="6">
        <v>0.2</v>
      </c>
      <c r="J255">
        <v>4480</v>
      </c>
    </row>
    <row r="256" spans="1:10" x14ac:dyDescent="0.25">
      <c r="A256" t="s">
        <v>277</v>
      </c>
      <c r="B256" s="2">
        <v>44096</v>
      </c>
      <c r="C256" t="s">
        <v>13</v>
      </c>
      <c r="D256" t="s">
        <v>2033</v>
      </c>
      <c r="E256" t="s">
        <v>21</v>
      </c>
      <c r="F256" t="s">
        <v>24</v>
      </c>
      <c r="G256">
        <v>10</v>
      </c>
      <c r="H256">
        <v>4700</v>
      </c>
      <c r="I256" s="6">
        <v>0.25</v>
      </c>
      <c r="J256">
        <v>3525</v>
      </c>
    </row>
    <row r="257" spans="1:10" x14ac:dyDescent="0.25">
      <c r="A257" t="s">
        <v>278</v>
      </c>
      <c r="B257" s="2">
        <v>44097</v>
      </c>
      <c r="C257" t="s">
        <v>13</v>
      </c>
      <c r="D257" t="s">
        <v>2034</v>
      </c>
      <c r="E257" t="s">
        <v>22</v>
      </c>
      <c r="F257" t="s">
        <v>24</v>
      </c>
      <c r="G257">
        <v>1</v>
      </c>
      <c r="H257">
        <v>11500</v>
      </c>
      <c r="I257" s="6">
        <v>0.05</v>
      </c>
      <c r="J257">
        <v>10925</v>
      </c>
    </row>
    <row r="258" spans="1:10" x14ac:dyDescent="0.25">
      <c r="A258" t="s">
        <v>279</v>
      </c>
      <c r="B258" s="2">
        <v>44098</v>
      </c>
      <c r="C258" t="s">
        <v>13</v>
      </c>
      <c r="D258" t="s">
        <v>2035</v>
      </c>
      <c r="E258" t="s">
        <v>19</v>
      </c>
      <c r="F258" t="s">
        <v>24</v>
      </c>
      <c r="G258">
        <v>2</v>
      </c>
      <c r="H258">
        <v>12500</v>
      </c>
      <c r="I258" s="6">
        <v>0.1</v>
      </c>
      <c r="J258">
        <v>11250</v>
      </c>
    </row>
    <row r="259" spans="1:10" x14ac:dyDescent="0.25">
      <c r="A259" t="s">
        <v>280</v>
      </c>
      <c r="B259" s="2">
        <v>44099</v>
      </c>
      <c r="C259" t="s">
        <v>13</v>
      </c>
      <c r="D259" t="s">
        <v>2036</v>
      </c>
      <c r="E259" t="s">
        <v>20</v>
      </c>
      <c r="F259" t="s">
        <v>24</v>
      </c>
      <c r="G259">
        <v>6</v>
      </c>
      <c r="H259">
        <v>11900</v>
      </c>
      <c r="I259" s="6">
        <v>0.15000000000000002</v>
      </c>
      <c r="J259">
        <v>10115</v>
      </c>
    </row>
    <row r="260" spans="1:10" x14ac:dyDescent="0.25">
      <c r="A260" t="s">
        <v>281</v>
      </c>
      <c r="B260" s="2">
        <v>44100</v>
      </c>
      <c r="C260" t="s">
        <v>13</v>
      </c>
      <c r="D260" t="s">
        <v>2037</v>
      </c>
      <c r="E260" t="s">
        <v>21</v>
      </c>
      <c r="F260" t="s">
        <v>24</v>
      </c>
      <c r="G260">
        <v>9</v>
      </c>
      <c r="H260">
        <v>14400</v>
      </c>
      <c r="I260" s="6">
        <v>0.2</v>
      </c>
      <c r="J260">
        <v>11520</v>
      </c>
    </row>
    <row r="261" spans="1:10" x14ac:dyDescent="0.25">
      <c r="A261" t="s">
        <v>282</v>
      </c>
      <c r="B261" s="2">
        <v>44101</v>
      </c>
      <c r="C261" t="s">
        <v>13</v>
      </c>
      <c r="D261" t="s">
        <v>2038</v>
      </c>
      <c r="E261" t="s">
        <v>22</v>
      </c>
      <c r="F261" t="s">
        <v>24</v>
      </c>
      <c r="G261">
        <v>8</v>
      </c>
      <c r="H261">
        <v>11900</v>
      </c>
      <c r="I261" s="6">
        <v>0.25</v>
      </c>
      <c r="J261">
        <v>8925</v>
      </c>
    </row>
    <row r="262" spans="1:10" x14ac:dyDescent="0.25">
      <c r="A262" t="s">
        <v>283</v>
      </c>
      <c r="B262" s="2">
        <v>44102</v>
      </c>
      <c r="C262" t="s">
        <v>14</v>
      </c>
      <c r="D262" t="s">
        <v>2039</v>
      </c>
      <c r="E262" t="s">
        <v>19</v>
      </c>
      <c r="F262" t="s">
        <v>25</v>
      </c>
      <c r="G262">
        <v>9</v>
      </c>
      <c r="H262">
        <v>11900</v>
      </c>
      <c r="I262" s="6">
        <v>0.05</v>
      </c>
      <c r="J262">
        <v>11305</v>
      </c>
    </row>
    <row r="263" spans="1:10" x14ac:dyDescent="0.25">
      <c r="A263" t="s">
        <v>284</v>
      </c>
      <c r="B263" s="2">
        <v>44103</v>
      </c>
      <c r="C263" t="s">
        <v>14</v>
      </c>
      <c r="D263" t="s">
        <v>2040</v>
      </c>
      <c r="E263" t="s">
        <v>20</v>
      </c>
      <c r="F263" t="s">
        <v>25</v>
      </c>
      <c r="G263">
        <v>3</v>
      </c>
      <c r="H263">
        <v>9000</v>
      </c>
      <c r="I263" s="6">
        <v>0.1</v>
      </c>
      <c r="J263">
        <v>8100</v>
      </c>
    </row>
    <row r="264" spans="1:10" x14ac:dyDescent="0.25">
      <c r="A264" t="s">
        <v>285</v>
      </c>
      <c r="B264" s="2">
        <v>44104</v>
      </c>
      <c r="C264" t="s">
        <v>14</v>
      </c>
      <c r="D264" t="s">
        <v>2041</v>
      </c>
      <c r="E264" t="s">
        <v>21</v>
      </c>
      <c r="F264" t="s">
        <v>25</v>
      </c>
      <c r="G264">
        <v>10</v>
      </c>
      <c r="H264">
        <v>8100</v>
      </c>
      <c r="I264" s="6">
        <v>0.15000000000000002</v>
      </c>
      <c r="J264">
        <v>6885</v>
      </c>
    </row>
    <row r="265" spans="1:10" x14ac:dyDescent="0.25">
      <c r="A265" t="s">
        <v>286</v>
      </c>
      <c r="B265" s="2">
        <v>44105</v>
      </c>
      <c r="C265" t="s">
        <v>14</v>
      </c>
      <c r="D265" t="s">
        <v>2042</v>
      </c>
      <c r="E265" t="s">
        <v>22</v>
      </c>
      <c r="F265" t="s">
        <v>25</v>
      </c>
      <c r="G265">
        <v>10</v>
      </c>
      <c r="H265">
        <v>12800</v>
      </c>
      <c r="I265" s="6">
        <v>0.2</v>
      </c>
      <c r="J265">
        <v>10240</v>
      </c>
    </row>
    <row r="266" spans="1:10" x14ac:dyDescent="0.25">
      <c r="A266" t="s">
        <v>287</v>
      </c>
      <c r="B266" s="2">
        <v>44106</v>
      </c>
      <c r="C266" t="s">
        <v>14</v>
      </c>
      <c r="D266" t="s">
        <v>2043</v>
      </c>
      <c r="E266" t="s">
        <v>19</v>
      </c>
      <c r="F266" t="s">
        <v>25</v>
      </c>
      <c r="G266">
        <v>8</v>
      </c>
      <c r="H266">
        <v>4200</v>
      </c>
      <c r="I266" s="6">
        <v>0.25</v>
      </c>
      <c r="J266">
        <v>3150</v>
      </c>
    </row>
    <row r="267" spans="1:10" x14ac:dyDescent="0.25">
      <c r="A267" t="s">
        <v>288</v>
      </c>
      <c r="B267" s="2">
        <v>44107</v>
      </c>
      <c r="C267" t="s">
        <v>14</v>
      </c>
      <c r="D267" t="s">
        <v>2044</v>
      </c>
      <c r="E267" t="s">
        <v>20</v>
      </c>
      <c r="F267" t="s">
        <v>25</v>
      </c>
      <c r="G267">
        <v>6</v>
      </c>
      <c r="H267">
        <v>13400</v>
      </c>
      <c r="I267" s="6">
        <v>0.05</v>
      </c>
      <c r="J267">
        <v>12730</v>
      </c>
    </row>
    <row r="268" spans="1:10" x14ac:dyDescent="0.25">
      <c r="A268" t="s">
        <v>289</v>
      </c>
      <c r="B268" s="2">
        <v>44108</v>
      </c>
      <c r="C268" t="s">
        <v>14</v>
      </c>
      <c r="D268" t="s">
        <v>2045</v>
      </c>
      <c r="E268" t="s">
        <v>21</v>
      </c>
      <c r="F268" t="s">
        <v>25</v>
      </c>
      <c r="G268">
        <v>4</v>
      </c>
      <c r="H268">
        <v>4200</v>
      </c>
      <c r="I268" s="6">
        <v>0.1</v>
      </c>
      <c r="J268">
        <v>3780</v>
      </c>
    </row>
    <row r="269" spans="1:10" x14ac:dyDescent="0.25">
      <c r="A269" t="s">
        <v>290</v>
      </c>
      <c r="B269" s="2">
        <v>44109</v>
      </c>
      <c r="C269" t="s">
        <v>14</v>
      </c>
      <c r="D269" t="s">
        <v>2046</v>
      </c>
      <c r="E269" t="s">
        <v>22</v>
      </c>
      <c r="F269" t="s">
        <v>25</v>
      </c>
      <c r="G269">
        <v>3</v>
      </c>
      <c r="H269">
        <v>13800</v>
      </c>
      <c r="I269" s="6">
        <v>0.15000000000000002</v>
      </c>
      <c r="J269">
        <v>11730</v>
      </c>
    </row>
    <row r="270" spans="1:10" x14ac:dyDescent="0.25">
      <c r="A270" t="s">
        <v>291</v>
      </c>
      <c r="B270" s="2">
        <v>44110</v>
      </c>
      <c r="C270" t="s">
        <v>14</v>
      </c>
      <c r="D270" t="s">
        <v>2047</v>
      </c>
      <c r="E270" t="s">
        <v>19</v>
      </c>
      <c r="F270" t="s">
        <v>25</v>
      </c>
      <c r="G270">
        <v>2</v>
      </c>
      <c r="H270">
        <v>7400</v>
      </c>
      <c r="I270" s="6">
        <v>0.2</v>
      </c>
      <c r="J270">
        <v>5920</v>
      </c>
    </row>
    <row r="271" spans="1:10" x14ac:dyDescent="0.25">
      <c r="A271" t="s">
        <v>292</v>
      </c>
      <c r="B271" s="2">
        <v>44111</v>
      </c>
      <c r="C271" t="s">
        <v>14</v>
      </c>
      <c r="D271" t="s">
        <v>2048</v>
      </c>
      <c r="E271" t="s">
        <v>20</v>
      </c>
      <c r="F271" t="s">
        <v>25</v>
      </c>
      <c r="G271">
        <v>8</v>
      </c>
      <c r="H271">
        <v>10900</v>
      </c>
      <c r="I271" s="6">
        <v>0.25</v>
      </c>
      <c r="J271">
        <v>8175</v>
      </c>
    </row>
    <row r="272" spans="1:10" x14ac:dyDescent="0.25">
      <c r="A272" t="s">
        <v>293</v>
      </c>
      <c r="B272" s="2">
        <v>44112</v>
      </c>
      <c r="C272" t="s">
        <v>12</v>
      </c>
      <c r="D272" t="s">
        <v>15</v>
      </c>
      <c r="E272" t="s">
        <v>21</v>
      </c>
      <c r="F272" t="s">
        <v>23</v>
      </c>
      <c r="G272">
        <v>8</v>
      </c>
      <c r="H272">
        <v>11000</v>
      </c>
      <c r="I272" s="6">
        <v>0.05</v>
      </c>
      <c r="J272">
        <v>10450</v>
      </c>
    </row>
    <row r="273" spans="1:10" x14ac:dyDescent="0.25">
      <c r="A273" t="s">
        <v>294</v>
      </c>
      <c r="B273" s="2">
        <v>44113</v>
      </c>
      <c r="C273" t="s">
        <v>12</v>
      </c>
      <c r="D273" t="s">
        <v>17</v>
      </c>
      <c r="E273" t="s">
        <v>22</v>
      </c>
      <c r="F273" t="s">
        <v>23</v>
      </c>
      <c r="G273">
        <v>6</v>
      </c>
      <c r="H273">
        <v>7400</v>
      </c>
      <c r="I273" s="6">
        <v>0.1</v>
      </c>
      <c r="J273">
        <v>6660</v>
      </c>
    </row>
    <row r="274" spans="1:10" x14ac:dyDescent="0.25">
      <c r="A274" t="s">
        <v>295</v>
      </c>
      <c r="B274" s="2">
        <v>44114</v>
      </c>
      <c r="C274" t="s">
        <v>12</v>
      </c>
      <c r="D274" t="s">
        <v>2023</v>
      </c>
      <c r="E274" t="s">
        <v>19</v>
      </c>
      <c r="F274" t="s">
        <v>23</v>
      </c>
      <c r="G274">
        <v>6</v>
      </c>
      <c r="H274">
        <v>7100</v>
      </c>
      <c r="I274" s="6">
        <v>0.15000000000000002</v>
      </c>
      <c r="J274">
        <v>6035</v>
      </c>
    </row>
    <row r="275" spans="1:10" x14ac:dyDescent="0.25">
      <c r="A275" t="s">
        <v>296</v>
      </c>
      <c r="B275" s="2">
        <v>44115</v>
      </c>
      <c r="C275" t="s">
        <v>12</v>
      </c>
      <c r="D275" t="s">
        <v>18</v>
      </c>
      <c r="E275" t="s">
        <v>20</v>
      </c>
      <c r="F275" t="s">
        <v>23</v>
      </c>
      <c r="G275">
        <v>3</v>
      </c>
      <c r="H275">
        <v>10000</v>
      </c>
      <c r="I275" s="6">
        <v>0.2</v>
      </c>
      <c r="J275">
        <v>8000</v>
      </c>
    </row>
    <row r="276" spans="1:10" x14ac:dyDescent="0.25">
      <c r="A276" t="s">
        <v>297</v>
      </c>
      <c r="B276" s="2">
        <v>44116</v>
      </c>
      <c r="C276" t="s">
        <v>12</v>
      </c>
      <c r="D276" t="s">
        <v>2024</v>
      </c>
      <c r="E276" t="s">
        <v>21</v>
      </c>
      <c r="F276" t="s">
        <v>23</v>
      </c>
      <c r="G276">
        <v>4</v>
      </c>
      <c r="H276">
        <v>12800</v>
      </c>
      <c r="I276" s="6">
        <v>0.25</v>
      </c>
      <c r="J276">
        <v>9600</v>
      </c>
    </row>
    <row r="277" spans="1:10" x14ac:dyDescent="0.25">
      <c r="A277" t="s">
        <v>298</v>
      </c>
      <c r="B277" s="2">
        <v>44117</v>
      </c>
      <c r="C277" t="s">
        <v>12</v>
      </c>
      <c r="D277" t="s">
        <v>2025</v>
      </c>
      <c r="E277" t="s">
        <v>22</v>
      </c>
      <c r="F277" t="s">
        <v>23</v>
      </c>
      <c r="G277">
        <v>2</v>
      </c>
      <c r="H277">
        <v>4900</v>
      </c>
      <c r="I277" s="6">
        <v>0.05</v>
      </c>
      <c r="J277">
        <v>4655</v>
      </c>
    </row>
    <row r="278" spans="1:10" x14ac:dyDescent="0.25">
      <c r="A278" t="s">
        <v>299</v>
      </c>
      <c r="B278" s="2">
        <v>44118</v>
      </c>
      <c r="C278" t="s">
        <v>12</v>
      </c>
      <c r="D278" t="s">
        <v>2026</v>
      </c>
      <c r="E278" t="s">
        <v>19</v>
      </c>
      <c r="F278" t="s">
        <v>23</v>
      </c>
      <c r="G278">
        <v>2</v>
      </c>
      <c r="H278">
        <v>7400</v>
      </c>
      <c r="I278" s="6">
        <v>0.1</v>
      </c>
      <c r="J278">
        <v>6660</v>
      </c>
    </row>
    <row r="279" spans="1:10" x14ac:dyDescent="0.25">
      <c r="A279" t="s">
        <v>300</v>
      </c>
      <c r="B279" s="2">
        <v>44119</v>
      </c>
      <c r="C279" t="s">
        <v>12</v>
      </c>
      <c r="D279" t="s">
        <v>2027</v>
      </c>
      <c r="E279" t="s">
        <v>20</v>
      </c>
      <c r="F279" t="s">
        <v>23</v>
      </c>
      <c r="G279">
        <v>4</v>
      </c>
      <c r="H279">
        <v>4200</v>
      </c>
      <c r="I279" s="6">
        <v>0.15000000000000002</v>
      </c>
      <c r="J279">
        <v>3570</v>
      </c>
    </row>
    <row r="280" spans="1:10" x14ac:dyDescent="0.25">
      <c r="A280" t="s">
        <v>301</v>
      </c>
      <c r="B280" s="2">
        <v>44120</v>
      </c>
      <c r="C280" t="s">
        <v>12</v>
      </c>
      <c r="D280" t="s">
        <v>2028</v>
      </c>
      <c r="E280" t="s">
        <v>21</v>
      </c>
      <c r="F280" t="s">
        <v>23</v>
      </c>
      <c r="G280">
        <v>6</v>
      </c>
      <c r="H280">
        <v>5600</v>
      </c>
      <c r="I280" s="6">
        <v>0.2</v>
      </c>
      <c r="J280">
        <v>4480</v>
      </c>
    </row>
    <row r="281" spans="1:10" x14ac:dyDescent="0.25">
      <c r="A281" t="s">
        <v>302</v>
      </c>
      <c r="B281" s="2">
        <v>44121</v>
      </c>
      <c r="C281" t="s">
        <v>12</v>
      </c>
      <c r="D281" t="s">
        <v>2029</v>
      </c>
      <c r="E281" t="s">
        <v>22</v>
      </c>
      <c r="F281" t="s">
        <v>23</v>
      </c>
      <c r="G281">
        <v>3</v>
      </c>
      <c r="H281">
        <v>9200</v>
      </c>
      <c r="I281" s="6">
        <v>0.25</v>
      </c>
      <c r="J281">
        <v>6900</v>
      </c>
    </row>
    <row r="282" spans="1:10" x14ac:dyDescent="0.25">
      <c r="A282" t="s">
        <v>303</v>
      </c>
      <c r="B282" s="2">
        <v>44122</v>
      </c>
      <c r="C282" t="s">
        <v>13</v>
      </c>
      <c r="D282" t="s">
        <v>16</v>
      </c>
      <c r="E282" t="s">
        <v>19</v>
      </c>
      <c r="F282" t="s">
        <v>24</v>
      </c>
      <c r="G282">
        <v>7</v>
      </c>
      <c r="H282">
        <v>6800</v>
      </c>
      <c r="I282" s="6">
        <v>0.05</v>
      </c>
      <c r="J282">
        <v>6460</v>
      </c>
    </row>
    <row r="283" spans="1:10" x14ac:dyDescent="0.25">
      <c r="A283" t="s">
        <v>304</v>
      </c>
      <c r="B283" s="2">
        <v>44123</v>
      </c>
      <c r="C283" t="s">
        <v>13</v>
      </c>
      <c r="D283" t="s">
        <v>2030</v>
      </c>
      <c r="E283" t="s">
        <v>20</v>
      </c>
      <c r="F283" t="s">
        <v>24</v>
      </c>
      <c r="G283">
        <v>1</v>
      </c>
      <c r="H283">
        <v>6300</v>
      </c>
      <c r="I283" s="6">
        <v>0.1</v>
      </c>
      <c r="J283">
        <v>5670</v>
      </c>
    </row>
    <row r="284" spans="1:10" x14ac:dyDescent="0.25">
      <c r="A284" t="s">
        <v>305</v>
      </c>
      <c r="B284" s="2">
        <v>44124</v>
      </c>
      <c r="C284" t="s">
        <v>13</v>
      </c>
      <c r="D284" t="s">
        <v>2031</v>
      </c>
      <c r="E284" t="s">
        <v>21</v>
      </c>
      <c r="F284" t="s">
        <v>24</v>
      </c>
      <c r="G284">
        <v>6</v>
      </c>
      <c r="H284">
        <v>11800</v>
      </c>
      <c r="I284" s="6">
        <v>0.15000000000000002</v>
      </c>
      <c r="J284">
        <v>10030</v>
      </c>
    </row>
    <row r="285" spans="1:10" x14ac:dyDescent="0.25">
      <c r="A285" t="s">
        <v>306</v>
      </c>
      <c r="B285" s="2">
        <v>44125</v>
      </c>
      <c r="C285" t="s">
        <v>13</v>
      </c>
      <c r="D285" t="s">
        <v>2032</v>
      </c>
      <c r="E285" t="s">
        <v>22</v>
      </c>
      <c r="F285" t="s">
        <v>24</v>
      </c>
      <c r="G285">
        <v>8</v>
      </c>
      <c r="H285">
        <v>5500</v>
      </c>
      <c r="I285" s="6">
        <v>0.2</v>
      </c>
      <c r="J285">
        <v>4400</v>
      </c>
    </row>
    <row r="286" spans="1:10" x14ac:dyDescent="0.25">
      <c r="A286" t="s">
        <v>307</v>
      </c>
      <c r="B286" s="2">
        <v>44126</v>
      </c>
      <c r="C286" t="s">
        <v>13</v>
      </c>
      <c r="D286" t="s">
        <v>2033</v>
      </c>
      <c r="E286" t="s">
        <v>19</v>
      </c>
      <c r="F286" t="s">
        <v>24</v>
      </c>
      <c r="G286">
        <v>2</v>
      </c>
      <c r="H286">
        <v>4700</v>
      </c>
      <c r="I286" s="6">
        <v>0.25</v>
      </c>
      <c r="J286">
        <v>3525</v>
      </c>
    </row>
    <row r="287" spans="1:10" x14ac:dyDescent="0.25">
      <c r="A287" t="s">
        <v>308</v>
      </c>
      <c r="B287" s="2">
        <v>44127</v>
      </c>
      <c r="C287" t="s">
        <v>13</v>
      </c>
      <c r="D287" t="s">
        <v>2034</v>
      </c>
      <c r="E287" t="s">
        <v>20</v>
      </c>
      <c r="F287" t="s">
        <v>24</v>
      </c>
      <c r="G287">
        <v>1</v>
      </c>
      <c r="H287">
        <v>6000</v>
      </c>
      <c r="I287" s="6">
        <v>0.05</v>
      </c>
      <c r="J287">
        <v>5700</v>
      </c>
    </row>
    <row r="288" spans="1:10" x14ac:dyDescent="0.25">
      <c r="A288" t="s">
        <v>309</v>
      </c>
      <c r="B288" s="2">
        <v>44128</v>
      </c>
      <c r="C288" t="s">
        <v>13</v>
      </c>
      <c r="D288" t="s">
        <v>2035</v>
      </c>
      <c r="E288" t="s">
        <v>21</v>
      </c>
      <c r="F288" t="s">
        <v>24</v>
      </c>
      <c r="G288">
        <v>10</v>
      </c>
      <c r="H288">
        <v>13600</v>
      </c>
      <c r="I288" s="6">
        <v>0.1</v>
      </c>
      <c r="J288">
        <v>12240</v>
      </c>
    </row>
    <row r="289" spans="1:10" x14ac:dyDescent="0.25">
      <c r="A289" t="s">
        <v>310</v>
      </c>
      <c r="B289" s="2">
        <v>44129</v>
      </c>
      <c r="C289" t="s">
        <v>13</v>
      </c>
      <c r="D289" t="s">
        <v>2036</v>
      </c>
      <c r="E289" t="s">
        <v>22</v>
      </c>
      <c r="F289" t="s">
        <v>24</v>
      </c>
      <c r="G289">
        <v>5</v>
      </c>
      <c r="H289">
        <v>11300</v>
      </c>
      <c r="I289" s="6">
        <v>0.15000000000000002</v>
      </c>
      <c r="J289">
        <v>9605</v>
      </c>
    </row>
    <row r="290" spans="1:10" x14ac:dyDescent="0.25">
      <c r="A290" t="s">
        <v>311</v>
      </c>
      <c r="B290" s="2">
        <v>44130</v>
      </c>
      <c r="C290" t="s">
        <v>13</v>
      </c>
      <c r="D290" t="s">
        <v>2037</v>
      </c>
      <c r="E290" t="s">
        <v>19</v>
      </c>
      <c r="F290" t="s">
        <v>24</v>
      </c>
      <c r="G290">
        <v>2</v>
      </c>
      <c r="H290">
        <v>9900</v>
      </c>
      <c r="I290" s="6">
        <v>0.2</v>
      </c>
      <c r="J290">
        <v>7920</v>
      </c>
    </row>
    <row r="291" spans="1:10" x14ac:dyDescent="0.25">
      <c r="A291" t="s">
        <v>312</v>
      </c>
      <c r="B291" s="2">
        <v>44131</v>
      </c>
      <c r="C291" t="s">
        <v>13</v>
      </c>
      <c r="D291" t="s">
        <v>2038</v>
      </c>
      <c r="E291" t="s">
        <v>20</v>
      </c>
      <c r="F291" t="s">
        <v>24</v>
      </c>
      <c r="G291">
        <v>8</v>
      </c>
      <c r="H291">
        <v>5000</v>
      </c>
      <c r="I291" s="6">
        <v>0.25</v>
      </c>
      <c r="J291">
        <v>3750</v>
      </c>
    </row>
    <row r="292" spans="1:10" x14ac:dyDescent="0.25">
      <c r="A292" t="s">
        <v>313</v>
      </c>
      <c r="B292" s="2">
        <v>44132</v>
      </c>
      <c r="C292" t="s">
        <v>14</v>
      </c>
      <c r="D292" t="s">
        <v>2039</v>
      </c>
      <c r="E292" t="s">
        <v>21</v>
      </c>
      <c r="F292" t="s">
        <v>25</v>
      </c>
      <c r="G292">
        <v>5</v>
      </c>
      <c r="H292">
        <v>11300</v>
      </c>
      <c r="I292" s="6">
        <v>0.05</v>
      </c>
      <c r="J292">
        <v>10735</v>
      </c>
    </row>
    <row r="293" spans="1:10" x14ac:dyDescent="0.25">
      <c r="A293" t="s">
        <v>314</v>
      </c>
      <c r="B293" s="2">
        <v>44133</v>
      </c>
      <c r="C293" t="s">
        <v>14</v>
      </c>
      <c r="D293" t="s">
        <v>2040</v>
      </c>
      <c r="E293" t="s">
        <v>22</v>
      </c>
      <c r="F293" t="s">
        <v>25</v>
      </c>
      <c r="G293">
        <v>8</v>
      </c>
      <c r="H293">
        <v>7700</v>
      </c>
      <c r="I293" s="6">
        <v>0.1</v>
      </c>
      <c r="J293">
        <v>6930</v>
      </c>
    </row>
    <row r="294" spans="1:10" x14ac:dyDescent="0.25">
      <c r="A294" t="s">
        <v>315</v>
      </c>
      <c r="B294" s="2">
        <v>44134</v>
      </c>
      <c r="C294" t="s">
        <v>14</v>
      </c>
      <c r="D294" t="s">
        <v>2041</v>
      </c>
      <c r="E294" t="s">
        <v>19</v>
      </c>
      <c r="F294" t="s">
        <v>25</v>
      </c>
      <c r="G294">
        <v>8</v>
      </c>
      <c r="H294">
        <v>7900</v>
      </c>
      <c r="I294" s="6">
        <v>0.15000000000000002</v>
      </c>
      <c r="J294">
        <v>6715</v>
      </c>
    </row>
    <row r="295" spans="1:10" x14ac:dyDescent="0.25">
      <c r="A295" t="s">
        <v>316</v>
      </c>
      <c r="B295" s="2">
        <v>44135</v>
      </c>
      <c r="C295" t="s">
        <v>14</v>
      </c>
      <c r="D295" t="s">
        <v>2042</v>
      </c>
      <c r="E295" t="s">
        <v>20</v>
      </c>
      <c r="F295" t="s">
        <v>25</v>
      </c>
      <c r="G295">
        <v>10</v>
      </c>
      <c r="H295">
        <v>9600</v>
      </c>
      <c r="I295" s="6">
        <v>0.2</v>
      </c>
      <c r="J295">
        <v>7680</v>
      </c>
    </row>
    <row r="296" spans="1:10" x14ac:dyDescent="0.25">
      <c r="A296" t="s">
        <v>317</v>
      </c>
      <c r="B296" s="2">
        <v>44136</v>
      </c>
      <c r="C296" t="s">
        <v>14</v>
      </c>
      <c r="D296" t="s">
        <v>2043</v>
      </c>
      <c r="E296" t="s">
        <v>21</v>
      </c>
      <c r="F296" t="s">
        <v>25</v>
      </c>
      <c r="G296">
        <v>8</v>
      </c>
      <c r="H296">
        <v>4700</v>
      </c>
      <c r="I296" s="6">
        <v>0.25</v>
      </c>
      <c r="J296">
        <v>3525</v>
      </c>
    </row>
    <row r="297" spans="1:10" x14ac:dyDescent="0.25">
      <c r="A297" t="s">
        <v>318</v>
      </c>
      <c r="B297" s="2">
        <v>44137</v>
      </c>
      <c r="C297" t="s">
        <v>14</v>
      </c>
      <c r="D297" t="s">
        <v>2044</v>
      </c>
      <c r="E297" t="s">
        <v>22</v>
      </c>
      <c r="F297" t="s">
        <v>25</v>
      </c>
      <c r="G297">
        <v>3</v>
      </c>
      <c r="H297">
        <v>4700</v>
      </c>
      <c r="I297" s="6">
        <v>0.05</v>
      </c>
      <c r="J297">
        <v>4465</v>
      </c>
    </row>
    <row r="298" spans="1:10" x14ac:dyDescent="0.25">
      <c r="A298" t="s">
        <v>319</v>
      </c>
      <c r="B298" s="2">
        <v>44138</v>
      </c>
      <c r="C298" t="s">
        <v>14</v>
      </c>
      <c r="D298" t="s">
        <v>2045</v>
      </c>
      <c r="E298" t="s">
        <v>19</v>
      </c>
      <c r="F298" t="s">
        <v>25</v>
      </c>
      <c r="G298">
        <v>3</v>
      </c>
      <c r="H298">
        <v>11900</v>
      </c>
      <c r="I298" s="6">
        <v>0.1</v>
      </c>
      <c r="J298">
        <v>10710</v>
      </c>
    </row>
    <row r="299" spans="1:10" x14ac:dyDescent="0.25">
      <c r="A299" t="s">
        <v>320</v>
      </c>
      <c r="B299" s="2">
        <v>44139</v>
      </c>
      <c r="C299" t="s">
        <v>14</v>
      </c>
      <c r="D299" t="s">
        <v>2046</v>
      </c>
      <c r="E299" t="s">
        <v>20</v>
      </c>
      <c r="F299" t="s">
        <v>25</v>
      </c>
      <c r="G299">
        <v>6</v>
      </c>
      <c r="H299">
        <v>14300</v>
      </c>
      <c r="I299" s="6">
        <v>0.15000000000000002</v>
      </c>
      <c r="J299">
        <v>12155</v>
      </c>
    </row>
    <row r="300" spans="1:10" x14ac:dyDescent="0.25">
      <c r="A300" t="s">
        <v>321</v>
      </c>
      <c r="B300" s="2">
        <v>44140</v>
      </c>
      <c r="C300" t="s">
        <v>14</v>
      </c>
      <c r="D300" t="s">
        <v>2047</v>
      </c>
      <c r="E300" t="s">
        <v>21</v>
      </c>
      <c r="F300" t="s">
        <v>25</v>
      </c>
      <c r="G300">
        <v>6</v>
      </c>
      <c r="H300">
        <v>13300</v>
      </c>
      <c r="I300" s="6">
        <v>0.2</v>
      </c>
      <c r="J300">
        <v>10640</v>
      </c>
    </row>
    <row r="301" spans="1:10" x14ac:dyDescent="0.25">
      <c r="A301" t="s">
        <v>322</v>
      </c>
      <c r="B301" s="2">
        <v>44141</v>
      </c>
      <c r="C301" t="s">
        <v>14</v>
      </c>
      <c r="D301" t="s">
        <v>2048</v>
      </c>
      <c r="E301" t="s">
        <v>22</v>
      </c>
      <c r="F301" t="s">
        <v>25</v>
      </c>
      <c r="G301">
        <v>10</v>
      </c>
      <c r="H301">
        <v>7500</v>
      </c>
      <c r="I301" s="6">
        <v>0.25</v>
      </c>
      <c r="J301">
        <v>5625</v>
      </c>
    </row>
    <row r="302" spans="1:10" x14ac:dyDescent="0.25">
      <c r="A302" t="s">
        <v>323</v>
      </c>
      <c r="B302" s="2">
        <v>44142</v>
      </c>
      <c r="C302" t="s">
        <v>12</v>
      </c>
      <c r="D302" t="s">
        <v>15</v>
      </c>
      <c r="E302" t="s">
        <v>19</v>
      </c>
      <c r="F302" t="s">
        <v>23</v>
      </c>
      <c r="G302">
        <v>2</v>
      </c>
      <c r="H302">
        <v>4900</v>
      </c>
      <c r="I302" s="6">
        <v>0.05</v>
      </c>
      <c r="J302">
        <v>4655</v>
      </c>
    </row>
    <row r="303" spans="1:10" x14ac:dyDescent="0.25">
      <c r="A303" t="s">
        <v>324</v>
      </c>
      <c r="B303" s="2">
        <v>44143</v>
      </c>
      <c r="C303" t="s">
        <v>12</v>
      </c>
      <c r="D303" t="s">
        <v>17</v>
      </c>
      <c r="E303" t="s">
        <v>20</v>
      </c>
      <c r="F303" t="s">
        <v>23</v>
      </c>
      <c r="G303">
        <v>3</v>
      </c>
      <c r="H303">
        <v>5100</v>
      </c>
      <c r="I303" s="6">
        <v>0.1</v>
      </c>
      <c r="J303">
        <v>4590</v>
      </c>
    </row>
    <row r="304" spans="1:10" x14ac:dyDescent="0.25">
      <c r="A304" t="s">
        <v>325</v>
      </c>
      <c r="B304" s="2">
        <v>44144</v>
      </c>
      <c r="C304" t="s">
        <v>12</v>
      </c>
      <c r="D304" t="s">
        <v>2023</v>
      </c>
      <c r="E304" t="s">
        <v>21</v>
      </c>
      <c r="F304" t="s">
        <v>23</v>
      </c>
      <c r="G304">
        <v>2</v>
      </c>
      <c r="H304">
        <v>14300</v>
      </c>
      <c r="I304" s="6">
        <v>0.15000000000000002</v>
      </c>
      <c r="J304">
        <v>12155</v>
      </c>
    </row>
    <row r="305" spans="1:10" x14ac:dyDescent="0.25">
      <c r="A305" t="s">
        <v>326</v>
      </c>
      <c r="B305" s="2">
        <v>44145</v>
      </c>
      <c r="C305" t="s">
        <v>12</v>
      </c>
      <c r="D305" t="s">
        <v>18</v>
      </c>
      <c r="E305" t="s">
        <v>22</v>
      </c>
      <c r="F305" t="s">
        <v>23</v>
      </c>
      <c r="G305">
        <v>3</v>
      </c>
      <c r="H305">
        <v>7600</v>
      </c>
      <c r="I305" s="6">
        <v>0.2</v>
      </c>
      <c r="J305">
        <v>6080</v>
      </c>
    </row>
    <row r="306" spans="1:10" x14ac:dyDescent="0.25">
      <c r="A306" t="s">
        <v>327</v>
      </c>
      <c r="B306" s="2">
        <v>44146</v>
      </c>
      <c r="C306" t="s">
        <v>12</v>
      </c>
      <c r="D306" t="s">
        <v>2024</v>
      </c>
      <c r="E306" t="s">
        <v>19</v>
      </c>
      <c r="F306" t="s">
        <v>23</v>
      </c>
      <c r="G306">
        <v>7</v>
      </c>
      <c r="H306">
        <v>5900</v>
      </c>
      <c r="I306" s="6">
        <v>0.25</v>
      </c>
      <c r="J306">
        <v>4425</v>
      </c>
    </row>
    <row r="307" spans="1:10" x14ac:dyDescent="0.25">
      <c r="A307" t="s">
        <v>328</v>
      </c>
      <c r="B307" s="2">
        <v>44147</v>
      </c>
      <c r="C307" t="s">
        <v>12</v>
      </c>
      <c r="D307" t="s">
        <v>2025</v>
      </c>
      <c r="E307" t="s">
        <v>20</v>
      </c>
      <c r="F307" t="s">
        <v>23</v>
      </c>
      <c r="G307">
        <v>8</v>
      </c>
      <c r="H307">
        <v>4100</v>
      </c>
      <c r="I307" s="6">
        <v>0.05</v>
      </c>
      <c r="J307">
        <v>3895</v>
      </c>
    </row>
    <row r="308" spans="1:10" x14ac:dyDescent="0.25">
      <c r="A308" t="s">
        <v>329</v>
      </c>
      <c r="B308" s="2">
        <v>44148</v>
      </c>
      <c r="C308" t="s">
        <v>12</v>
      </c>
      <c r="D308" t="s">
        <v>2026</v>
      </c>
      <c r="E308" t="s">
        <v>21</v>
      </c>
      <c r="F308" t="s">
        <v>23</v>
      </c>
      <c r="G308">
        <v>6</v>
      </c>
      <c r="H308">
        <v>10700</v>
      </c>
      <c r="I308" s="6">
        <v>0.1</v>
      </c>
      <c r="J308">
        <v>9630</v>
      </c>
    </row>
    <row r="309" spans="1:10" x14ac:dyDescent="0.25">
      <c r="A309" t="s">
        <v>330</v>
      </c>
      <c r="B309" s="2">
        <v>44149</v>
      </c>
      <c r="C309" t="s">
        <v>12</v>
      </c>
      <c r="D309" t="s">
        <v>2027</v>
      </c>
      <c r="E309" t="s">
        <v>22</v>
      </c>
      <c r="F309" t="s">
        <v>23</v>
      </c>
      <c r="G309">
        <v>10</v>
      </c>
      <c r="H309">
        <v>6600</v>
      </c>
      <c r="I309" s="6">
        <v>0.15000000000000002</v>
      </c>
      <c r="J309">
        <v>5610</v>
      </c>
    </row>
    <row r="310" spans="1:10" x14ac:dyDescent="0.25">
      <c r="A310" t="s">
        <v>331</v>
      </c>
      <c r="B310" s="2">
        <v>44150</v>
      </c>
      <c r="C310" t="s">
        <v>12</v>
      </c>
      <c r="D310" t="s">
        <v>2028</v>
      </c>
      <c r="E310" t="s">
        <v>19</v>
      </c>
      <c r="F310" t="s">
        <v>23</v>
      </c>
      <c r="G310">
        <v>1</v>
      </c>
      <c r="H310">
        <v>7400</v>
      </c>
      <c r="I310" s="6">
        <v>0.2</v>
      </c>
      <c r="J310">
        <v>5920</v>
      </c>
    </row>
    <row r="311" spans="1:10" x14ac:dyDescent="0.25">
      <c r="A311" t="s">
        <v>332</v>
      </c>
      <c r="B311" s="2">
        <v>44151</v>
      </c>
      <c r="C311" t="s">
        <v>12</v>
      </c>
      <c r="D311" t="s">
        <v>2029</v>
      </c>
      <c r="E311" t="s">
        <v>20</v>
      </c>
      <c r="F311" t="s">
        <v>23</v>
      </c>
      <c r="G311">
        <v>5</v>
      </c>
      <c r="H311">
        <v>13800</v>
      </c>
      <c r="I311" s="6">
        <v>0.25</v>
      </c>
      <c r="J311">
        <v>10350</v>
      </c>
    </row>
    <row r="312" spans="1:10" x14ac:dyDescent="0.25">
      <c r="A312" t="s">
        <v>333</v>
      </c>
      <c r="B312" s="2">
        <v>44152</v>
      </c>
      <c r="C312" t="s">
        <v>13</v>
      </c>
      <c r="D312" t="s">
        <v>16</v>
      </c>
      <c r="E312" t="s">
        <v>21</v>
      </c>
      <c r="F312" t="s">
        <v>24</v>
      </c>
      <c r="G312">
        <v>4</v>
      </c>
      <c r="H312">
        <v>9500</v>
      </c>
      <c r="I312" s="6">
        <v>0.05</v>
      </c>
      <c r="J312">
        <v>9025</v>
      </c>
    </row>
    <row r="313" spans="1:10" x14ac:dyDescent="0.25">
      <c r="A313" t="s">
        <v>334</v>
      </c>
      <c r="B313" s="2">
        <v>44153</v>
      </c>
      <c r="C313" t="s">
        <v>13</v>
      </c>
      <c r="D313" t="s">
        <v>2030</v>
      </c>
      <c r="E313" t="s">
        <v>22</v>
      </c>
      <c r="F313" t="s">
        <v>24</v>
      </c>
      <c r="G313">
        <v>8</v>
      </c>
      <c r="H313">
        <v>12100</v>
      </c>
      <c r="I313" s="6">
        <v>0.1</v>
      </c>
      <c r="J313">
        <v>10890</v>
      </c>
    </row>
    <row r="314" spans="1:10" x14ac:dyDescent="0.25">
      <c r="A314" t="s">
        <v>335</v>
      </c>
      <c r="B314" s="2">
        <v>44154</v>
      </c>
      <c r="C314" t="s">
        <v>13</v>
      </c>
      <c r="D314" t="s">
        <v>2031</v>
      </c>
      <c r="E314" t="s">
        <v>19</v>
      </c>
      <c r="F314" t="s">
        <v>24</v>
      </c>
      <c r="G314">
        <v>1</v>
      </c>
      <c r="H314">
        <v>11900</v>
      </c>
      <c r="I314" s="6">
        <v>0.15000000000000002</v>
      </c>
      <c r="J314">
        <v>10115</v>
      </c>
    </row>
    <row r="315" spans="1:10" x14ac:dyDescent="0.25">
      <c r="A315" t="s">
        <v>336</v>
      </c>
      <c r="B315" s="2">
        <v>44155</v>
      </c>
      <c r="C315" t="s">
        <v>13</v>
      </c>
      <c r="D315" t="s">
        <v>2032</v>
      </c>
      <c r="E315" t="s">
        <v>20</v>
      </c>
      <c r="F315" t="s">
        <v>24</v>
      </c>
      <c r="G315">
        <v>4</v>
      </c>
      <c r="H315">
        <v>14200</v>
      </c>
      <c r="I315" s="6">
        <v>0.2</v>
      </c>
      <c r="J315">
        <v>11360</v>
      </c>
    </row>
    <row r="316" spans="1:10" x14ac:dyDescent="0.25">
      <c r="A316" t="s">
        <v>337</v>
      </c>
      <c r="B316" s="2">
        <v>44156</v>
      </c>
      <c r="C316" t="s">
        <v>13</v>
      </c>
      <c r="D316" t="s">
        <v>2033</v>
      </c>
      <c r="E316" t="s">
        <v>21</v>
      </c>
      <c r="F316" t="s">
        <v>24</v>
      </c>
      <c r="G316">
        <v>8</v>
      </c>
      <c r="H316">
        <v>15000</v>
      </c>
      <c r="I316" s="6">
        <v>0.25</v>
      </c>
      <c r="J316">
        <v>11250</v>
      </c>
    </row>
    <row r="317" spans="1:10" x14ac:dyDescent="0.25">
      <c r="A317" t="s">
        <v>338</v>
      </c>
      <c r="B317" s="2">
        <v>44157</v>
      </c>
      <c r="C317" t="s">
        <v>13</v>
      </c>
      <c r="D317" t="s">
        <v>2034</v>
      </c>
      <c r="E317" t="s">
        <v>22</v>
      </c>
      <c r="F317" t="s">
        <v>24</v>
      </c>
      <c r="G317">
        <v>6</v>
      </c>
      <c r="H317">
        <v>12800</v>
      </c>
      <c r="I317" s="6">
        <v>0.05</v>
      </c>
      <c r="J317">
        <v>12160</v>
      </c>
    </row>
    <row r="318" spans="1:10" x14ac:dyDescent="0.25">
      <c r="A318" t="s">
        <v>339</v>
      </c>
      <c r="B318" s="2">
        <v>44158</v>
      </c>
      <c r="C318" t="s">
        <v>13</v>
      </c>
      <c r="D318" t="s">
        <v>2035</v>
      </c>
      <c r="E318" t="s">
        <v>19</v>
      </c>
      <c r="F318" t="s">
        <v>24</v>
      </c>
      <c r="G318">
        <v>7</v>
      </c>
      <c r="H318">
        <v>5000</v>
      </c>
      <c r="I318" s="6">
        <v>0.1</v>
      </c>
      <c r="J318">
        <v>4500</v>
      </c>
    </row>
    <row r="319" spans="1:10" x14ac:dyDescent="0.25">
      <c r="A319" t="s">
        <v>340</v>
      </c>
      <c r="B319" s="2">
        <v>44159</v>
      </c>
      <c r="C319" t="s">
        <v>13</v>
      </c>
      <c r="D319" t="s">
        <v>2036</v>
      </c>
      <c r="E319" t="s">
        <v>20</v>
      </c>
      <c r="F319" t="s">
        <v>24</v>
      </c>
      <c r="G319">
        <v>2</v>
      </c>
      <c r="H319">
        <v>12700</v>
      </c>
      <c r="I319" s="6">
        <v>0.15000000000000002</v>
      </c>
      <c r="J319">
        <v>10795</v>
      </c>
    </row>
    <row r="320" spans="1:10" x14ac:dyDescent="0.25">
      <c r="A320" t="s">
        <v>341</v>
      </c>
      <c r="B320" s="2">
        <v>44160</v>
      </c>
      <c r="C320" t="s">
        <v>13</v>
      </c>
      <c r="D320" t="s">
        <v>2037</v>
      </c>
      <c r="E320" t="s">
        <v>21</v>
      </c>
      <c r="F320" t="s">
        <v>24</v>
      </c>
      <c r="G320">
        <v>5</v>
      </c>
      <c r="H320">
        <v>11600</v>
      </c>
      <c r="I320" s="6">
        <v>0.2</v>
      </c>
      <c r="J320">
        <v>9280</v>
      </c>
    </row>
    <row r="321" spans="1:10" x14ac:dyDescent="0.25">
      <c r="A321" t="s">
        <v>342</v>
      </c>
      <c r="B321" s="2">
        <v>44161</v>
      </c>
      <c r="C321" t="s">
        <v>13</v>
      </c>
      <c r="D321" t="s">
        <v>2038</v>
      </c>
      <c r="E321" t="s">
        <v>22</v>
      </c>
      <c r="F321" t="s">
        <v>24</v>
      </c>
      <c r="G321">
        <v>4</v>
      </c>
      <c r="H321">
        <v>10200</v>
      </c>
      <c r="I321" s="6">
        <v>0.25</v>
      </c>
      <c r="J321">
        <v>7650</v>
      </c>
    </row>
    <row r="322" spans="1:10" x14ac:dyDescent="0.25">
      <c r="A322" t="s">
        <v>343</v>
      </c>
      <c r="B322" s="2">
        <v>44162</v>
      </c>
      <c r="C322" t="s">
        <v>14</v>
      </c>
      <c r="D322" t="s">
        <v>2039</v>
      </c>
      <c r="E322" t="s">
        <v>19</v>
      </c>
      <c r="F322" t="s">
        <v>25</v>
      </c>
      <c r="G322">
        <v>5</v>
      </c>
      <c r="H322">
        <v>14100</v>
      </c>
      <c r="I322" s="6">
        <v>0.05</v>
      </c>
      <c r="J322">
        <v>13395</v>
      </c>
    </row>
    <row r="323" spans="1:10" x14ac:dyDescent="0.25">
      <c r="A323" t="s">
        <v>344</v>
      </c>
      <c r="B323" s="2">
        <v>44163</v>
      </c>
      <c r="C323" t="s">
        <v>14</v>
      </c>
      <c r="D323" t="s">
        <v>2040</v>
      </c>
      <c r="E323" t="s">
        <v>20</v>
      </c>
      <c r="F323" t="s">
        <v>25</v>
      </c>
      <c r="G323">
        <v>2</v>
      </c>
      <c r="H323">
        <v>7900</v>
      </c>
      <c r="I323" s="6">
        <v>0.1</v>
      </c>
      <c r="J323">
        <v>7110</v>
      </c>
    </row>
    <row r="324" spans="1:10" x14ac:dyDescent="0.25">
      <c r="A324" t="s">
        <v>345</v>
      </c>
      <c r="B324" s="2">
        <v>44164</v>
      </c>
      <c r="C324" t="s">
        <v>14</v>
      </c>
      <c r="D324" t="s">
        <v>2041</v>
      </c>
      <c r="E324" t="s">
        <v>21</v>
      </c>
      <c r="F324" t="s">
        <v>25</v>
      </c>
      <c r="G324">
        <v>3</v>
      </c>
      <c r="H324">
        <v>14600</v>
      </c>
      <c r="I324" s="6">
        <v>0.15000000000000002</v>
      </c>
      <c r="J324">
        <v>12410</v>
      </c>
    </row>
    <row r="325" spans="1:10" x14ac:dyDescent="0.25">
      <c r="A325" t="s">
        <v>346</v>
      </c>
      <c r="B325" s="2">
        <v>44165</v>
      </c>
      <c r="C325" t="s">
        <v>14</v>
      </c>
      <c r="D325" t="s">
        <v>2042</v>
      </c>
      <c r="E325" t="s">
        <v>22</v>
      </c>
      <c r="F325" t="s">
        <v>25</v>
      </c>
      <c r="G325">
        <v>2</v>
      </c>
      <c r="H325">
        <v>7100</v>
      </c>
      <c r="I325" s="6">
        <v>0.2</v>
      </c>
      <c r="J325">
        <v>5680</v>
      </c>
    </row>
    <row r="326" spans="1:10" x14ac:dyDescent="0.25">
      <c r="A326" t="s">
        <v>347</v>
      </c>
      <c r="B326" s="2">
        <v>44166</v>
      </c>
      <c r="C326" t="s">
        <v>14</v>
      </c>
      <c r="D326" t="s">
        <v>2043</v>
      </c>
      <c r="E326" t="s">
        <v>19</v>
      </c>
      <c r="F326" t="s">
        <v>25</v>
      </c>
      <c r="G326">
        <v>9</v>
      </c>
      <c r="H326">
        <v>5700</v>
      </c>
      <c r="I326" s="6">
        <v>0.25</v>
      </c>
      <c r="J326">
        <v>4275</v>
      </c>
    </row>
    <row r="327" spans="1:10" x14ac:dyDescent="0.25">
      <c r="A327" t="s">
        <v>348</v>
      </c>
      <c r="B327" s="2">
        <v>44167</v>
      </c>
      <c r="C327" t="s">
        <v>14</v>
      </c>
      <c r="D327" t="s">
        <v>2044</v>
      </c>
      <c r="E327" t="s">
        <v>20</v>
      </c>
      <c r="F327" t="s">
        <v>25</v>
      </c>
      <c r="G327">
        <v>8</v>
      </c>
      <c r="H327">
        <v>11500</v>
      </c>
      <c r="I327" s="6">
        <v>0.05</v>
      </c>
      <c r="J327">
        <v>10925</v>
      </c>
    </row>
    <row r="328" spans="1:10" x14ac:dyDescent="0.25">
      <c r="A328" t="s">
        <v>349</v>
      </c>
      <c r="B328" s="2">
        <v>44168</v>
      </c>
      <c r="C328" t="s">
        <v>14</v>
      </c>
      <c r="D328" t="s">
        <v>2045</v>
      </c>
      <c r="E328" t="s">
        <v>21</v>
      </c>
      <c r="F328" t="s">
        <v>25</v>
      </c>
      <c r="G328">
        <v>2</v>
      </c>
      <c r="H328">
        <v>10900</v>
      </c>
      <c r="I328" s="6">
        <v>0.1</v>
      </c>
      <c r="J328">
        <v>9810</v>
      </c>
    </row>
    <row r="329" spans="1:10" x14ac:dyDescent="0.25">
      <c r="A329" t="s">
        <v>350</v>
      </c>
      <c r="B329" s="2">
        <v>44169</v>
      </c>
      <c r="C329" t="s">
        <v>14</v>
      </c>
      <c r="D329" t="s">
        <v>2046</v>
      </c>
      <c r="E329" t="s">
        <v>22</v>
      </c>
      <c r="F329" t="s">
        <v>25</v>
      </c>
      <c r="G329">
        <v>2</v>
      </c>
      <c r="H329">
        <v>12800</v>
      </c>
      <c r="I329" s="6">
        <v>0.15000000000000002</v>
      </c>
      <c r="J329">
        <v>10880</v>
      </c>
    </row>
    <row r="330" spans="1:10" x14ac:dyDescent="0.25">
      <c r="A330" t="s">
        <v>351</v>
      </c>
      <c r="B330" s="2">
        <v>44170</v>
      </c>
      <c r="C330" t="s">
        <v>14</v>
      </c>
      <c r="D330" t="s">
        <v>2047</v>
      </c>
      <c r="E330" t="s">
        <v>19</v>
      </c>
      <c r="F330" t="s">
        <v>25</v>
      </c>
      <c r="G330">
        <v>10</v>
      </c>
      <c r="H330">
        <v>4600</v>
      </c>
      <c r="I330" s="6">
        <v>0.2</v>
      </c>
      <c r="J330">
        <v>3680</v>
      </c>
    </row>
    <row r="331" spans="1:10" x14ac:dyDescent="0.25">
      <c r="A331" t="s">
        <v>352</v>
      </c>
      <c r="B331" s="2">
        <v>44171</v>
      </c>
      <c r="C331" t="s">
        <v>14</v>
      </c>
      <c r="D331" t="s">
        <v>2048</v>
      </c>
      <c r="E331" t="s">
        <v>20</v>
      </c>
      <c r="F331" t="s">
        <v>25</v>
      </c>
      <c r="G331">
        <v>7</v>
      </c>
      <c r="H331">
        <v>11100</v>
      </c>
      <c r="I331" s="6">
        <v>0.25</v>
      </c>
      <c r="J331">
        <v>8325</v>
      </c>
    </row>
    <row r="332" spans="1:10" x14ac:dyDescent="0.25">
      <c r="A332" t="s">
        <v>353</v>
      </c>
      <c r="B332" s="2">
        <v>44172</v>
      </c>
      <c r="C332" t="s">
        <v>12</v>
      </c>
      <c r="D332" t="s">
        <v>15</v>
      </c>
      <c r="E332" t="s">
        <v>21</v>
      </c>
      <c r="F332" t="s">
        <v>23</v>
      </c>
      <c r="G332">
        <v>8</v>
      </c>
      <c r="H332">
        <v>7400</v>
      </c>
      <c r="I332" s="6">
        <v>0.05</v>
      </c>
      <c r="J332">
        <v>7030</v>
      </c>
    </row>
    <row r="333" spans="1:10" x14ac:dyDescent="0.25">
      <c r="A333" t="s">
        <v>354</v>
      </c>
      <c r="B333" s="2">
        <v>44173</v>
      </c>
      <c r="C333" t="s">
        <v>12</v>
      </c>
      <c r="D333" t="s">
        <v>17</v>
      </c>
      <c r="E333" t="s">
        <v>22</v>
      </c>
      <c r="F333" t="s">
        <v>23</v>
      </c>
      <c r="G333">
        <v>8</v>
      </c>
      <c r="H333">
        <v>6900</v>
      </c>
      <c r="I333" s="6">
        <v>0.1</v>
      </c>
      <c r="J333">
        <v>6210</v>
      </c>
    </row>
    <row r="334" spans="1:10" x14ac:dyDescent="0.25">
      <c r="A334" t="s">
        <v>355</v>
      </c>
      <c r="B334" s="2">
        <v>44174</v>
      </c>
      <c r="C334" t="s">
        <v>12</v>
      </c>
      <c r="D334" t="s">
        <v>2023</v>
      </c>
      <c r="E334" t="s">
        <v>19</v>
      </c>
      <c r="F334" t="s">
        <v>23</v>
      </c>
      <c r="G334">
        <v>7</v>
      </c>
      <c r="H334">
        <v>6700</v>
      </c>
      <c r="I334" s="6">
        <v>0.15000000000000002</v>
      </c>
      <c r="J334">
        <v>5695</v>
      </c>
    </row>
    <row r="335" spans="1:10" x14ac:dyDescent="0.25">
      <c r="A335" t="s">
        <v>356</v>
      </c>
      <c r="B335" s="2">
        <v>44175</v>
      </c>
      <c r="C335" t="s">
        <v>12</v>
      </c>
      <c r="D335" t="s">
        <v>18</v>
      </c>
      <c r="E335" t="s">
        <v>20</v>
      </c>
      <c r="F335" t="s">
        <v>23</v>
      </c>
      <c r="G335">
        <v>4</v>
      </c>
      <c r="H335">
        <v>4900</v>
      </c>
      <c r="I335" s="6">
        <v>0.2</v>
      </c>
      <c r="J335">
        <v>3920</v>
      </c>
    </row>
    <row r="336" spans="1:10" x14ac:dyDescent="0.25">
      <c r="A336" t="s">
        <v>357</v>
      </c>
      <c r="B336" s="2">
        <v>44176</v>
      </c>
      <c r="C336" t="s">
        <v>12</v>
      </c>
      <c r="D336" t="s">
        <v>2024</v>
      </c>
      <c r="E336" t="s">
        <v>21</v>
      </c>
      <c r="F336" t="s">
        <v>23</v>
      </c>
      <c r="G336">
        <v>6</v>
      </c>
      <c r="H336">
        <v>11100</v>
      </c>
      <c r="I336" s="6">
        <v>0.25</v>
      </c>
      <c r="J336">
        <v>8325</v>
      </c>
    </row>
    <row r="337" spans="1:10" x14ac:dyDescent="0.25">
      <c r="A337" t="s">
        <v>358</v>
      </c>
      <c r="B337" s="2">
        <v>44177</v>
      </c>
      <c r="C337" t="s">
        <v>12</v>
      </c>
      <c r="D337" t="s">
        <v>2025</v>
      </c>
      <c r="E337" t="s">
        <v>22</v>
      </c>
      <c r="F337" t="s">
        <v>23</v>
      </c>
      <c r="G337">
        <v>7</v>
      </c>
      <c r="H337">
        <v>13200</v>
      </c>
      <c r="I337" s="6">
        <v>0.05</v>
      </c>
      <c r="J337">
        <v>12540</v>
      </c>
    </row>
    <row r="338" spans="1:10" x14ac:dyDescent="0.25">
      <c r="A338" t="s">
        <v>359</v>
      </c>
      <c r="B338" s="2">
        <v>44178</v>
      </c>
      <c r="C338" t="s">
        <v>12</v>
      </c>
      <c r="D338" t="s">
        <v>2026</v>
      </c>
      <c r="E338" t="s">
        <v>19</v>
      </c>
      <c r="F338" t="s">
        <v>23</v>
      </c>
      <c r="G338">
        <v>3</v>
      </c>
      <c r="H338">
        <v>5000</v>
      </c>
      <c r="I338" s="6">
        <v>0.1</v>
      </c>
      <c r="J338">
        <v>4500</v>
      </c>
    </row>
    <row r="339" spans="1:10" x14ac:dyDescent="0.25">
      <c r="A339" t="s">
        <v>360</v>
      </c>
      <c r="B339" s="2">
        <v>44179</v>
      </c>
      <c r="C339" t="s">
        <v>12</v>
      </c>
      <c r="D339" t="s">
        <v>2027</v>
      </c>
      <c r="E339" t="s">
        <v>20</v>
      </c>
      <c r="F339" t="s">
        <v>23</v>
      </c>
      <c r="G339">
        <v>9</v>
      </c>
      <c r="H339">
        <v>5600</v>
      </c>
      <c r="I339" s="6">
        <v>0.15000000000000002</v>
      </c>
      <c r="J339">
        <v>4760</v>
      </c>
    </row>
    <row r="340" spans="1:10" x14ac:dyDescent="0.25">
      <c r="A340" t="s">
        <v>361</v>
      </c>
      <c r="B340" s="2">
        <v>44180</v>
      </c>
      <c r="C340" t="s">
        <v>12</v>
      </c>
      <c r="D340" t="s">
        <v>2028</v>
      </c>
      <c r="E340" t="s">
        <v>21</v>
      </c>
      <c r="F340" t="s">
        <v>23</v>
      </c>
      <c r="G340">
        <v>3</v>
      </c>
      <c r="H340">
        <v>10100</v>
      </c>
      <c r="I340" s="6">
        <v>0.2</v>
      </c>
      <c r="J340">
        <v>8080</v>
      </c>
    </row>
    <row r="341" spans="1:10" x14ac:dyDescent="0.25">
      <c r="A341" t="s">
        <v>362</v>
      </c>
      <c r="B341" s="2">
        <v>44181</v>
      </c>
      <c r="C341" t="s">
        <v>12</v>
      </c>
      <c r="D341" t="s">
        <v>2029</v>
      </c>
      <c r="E341" t="s">
        <v>22</v>
      </c>
      <c r="F341" t="s">
        <v>23</v>
      </c>
      <c r="G341">
        <v>2</v>
      </c>
      <c r="H341">
        <v>7600</v>
      </c>
      <c r="I341" s="6">
        <v>0.25</v>
      </c>
      <c r="J341">
        <v>5700</v>
      </c>
    </row>
    <row r="342" spans="1:10" x14ac:dyDescent="0.25">
      <c r="A342" t="s">
        <v>363</v>
      </c>
      <c r="B342" s="2">
        <v>44182</v>
      </c>
      <c r="C342" t="s">
        <v>13</v>
      </c>
      <c r="D342" t="s">
        <v>16</v>
      </c>
      <c r="E342" t="s">
        <v>19</v>
      </c>
      <c r="F342" t="s">
        <v>24</v>
      </c>
      <c r="G342">
        <v>10</v>
      </c>
      <c r="H342">
        <v>14200</v>
      </c>
      <c r="I342" s="6">
        <v>0.05</v>
      </c>
      <c r="J342">
        <v>13490</v>
      </c>
    </row>
    <row r="343" spans="1:10" x14ac:dyDescent="0.25">
      <c r="A343" t="s">
        <v>364</v>
      </c>
      <c r="B343" s="2">
        <v>44183</v>
      </c>
      <c r="C343" t="s">
        <v>13</v>
      </c>
      <c r="D343" t="s">
        <v>2030</v>
      </c>
      <c r="E343" t="s">
        <v>20</v>
      </c>
      <c r="F343" t="s">
        <v>24</v>
      </c>
      <c r="G343">
        <v>8</v>
      </c>
      <c r="H343">
        <v>4200</v>
      </c>
      <c r="I343" s="6">
        <v>0.1</v>
      </c>
      <c r="J343">
        <v>3780</v>
      </c>
    </row>
    <row r="344" spans="1:10" x14ac:dyDescent="0.25">
      <c r="A344" t="s">
        <v>365</v>
      </c>
      <c r="B344" s="2">
        <v>44184</v>
      </c>
      <c r="C344" t="s">
        <v>13</v>
      </c>
      <c r="D344" t="s">
        <v>2031</v>
      </c>
      <c r="E344" t="s">
        <v>21</v>
      </c>
      <c r="F344" t="s">
        <v>24</v>
      </c>
      <c r="G344">
        <v>9</v>
      </c>
      <c r="H344">
        <v>8600</v>
      </c>
      <c r="I344" s="6">
        <v>0.15000000000000002</v>
      </c>
      <c r="J344">
        <v>7310</v>
      </c>
    </row>
    <row r="345" spans="1:10" x14ac:dyDescent="0.25">
      <c r="A345" t="s">
        <v>366</v>
      </c>
      <c r="B345" s="2">
        <v>44185</v>
      </c>
      <c r="C345" t="s">
        <v>13</v>
      </c>
      <c r="D345" t="s">
        <v>2032</v>
      </c>
      <c r="E345" t="s">
        <v>22</v>
      </c>
      <c r="F345" t="s">
        <v>24</v>
      </c>
      <c r="G345">
        <v>1</v>
      </c>
      <c r="H345">
        <v>6600</v>
      </c>
      <c r="I345" s="6">
        <v>0.2</v>
      </c>
      <c r="J345">
        <v>5280</v>
      </c>
    </row>
    <row r="346" spans="1:10" x14ac:dyDescent="0.25">
      <c r="A346" t="s">
        <v>367</v>
      </c>
      <c r="B346" s="2">
        <v>44186</v>
      </c>
      <c r="C346" t="s">
        <v>13</v>
      </c>
      <c r="D346" t="s">
        <v>2033</v>
      </c>
      <c r="E346" t="s">
        <v>19</v>
      </c>
      <c r="F346" t="s">
        <v>24</v>
      </c>
      <c r="G346">
        <v>1</v>
      </c>
      <c r="H346">
        <v>4100</v>
      </c>
      <c r="I346" s="6">
        <v>0.25</v>
      </c>
      <c r="J346">
        <v>3075</v>
      </c>
    </row>
    <row r="347" spans="1:10" x14ac:dyDescent="0.25">
      <c r="A347" t="s">
        <v>368</v>
      </c>
      <c r="B347" s="2">
        <v>44187</v>
      </c>
      <c r="C347" t="s">
        <v>13</v>
      </c>
      <c r="D347" t="s">
        <v>2034</v>
      </c>
      <c r="E347" t="s">
        <v>20</v>
      </c>
      <c r="F347" t="s">
        <v>24</v>
      </c>
      <c r="G347">
        <v>9</v>
      </c>
      <c r="H347">
        <v>11400</v>
      </c>
      <c r="I347" s="6">
        <v>0.05</v>
      </c>
      <c r="J347">
        <v>10830</v>
      </c>
    </row>
    <row r="348" spans="1:10" x14ac:dyDescent="0.25">
      <c r="A348" t="s">
        <v>369</v>
      </c>
      <c r="B348" s="2">
        <v>44188</v>
      </c>
      <c r="C348" t="s">
        <v>13</v>
      </c>
      <c r="D348" t="s">
        <v>2035</v>
      </c>
      <c r="E348" t="s">
        <v>21</v>
      </c>
      <c r="F348" t="s">
        <v>24</v>
      </c>
      <c r="G348">
        <v>2</v>
      </c>
      <c r="H348">
        <v>12300</v>
      </c>
      <c r="I348" s="6">
        <v>0.1</v>
      </c>
      <c r="J348">
        <v>11070</v>
      </c>
    </row>
    <row r="349" spans="1:10" x14ac:dyDescent="0.25">
      <c r="A349" t="s">
        <v>370</v>
      </c>
      <c r="B349" s="2">
        <v>44189</v>
      </c>
      <c r="C349" t="s">
        <v>13</v>
      </c>
      <c r="D349" t="s">
        <v>2036</v>
      </c>
      <c r="E349" t="s">
        <v>22</v>
      </c>
      <c r="F349" t="s">
        <v>24</v>
      </c>
      <c r="G349">
        <v>10</v>
      </c>
      <c r="H349">
        <v>5700</v>
      </c>
      <c r="I349" s="6">
        <v>0.15000000000000002</v>
      </c>
      <c r="J349">
        <v>4845</v>
      </c>
    </row>
    <row r="350" spans="1:10" x14ac:dyDescent="0.25">
      <c r="A350" t="s">
        <v>371</v>
      </c>
      <c r="B350" s="2">
        <v>44190</v>
      </c>
      <c r="C350" t="s">
        <v>13</v>
      </c>
      <c r="D350" t="s">
        <v>2037</v>
      </c>
      <c r="E350" t="s">
        <v>19</v>
      </c>
      <c r="F350" t="s">
        <v>24</v>
      </c>
      <c r="G350">
        <v>4</v>
      </c>
      <c r="H350">
        <v>7200</v>
      </c>
      <c r="I350" s="6">
        <v>0.2</v>
      </c>
      <c r="J350">
        <v>5760</v>
      </c>
    </row>
    <row r="351" spans="1:10" x14ac:dyDescent="0.25">
      <c r="A351" t="s">
        <v>372</v>
      </c>
      <c r="B351" s="2">
        <v>44191</v>
      </c>
      <c r="C351" t="s">
        <v>13</v>
      </c>
      <c r="D351" t="s">
        <v>2038</v>
      </c>
      <c r="E351" t="s">
        <v>20</v>
      </c>
      <c r="F351" t="s">
        <v>24</v>
      </c>
      <c r="G351">
        <v>9</v>
      </c>
      <c r="H351">
        <v>4100</v>
      </c>
      <c r="I351" s="6">
        <v>0.25</v>
      </c>
      <c r="J351">
        <v>3075</v>
      </c>
    </row>
    <row r="352" spans="1:10" x14ac:dyDescent="0.25">
      <c r="A352" t="s">
        <v>373</v>
      </c>
      <c r="B352" s="2">
        <v>44192</v>
      </c>
      <c r="C352" t="s">
        <v>14</v>
      </c>
      <c r="D352" t="s">
        <v>2039</v>
      </c>
      <c r="E352" t="s">
        <v>21</v>
      </c>
      <c r="F352" t="s">
        <v>25</v>
      </c>
      <c r="G352">
        <v>6</v>
      </c>
      <c r="H352">
        <v>14100</v>
      </c>
      <c r="I352" s="6">
        <v>0.05</v>
      </c>
      <c r="J352">
        <v>13395</v>
      </c>
    </row>
    <row r="353" spans="1:10" x14ac:dyDescent="0.25">
      <c r="A353" t="s">
        <v>374</v>
      </c>
      <c r="B353" s="2">
        <v>44193</v>
      </c>
      <c r="C353" t="s">
        <v>14</v>
      </c>
      <c r="D353" t="s">
        <v>2040</v>
      </c>
      <c r="E353" t="s">
        <v>22</v>
      </c>
      <c r="F353" t="s">
        <v>25</v>
      </c>
      <c r="G353">
        <v>4</v>
      </c>
      <c r="H353">
        <v>7900</v>
      </c>
      <c r="I353" s="6">
        <v>0.1</v>
      </c>
      <c r="J353">
        <v>7110</v>
      </c>
    </row>
    <row r="354" spans="1:10" x14ac:dyDescent="0.25">
      <c r="A354" t="s">
        <v>375</v>
      </c>
      <c r="B354" s="2">
        <v>44194</v>
      </c>
      <c r="C354" t="s">
        <v>14</v>
      </c>
      <c r="D354" t="s">
        <v>2041</v>
      </c>
      <c r="E354" t="s">
        <v>19</v>
      </c>
      <c r="F354" t="s">
        <v>25</v>
      </c>
      <c r="G354">
        <v>5</v>
      </c>
      <c r="H354">
        <v>5600</v>
      </c>
      <c r="I354" s="6">
        <v>0.15000000000000002</v>
      </c>
      <c r="J354">
        <v>4760</v>
      </c>
    </row>
    <row r="355" spans="1:10" x14ac:dyDescent="0.25">
      <c r="A355" t="s">
        <v>376</v>
      </c>
      <c r="B355" s="2">
        <v>44195</v>
      </c>
      <c r="C355" t="s">
        <v>14</v>
      </c>
      <c r="D355" t="s">
        <v>2042</v>
      </c>
      <c r="E355" t="s">
        <v>20</v>
      </c>
      <c r="F355" t="s">
        <v>25</v>
      </c>
      <c r="G355">
        <v>3</v>
      </c>
      <c r="H355">
        <v>9400</v>
      </c>
      <c r="I355" s="6">
        <v>0.2</v>
      </c>
      <c r="J355">
        <v>7520</v>
      </c>
    </row>
    <row r="356" spans="1:10" x14ac:dyDescent="0.25">
      <c r="A356" t="s">
        <v>377</v>
      </c>
      <c r="B356" s="2">
        <v>44196</v>
      </c>
      <c r="C356" t="s">
        <v>14</v>
      </c>
      <c r="D356" t="s">
        <v>2043</v>
      </c>
      <c r="E356" t="s">
        <v>21</v>
      </c>
      <c r="F356" t="s">
        <v>25</v>
      </c>
      <c r="G356">
        <v>10</v>
      </c>
      <c r="H356">
        <v>13500</v>
      </c>
      <c r="I356" s="6">
        <v>0.25</v>
      </c>
      <c r="J356">
        <v>10125</v>
      </c>
    </row>
    <row r="357" spans="1:10" x14ac:dyDescent="0.25">
      <c r="A357" t="s">
        <v>378</v>
      </c>
      <c r="B357" s="2">
        <v>44197</v>
      </c>
      <c r="C357" t="s">
        <v>14</v>
      </c>
      <c r="D357" t="s">
        <v>2044</v>
      </c>
      <c r="E357" t="s">
        <v>22</v>
      </c>
      <c r="F357" t="s">
        <v>25</v>
      </c>
      <c r="G357">
        <v>5</v>
      </c>
      <c r="H357">
        <v>14700</v>
      </c>
      <c r="I357" s="6">
        <v>0.05</v>
      </c>
      <c r="J357">
        <v>13965</v>
      </c>
    </row>
    <row r="358" spans="1:10" x14ac:dyDescent="0.25">
      <c r="A358" t="s">
        <v>379</v>
      </c>
      <c r="B358" s="2">
        <v>44198</v>
      </c>
      <c r="C358" t="s">
        <v>14</v>
      </c>
      <c r="D358" t="s">
        <v>2045</v>
      </c>
      <c r="E358" t="s">
        <v>19</v>
      </c>
      <c r="F358" t="s">
        <v>25</v>
      </c>
      <c r="G358">
        <v>7</v>
      </c>
      <c r="H358">
        <v>7200</v>
      </c>
      <c r="I358" s="6">
        <v>0.1</v>
      </c>
      <c r="J358">
        <v>6480</v>
      </c>
    </row>
    <row r="359" spans="1:10" x14ac:dyDescent="0.25">
      <c r="A359" t="s">
        <v>380</v>
      </c>
      <c r="B359" s="2">
        <v>44199</v>
      </c>
      <c r="C359" t="s">
        <v>14</v>
      </c>
      <c r="D359" t="s">
        <v>2046</v>
      </c>
      <c r="E359" t="s">
        <v>20</v>
      </c>
      <c r="F359" t="s">
        <v>25</v>
      </c>
      <c r="G359">
        <v>2</v>
      </c>
      <c r="H359">
        <v>11900</v>
      </c>
      <c r="I359" s="6">
        <v>0.15000000000000002</v>
      </c>
      <c r="J359">
        <v>10115</v>
      </c>
    </row>
    <row r="360" spans="1:10" x14ac:dyDescent="0.25">
      <c r="A360" t="s">
        <v>381</v>
      </c>
      <c r="B360" s="2">
        <v>44200</v>
      </c>
      <c r="C360" t="s">
        <v>14</v>
      </c>
      <c r="D360" t="s">
        <v>2047</v>
      </c>
      <c r="E360" t="s">
        <v>21</v>
      </c>
      <c r="F360" t="s">
        <v>25</v>
      </c>
      <c r="G360">
        <v>6</v>
      </c>
      <c r="H360">
        <v>4600</v>
      </c>
      <c r="I360" s="6">
        <v>0.2</v>
      </c>
      <c r="J360">
        <v>3680</v>
      </c>
    </row>
    <row r="361" spans="1:10" x14ac:dyDescent="0.25">
      <c r="A361" t="s">
        <v>382</v>
      </c>
      <c r="B361" s="2">
        <v>44201</v>
      </c>
      <c r="C361" t="s">
        <v>14</v>
      </c>
      <c r="D361" t="s">
        <v>2048</v>
      </c>
      <c r="E361" t="s">
        <v>22</v>
      </c>
      <c r="F361" t="s">
        <v>25</v>
      </c>
      <c r="G361">
        <v>9</v>
      </c>
      <c r="H361">
        <v>10800</v>
      </c>
      <c r="I361" s="6">
        <v>0.25</v>
      </c>
      <c r="J361">
        <v>8100</v>
      </c>
    </row>
    <row r="362" spans="1:10" x14ac:dyDescent="0.25">
      <c r="A362" t="s">
        <v>383</v>
      </c>
      <c r="B362" s="2">
        <v>44202</v>
      </c>
      <c r="C362" t="s">
        <v>12</v>
      </c>
      <c r="D362" t="s">
        <v>15</v>
      </c>
      <c r="E362" t="s">
        <v>19</v>
      </c>
      <c r="F362" t="s">
        <v>23</v>
      </c>
      <c r="G362">
        <v>5</v>
      </c>
      <c r="H362">
        <v>10600</v>
      </c>
      <c r="I362" s="6">
        <v>0.05</v>
      </c>
      <c r="J362">
        <v>10070</v>
      </c>
    </row>
    <row r="363" spans="1:10" x14ac:dyDescent="0.25">
      <c r="A363" t="s">
        <v>384</v>
      </c>
      <c r="B363" s="2">
        <v>44203</v>
      </c>
      <c r="C363" t="s">
        <v>12</v>
      </c>
      <c r="D363" t="s">
        <v>17</v>
      </c>
      <c r="E363" t="s">
        <v>20</v>
      </c>
      <c r="F363" t="s">
        <v>23</v>
      </c>
      <c r="G363">
        <v>2</v>
      </c>
      <c r="H363">
        <v>4600</v>
      </c>
      <c r="I363" s="6">
        <v>0.1</v>
      </c>
      <c r="J363">
        <v>4140</v>
      </c>
    </row>
    <row r="364" spans="1:10" x14ac:dyDescent="0.25">
      <c r="A364" t="s">
        <v>385</v>
      </c>
      <c r="B364" s="2">
        <v>44204</v>
      </c>
      <c r="C364" t="s">
        <v>12</v>
      </c>
      <c r="D364" t="s">
        <v>2023</v>
      </c>
      <c r="E364" t="s">
        <v>21</v>
      </c>
      <c r="F364" t="s">
        <v>23</v>
      </c>
      <c r="G364">
        <v>9</v>
      </c>
      <c r="H364">
        <v>12100</v>
      </c>
      <c r="I364" s="6">
        <v>0.15000000000000002</v>
      </c>
      <c r="J364">
        <v>10285</v>
      </c>
    </row>
    <row r="365" spans="1:10" x14ac:dyDescent="0.25">
      <c r="A365" t="s">
        <v>386</v>
      </c>
      <c r="B365" s="2">
        <v>44205</v>
      </c>
      <c r="C365" t="s">
        <v>12</v>
      </c>
      <c r="D365" t="s">
        <v>18</v>
      </c>
      <c r="E365" t="s">
        <v>22</v>
      </c>
      <c r="F365" t="s">
        <v>23</v>
      </c>
      <c r="G365">
        <v>10</v>
      </c>
      <c r="H365">
        <v>14700</v>
      </c>
      <c r="I365" s="6">
        <v>0.2</v>
      </c>
      <c r="J365">
        <v>11760</v>
      </c>
    </row>
    <row r="366" spans="1:10" x14ac:dyDescent="0.25">
      <c r="A366" t="s">
        <v>387</v>
      </c>
      <c r="B366" s="2">
        <v>44206</v>
      </c>
      <c r="C366" t="s">
        <v>12</v>
      </c>
      <c r="D366" t="s">
        <v>2024</v>
      </c>
      <c r="E366" t="s">
        <v>19</v>
      </c>
      <c r="F366" t="s">
        <v>23</v>
      </c>
      <c r="G366">
        <v>1</v>
      </c>
      <c r="H366">
        <v>12200</v>
      </c>
      <c r="I366" s="6">
        <v>0.25</v>
      </c>
      <c r="J366">
        <v>9150</v>
      </c>
    </row>
    <row r="367" spans="1:10" x14ac:dyDescent="0.25">
      <c r="A367" t="s">
        <v>388</v>
      </c>
      <c r="B367" s="2">
        <v>44207</v>
      </c>
      <c r="C367" t="s">
        <v>12</v>
      </c>
      <c r="D367" t="s">
        <v>2025</v>
      </c>
      <c r="E367" t="s">
        <v>20</v>
      </c>
      <c r="F367" t="s">
        <v>23</v>
      </c>
      <c r="G367">
        <v>2</v>
      </c>
      <c r="H367">
        <v>13500</v>
      </c>
      <c r="I367" s="6">
        <v>0.05</v>
      </c>
      <c r="J367">
        <v>12825</v>
      </c>
    </row>
    <row r="368" spans="1:10" x14ac:dyDescent="0.25">
      <c r="A368" t="s">
        <v>389</v>
      </c>
      <c r="B368" s="2">
        <v>44208</v>
      </c>
      <c r="C368" t="s">
        <v>12</v>
      </c>
      <c r="D368" t="s">
        <v>2026</v>
      </c>
      <c r="E368" t="s">
        <v>21</v>
      </c>
      <c r="F368" t="s">
        <v>23</v>
      </c>
      <c r="G368">
        <v>2</v>
      </c>
      <c r="H368">
        <v>11500</v>
      </c>
      <c r="I368" s="6">
        <v>0.1</v>
      </c>
      <c r="J368">
        <v>10350</v>
      </c>
    </row>
    <row r="369" spans="1:10" x14ac:dyDescent="0.25">
      <c r="A369" t="s">
        <v>390</v>
      </c>
      <c r="B369" s="2">
        <v>44209</v>
      </c>
      <c r="C369" t="s">
        <v>12</v>
      </c>
      <c r="D369" t="s">
        <v>2027</v>
      </c>
      <c r="E369" t="s">
        <v>22</v>
      </c>
      <c r="F369" t="s">
        <v>23</v>
      </c>
      <c r="G369">
        <v>5</v>
      </c>
      <c r="H369">
        <v>13900</v>
      </c>
      <c r="I369" s="6">
        <v>0.15000000000000002</v>
      </c>
      <c r="J369">
        <v>11815</v>
      </c>
    </row>
    <row r="370" spans="1:10" x14ac:dyDescent="0.25">
      <c r="A370" t="s">
        <v>391</v>
      </c>
      <c r="B370" s="2">
        <v>44210</v>
      </c>
      <c r="C370" t="s">
        <v>12</v>
      </c>
      <c r="D370" t="s">
        <v>2028</v>
      </c>
      <c r="E370" t="s">
        <v>19</v>
      </c>
      <c r="F370" t="s">
        <v>23</v>
      </c>
      <c r="G370">
        <v>1</v>
      </c>
      <c r="H370">
        <v>8600</v>
      </c>
      <c r="I370" s="6">
        <v>0.2</v>
      </c>
      <c r="J370">
        <v>6880</v>
      </c>
    </row>
    <row r="371" spans="1:10" x14ac:dyDescent="0.25">
      <c r="A371" t="s">
        <v>392</v>
      </c>
      <c r="B371" s="2">
        <v>44211</v>
      </c>
      <c r="C371" t="s">
        <v>12</v>
      </c>
      <c r="D371" t="s">
        <v>2029</v>
      </c>
      <c r="E371" t="s">
        <v>20</v>
      </c>
      <c r="F371" t="s">
        <v>23</v>
      </c>
      <c r="G371">
        <v>8</v>
      </c>
      <c r="H371">
        <v>9500</v>
      </c>
      <c r="I371" s="6">
        <v>0.25</v>
      </c>
      <c r="J371">
        <v>7125</v>
      </c>
    </row>
    <row r="372" spans="1:10" x14ac:dyDescent="0.25">
      <c r="A372" t="s">
        <v>393</v>
      </c>
      <c r="B372" s="2">
        <v>44212</v>
      </c>
      <c r="C372" t="s">
        <v>13</v>
      </c>
      <c r="D372" t="s">
        <v>16</v>
      </c>
      <c r="E372" t="s">
        <v>21</v>
      </c>
      <c r="F372" t="s">
        <v>24</v>
      </c>
      <c r="G372">
        <v>10</v>
      </c>
      <c r="H372">
        <v>13800</v>
      </c>
      <c r="I372" s="6">
        <v>0.05</v>
      </c>
      <c r="J372">
        <v>13110</v>
      </c>
    </row>
    <row r="373" spans="1:10" x14ac:dyDescent="0.25">
      <c r="A373" t="s">
        <v>394</v>
      </c>
      <c r="B373" s="2">
        <v>44213</v>
      </c>
      <c r="C373" t="s">
        <v>13</v>
      </c>
      <c r="D373" t="s">
        <v>2030</v>
      </c>
      <c r="E373" t="s">
        <v>22</v>
      </c>
      <c r="F373" t="s">
        <v>24</v>
      </c>
      <c r="G373">
        <v>9</v>
      </c>
      <c r="H373">
        <v>6000</v>
      </c>
      <c r="I373" s="6">
        <v>0.1</v>
      </c>
      <c r="J373">
        <v>5400</v>
      </c>
    </row>
    <row r="374" spans="1:10" x14ac:dyDescent="0.25">
      <c r="A374" t="s">
        <v>395</v>
      </c>
      <c r="B374" s="2">
        <v>44214</v>
      </c>
      <c r="C374" t="s">
        <v>13</v>
      </c>
      <c r="D374" t="s">
        <v>2031</v>
      </c>
      <c r="E374" t="s">
        <v>19</v>
      </c>
      <c r="F374" t="s">
        <v>24</v>
      </c>
      <c r="G374">
        <v>2</v>
      </c>
      <c r="H374">
        <v>5500</v>
      </c>
      <c r="I374" s="6">
        <v>0.15000000000000002</v>
      </c>
      <c r="J374">
        <v>4675</v>
      </c>
    </row>
    <row r="375" spans="1:10" x14ac:dyDescent="0.25">
      <c r="A375" t="s">
        <v>396</v>
      </c>
      <c r="B375" s="2">
        <v>44215</v>
      </c>
      <c r="C375" t="s">
        <v>13</v>
      </c>
      <c r="D375" t="s">
        <v>2032</v>
      </c>
      <c r="E375" t="s">
        <v>20</v>
      </c>
      <c r="F375" t="s">
        <v>24</v>
      </c>
      <c r="G375">
        <v>5</v>
      </c>
      <c r="H375">
        <v>9900</v>
      </c>
      <c r="I375" s="6">
        <v>0.2</v>
      </c>
      <c r="J375">
        <v>7920</v>
      </c>
    </row>
    <row r="376" spans="1:10" x14ac:dyDescent="0.25">
      <c r="A376" t="s">
        <v>397</v>
      </c>
      <c r="B376" s="2">
        <v>44216</v>
      </c>
      <c r="C376" t="s">
        <v>13</v>
      </c>
      <c r="D376" t="s">
        <v>2033</v>
      </c>
      <c r="E376" t="s">
        <v>21</v>
      </c>
      <c r="F376" t="s">
        <v>24</v>
      </c>
      <c r="G376">
        <v>1</v>
      </c>
      <c r="H376">
        <v>6700</v>
      </c>
      <c r="I376" s="6">
        <v>0.25</v>
      </c>
      <c r="J376">
        <v>5025</v>
      </c>
    </row>
    <row r="377" spans="1:10" x14ac:dyDescent="0.25">
      <c r="A377" t="s">
        <v>398</v>
      </c>
      <c r="B377" s="2">
        <v>44217</v>
      </c>
      <c r="C377" t="s">
        <v>13</v>
      </c>
      <c r="D377" t="s">
        <v>2034</v>
      </c>
      <c r="E377" t="s">
        <v>22</v>
      </c>
      <c r="F377" t="s">
        <v>24</v>
      </c>
      <c r="G377">
        <v>9</v>
      </c>
      <c r="H377">
        <v>7000</v>
      </c>
      <c r="I377" s="6">
        <v>0.05</v>
      </c>
      <c r="J377">
        <v>6650</v>
      </c>
    </row>
    <row r="378" spans="1:10" x14ac:dyDescent="0.25">
      <c r="A378" t="s">
        <v>399</v>
      </c>
      <c r="B378" s="2">
        <v>44218</v>
      </c>
      <c r="C378" t="s">
        <v>13</v>
      </c>
      <c r="D378" t="s">
        <v>2035</v>
      </c>
      <c r="E378" t="s">
        <v>19</v>
      </c>
      <c r="F378" t="s">
        <v>24</v>
      </c>
      <c r="G378">
        <v>8</v>
      </c>
      <c r="H378">
        <v>14800</v>
      </c>
      <c r="I378" s="6">
        <v>0.1</v>
      </c>
      <c r="J378">
        <v>13320</v>
      </c>
    </row>
    <row r="379" spans="1:10" x14ac:dyDescent="0.25">
      <c r="A379" t="s">
        <v>400</v>
      </c>
      <c r="B379" s="2">
        <v>44219</v>
      </c>
      <c r="C379" t="s">
        <v>13</v>
      </c>
      <c r="D379" t="s">
        <v>2036</v>
      </c>
      <c r="E379" t="s">
        <v>20</v>
      </c>
      <c r="F379" t="s">
        <v>24</v>
      </c>
      <c r="G379">
        <v>7</v>
      </c>
      <c r="H379">
        <v>13800</v>
      </c>
      <c r="I379" s="6">
        <v>0.15000000000000002</v>
      </c>
      <c r="J379">
        <v>11730</v>
      </c>
    </row>
    <row r="380" spans="1:10" x14ac:dyDescent="0.25">
      <c r="A380" t="s">
        <v>401</v>
      </c>
      <c r="B380" s="2">
        <v>44220</v>
      </c>
      <c r="C380" t="s">
        <v>13</v>
      </c>
      <c r="D380" t="s">
        <v>2037</v>
      </c>
      <c r="E380" t="s">
        <v>21</v>
      </c>
      <c r="F380" t="s">
        <v>24</v>
      </c>
      <c r="G380">
        <v>1</v>
      </c>
      <c r="H380">
        <v>11300</v>
      </c>
      <c r="I380" s="6">
        <v>0.2</v>
      </c>
      <c r="J380">
        <v>9040</v>
      </c>
    </row>
    <row r="381" spans="1:10" x14ac:dyDescent="0.25">
      <c r="A381" t="s">
        <v>402</v>
      </c>
      <c r="B381" s="2">
        <v>44221</v>
      </c>
      <c r="C381" t="s">
        <v>13</v>
      </c>
      <c r="D381" t="s">
        <v>2038</v>
      </c>
      <c r="E381" t="s">
        <v>22</v>
      </c>
      <c r="F381" t="s">
        <v>24</v>
      </c>
      <c r="G381">
        <v>6</v>
      </c>
      <c r="H381">
        <v>8400</v>
      </c>
      <c r="I381" s="6">
        <v>0.25</v>
      </c>
      <c r="J381">
        <v>6300</v>
      </c>
    </row>
    <row r="382" spans="1:10" x14ac:dyDescent="0.25">
      <c r="A382" t="s">
        <v>403</v>
      </c>
      <c r="B382" s="2">
        <v>44222</v>
      </c>
      <c r="C382" t="s">
        <v>14</v>
      </c>
      <c r="D382" t="s">
        <v>2039</v>
      </c>
      <c r="E382" t="s">
        <v>19</v>
      </c>
      <c r="F382" t="s">
        <v>25</v>
      </c>
      <c r="G382">
        <v>7</v>
      </c>
      <c r="H382">
        <v>5400</v>
      </c>
      <c r="I382" s="6">
        <v>0.05</v>
      </c>
      <c r="J382">
        <v>5130</v>
      </c>
    </row>
    <row r="383" spans="1:10" x14ac:dyDescent="0.25">
      <c r="A383" t="s">
        <v>404</v>
      </c>
      <c r="B383" s="2">
        <v>44223</v>
      </c>
      <c r="C383" t="s">
        <v>14</v>
      </c>
      <c r="D383" t="s">
        <v>2040</v>
      </c>
      <c r="E383" t="s">
        <v>20</v>
      </c>
      <c r="F383" t="s">
        <v>25</v>
      </c>
      <c r="G383">
        <v>2</v>
      </c>
      <c r="H383">
        <v>15000</v>
      </c>
      <c r="I383" s="6">
        <v>0.1</v>
      </c>
      <c r="J383">
        <v>13500</v>
      </c>
    </row>
    <row r="384" spans="1:10" x14ac:dyDescent="0.25">
      <c r="A384" t="s">
        <v>405</v>
      </c>
      <c r="B384" s="2">
        <v>44224</v>
      </c>
      <c r="C384" t="s">
        <v>14</v>
      </c>
      <c r="D384" t="s">
        <v>2041</v>
      </c>
      <c r="E384" t="s">
        <v>21</v>
      </c>
      <c r="F384" t="s">
        <v>25</v>
      </c>
      <c r="G384">
        <v>9</v>
      </c>
      <c r="H384">
        <v>14300</v>
      </c>
      <c r="I384" s="6">
        <v>0.15000000000000002</v>
      </c>
      <c r="J384">
        <v>12155</v>
      </c>
    </row>
    <row r="385" spans="1:10" x14ac:dyDescent="0.25">
      <c r="A385" t="s">
        <v>406</v>
      </c>
      <c r="B385" s="2">
        <v>44225</v>
      </c>
      <c r="C385" t="s">
        <v>14</v>
      </c>
      <c r="D385" t="s">
        <v>2042</v>
      </c>
      <c r="E385" t="s">
        <v>22</v>
      </c>
      <c r="F385" t="s">
        <v>25</v>
      </c>
      <c r="G385">
        <v>6</v>
      </c>
      <c r="H385">
        <v>8700</v>
      </c>
      <c r="I385" s="6">
        <v>0.2</v>
      </c>
      <c r="J385">
        <v>6960</v>
      </c>
    </row>
    <row r="386" spans="1:10" x14ac:dyDescent="0.25">
      <c r="A386" t="s">
        <v>407</v>
      </c>
      <c r="B386" s="2">
        <v>44226</v>
      </c>
      <c r="C386" t="s">
        <v>14</v>
      </c>
      <c r="D386" t="s">
        <v>2043</v>
      </c>
      <c r="E386" t="s">
        <v>19</v>
      </c>
      <c r="F386" t="s">
        <v>25</v>
      </c>
      <c r="G386">
        <v>1</v>
      </c>
      <c r="H386">
        <v>8600</v>
      </c>
      <c r="I386" s="6">
        <v>0.25</v>
      </c>
      <c r="J386">
        <v>6450</v>
      </c>
    </row>
    <row r="387" spans="1:10" x14ac:dyDescent="0.25">
      <c r="A387" t="s">
        <v>408</v>
      </c>
      <c r="B387" s="2">
        <v>44227</v>
      </c>
      <c r="C387" t="s">
        <v>14</v>
      </c>
      <c r="D387" t="s">
        <v>2044</v>
      </c>
      <c r="E387" t="s">
        <v>20</v>
      </c>
      <c r="F387" t="s">
        <v>25</v>
      </c>
      <c r="G387">
        <v>10</v>
      </c>
      <c r="H387">
        <v>10300</v>
      </c>
      <c r="I387" s="6">
        <v>0.05</v>
      </c>
      <c r="J387">
        <v>9785</v>
      </c>
    </row>
    <row r="388" spans="1:10" x14ac:dyDescent="0.25">
      <c r="A388" t="s">
        <v>409</v>
      </c>
      <c r="B388" s="2">
        <v>44228</v>
      </c>
      <c r="C388" t="s">
        <v>14</v>
      </c>
      <c r="D388" t="s">
        <v>2045</v>
      </c>
      <c r="E388" t="s">
        <v>21</v>
      </c>
      <c r="F388" t="s">
        <v>25</v>
      </c>
      <c r="G388">
        <v>10</v>
      </c>
      <c r="H388">
        <v>13700</v>
      </c>
      <c r="I388" s="6">
        <v>0.1</v>
      </c>
      <c r="J388">
        <v>12330</v>
      </c>
    </row>
    <row r="389" spans="1:10" x14ac:dyDescent="0.25">
      <c r="A389" t="s">
        <v>410</v>
      </c>
      <c r="B389" s="2">
        <v>44229</v>
      </c>
      <c r="C389" t="s">
        <v>14</v>
      </c>
      <c r="D389" t="s">
        <v>2046</v>
      </c>
      <c r="E389" t="s">
        <v>22</v>
      </c>
      <c r="F389" t="s">
        <v>25</v>
      </c>
      <c r="G389">
        <v>3</v>
      </c>
      <c r="H389">
        <v>13500</v>
      </c>
      <c r="I389" s="6">
        <v>0.15000000000000002</v>
      </c>
      <c r="J389">
        <v>11475</v>
      </c>
    </row>
    <row r="390" spans="1:10" x14ac:dyDescent="0.25">
      <c r="A390" t="s">
        <v>411</v>
      </c>
      <c r="B390" s="2">
        <v>44230</v>
      </c>
      <c r="C390" t="s">
        <v>14</v>
      </c>
      <c r="D390" t="s">
        <v>2047</v>
      </c>
      <c r="E390" t="s">
        <v>19</v>
      </c>
      <c r="F390" t="s">
        <v>25</v>
      </c>
      <c r="G390">
        <v>6</v>
      </c>
      <c r="H390">
        <v>8000</v>
      </c>
      <c r="I390" s="6">
        <v>0.2</v>
      </c>
      <c r="J390">
        <v>6400</v>
      </c>
    </row>
    <row r="391" spans="1:10" x14ac:dyDescent="0.25">
      <c r="A391" t="s">
        <v>412</v>
      </c>
      <c r="B391" s="2">
        <v>44231</v>
      </c>
      <c r="C391" t="s">
        <v>14</v>
      </c>
      <c r="D391" t="s">
        <v>2048</v>
      </c>
      <c r="E391" t="s">
        <v>20</v>
      </c>
      <c r="F391" t="s">
        <v>25</v>
      </c>
      <c r="G391">
        <v>1</v>
      </c>
      <c r="H391">
        <v>9900</v>
      </c>
      <c r="I391" s="6">
        <v>0.25</v>
      </c>
      <c r="J391">
        <v>7425</v>
      </c>
    </row>
    <row r="392" spans="1:10" x14ac:dyDescent="0.25">
      <c r="A392" t="s">
        <v>413</v>
      </c>
      <c r="B392" s="2">
        <v>44232</v>
      </c>
      <c r="C392" t="s">
        <v>12</v>
      </c>
      <c r="D392" t="s">
        <v>15</v>
      </c>
      <c r="E392" t="s">
        <v>21</v>
      </c>
      <c r="F392" t="s">
        <v>23</v>
      </c>
      <c r="G392">
        <v>5</v>
      </c>
      <c r="H392">
        <v>6100</v>
      </c>
      <c r="I392" s="6">
        <v>0.05</v>
      </c>
      <c r="J392">
        <v>5795</v>
      </c>
    </row>
    <row r="393" spans="1:10" x14ac:dyDescent="0.25">
      <c r="A393" t="s">
        <v>414</v>
      </c>
      <c r="B393" s="2">
        <v>44233</v>
      </c>
      <c r="C393" t="s">
        <v>12</v>
      </c>
      <c r="D393" t="s">
        <v>17</v>
      </c>
      <c r="E393" t="s">
        <v>22</v>
      </c>
      <c r="F393" t="s">
        <v>23</v>
      </c>
      <c r="G393">
        <v>5</v>
      </c>
      <c r="H393">
        <v>10000</v>
      </c>
      <c r="I393" s="6">
        <v>0.1</v>
      </c>
      <c r="J393">
        <v>9000</v>
      </c>
    </row>
    <row r="394" spans="1:10" x14ac:dyDescent="0.25">
      <c r="A394" t="s">
        <v>415</v>
      </c>
      <c r="B394" s="2">
        <v>44234</v>
      </c>
      <c r="C394" t="s">
        <v>12</v>
      </c>
      <c r="D394" t="s">
        <v>2023</v>
      </c>
      <c r="E394" t="s">
        <v>19</v>
      </c>
      <c r="F394" t="s">
        <v>23</v>
      </c>
      <c r="G394">
        <v>8</v>
      </c>
      <c r="H394">
        <v>13300</v>
      </c>
      <c r="I394" s="6">
        <v>0.15000000000000002</v>
      </c>
      <c r="J394">
        <v>11305</v>
      </c>
    </row>
    <row r="395" spans="1:10" x14ac:dyDescent="0.25">
      <c r="A395" t="s">
        <v>416</v>
      </c>
      <c r="B395" s="2">
        <v>44235</v>
      </c>
      <c r="C395" t="s">
        <v>12</v>
      </c>
      <c r="D395" t="s">
        <v>18</v>
      </c>
      <c r="E395" t="s">
        <v>20</v>
      </c>
      <c r="F395" t="s">
        <v>23</v>
      </c>
      <c r="G395">
        <v>7</v>
      </c>
      <c r="H395">
        <v>6200</v>
      </c>
      <c r="I395" s="6">
        <v>0.2</v>
      </c>
      <c r="J395">
        <v>4960</v>
      </c>
    </row>
    <row r="396" spans="1:10" x14ac:dyDescent="0.25">
      <c r="A396" t="s">
        <v>417</v>
      </c>
      <c r="B396" s="2">
        <v>44236</v>
      </c>
      <c r="C396" t="s">
        <v>12</v>
      </c>
      <c r="D396" t="s">
        <v>2024</v>
      </c>
      <c r="E396" t="s">
        <v>21</v>
      </c>
      <c r="F396" t="s">
        <v>23</v>
      </c>
      <c r="G396">
        <v>1</v>
      </c>
      <c r="H396">
        <v>14800</v>
      </c>
      <c r="I396" s="6">
        <v>0.25</v>
      </c>
      <c r="J396">
        <v>11100</v>
      </c>
    </row>
    <row r="397" spans="1:10" x14ac:dyDescent="0.25">
      <c r="A397" t="s">
        <v>418</v>
      </c>
      <c r="B397" s="2">
        <v>44237</v>
      </c>
      <c r="C397" t="s">
        <v>12</v>
      </c>
      <c r="D397" t="s">
        <v>2025</v>
      </c>
      <c r="E397" t="s">
        <v>22</v>
      </c>
      <c r="F397" t="s">
        <v>23</v>
      </c>
      <c r="G397">
        <v>5</v>
      </c>
      <c r="H397">
        <v>13300</v>
      </c>
      <c r="I397" s="6">
        <v>0.05</v>
      </c>
      <c r="J397">
        <v>12635</v>
      </c>
    </row>
    <row r="398" spans="1:10" x14ac:dyDescent="0.25">
      <c r="A398" t="s">
        <v>419</v>
      </c>
      <c r="B398" s="2">
        <v>44238</v>
      </c>
      <c r="C398" t="s">
        <v>12</v>
      </c>
      <c r="D398" t="s">
        <v>2026</v>
      </c>
      <c r="E398" t="s">
        <v>19</v>
      </c>
      <c r="F398" t="s">
        <v>23</v>
      </c>
      <c r="G398">
        <v>5</v>
      </c>
      <c r="H398">
        <v>8900</v>
      </c>
      <c r="I398" s="6">
        <v>0.1</v>
      </c>
      <c r="J398">
        <v>8010</v>
      </c>
    </row>
    <row r="399" spans="1:10" x14ac:dyDescent="0.25">
      <c r="A399" t="s">
        <v>420</v>
      </c>
      <c r="B399" s="2">
        <v>44239</v>
      </c>
      <c r="C399" t="s">
        <v>12</v>
      </c>
      <c r="D399" t="s">
        <v>2027</v>
      </c>
      <c r="E399" t="s">
        <v>20</v>
      </c>
      <c r="F399" t="s">
        <v>23</v>
      </c>
      <c r="G399">
        <v>6</v>
      </c>
      <c r="H399">
        <v>11800</v>
      </c>
      <c r="I399" s="6">
        <v>0.15000000000000002</v>
      </c>
      <c r="J399">
        <v>10030</v>
      </c>
    </row>
    <row r="400" spans="1:10" x14ac:dyDescent="0.25">
      <c r="A400" t="s">
        <v>421</v>
      </c>
      <c r="B400" s="2">
        <v>44240</v>
      </c>
      <c r="C400" t="s">
        <v>12</v>
      </c>
      <c r="D400" t="s">
        <v>2028</v>
      </c>
      <c r="E400" t="s">
        <v>21</v>
      </c>
      <c r="F400" t="s">
        <v>23</v>
      </c>
      <c r="G400">
        <v>9</v>
      </c>
      <c r="H400">
        <v>13700</v>
      </c>
      <c r="I400" s="6">
        <v>0.2</v>
      </c>
      <c r="J400">
        <v>10960</v>
      </c>
    </row>
    <row r="401" spans="1:10" x14ac:dyDescent="0.25">
      <c r="A401" t="s">
        <v>422</v>
      </c>
      <c r="B401" s="2">
        <v>44241</v>
      </c>
      <c r="C401" t="s">
        <v>12</v>
      </c>
      <c r="D401" t="s">
        <v>2029</v>
      </c>
      <c r="E401" t="s">
        <v>22</v>
      </c>
      <c r="F401" t="s">
        <v>23</v>
      </c>
      <c r="G401">
        <v>2</v>
      </c>
      <c r="H401">
        <v>10600</v>
      </c>
      <c r="I401" s="6">
        <v>0.25</v>
      </c>
      <c r="J401">
        <v>7950</v>
      </c>
    </row>
    <row r="402" spans="1:10" x14ac:dyDescent="0.25">
      <c r="A402" t="s">
        <v>423</v>
      </c>
      <c r="B402" s="2">
        <v>44242</v>
      </c>
      <c r="C402" t="s">
        <v>13</v>
      </c>
      <c r="D402" t="s">
        <v>16</v>
      </c>
      <c r="E402" t="s">
        <v>19</v>
      </c>
      <c r="F402" t="s">
        <v>24</v>
      </c>
      <c r="G402">
        <v>3</v>
      </c>
      <c r="H402">
        <v>12600</v>
      </c>
      <c r="I402" s="6">
        <v>0.05</v>
      </c>
      <c r="J402">
        <v>11970</v>
      </c>
    </row>
    <row r="403" spans="1:10" x14ac:dyDescent="0.25">
      <c r="A403" t="s">
        <v>424</v>
      </c>
      <c r="B403" s="2">
        <v>44243</v>
      </c>
      <c r="C403" t="s">
        <v>13</v>
      </c>
      <c r="D403" t="s">
        <v>2030</v>
      </c>
      <c r="E403" t="s">
        <v>20</v>
      </c>
      <c r="F403" t="s">
        <v>24</v>
      </c>
      <c r="G403">
        <v>10</v>
      </c>
      <c r="H403">
        <v>9200</v>
      </c>
      <c r="I403" s="6">
        <v>0.1</v>
      </c>
      <c r="J403">
        <v>8280</v>
      </c>
    </row>
    <row r="404" spans="1:10" x14ac:dyDescent="0.25">
      <c r="A404" t="s">
        <v>425</v>
      </c>
      <c r="B404" s="2">
        <v>44244</v>
      </c>
      <c r="C404" t="s">
        <v>13</v>
      </c>
      <c r="D404" t="s">
        <v>2031</v>
      </c>
      <c r="E404" t="s">
        <v>21</v>
      </c>
      <c r="F404" t="s">
        <v>24</v>
      </c>
      <c r="G404">
        <v>7</v>
      </c>
      <c r="H404">
        <v>7400</v>
      </c>
      <c r="I404" s="6">
        <v>0.15000000000000002</v>
      </c>
      <c r="J404">
        <v>6290</v>
      </c>
    </row>
    <row r="405" spans="1:10" x14ac:dyDescent="0.25">
      <c r="A405" t="s">
        <v>426</v>
      </c>
      <c r="B405" s="2">
        <v>44245</v>
      </c>
      <c r="C405" t="s">
        <v>13</v>
      </c>
      <c r="D405" t="s">
        <v>2032</v>
      </c>
      <c r="E405" t="s">
        <v>22</v>
      </c>
      <c r="F405" t="s">
        <v>24</v>
      </c>
      <c r="G405">
        <v>6</v>
      </c>
      <c r="H405">
        <v>9900</v>
      </c>
      <c r="I405" s="6">
        <v>0.2</v>
      </c>
      <c r="J405">
        <v>7920</v>
      </c>
    </row>
    <row r="406" spans="1:10" x14ac:dyDescent="0.25">
      <c r="A406" t="s">
        <v>427</v>
      </c>
      <c r="B406" s="2">
        <v>44246</v>
      </c>
      <c r="C406" t="s">
        <v>13</v>
      </c>
      <c r="D406" t="s">
        <v>2033</v>
      </c>
      <c r="E406" t="s">
        <v>19</v>
      </c>
      <c r="F406" t="s">
        <v>24</v>
      </c>
      <c r="G406">
        <v>6</v>
      </c>
      <c r="H406">
        <v>8200</v>
      </c>
      <c r="I406" s="6">
        <v>0.25</v>
      </c>
      <c r="J406">
        <v>6150</v>
      </c>
    </row>
    <row r="407" spans="1:10" x14ac:dyDescent="0.25">
      <c r="A407" t="s">
        <v>428</v>
      </c>
      <c r="B407" s="2">
        <v>44247</v>
      </c>
      <c r="C407" t="s">
        <v>13</v>
      </c>
      <c r="D407" t="s">
        <v>2034</v>
      </c>
      <c r="E407" t="s">
        <v>20</v>
      </c>
      <c r="F407" t="s">
        <v>24</v>
      </c>
      <c r="G407">
        <v>10</v>
      </c>
      <c r="H407">
        <v>12600</v>
      </c>
      <c r="I407" s="6">
        <v>0.05</v>
      </c>
      <c r="J407">
        <v>11970</v>
      </c>
    </row>
    <row r="408" spans="1:10" x14ac:dyDescent="0.25">
      <c r="A408" t="s">
        <v>429</v>
      </c>
      <c r="B408" s="2">
        <v>44248</v>
      </c>
      <c r="C408" t="s">
        <v>13</v>
      </c>
      <c r="D408" t="s">
        <v>2035</v>
      </c>
      <c r="E408" t="s">
        <v>21</v>
      </c>
      <c r="F408" t="s">
        <v>24</v>
      </c>
      <c r="G408">
        <v>2</v>
      </c>
      <c r="H408">
        <v>12800</v>
      </c>
      <c r="I408" s="6">
        <v>0.1</v>
      </c>
      <c r="J408">
        <v>11520</v>
      </c>
    </row>
    <row r="409" spans="1:10" x14ac:dyDescent="0.25">
      <c r="A409" t="s">
        <v>430</v>
      </c>
      <c r="B409" s="2">
        <v>44249</v>
      </c>
      <c r="C409" t="s">
        <v>13</v>
      </c>
      <c r="D409" t="s">
        <v>2036</v>
      </c>
      <c r="E409" t="s">
        <v>22</v>
      </c>
      <c r="F409" t="s">
        <v>24</v>
      </c>
      <c r="G409">
        <v>2</v>
      </c>
      <c r="H409">
        <v>6100</v>
      </c>
      <c r="I409" s="6">
        <v>0.15000000000000002</v>
      </c>
      <c r="J409">
        <v>5185</v>
      </c>
    </row>
    <row r="410" spans="1:10" x14ac:dyDescent="0.25">
      <c r="A410" t="s">
        <v>431</v>
      </c>
      <c r="B410" s="2">
        <v>44250</v>
      </c>
      <c r="C410" t="s">
        <v>13</v>
      </c>
      <c r="D410" t="s">
        <v>2037</v>
      </c>
      <c r="E410" t="s">
        <v>19</v>
      </c>
      <c r="F410" t="s">
        <v>24</v>
      </c>
      <c r="G410">
        <v>3</v>
      </c>
      <c r="H410">
        <v>6800</v>
      </c>
      <c r="I410" s="6">
        <v>0.2</v>
      </c>
      <c r="J410">
        <v>5440</v>
      </c>
    </row>
    <row r="411" spans="1:10" x14ac:dyDescent="0.25">
      <c r="A411" t="s">
        <v>432</v>
      </c>
      <c r="B411" s="2">
        <v>44251</v>
      </c>
      <c r="C411" t="s">
        <v>13</v>
      </c>
      <c r="D411" t="s">
        <v>2038</v>
      </c>
      <c r="E411" t="s">
        <v>20</v>
      </c>
      <c r="F411" t="s">
        <v>24</v>
      </c>
      <c r="G411">
        <v>7</v>
      </c>
      <c r="H411">
        <v>5800</v>
      </c>
      <c r="I411" s="6">
        <v>0.25</v>
      </c>
      <c r="J411">
        <v>4350</v>
      </c>
    </row>
    <row r="412" spans="1:10" x14ac:dyDescent="0.25">
      <c r="A412" t="s">
        <v>433</v>
      </c>
      <c r="B412" s="2">
        <v>44252</v>
      </c>
      <c r="C412" t="s">
        <v>14</v>
      </c>
      <c r="D412" t="s">
        <v>2039</v>
      </c>
      <c r="E412" t="s">
        <v>21</v>
      </c>
      <c r="F412" t="s">
        <v>25</v>
      </c>
      <c r="G412">
        <v>3</v>
      </c>
      <c r="H412">
        <v>10800</v>
      </c>
      <c r="I412" s="6">
        <v>0.05</v>
      </c>
      <c r="J412">
        <v>10260</v>
      </c>
    </row>
    <row r="413" spans="1:10" x14ac:dyDescent="0.25">
      <c r="A413" t="s">
        <v>434</v>
      </c>
      <c r="B413" s="2">
        <v>44253</v>
      </c>
      <c r="C413" t="s">
        <v>14</v>
      </c>
      <c r="D413" t="s">
        <v>2040</v>
      </c>
      <c r="E413" t="s">
        <v>22</v>
      </c>
      <c r="F413" t="s">
        <v>25</v>
      </c>
      <c r="G413">
        <v>1</v>
      </c>
      <c r="H413">
        <v>8300</v>
      </c>
      <c r="I413" s="6">
        <v>0.1</v>
      </c>
      <c r="J413">
        <v>7470</v>
      </c>
    </row>
    <row r="414" spans="1:10" x14ac:dyDescent="0.25">
      <c r="A414" t="s">
        <v>435</v>
      </c>
      <c r="B414" s="2">
        <v>44254</v>
      </c>
      <c r="C414" t="s">
        <v>14</v>
      </c>
      <c r="D414" t="s">
        <v>2041</v>
      </c>
      <c r="E414" t="s">
        <v>19</v>
      </c>
      <c r="F414" t="s">
        <v>25</v>
      </c>
      <c r="G414">
        <v>3</v>
      </c>
      <c r="H414">
        <v>13800</v>
      </c>
      <c r="I414" s="6">
        <v>0.15000000000000002</v>
      </c>
      <c r="J414">
        <v>11730</v>
      </c>
    </row>
    <row r="415" spans="1:10" x14ac:dyDescent="0.25">
      <c r="A415" t="s">
        <v>436</v>
      </c>
      <c r="B415" s="2">
        <v>44255</v>
      </c>
      <c r="C415" t="s">
        <v>14</v>
      </c>
      <c r="D415" t="s">
        <v>2042</v>
      </c>
      <c r="E415" t="s">
        <v>20</v>
      </c>
      <c r="F415" t="s">
        <v>25</v>
      </c>
      <c r="G415">
        <v>2</v>
      </c>
      <c r="H415">
        <v>7600</v>
      </c>
      <c r="I415" s="6">
        <v>0.2</v>
      </c>
      <c r="J415">
        <v>6080</v>
      </c>
    </row>
    <row r="416" spans="1:10" x14ac:dyDescent="0.25">
      <c r="A416" t="s">
        <v>437</v>
      </c>
      <c r="B416" s="2">
        <v>44256</v>
      </c>
      <c r="C416" t="s">
        <v>14</v>
      </c>
      <c r="D416" t="s">
        <v>2043</v>
      </c>
      <c r="E416" t="s">
        <v>21</v>
      </c>
      <c r="F416" t="s">
        <v>25</v>
      </c>
      <c r="G416">
        <v>2</v>
      </c>
      <c r="H416">
        <v>13700</v>
      </c>
      <c r="I416" s="6">
        <v>0.25</v>
      </c>
      <c r="J416">
        <v>10275</v>
      </c>
    </row>
    <row r="417" spans="1:10" x14ac:dyDescent="0.25">
      <c r="A417" t="s">
        <v>438</v>
      </c>
      <c r="B417" s="2">
        <v>44257</v>
      </c>
      <c r="C417" t="s">
        <v>14</v>
      </c>
      <c r="D417" t="s">
        <v>2044</v>
      </c>
      <c r="E417" t="s">
        <v>22</v>
      </c>
      <c r="F417" t="s">
        <v>25</v>
      </c>
      <c r="G417">
        <v>3</v>
      </c>
      <c r="H417">
        <v>13600</v>
      </c>
      <c r="I417" s="6">
        <v>0.05</v>
      </c>
      <c r="J417">
        <v>12920</v>
      </c>
    </row>
    <row r="418" spans="1:10" x14ac:dyDescent="0.25">
      <c r="A418" t="s">
        <v>439</v>
      </c>
      <c r="B418" s="2">
        <v>44258</v>
      </c>
      <c r="C418" t="s">
        <v>14</v>
      </c>
      <c r="D418" t="s">
        <v>2045</v>
      </c>
      <c r="E418" t="s">
        <v>19</v>
      </c>
      <c r="F418" t="s">
        <v>25</v>
      </c>
      <c r="G418">
        <v>1</v>
      </c>
      <c r="H418">
        <v>7500</v>
      </c>
      <c r="I418" s="6">
        <v>0.1</v>
      </c>
      <c r="J418">
        <v>6750</v>
      </c>
    </row>
    <row r="419" spans="1:10" x14ac:dyDescent="0.25">
      <c r="A419" t="s">
        <v>440</v>
      </c>
      <c r="B419" s="2">
        <v>44259</v>
      </c>
      <c r="C419" t="s">
        <v>14</v>
      </c>
      <c r="D419" t="s">
        <v>2046</v>
      </c>
      <c r="E419" t="s">
        <v>20</v>
      </c>
      <c r="F419" t="s">
        <v>25</v>
      </c>
      <c r="G419">
        <v>6</v>
      </c>
      <c r="H419">
        <v>7400</v>
      </c>
      <c r="I419" s="6">
        <v>0.15000000000000002</v>
      </c>
      <c r="J419">
        <v>6290</v>
      </c>
    </row>
    <row r="420" spans="1:10" x14ac:dyDescent="0.25">
      <c r="A420" t="s">
        <v>441</v>
      </c>
      <c r="B420" s="2">
        <v>44260</v>
      </c>
      <c r="C420" t="s">
        <v>14</v>
      </c>
      <c r="D420" t="s">
        <v>2047</v>
      </c>
      <c r="E420" t="s">
        <v>21</v>
      </c>
      <c r="F420" t="s">
        <v>25</v>
      </c>
      <c r="G420">
        <v>9</v>
      </c>
      <c r="H420">
        <v>6100</v>
      </c>
      <c r="I420" s="6">
        <v>0.2</v>
      </c>
      <c r="J420">
        <v>4880</v>
      </c>
    </row>
    <row r="421" spans="1:10" x14ac:dyDescent="0.25">
      <c r="A421" t="s">
        <v>442</v>
      </c>
      <c r="B421" s="2">
        <v>44261</v>
      </c>
      <c r="C421" t="s">
        <v>14</v>
      </c>
      <c r="D421" t="s">
        <v>2048</v>
      </c>
      <c r="E421" t="s">
        <v>22</v>
      </c>
      <c r="F421" t="s">
        <v>25</v>
      </c>
      <c r="G421">
        <v>7</v>
      </c>
      <c r="H421">
        <v>7800</v>
      </c>
      <c r="I421" s="6">
        <v>0.25</v>
      </c>
      <c r="J421">
        <v>5850</v>
      </c>
    </row>
    <row r="422" spans="1:10" x14ac:dyDescent="0.25">
      <c r="A422" t="s">
        <v>443</v>
      </c>
      <c r="B422" s="2">
        <v>44262</v>
      </c>
      <c r="C422" t="s">
        <v>12</v>
      </c>
      <c r="D422" t="s">
        <v>15</v>
      </c>
      <c r="E422" t="s">
        <v>19</v>
      </c>
      <c r="F422" t="s">
        <v>23</v>
      </c>
      <c r="G422">
        <v>4</v>
      </c>
      <c r="H422">
        <v>8100</v>
      </c>
      <c r="I422" s="6">
        <v>0.05</v>
      </c>
      <c r="J422">
        <v>7695</v>
      </c>
    </row>
    <row r="423" spans="1:10" x14ac:dyDescent="0.25">
      <c r="A423" t="s">
        <v>444</v>
      </c>
      <c r="B423" s="2">
        <v>44263</v>
      </c>
      <c r="C423" t="s">
        <v>12</v>
      </c>
      <c r="D423" t="s">
        <v>17</v>
      </c>
      <c r="E423" t="s">
        <v>20</v>
      </c>
      <c r="F423" t="s">
        <v>23</v>
      </c>
      <c r="G423">
        <v>6</v>
      </c>
      <c r="H423">
        <v>6000</v>
      </c>
      <c r="I423" s="6">
        <v>0.1</v>
      </c>
      <c r="J423">
        <v>5400</v>
      </c>
    </row>
    <row r="424" spans="1:10" x14ac:dyDescent="0.25">
      <c r="A424" t="s">
        <v>445</v>
      </c>
      <c r="B424" s="2">
        <v>44264</v>
      </c>
      <c r="C424" t="s">
        <v>12</v>
      </c>
      <c r="D424" t="s">
        <v>2023</v>
      </c>
      <c r="E424" t="s">
        <v>21</v>
      </c>
      <c r="F424" t="s">
        <v>23</v>
      </c>
      <c r="G424">
        <v>5</v>
      </c>
      <c r="H424">
        <v>7500</v>
      </c>
      <c r="I424" s="6">
        <v>0.15000000000000002</v>
      </c>
      <c r="J424">
        <v>6375</v>
      </c>
    </row>
    <row r="425" spans="1:10" x14ac:dyDescent="0.25">
      <c r="A425" t="s">
        <v>446</v>
      </c>
      <c r="B425" s="2">
        <v>44265</v>
      </c>
      <c r="C425" t="s">
        <v>12</v>
      </c>
      <c r="D425" t="s">
        <v>18</v>
      </c>
      <c r="E425" t="s">
        <v>22</v>
      </c>
      <c r="F425" t="s">
        <v>23</v>
      </c>
      <c r="G425">
        <v>2</v>
      </c>
      <c r="H425">
        <v>14200</v>
      </c>
      <c r="I425" s="6">
        <v>0.2</v>
      </c>
      <c r="J425">
        <v>11360</v>
      </c>
    </row>
    <row r="426" spans="1:10" x14ac:dyDescent="0.25">
      <c r="A426" t="s">
        <v>447</v>
      </c>
      <c r="B426" s="2">
        <v>44266</v>
      </c>
      <c r="C426" t="s">
        <v>12</v>
      </c>
      <c r="D426" t="s">
        <v>2024</v>
      </c>
      <c r="E426" t="s">
        <v>19</v>
      </c>
      <c r="F426" t="s">
        <v>23</v>
      </c>
      <c r="G426">
        <v>8</v>
      </c>
      <c r="H426">
        <v>14600</v>
      </c>
      <c r="I426" s="6">
        <v>0.25</v>
      </c>
      <c r="J426">
        <v>10950</v>
      </c>
    </row>
    <row r="427" spans="1:10" x14ac:dyDescent="0.25">
      <c r="A427" t="s">
        <v>448</v>
      </c>
      <c r="B427" s="2">
        <v>44267</v>
      </c>
      <c r="C427" t="s">
        <v>12</v>
      </c>
      <c r="D427" t="s">
        <v>2025</v>
      </c>
      <c r="E427" t="s">
        <v>20</v>
      </c>
      <c r="F427" t="s">
        <v>23</v>
      </c>
      <c r="G427">
        <v>2</v>
      </c>
      <c r="H427">
        <v>11300</v>
      </c>
      <c r="I427" s="6">
        <v>0.05</v>
      </c>
      <c r="J427">
        <v>10735</v>
      </c>
    </row>
    <row r="428" spans="1:10" x14ac:dyDescent="0.25">
      <c r="A428" t="s">
        <v>449</v>
      </c>
      <c r="B428" s="2">
        <v>44268</v>
      </c>
      <c r="C428" t="s">
        <v>12</v>
      </c>
      <c r="D428" t="s">
        <v>2026</v>
      </c>
      <c r="E428" t="s">
        <v>21</v>
      </c>
      <c r="F428" t="s">
        <v>23</v>
      </c>
      <c r="G428">
        <v>5</v>
      </c>
      <c r="H428">
        <v>13400</v>
      </c>
      <c r="I428" s="6">
        <v>0.1</v>
      </c>
      <c r="J428">
        <v>12060</v>
      </c>
    </row>
    <row r="429" spans="1:10" x14ac:dyDescent="0.25">
      <c r="A429" t="s">
        <v>450</v>
      </c>
      <c r="B429" s="2">
        <v>44269</v>
      </c>
      <c r="C429" t="s">
        <v>12</v>
      </c>
      <c r="D429" t="s">
        <v>2027</v>
      </c>
      <c r="E429" t="s">
        <v>22</v>
      </c>
      <c r="F429" t="s">
        <v>23</v>
      </c>
      <c r="G429">
        <v>7</v>
      </c>
      <c r="H429">
        <v>8200</v>
      </c>
      <c r="I429" s="6">
        <v>0.15000000000000002</v>
      </c>
      <c r="J429">
        <v>6970</v>
      </c>
    </row>
    <row r="430" spans="1:10" x14ac:dyDescent="0.25">
      <c r="A430" t="s">
        <v>451</v>
      </c>
      <c r="B430" s="2">
        <v>44270</v>
      </c>
      <c r="C430" t="s">
        <v>12</v>
      </c>
      <c r="D430" t="s">
        <v>2028</v>
      </c>
      <c r="E430" t="s">
        <v>19</v>
      </c>
      <c r="F430" t="s">
        <v>23</v>
      </c>
      <c r="G430">
        <v>9</v>
      </c>
      <c r="H430">
        <v>11900</v>
      </c>
      <c r="I430" s="6">
        <v>0.2</v>
      </c>
      <c r="J430">
        <v>9520</v>
      </c>
    </row>
    <row r="431" spans="1:10" x14ac:dyDescent="0.25">
      <c r="A431" t="s">
        <v>452</v>
      </c>
      <c r="B431" s="2">
        <v>44271</v>
      </c>
      <c r="C431" t="s">
        <v>12</v>
      </c>
      <c r="D431" t="s">
        <v>2029</v>
      </c>
      <c r="E431" t="s">
        <v>20</v>
      </c>
      <c r="F431" t="s">
        <v>23</v>
      </c>
      <c r="G431">
        <v>7</v>
      </c>
      <c r="H431">
        <v>7000</v>
      </c>
      <c r="I431" s="6">
        <v>0.25</v>
      </c>
      <c r="J431">
        <v>5250</v>
      </c>
    </row>
    <row r="432" spans="1:10" x14ac:dyDescent="0.25">
      <c r="A432" t="s">
        <v>453</v>
      </c>
      <c r="B432" s="2">
        <v>44272</v>
      </c>
      <c r="C432" t="s">
        <v>13</v>
      </c>
      <c r="D432" t="s">
        <v>16</v>
      </c>
      <c r="E432" t="s">
        <v>21</v>
      </c>
      <c r="F432" t="s">
        <v>24</v>
      </c>
      <c r="G432">
        <v>1</v>
      </c>
      <c r="H432">
        <v>13300</v>
      </c>
      <c r="I432" s="6">
        <v>0.05</v>
      </c>
      <c r="J432">
        <v>12635</v>
      </c>
    </row>
    <row r="433" spans="1:10" x14ac:dyDescent="0.25">
      <c r="A433" t="s">
        <v>454</v>
      </c>
      <c r="B433" s="2">
        <v>44273</v>
      </c>
      <c r="C433" t="s">
        <v>13</v>
      </c>
      <c r="D433" t="s">
        <v>2030</v>
      </c>
      <c r="E433" t="s">
        <v>22</v>
      </c>
      <c r="F433" t="s">
        <v>24</v>
      </c>
      <c r="G433">
        <v>8</v>
      </c>
      <c r="H433">
        <v>8800</v>
      </c>
      <c r="I433" s="6">
        <v>0.1</v>
      </c>
      <c r="J433">
        <v>7920</v>
      </c>
    </row>
    <row r="434" spans="1:10" x14ac:dyDescent="0.25">
      <c r="A434" t="s">
        <v>455</v>
      </c>
      <c r="B434" s="2">
        <v>44274</v>
      </c>
      <c r="C434" t="s">
        <v>13</v>
      </c>
      <c r="D434" t="s">
        <v>2031</v>
      </c>
      <c r="E434" t="s">
        <v>19</v>
      </c>
      <c r="F434" t="s">
        <v>24</v>
      </c>
      <c r="G434">
        <v>6</v>
      </c>
      <c r="H434">
        <v>5500</v>
      </c>
      <c r="I434" s="6">
        <v>0.15000000000000002</v>
      </c>
      <c r="J434">
        <v>4675</v>
      </c>
    </row>
    <row r="435" spans="1:10" x14ac:dyDescent="0.25">
      <c r="A435" t="s">
        <v>456</v>
      </c>
      <c r="B435" s="2">
        <v>44275</v>
      </c>
      <c r="C435" t="s">
        <v>13</v>
      </c>
      <c r="D435" t="s">
        <v>2032</v>
      </c>
      <c r="E435" t="s">
        <v>20</v>
      </c>
      <c r="F435" t="s">
        <v>24</v>
      </c>
      <c r="G435">
        <v>7</v>
      </c>
      <c r="H435">
        <v>9200</v>
      </c>
      <c r="I435" s="6">
        <v>0.2</v>
      </c>
      <c r="J435">
        <v>7360</v>
      </c>
    </row>
    <row r="436" spans="1:10" x14ac:dyDescent="0.25">
      <c r="A436" t="s">
        <v>457</v>
      </c>
      <c r="B436" s="2">
        <v>44276</v>
      </c>
      <c r="C436" t="s">
        <v>13</v>
      </c>
      <c r="D436" t="s">
        <v>2033</v>
      </c>
      <c r="E436" t="s">
        <v>21</v>
      </c>
      <c r="F436" t="s">
        <v>24</v>
      </c>
      <c r="G436">
        <v>3</v>
      </c>
      <c r="H436">
        <v>12100</v>
      </c>
      <c r="I436" s="6">
        <v>0.25</v>
      </c>
      <c r="J436">
        <v>9075</v>
      </c>
    </row>
    <row r="437" spans="1:10" x14ac:dyDescent="0.25">
      <c r="A437" t="s">
        <v>458</v>
      </c>
      <c r="B437" s="2">
        <v>44277</v>
      </c>
      <c r="C437" t="s">
        <v>13</v>
      </c>
      <c r="D437" t="s">
        <v>2034</v>
      </c>
      <c r="E437" t="s">
        <v>22</v>
      </c>
      <c r="F437" t="s">
        <v>24</v>
      </c>
      <c r="G437">
        <v>1</v>
      </c>
      <c r="H437">
        <v>11100</v>
      </c>
      <c r="I437" s="6">
        <v>0.05</v>
      </c>
      <c r="J437">
        <v>10545</v>
      </c>
    </row>
    <row r="438" spans="1:10" x14ac:dyDescent="0.25">
      <c r="A438" t="s">
        <v>459</v>
      </c>
      <c r="B438" s="2">
        <v>44278</v>
      </c>
      <c r="C438" t="s">
        <v>13</v>
      </c>
      <c r="D438" t="s">
        <v>2035</v>
      </c>
      <c r="E438" t="s">
        <v>19</v>
      </c>
      <c r="F438" t="s">
        <v>24</v>
      </c>
      <c r="G438">
        <v>5</v>
      </c>
      <c r="H438">
        <v>14800</v>
      </c>
      <c r="I438" s="6">
        <v>0.1</v>
      </c>
      <c r="J438">
        <v>13320</v>
      </c>
    </row>
    <row r="439" spans="1:10" x14ac:dyDescent="0.25">
      <c r="A439" t="s">
        <v>460</v>
      </c>
      <c r="B439" s="2">
        <v>44279</v>
      </c>
      <c r="C439" t="s">
        <v>13</v>
      </c>
      <c r="D439" t="s">
        <v>2036</v>
      </c>
      <c r="E439" t="s">
        <v>20</v>
      </c>
      <c r="F439" t="s">
        <v>24</v>
      </c>
      <c r="G439">
        <v>6</v>
      </c>
      <c r="H439">
        <v>12400</v>
      </c>
      <c r="I439" s="6">
        <v>0.15000000000000002</v>
      </c>
      <c r="J439">
        <v>10540</v>
      </c>
    </row>
    <row r="440" spans="1:10" x14ac:dyDescent="0.25">
      <c r="A440" t="s">
        <v>461</v>
      </c>
      <c r="B440" s="2">
        <v>44280</v>
      </c>
      <c r="C440" t="s">
        <v>13</v>
      </c>
      <c r="D440" t="s">
        <v>2037</v>
      </c>
      <c r="E440" t="s">
        <v>21</v>
      </c>
      <c r="F440" t="s">
        <v>24</v>
      </c>
      <c r="G440">
        <v>5</v>
      </c>
      <c r="H440">
        <v>9700</v>
      </c>
      <c r="I440" s="6">
        <v>0.2</v>
      </c>
      <c r="J440">
        <v>7760</v>
      </c>
    </row>
    <row r="441" spans="1:10" x14ac:dyDescent="0.25">
      <c r="A441" t="s">
        <v>462</v>
      </c>
      <c r="B441" s="2">
        <v>44281</v>
      </c>
      <c r="C441" t="s">
        <v>13</v>
      </c>
      <c r="D441" t="s">
        <v>2038</v>
      </c>
      <c r="E441" t="s">
        <v>22</v>
      </c>
      <c r="F441" t="s">
        <v>24</v>
      </c>
      <c r="G441">
        <v>2</v>
      </c>
      <c r="H441">
        <v>13900</v>
      </c>
      <c r="I441" s="6">
        <v>0.25</v>
      </c>
      <c r="J441">
        <v>10425</v>
      </c>
    </row>
    <row r="442" spans="1:10" x14ac:dyDescent="0.25">
      <c r="A442" t="s">
        <v>463</v>
      </c>
      <c r="B442" s="2">
        <v>44282</v>
      </c>
      <c r="C442" t="s">
        <v>14</v>
      </c>
      <c r="D442" t="s">
        <v>2039</v>
      </c>
      <c r="E442" t="s">
        <v>19</v>
      </c>
      <c r="F442" t="s">
        <v>25</v>
      </c>
      <c r="G442">
        <v>3</v>
      </c>
      <c r="H442">
        <v>13100</v>
      </c>
      <c r="I442" s="6">
        <v>0.05</v>
      </c>
      <c r="J442">
        <v>12445</v>
      </c>
    </row>
    <row r="443" spans="1:10" x14ac:dyDescent="0.25">
      <c r="A443" t="s">
        <v>464</v>
      </c>
      <c r="B443" s="2">
        <v>44283</v>
      </c>
      <c r="C443" t="s">
        <v>14</v>
      </c>
      <c r="D443" t="s">
        <v>2040</v>
      </c>
      <c r="E443" t="s">
        <v>20</v>
      </c>
      <c r="F443" t="s">
        <v>25</v>
      </c>
      <c r="G443">
        <v>6</v>
      </c>
      <c r="H443">
        <v>9800</v>
      </c>
      <c r="I443" s="6">
        <v>0.1</v>
      </c>
      <c r="J443">
        <v>8820</v>
      </c>
    </row>
    <row r="444" spans="1:10" x14ac:dyDescent="0.25">
      <c r="A444" t="s">
        <v>465</v>
      </c>
      <c r="B444" s="2">
        <v>44284</v>
      </c>
      <c r="C444" t="s">
        <v>14</v>
      </c>
      <c r="D444" t="s">
        <v>2041</v>
      </c>
      <c r="E444" t="s">
        <v>21</v>
      </c>
      <c r="F444" t="s">
        <v>25</v>
      </c>
      <c r="G444">
        <v>3</v>
      </c>
      <c r="H444">
        <v>5400</v>
      </c>
      <c r="I444" s="6">
        <v>0.15000000000000002</v>
      </c>
      <c r="J444">
        <v>4590</v>
      </c>
    </row>
    <row r="445" spans="1:10" x14ac:dyDescent="0.25">
      <c r="A445" t="s">
        <v>466</v>
      </c>
      <c r="B445" s="2">
        <v>44285</v>
      </c>
      <c r="C445" t="s">
        <v>14</v>
      </c>
      <c r="D445" t="s">
        <v>2042</v>
      </c>
      <c r="E445" t="s">
        <v>22</v>
      </c>
      <c r="F445" t="s">
        <v>25</v>
      </c>
      <c r="G445">
        <v>9</v>
      </c>
      <c r="H445">
        <v>4300</v>
      </c>
      <c r="I445" s="6">
        <v>0.2</v>
      </c>
      <c r="J445">
        <v>3440</v>
      </c>
    </row>
    <row r="446" spans="1:10" x14ac:dyDescent="0.25">
      <c r="A446" t="s">
        <v>467</v>
      </c>
      <c r="B446" s="2">
        <v>44286</v>
      </c>
      <c r="C446" t="s">
        <v>14</v>
      </c>
      <c r="D446" t="s">
        <v>2043</v>
      </c>
      <c r="E446" t="s">
        <v>19</v>
      </c>
      <c r="F446" t="s">
        <v>25</v>
      </c>
      <c r="G446">
        <v>7</v>
      </c>
      <c r="H446">
        <v>6700</v>
      </c>
      <c r="I446" s="6">
        <v>0.25</v>
      </c>
      <c r="J446">
        <v>5025</v>
      </c>
    </row>
    <row r="447" spans="1:10" x14ac:dyDescent="0.25">
      <c r="A447" t="s">
        <v>468</v>
      </c>
      <c r="B447" s="2">
        <v>44287</v>
      </c>
      <c r="C447" t="s">
        <v>14</v>
      </c>
      <c r="D447" t="s">
        <v>2044</v>
      </c>
      <c r="E447" t="s">
        <v>20</v>
      </c>
      <c r="F447" t="s">
        <v>25</v>
      </c>
      <c r="G447">
        <v>5</v>
      </c>
      <c r="H447">
        <v>6800</v>
      </c>
      <c r="I447" s="6">
        <v>0.05</v>
      </c>
      <c r="J447">
        <v>6460</v>
      </c>
    </row>
    <row r="448" spans="1:10" x14ac:dyDescent="0.25">
      <c r="A448" t="s">
        <v>469</v>
      </c>
      <c r="B448" s="2">
        <v>44288</v>
      </c>
      <c r="C448" t="s">
        <v>14</v>
      </c>
      <c r="D448" t="s">
        <v>2045</v>
      </c>
      <c r="E448" t="s">
        <v>21</v>
      </c>
      <c r="F448" t="s">
        <v>25</v>
      </c>
      <c r="G448">
        <v>7</v>
      </c>
      <c r="H448">
        <v>11700</v>
      </c>
      <c r="I448" s="6">
        <v>0.1</v>
      </c>
      <c r="J448">
        <v>10530</v>
      </c>
    </row>
    <row r="449" spans="1:10" x14ac:dyDescent="0.25">
      <c r="A449" t="s">
        <v>470</v>
      </c>
      <c r="B449" s="2">
        <v>44289</v>
      </c>
      <c r="C449" t="s">
        <v>14</v>
      </c>
      <c r="D449" t="s">
        <v>2046</v>
      </c>
      <c r="E449" t="s">
        <v>22</v>
      </c>
      <c r="F449" t="s">
        <v>25</v>
      </c>
      <c r="G449">
        <v>3</v>
      </c>
      <c r="H449">
        <v>12300</v>
      </c>
      <c r="I449" s="6">
        <v>0.15000000000000002</v>
      </c>
      <c r="J449">
        <v>10455</v>
      </c>
    </row>
    <row r="450" spans="1:10" x14ac:dyDescent="0.25">
      <c r="A450" t="s">
        <v>471</v>
      </c>
      <c r="B450" s="2">
        <v>44290</v>
      </c>
      <c r="C450" t="s">
        <v>14</v>
      </c>
      <c r="D450" t="s">
        <v>2047</v>
      </c>
      <c r="E450" t="s">
        <v>19</v>
      </c>
      <c r="F450" t="s">
        <v>25</v>
      </c>
      <c r="G450">
        <v>5</v>
      </c>
      <c r="H450">
        <v>5700</v>
      </c>
      <c r="I450" s="6">
        <v>0.2</v>
      </c>
      <c r="J450">
        <v>4560</v>
      </c>
    </row>
    <row r="451" spans="1:10" x14ac:dyDescent="0.25">
      <c r="A451" t="s">
        <v>472</v>
      </c>
      <c r="B451" s="2">
        <v>44291</v>
      </c>
      <c r="C451" t="s">
        <v>14</v>
      </c>
      <c r="D451" t="s">
        <v>2048</v>
      </c>
      <c r="E451" t="s">
        <v>20</v>
      </c>
      <c r="F451" t="s">
        <v>25</v>
      </c>
      <c r="G451">
        <v>5</v>
      </c>
      <c r="H451">
        <v>9700</v>
      </c>
      <c r="I451" s="6">
        <v>0.25</v>
      </c>
      <c r="J451">
        <v>7275</v>
      </c>
    </row>
    <row r="452" spans="1:10" x14ac:dyDescent="0.25">
      <c r="A452" t="s">
        <v>473</v>
      </c>
      <c r="B452" s="2">
        <v>44292</v>
      </c>
      <c r="C452" t="s">
        <v>12</v>
      </c>
      <c r="D452" t="s">
        <v>15</v>
      </c>
      <c r="E452" t="s">
        <v>21</v>
      </c>
      <c r="F452" t="s">
        <v>23</v>
      </c>
      <c r="G452">
        <v>9</v>
      </c>
      <c r="H452">
        <v>4400</v>
      </c>
      <c r="I452" s="6">
        <v>0.05</v>
      </c>
      <c r="J452">
        <v>4180</v>
      </c>
    </row>
    <row r="453" spans="1:10" x14ac:dyDescent="0.25">
      <c r="A453" t="s">
        <v>474</v>
      </c>
      <c r="B453" s="2">
        <v>44293</v>
      </c>
      <c r="C453" t="s">
        <v>12</v>
      </c>
      <c r="D453" t="s">
        <v>17</v>
      </c>
      <c r="E453" t="s">
        <v>22</v>
      </c>
      <c r="F453" t="s">
        <v>23</v>
      </c>
      <c r="G453">
        <v>7</v>
      </c>
      <c r="H453">
        <v>4200</v>
      </c>
      <c r="I453" s="6">
        <v>0.1</v>
      </c>
      <c r="J453">
        <v>3780</v>
      </c>
    </row>
    <row r="454" spans="1:10" x14ac:dyDescent="0.25">
      <c r="A454" t="s">
        <v>475</v>
      </c>
      <c r="B454" s="2">
        <v>44294</v>
      </c>
      <c r="C454" t="s">
        <v>12</v>
      </c>
      <c r="D454" t="s">
        <v>2023</v>
      </c>
      <c r="E454" t="s">
        <v>19</v>
      </c>
      <c r="F454" t="s">
        <v>23</v>
      </c>
      <c r="G454">
        <v>5</v>
      </c>
      <c r="H454">
        <v>14200</v>
      </c>
      <c r="I454" s="6">
        <v>0.15000000000000002</v>
      </c>
      <c r="J454">
        <v>12070</v>
      </c>
    </row>
    <row r="455" spans="1:10" x14ac:dyDescent="0.25">
      <c r="A455" t="s">
        <v>476</v>
      </c>
      <c r="B455" s="2">
        <v>44295</v>
      </c>
      <c r="C455" t="s">
        <v>12</v>
      </c>
      <c r="D455" t="s">
        <v>18</v>
      </c>
      <c r="E455" t="s">
        <v>20</v>
      </c>
      <c r="F455" t="s">
        <v>23</v>
      </c>
      <c r="G455">
        <v>2</v>
      </c>
      <c r="H455">
        <v>8600</v>
      </c>
      <c r="I455" s="6">
        <v>0.2</v>
      </c>
      <c r="J455">
        <v>6880</v>
      </c>
    </row>
    <row r="456" spans="1:10" x14ac:dyDescent="0.25">
      <c r="A456" t="s">
        <v>477</v>
      </c>
      <c r="B456" s="2">
        <v>44296</v>
      </c>
      <c r="C456" t="s">
        <v>12</v>
      </c>
      <c r="D456" t="s">
        <v>2024</v>
      </c>
      <c r="E456" t="s">
        <v>21</v>
      </c>
      <c r="F456" t="s">
        <v>23</v>
      </c>
      <c r="G456">
        <v>10</v>
      </c>
      <c r="H456">
        <v>7300</v>
      </c>
      <c r="I456" s="6">
        <v>0.25</v>
      </c>
      <c r="J456">
        <v>5475</v>
      </c>
    </row>
    <row r="457" spans="1:10" x14ac:dyDescent="0.25">
      <c r="A457" t="s">
        <v>478</v>
      </c>
      <c r="B457" s="2">
        <v>44297</v>
      </c>
      <c r="C457" t="s">
        <v>12</v>
      </c>
      <c r="D457" t="s">
        <v>2025</v>
      </c>
      <c r="E457" t="s">
        <v>22</v>
      </c>
      <c r="F457" t="s">
        <v>23</v>
      </c>
      <c r="G457">
        <v>4</v>
      </c>
      <c r="H457">
        <v>9800</v>
      </c>
      <c r="I457" s="6">
        <v>0.05</v>
      </c>
      <c r="J457">
        <v>9310</v>
      </c>
    </row>
    <row r="458" spans="1:10" x14ac:dyDescent="0.25">
      <c r="A458" t="s">
        <v>479</v>
      </c>
      <c r="B458" s="2">
        <v>44298</v>
      </c>
      <c r="C458" t="s">
        <v>12</v>
      </c>
      <c r="D458" t="s">
        <v>2026</v>
      </c>
      <c r="E458" t="s">
        <v>19</v>
      </c>
      <c r="F458" t="s">
        <v>23</v>
      </c>
      <c r="G458">
        <v>1</v>
      </c>
      <c r="H458">
        <v>6900</v>
      </c>
      <c r="I458" s="6">
        <v>0.1</v>
      </c>
      <c r="J458">
        <v>6210</v>
      </c>
    </row>
    <row r="459" spans="1:10" x14ac:dyDescent="0.25">
      <c r="A459" t="s">
        <v>480</v>
      </c>
      <c r="B459" s="2">
        <v>44299</v>
      </c>
      <c r="C459" t="s">
        <v>12</v>
      </c>
      <c r="D459" t="s">
        <v>2027</v>
      </c>
      <c r="E459" t="s">
        <v>20</v>
      </c>
      <c r="F459" t="s">
        <v>23</v>
      </c>
      <c r="G459">
        <v>10</v>
      </c>
      <c r="H459">
        <v>11100</v>
      </c>
      <c r="I459" s="6">
        <v>0.15000000000000002</v>
      </c>
      <c r="J459">
        <v>9435</v>
      </c>
    </row>
    <row r="460" spans="1:10" x14ac:dyDescent="0.25">
      <c r="A460" t="s">
        <v>481</v>
      </c>
      <c r="B460" s="2">
        <v>44300</v>
      </c>
      <c r="C460" t="s">
        <v>12</v>
      </c>
      <c r="D460" t="s">
        <v>2028</v>
      </c>
      <c r="E460" t="s">
        <v>21</v>
      </c>
      <c r="F460" t="s">
        <v>23</v>
      </c>
      <c r="G460">
        <v>2</v>
      </c>
      <c r="H460">
        <v>11700</v>
      </c>
      <c r="I460" s="6">
        <v>0.2</v>
      </c>
      <c r="J460">
        <v>9360</v>
      </c>
    </row>
    <row r="461" spans="1:10" x14ac:dyDescent="0.25">
      <c r="A461" t="s">
        <v>482</v>
      </c>
      <c r="B461" s="2">
        <v>44301</v>
      </c>
      <c r="C461" t="s">
        <v>12</v>
      </c>
      <c r="D461" t="s">
        <v>2029</v>
      </c>
      <c r="E461" t="s">
        <v>22</v>
      </c>
      <c r="F461" t="s">
        <v>23</v>
      </c>
      <c r="G461">
        <v>7</v>
      </c>
      <c r="H461">
        <v>14100</v>
      </c>
      <c r="I461" s="6">
        <v>0.25</v>
      </c>
      <c r="J461">
        <v>10575</v>
      </c>
    </row>
    <row r="462" spans="1:10" x14ac:dyDescent="0.25">
      <c r="A462" t="s">
        <v>483</v>
      </c>
      <c r="B462" s="2">
        <v>44302</v>
      </c>
      <c r="C462" t="s">
        <v>13</v>
      </c>
      <c r="D462" t="s">
        <v>16</v>
      </c>
      <c r="E462" t="s">
        <v>19</v>
      </c>
      <c r="F462" t="s">
        <v>24</v>
      </c>
      <c r="G462">
        <v>10</v>
      </c>
      <c r="H462">
        <v>11100</v>
      </c>
      <c r="I462" s="6">
        <v>0.05</v>
      </c>
      <c r="J462">
        <v>10545</v>
      </c>
    </row>
    <row r="463" spans="1:10" x14ac:dyDescent="0.25">
      <c r="A463" t="s">
        <v>484</v>
      </c>
      <c r="B463" s="2">
        <v>44303</v>
      </c>
      <c r="C463" t="s">
        <v>13</v>
      </c>
      <c r="D463" t="s">
        <v>2030</v>
      </c>
      <c r="E463" t="s">
        <v>20</v>
      </c>
      <c r="F463" t="s">
        <v>24</v>
      </c>
      <c r="G463">
        <v>3</v>
      </c>
      <c r="H463">
        <v>8700</v>
      </c>
      <c r="I463" s="6">
        <v>0.1</v>
      </c>
      <c r="J463">
        <v>7830</v>
      </c>
    </row>
    <row r="464" spans="1:10" x14ac:dyDescent="0.25">
      <c r="A464" t="s">
        <v>485</v>
      </c>
      <c r="B464" s="2">
        <v>44304</v>
      </c>
      <c r="C464" t="s">
        <v>13</v>
      </c>
      <c r="D464" t="s">
        <v>2031</v>
      </c>
      <c r="E464" t="s">
        <v>21</v>
      </c>
      <c r="F464" t="s">
        <v>24</v>
      </c>
      <c r="G464">
        <v>2</v>
      </c>
      <c r="H464">
        <v>8900</v>
      </c>
      <c r="I464" s="6">
        <v>0.15000000000000002</v>
      </c>
      <c r="J464">
        <v>7565</v>
      </c>
    </row>
    <row r="465" spans="1:10" x14ac:dyDescent="0.25">
      <c r="A465" t="s">
        <v>486</v>
      </c>
      <c r="B465" s="2">
        <v>44305</v>
      </c>
      <c r="C465" t="s">
        <v>13</v>
      </c>
      <c r="D465" t="s">
        <v>2032</v>
      </c>
      <c r="E465" t="s">
        <v>22</v>
      </c>
      <c r="F465" t="s">
        <v>24</v>
      </c>
      <c r="G465">
        <v>3</v>
      </c>
      <c r="H465">
        <v>5300</v>
      </c>
      <c r="I465" s="6">
        <v>0.2</v>
      </c>
      <c r="J465">
        <v>4240</v>
      </c>
    </row>
    <row r="466" spans="1:10" x14ac:dyDescent="0.25">
      <c r="A466" t="s">
        <v>487</v>
      </c>
      <c r="B466" s="2">
        <v>44306</v>
      </c>
      <c r="C466" t="s">
        <v>13</v>
      </c>
      <c r="D466" t="s">
        <v>2033</v>
      </c>
      <c r="E466" t="s">
        <v>19</v>
      </c>
      <c r="F466" t="s">
        <v>24</v>
      </c>
      <c r="G466">
        <v>4</v>
      </c>
      <c r="H466">
        <v>7300</v>
      </c>
      <c r="I466" s="6">
        <v>0.25</v>
      </c>
      <c r="J466">
        <v>5475</v>
      </c>
    </row>
    <row r="467" spans="1:10" x14ac:dyDescent="0.25">
      <c r="A467" t="s">
        <v>488</v>
      </c>
      <c r="B467" s="2">
        <v>44307</v>
      </c>
      <c r="C467" t="s">
        <v>13</v>
      </c>
      <c r="D467" t="s">
        <v>2034</v>
      </c>
      <c r="E467" t="s">
        <v>20</v>
      </c>
      <c r="F467" t="s">
        <v>24</v>
      </c>
      <c r="G467">
        <v>4</v>
      </c>
      <c r="H467">
        <v>11300</v>
      </c>
      <c r="I467" s="6">
        <v>0.05</v>
      </c>
      <c r="J467">
        <v>10735</v>
      </c>
    </row>
    <row r="468" spans="1:10" x14ac:dyDescent="0.25">
      <c r="A468" t="s">
        <v>489</v>
      </c>
      <c r="B468" s="2">
        <v>44308</v>
      </c>
      <c r="C468" t="s">
        <v>13</v>
      </c>
      <c r="D468" t="s">
        <v>2035</v>
      </c>
      <c r="E468" t="s">
        <v>21</v>
      </c>
      <c r="F468" t="s">
        <v>24</v>
      </c>
      <c r="G468">
        <v>7</v>
      </c>
      <c r="H468">
        <v>6900</v>
      </c>
      <c r="I468" s="6">
        <v>0.1</v>
      </c>
      <c r="J468">
        <v>6210</v>
      </c>
    </row>
    <row r="469" spans="1:10" x14ac:dyDescent="0.25">
      <c r="A469" t="s">
        <v>490</v>
      </c>
      <c r="B469" s="2">
        <v>44309</v>
      </c>
      <c r="C469" t="s">
        <v>13</v>
      </c>
      <c r="D469" t="s">
        <v>2036</v>
      </c>
      <c r="E469" t="s">
        <v>22</v>
      </c>
      <c r="F469" t="s">
        <v>24</v>
      </c>
      <c r="G469">
        <v>3</v>
      </c>
      <c r="H469">
        <v>4600</v>
      </c>
      <c r="I469" s="6">
        <v>0.15000000000000002</v>
      </c>
      <c r="J469">
        <v>3910</v>
      </c>
    </row>
    <row r="470" spans="1:10" x14ac:dyDescent="0.25">
      <c r="A470" t="s">
        <v>491</v>
      </c>
      <c r="B470" s="2">
        <v>44310</v>
      </c>
      <c r="C470" t="s">
        <v>13</v>
      </c>
      <c r="D470" t="s">
        <v>2037</v>
      </c>
      <c r="E470" t="s">
        <v>19</v>
      </c>
      <c r="F470" t="s">
        <v>24</v>
      </c>
      <c r="G470">
        <v>9</v>
      </c>
      <c r="H470">
        <v>4600</v>
      </c>
      <c r="I470" s="6">
        <v>0.2</v>
      </c>
      <c r="J470">
        <v>3680</v>
      </c>
    </row>
    <row r="471" spans="1:10" x14ac:dyDescent="0.25">
      <c r="A471" t="s">
        <v>492</v>
      </c>
      <c r="B471" s="2">
        <v>44311</v>
      </c>
      <c r="C471" t="s">
        <v>13</v>
      </c>
      <c r="D471" t="s">
        <v>2038</v>
      </c>
      <c r="E471" t="s">
        <v>20</v>
      </c>
      <c r="F471" t="s">
        <v>24</v>
      </c>
      <c r="G471">
        <v>9</v>
      </c>
      <c r="H471">
        <v>12500</v>
      </c>
      <c r="I471" s="6">
        <v>0.25</v>
      </c>
      <c r="J471">
        <v>9375</v>
      </c>
    </row>
    <row r="472" spans="1:10" x14ac:dyDescent="0.25">
      <c r="A472" t="s">
        <v>493</v>
      </c>
      <c r="B472" s="2">
        <v>44312</v>
      </c>
      <c r="C472" t="s">
        <v>14</v>
      </c>
      <c r="D472" t="s">
        <v>2039</v>
      </c>
      <c r="E472" t="s">
        <v>21</v>
      </c>
      <c r="F472" t="s">
        <v>25</v>
      </c>
      <c r="G472">
        <v>3</v>
      </c>
      <c r="H472">
        <v>12700</v>
      </c>
      <c r="I472" s="6">
        <v>0.05</v>
      </c>
      <c r="J472">
        <v>12065</v>
      </c>
    </row>
    <row r="473" spans="1:10" x14ac:dyDescent="0.25">
      <c r="A473" t="s">
        <v>494</v>
      </c>
      <c r="B473" s="2">
        <v>44313</v>
      </c>
      <c r="C473" t="s">
        <v>14</v>
      </c>
      <c r="D473" t="s">
        <v>2040</v>
      </c>
      <c r="E473" t="s">
        <v>22</v>
      </c>
      <c r="F473" t="s">
        <v>25</v>
      </c>
      <c r="G473">
        <v>9</v>
      </c>
      <c r="H473">
        <v>4000</v>
      </c>
      <c r="I473" s="6">
        <v>0.1</v>
      </c>
      <c r="J473">
        <v>3600</v>
      </c>
    </row>
    <row r="474" spans="1:10" x14ac:dyDescent="0.25">
      <c r="A474" t="s">
        <v>495</v>
      </c>
      <c r="B474" s="2">
        <v>44314</v>
      </c>
      <c r="C474" t="s">
        <v>14</v>
      </c>
      <c r="D474" t="s">
        <v>2041</v>
      </c>
      <c r="E474" t="s">
        <v>19</v>
      </c>
      <c r="F474" t="s">
        <v>25</v>
      </c>
      <c r="G474">
        <v>9</v>
      </c>
      <c r="H474">
        <v>12700</v>
      </c>
      <c r="I474" s="6">
        <v>0.15000000000000002</v>
      </c>
      <c r="J474">
        <v>10795</v>
      </c>
    </row>
    <row r="475" spans="1:10" x14ac:dyDescent="0.25">
      <c r="A475" t="s">
        <v>496</v>
      </c>
      <c r="B475" s="2">
        <v>44315</v>
      </c>
      <c r="C475" t="s">
        <v>14</v>
      </c>
      <c r="D475" t="s">
        <v>2042</v>
      </c>
      <c r="E475" t="s">
        <v>20</v>
      </c>
      <c r="F475" t="s">
        <v>25</v>
      </c>
      <c r="G475">
        <v>3</v>
      </c>
      <c r="H475">
        <v>6900</v>
      </c>
      <c r="I475" s="6">
        <v>0.2</v>
      </c>
      <c r="J475">
        <v>5520</v>
      </c>
    </row>
    <row r="476" spans="1:10" x14ac:dyDescent="0.25">
      <c r="A476" t="s">
        <v>497</v>
      </c>
      <c r="B476" s="2">
        <v>44316</v>
      </c>
      <c r="C476" t="s">
        <v>14</v>
      </c>
      <c r="D476" t="s">
        <v>2043</v>
      </c>
      <c r="E476" t="s">
        <v>21</v>
      </c>
      <c r="F476" t="s">
        <v>25</v>
      </c>
      <c r="G476">
        <v>4</v>
      </c>
      <c r="H476">
        <v>4000</v>
      </c>
      <c r="I476" s="6">
        <v>0.25</v>
      </c>
      <c r="J476">
        <v>3000</v>
      </c>
    </row>
    <row r="477" spans="1:10" x14ac:dyDescent="0.25">
      <c r="A477" t="s">
        <v>498</v>
      </c>
      <c r="B477" s="2">
        <v>44317</v>
      </c>
      <c r="C477" t="s">
        <v>14</v>
      </c>
      <c r="D477" t="s">
        <v>2044</v>
      </c>
      <c r="E477" t="s">
        <v>22</v>
      </c>
      <c r="F477" t="s">
        <v>25</v>
      </c>
      <c r="G477">
        <v>2</v>
      </c>
      <c r="H477">
        <v>12900</v>
      </c>
      <c r="I477" s="6">
        <v>0.05</v>
      </c>
      <c r="J477">
        <v>12255</v>
      </c>
    </row>
    <row r="478" spans="1:10" x14ac:dyDescent="0.25">
      <c r="A478" t="s">
        <v>499</v>
      </c>
      <c r="B478" s="2">
        <v>44318</v>
      </c>
      <c r="C478" t="s">
        <v>14</v>
      </c>
      <c r="D478" t="s">
        <v>2045</v>
      </c>
      <c r="E478" t="s">
        <v>19</v>
      </c>
      <c r="F478" t="s">
        <v>25</v>
      </c>
      <c r="G478">
        <v>6</v>
      </c>
      <c r="H478">
        <v>9200</v>
      </c>
      <c r="I478" s="6">
        <v>0.1</v>
      </c>
      <c r="J478">
        <v>8280</v>
      </c>
    </row>
    <row r="479" spans="1:10" x14ac:dyDescent="0.25">
      <c r="A479" t="s">
        <v>500</v>
      </c>
      <c r="B479" s="2">
        <v>44319</v>
      </c>
      <c r="C479" t="s">
        <v>14</v>
      </c>
      <c r="D479" t="s">
        <v>2046</v>
      </c>
      <c r="E479" t="s">
        <v>20</v>
      </c>
      <c r="F479" t="s">
        <v>25</v>
      </c>
      <c r="G479">
        <v>5</v>
      </c>
      <c r="H479">
        <v>12300</v>
      </c>
      <c r="I479" s="6">
        <v>0.15000000000000002</v>
      </c>
      <c r="J479">
        <v>10455</v>
      </c>
    </row>
    <row r="480" spans="1:10" x14ac:dyDescent="0.25">
      <c r="A480" t="s">
        <v>501</v>
      </c>
      <c r="B480" s="2">
        <v>44320</v>
      </c>
      <c r="C480" t="s">
        <v>14</v>
      </c>
      <c r="D480" t="s">
        <v>2047</v>
      </c>
      <c r="E480" t="s">
        <v>21</v>
      </c>
      <c r="F480" t="s">
        <v>25</v>
      </c>
      <c r="G480">
        <v>9</v>
      </c>
      <c r="H480">
        <v>4100</v>
      </c>
      <c r="I480" s="6">
        <v>0.2</v>
      </c>
      <c r="J480">
        <v>3280</v>
      </c>
    </row>
    <row r="481" spans="1:10" x14ac:dyDescent="0.25">
      <c r="A481" t="s">
        <v>502</v>
      </c>
      <c r="B481" s="2">
        <v>44321</v>
      </c>
      <c r="C481" t="s">
        <v>14</v>
      </c>
      <c r="D481" t="s">
        <v>2048</v>
      </c>
      <c r="E481" t="s">
        <v>22</v>
      </c>
      <c r="F481" t="s">
        <v>25</v>
      </c>
      <c r="G481">
        <v>3</v>
      </c>
      <c r="H481">
        <v>10600</v>
      </c>
      <c r="I481" s="6">
        <v>0.25</v>
      </c>
      <c r="J481">
        <v>7950</v>
      </c>
    </row>
    <row r="482" spans="1:10" x14ac:dyDescent="0.25">
      <c r="A482" t="s">
        <v>503</v>
      </c>
      <c r="B482" s="2">
        <v>44322</v>
      </c>
      <c r="C482" t="s">
        <v>12</v>
      </c>
      <c r="D482" t="s">
        <v>15</v>
      </c>
      <c r="E482" t="s">
        <v>19</v>
      </c>
      <c r="F482" t="s">
        <v>23</v>
      </c>
      <c r="G482">
        <v>7</v>
      </c>
      <c r="H482">
        <v>9600</v>
      </c>
      <c r="I482" s="6">
        <v>0.05</v>
      </c>
      <c r="J482">
        <v>9120</v>
      </c>
    </row>
    <row r="483" spans="1:10" x14ac:dyDescent="0.25">
      <c r="A483" t="s">
        <v>504</v>
      </c>
      <c r="B483" s="2">
        <v>44323</v>
      </c>
      <c r="C483" t="s">
        <v>12</v>
      </c>
      <c r="D483" t="s">
        <v>17</v>
      </c>
      <c r="E483" t="s">
        <v>20</v>
      </c>
      <c r="F483" t="s">
        <v>23</v>
      </c>
      <c r="G483">
        <v>2</v>
      </c>
      <c r="H483">
        <v>13100</v>
      </c>
      <c r="I483" s="6">
        <v>0.1</v>
      </c>
      <c r="J483">
        <v>11790</v>
      </c>
    </row>
    <row r="484" spans="1:10" x14ac:dyDescent="0.25">
      <c r="A484" t="s">
        <v>505</v>
      </c>
      <c r="B484" s="2">
        <v>44324</v>
      </c>
      <c r="C484" t="s">
        <v>12</v>
      </c>
      <c r="D484" t="s">
        <v>2023</v>
      </c>
      <c r="E484" t="s">
        <v>21</v>
      </c>
      <c r="F484" t="s">
        <v>23</v>
      </c>
      <c r="G484">
        <v>9</v>
      </c>
      <c r="H484">
        <v>12500</v>
      </c>
      <c r="I484" s="6">
        <v>0.15000000000000002</v>
      </c>
      <c r="J484">
        <v>10625</v>
      </c>
    </row>
    <row r="485" spans="1:10" x14ac:dyDescent="0.25">
      <c r="A485" t="s">
        <v>506</v>
      </c>
      <c r="B485" s="2">
        <v>44325</v>
      </c>
      <c r="C485" t="s">
        <v>12</v>
      </c>
      <c r="D485" t="s">
        <v>18</v>
      </c>
      <c r="E485" t="s">
        <v>22</v>
      </c>
      <c r="F485" t="s">
        <v>23</v>
      </c>
      <c r="G485">
        <v>7</v>
      </c>
      <c r="H485">
        <v>9300</v>
      </c>
      <c r="I485" s="6">
        <v>0.2</v>
      </c>
      <c r="J485">
        <v>7440</v>
      </c>
    </row>
    <row r="486" spans="1:10" x14ac:dyDescent="0.25">
      <c r="A486" t="s">
        <v>507</v>
      </c>
      <c r="B486" s="2">
        <v>44326</v>
      </c>
      <c r="C486" t="s">
        <v>12</v>
      </c>
      <c r="D486" t="s">
        <v>2024</v>
      </c>
      <c r="E486" t="s">
        <v>19</v>
      </c>
      <c r="F486" t="s">
        <v>23</v>
      </c>
      <c r="G486">
        <v>9</v>
      </c>
      <c r="H486">
        <v>11100</v>
      </c>
      <c r="I486" s="6">
        <v>0.25</v>
      </c>
      <c r="J486">
        <v>8325</v>
      </c>
    </row>
    <row r="487" spans="1:10" x14ac:dyDescent="0.25">
      <c r="A487" t="s">
        <v>508</v>
      </c>
      <c r="B487" s="2">
        <v>44327</v>
      </c>
      <c r="C487" t="s">
        <v>12</v>
      </c>
      <c r="D487" t="s">
        <v>2025</v>
      </c>
      <c r="E487" t="s">
        <v>20</v>
      </c>
      <c r="F487" t="s">
        <v>23</v>
      </c>
      <c r="G487">
        <v>9</v>
      </c>
      <c r="H487">
        <v>10600</v>
      </c>
      <c r="I487" s="6">
        <v>0.05</v>
      </c>
      <c r="J487">
        <v>10070</v>
      </c>
    </row>
    <row r="488" spans="1:10" x14ac:dyDescent="0.25">
      <c r="A488" t="s">
        <v>509</v>
      </c>
      <c r="B488" s="2">
        <v>44328</v>
      </c>
      <c r="C488" t="s">
        <v>12</v>
      </c>
      <c r="D488" t="s">
        <v>2026</v>
      </c>
      <c r="E488" t="s">
        <v>21</v>
      </c>
      <c r="F488" t="s">
        <v>23</v>
      </c>
      <c r="G488">
        <v>10</v>
      </c>
      <c r="H488">
        <v>10600</v>
      </c>
      <c r="I488" s="6">
        <v>0.1</v>
      </c>
      <c r="J488">
        <v>9540</v>
      </c>
    </row>
    <row r="489" spans="1:10" x14ac:dyDescent="0.25">
      <c r="A489" t="s">
        <v>510</v>
      </c>
      <c r="B489" s="2">
        <v>44329</v>
      </c>
      <c r="C489" t="s">
        <v>12</v>
      </c>
      <c r="D489" t="s">
        <v>2027</v>
      </c>
      <c r="E489" t="s">
        <v>22</v>
      </c>
      <c r="F489" t="s">
        <v>23</v>
      </c>
      <c r="G489">
        <v>7</v>
      </c>
      <c r="H489">
        <v>11800</v>
      </c>
      <c r="I489" s="6">
        <v>0.15000000000000002</v>
      </c>
      <c r="J489">
        <v>10030</v>
      </c>
    </row>
    <row r="490" spans="1:10" x14ac:dyDescent="0.25">
      <c r="A490" t="s">
        <v>511</v>
      </c>
      <c r="B490" s="2">
        <v>44330</v>
      </c>
      <c r="C490" t="s">
        <v>12</v>
      </c>
      <c r="D490" t="s">
        <v>2028</v>
      </c>
      <c r="E490" t="s">
        <v>19</v>
      </c>
      <c r="F490" t="s">
        <v>23</v>
      </c>
      <c r="G490">
        <v>4</v>
      </c>
      <c r="H490">
        <v>5100</v>
      </c>
      <c r="I490" s="6">
        <v>0.2</v>
      </c>
      <c r="J490">
        <v>4080</v>
      </c>
    </row>
    <row r="491" spans="1:10" x14ac:dyDescent="0.25">
      <c r="A491" t="s">
        <v>512</v>
      </c>
      <c r="B491" s="2">
        <v>44331</v>
      </c>
      <c r="C491" t="s">
        <v>12</v>
      </c>
      <c r="D491" t="s">
        <v>2029</v>
      </c>
      <c r="E491" t="s">
        <v>20</v>
      </c>
      <c r="F491" t="s">
        <v>23</v>
      </c>
      <c r="G491">
        <v>7</v>
      </c>
      <c r="H491">
        <v>11300</v>
      </c>
      <c r="I491" s="6">
        <v>0.25</v>
      </c>
      <c r="J491">
        <v>8475</v>
      </c>
    </row>
    <row r="492" spans="1:10" x14ac:dyDescent="0.25">
      <c r="A492" t="s">
        <v>513</v>
      </c>
      <c r="B492" s="2">
        <v>44332</v>
      </c>
      <c r="C492" t="s">
        <v>13</v>
      </c>
      <c r="D492" t="s">
        <v>16</v>
      </c>
      <c r="E492" t="s">
        <v>21</v>
      </c>
      <c r="F492" t="s">
        <v>24</v>
      </c>
      <c r="G492">
        <v>10</v>
      </c>
      <c r="H492">
        <v>13500</v>
      </c>
      <c r="I492" s="6">
        <v>0.05</v>
      </c>
      <c r="J492">
        <v>12825</v>
      </c>
    </row>
    <row r="493" spans="1:10" x14ac:dyDescent="0.25">
      <c r="A493" t="s">
        <v>514</v>
      </c>
      <c r="B493" s="2">
        <v>44333</v>
      </c>
      <c r="C493" t="s">
        <v>13</v>
      </c>
      <c r="D493" t="s">
        <v>2030</v>
      </c>
      <c r="E493" t="s">
        <v>22</v>
      </c>
      <c r="F493" t="s">
        <v>24</v>
      </c>
      <c r="G493">
        <v>10</v>
      </c>
      <c r="H493">
        <v>12600</v>
      </c>
      <c r="I493" s="6">
        <v>0.1</v>
      </c>
      <c r="J493">
        <v>11340</v>
      </c>
    </row>
    <row r="494" spans="1:10" x14ac:dyDescent="0.25">
      <c r="A494" t="s">
        <v>515</v>
      </c>
      <c r="B494" s="2">
        <v>44334</v>
      </c>
      <c r="C494" t="s">
        <v>13</v>
      </c>
      <c r="D494" t="s">
        <v>2031</v>
      </c>
      <c r="E494" t="s">
        <v>19</v>
      </c>
      <c r="F494" t="s">
        <v>24</v>
      </c>
      <c r="G494">
        <v>7</v>
      </c>
      <c r="H494">
        <v>9100</v>
      </c>
      <c r="I494" s="6">
        <v>0.15000000000000002</v>
      </c>
      <c r="J494">
        <v>7735</v>
      </c>
    </row>
    <row r="495" spans="1:10" x14ac:dyDescent="0.25">
      <c r="A495" t="s">
        <v>516</v>
      </c>
      <c r="B495" s="2">
        <v>44335</v>
      </c>
      <c r="C495" t="s">
        <v>13</v>
      </c>
      <c r="D495" t="s">
        <v>2032</v>
      </c>
      <c r="E495" t="s">
        <v>20</v>
      </c>
      <c r="F495" t="s">
        <v>24</v>
      </c>
      <c r="G495">
        <v>10</v>
      </c>
      <c r="H495">
        <v>4500</v>
      </c>
      <c r="I495" s="6">
        <v>0.2</v>
      </c>
      <c r="J495">
        <v>3600</v>
      </c>
    </row>
    <row r="496" spans="1:10" x14ac:dyDescent="0.25">
      <c r="A496" t="s">
        <v>517</v>
      </c>
      <c r="B496" s="2">
        <v>44336</v>
      </c>
      <c r="C496" t="s">
        <v>13</v>
      </c>
      <c r="D496" t="s">
        <v>2033</v>
      </c>
      <c r="E496" t="s">
        <v>21</v>
      </c>
      <c r="F496" t="s">
        <v>24</v>
      </c>
      <c r="G496">
        <v>9</v>
      </c>
      <c r="H496">
        <v>13900</v>
      </c>
      <c r="I496" s="6">
        <v>0.25</v>
      </c>
      <c r="J496">
        <v>10425</v>
      </c>
    </row>
    <row r="497" spans="1:10" x14ac:dyDescent="0.25">
      <c r="A497" t="s">
        <v>518</v>
      </c>
      <c r="B497" s="2">
        <v>44337</v>
      </c>
      <c r="C497" t="s">
        <v>13</v>
      </c>
      <c r="D497" t="s">
        <v>2034</v>
      </c>
      <c r="E497" t="s">
        <v>22</v>
      </c>
      <c r="F497" t="s">
        <v>24</v>
      </c>
      <c r="G497">
        <v>8</v>
      </c>
      <c r="H497">
        <v>10700</v>
      </c>
      <c r="I497" s="6">
        <v>0.05</v>
      </c>
      <c r="J497">
        <v>10165</v>
      </c>
    </row>
    <row r="498" spans="1:10" x14ac:dyDescent="0.25">
      <c r="A498" t="s">
        <v>519</v>
      </c>
      <c r="B498" s="2">
        <v>44338</v>
      </c>
      <c r="C498" t="s">
        <v>13</v>
      </c>
      <c r="D498" t="s">
        <v>2035</v>
      </c>
      <c r="E498" t="s">
        <v>19</v>
      </c>
      <c r="F498" t="s">
        <v>24</v>
      </c>
      <c r="G498">
        <v>9</v>
      </c>
      <c r="H498">
        <v>4000</v>
      </c>
      <c r="I498" s="6">
        <v>0.1</v>
      </c>
      <c r="J498">
        <v>3600</v>
      </c>
    </row>
    <row r="499" spans="1:10" x14ac:dyDescent="0.25">
      <c r="A499" t="s">
        <v>520</v>
      </c>
      <c r="B499" s="2">
        <v>44339</v>
      </c>
      <c r="C499" t="s">
        <v>13</v>
      </c>
      <c r="D499" t="s">
        <v>2036</v>
      </c>
      <c r="E499" t="s">
        <v>20</v>
      </c>
      <c r="F499" t="s">
        <v>24</v>
      </c>
      <c r="G499">
        <v>8</v>
      </c>
      <c r="H499">
        <v>9900</v>
      </c>
      <c r="I499" s="6">
        <v>0.15000000000000002</v>
      </c>
      <c r="J499">
        <v>8415</v>
      </c>
    </row>
    <row r="500" spans="1:10" x14ac:dyDescent="0.25">
      <c r="A500" t="s">
        <v>521</v>
      </c>
      <c r="B500" s="2">
        <v>44340</v>
      </c>
      <c r="C500" t="s">
        <v>13</v>
      </c>
      <c r="D500" t="s">
        <v>2037</v>
      </c>
      <c r="E500" t="s">
        <v>21</v>
      </c>
      <c r="F500" t="s">
        <v>24</v>
      </c>
      <c r="G500">
        <v>9</v>
      </c>
      <c r="H500">
        <v>14900</v>
      </c>
      <c r="I500" s="6">
        <v>0.2</v>
      </c>
      <c r="J500">
        <v>11920</v>
      </c>
    </row>
    <row r="501" spans="1:10" x14ac:dyDescent="0.25">
      <c r="A501" t="s">
        <v>522</v>
      </c>
      <c r="B501" s="2">
        <v>44341</v>
      </c>
      <c r="C501" t="s">
        <v>13</v>
      </c>
      <c r="D501" t="s">
        <v>2038</v>
      </c>
      <c r="E501" t="s">
        <v>22</v>
      </c>
      <c r="F501" t="s">
        <v>24</v>
      </c>
      <c r="G501">
        <v>5</v>
      </c>
      <c r="H501">
        <v>5000</v>
      </c>
      <c r="I501" s="6">
        <v>0.25</v>
      </c>
      <c r="J501">
        <v>3750</v>
      </c>
    </row>
    <row r="502" spans="1:10" x14ac:dyDescent="0.25">
      <c r="A502" t="s">
        <v>523</v>
      </c>
      <c r="B502" s="2">
        <v>44342</v>
      </c>
      <c r="C502" t="s">
        <v>14</v>
      </c>
      <c r="D502" t="s">
        <v>2039</v>
      </c>
      <c r="E502" t="s">
        <v>19</v>
      </c>
      <c r="F502" t="s">
        <v>25</v>
      </c>
      <c r="G502">
        <v>5</v>
      </c>
      <c r="H502">
        <v>14900</v>
      </c>
      <c r="I502" s="6">
        <v>0.05</v>
      </c>
      <c r="J502">
        <v>14155</v>
      </c>
    </row>
    <row r="503" spans="1:10" x14ac:dyDescent="0.25">
      <c r="A503" t="s">
        <v>524</v>
      </c>
      <c r="B503" s="2">
        <v>44343</v>
      </c>
      <c r="C503" t="s">
        <v>14</v>
      </c>
      <c r="D503" t="s">
        <v>2040</v>
      </c>
      <c r="E503" t="s">
        <v>20</v>
      </c>
      <c r="F503" t="s">
        <v>25</v>
      </c>
      <c r="G503">
        <v>9</v>
      </c>
      <c r="H503">
        <v>5400</v>
      </c>
      <c r="I503" s="6">
        <v>0.1</v>
      </c>
      <c r="J503">
        <v>4860</v>
      </c>
    </row>
    <row r="504" spans="1:10" x14ac:dyDescent="0.25">
      <c r="A504" t="s">
        <v>525</v>
      </c>
      <c r="B504" s="2">
        <v>44344</v>
      </c>
      <c r="C504" t="s">
        <v>14</v>
      </c>
      <c r="D504" t="s">
        <v>2041</v>
      </c>
      <c r="E504" t="s">
        <v>21</v>
      </c>
      <c r="F504" t="s">
        <v>25</v>
      </c>
      <c r="G504">
        <v>2</v>
      </c>
      <c r="H504">
        <v>12000</v>
      </c>
      <c r="I504" s="6">
        <v>0.15000000000000002</v>
      </c>
      <c r="J504">
        <v>10200</v>
      </c>
    </row>
    <row r="505" spans="1:10" x14ac:dyDescent="0.25">
      <c r="A505" t="s">
        <v>526</v>
      </c>
      <c r="B505" s="2">
        <v>44345</v>
      </c>
      <c r="C505" t="s">
        <v>14</v>
      </c>
      <c r="D505" t="s">
        <v>2042</v>
      </c>
      <c r="E505" t="s">
        <v>22</v>
      </c>
      <c r="F505" t="s">
        <v>25</v>
      </c>
      <c r="G505">
        <v>9</v>
      </c>
      <c r="H505">
        <v>6600</v>
      </c>
      <c r="I505" s="6">
        <v>0.2</v>
      </c>
      <c r="J505">
        <v>5280</v>
      </c>
    </row>
    <row r="506" spans="1:10" x14ac:dyDescent="0.25">
      <c r="A506" t="s">
        <v>527</v>
      </c>
      <c r="B506" s="2">
        <v>44346</v>
      </c>
      <c r="C506" t="s">
        <v>14</v>
      </c>
      <c r="D506" t="s">
        <v>2043</v>
      </c>
      <c r="E506" t="s">
        <v>19</v>
      </c>
      <c r="F506" t="s">
        <v>25</v>
      </c>
      <c r="G506">
        <v>2</v>
      </c>
      <c r="H506">
        <v>9100</v>
      </c>
      <c r="I506" s="6">
        <v>0.25</v>
      </c>
      <c r="J506">
        <v>6825</v>
      </c>
    </row>
    <row r="507" spans="1:10" x14ac:dyDescent="0.25">
      <c r="A507" t="s">
        <v>528</v>
      </c>
      <c r="B507" s="2">
        <v>44347</v>
      </c>
      <c r="C507" t="s">
        <v>14</v>
      </c>
      <c r="D507" t="s">
        <v>2044</v>
      </c>
      <c r="E507" t="s">
        <v>20</v>
      </c>
      <c r="F507" t="s">
        <v>25</v>
      </c>
      <c r="G507">
        <v>4</v>
      </c>
      <c r="H507">
        <v>5300</v>
      </c>
      <c r="I507" s="6">
        <v>0.05</v>
      </c>
      <c r="J507">
        <v>5035</v>
      </c>
    </row>
    <row r="508" spans="1:10" x14ac:dyDescent="0.25">
      <c r="A508" t="s">
        <v>529</v>
      </c>
      <c r="B508" s="2">
        <v>44348</v>
      </c>
      <c r="C508" t="s">
        <v>14</v>
      </c>
      <c r="D508" t="s">
        <v>2045</v>
      </c>
      <c r="E508" t="s">
        <v>21</v>
      </c>
      <c r="F508" t="s">
        <v>25</v>
      </c>
      <c r="G508">
        <v>3</v>
      </c>
      <c r="H508">
        <v>10800</v>
      </c>
      <c r="I508" s="6">
        <v>0.1</v>
      </c>
      <c r="J508">
        <v>9720</v>
      </c>
    </row>
    <row r="509" spans="1:10" x14ac:dyDescent="0.25">
      <c r="A509" t="s">
        <v>530</v>
      </c>
      <c r="B509" s="2">
        <v>44349</v>
      </c>
      <c r="C509" t="s">
        <v>14</v>
      </c>
      <c r="D509" t="s">
        <v>2046</v>
      </c>
      <c r="E509" t="s">
        <v>22</v>
      </c>
      <c r="F509" t="s">
        <v>25</v>
      </c>
      <c r="G509">
        <v>3</v>
      </c>
      <c r="H509">
        <v>11600</v>
      </c>
      <c r="I509" s="6">
        <v>0.15000000000000002</v>
      </c>
      <c r="J509">
        <v>9860</v>
      </c>
    </row>
    <row r="510" spans="1:10" x14ac:dyDescent="0.25">
      <c r="A510" t="s">
        <v>531</v>
      </c>
      <c r="B510" s="2">
        <v>44350</v>
      </c>
      <c r="C510" t="s">
        <v>14</v>
      </c>
      <c r="D510" t="s">
        <v>2047</v>
      </c>
      <c r="E510" t="s">
        <v>19</v>
      </c>
      <c r="F510" t="s">
        <v>25</v>
      </c>
      <c r="G510">
        <v>4</v>
      </c>
      <c r="H510">
        <v>11000</v>
      </c>
      <c r="I510" s="6">
        <v>0.2</v>
      </c>
      <c r="J510">
        <v>8800</v>
      </c>
    </row>
    <row r="511" spans="1:10" x14ac:dyDescent="0.25">
      <c r="A511" t="s">
        <v>532</v>
      </c>
      <c r="B511" s="2">
        <v>44351</v>
      </c>
      <c r="C511" t="s">
        <v>14</v>
      </c>
      <c r="D511" t="s">
        <v>2048</v>
      </c>
      <c r="E511" t="s">
        <v>20</v>
      </c>
      <c r="F511" t="s">
        <v>25</v>
      </c>
      <c r="G511">
        <v>10</v>
      </c>
      <c r="H511">
        <v>5900</v>
      </c>
      <c r="I511" s="6">
        <v>0.25</v>
      </c>
      <c r="J511">
        <v>4425</v>
      </c>
    </row>
    <row r="512" spans="1:10" x14ac:dyDescent="0.25">
      <c r="A512" t="s">
        <v>533</v>
      </c>
      <c r="B512" s="2">
        <v>44352</v>
      </c>
      <c r="C512" t="s">
        <v>12</v>
      </c>
      <c r="D512" t="s">
        <v>15</v>
      </c>
      <c r="E512" t="s">
        <v>21</v>
      </c>
      <c r="F512" t="s">
        <v>23</v>
      </c>
      <c r="G512">
        <v>1</v>
      </c>
      <c r="H512">
        <v>12000</v>
      </c>
      <c r="I512" s="6">
        <v>0.05</v>
      </c>
      <c r="J512">
        <v>11400</v>
      </c>
    </row>
    <row r="513" spans="1:10" x14ac:dyDescent="0.25">
      <c r="A513" t="s">
        <v>534</v>
      </c>
      <c r="B513" s="2">
        <v>44353</v>
      </c>
      <c r="C513" t="s">
        <v>12</v>
      </c>
      <c r="D513" t="s">
        <v>17</v>
      </c>
      <c r="E513" t="s">
        <v>22</v>
      </c>
      <c r="F513" t="s">
        <v>23</v>
      </c>
      <c r="G513">
        <v>8</v>
      </c>
      <c r="H513">
        <v>5300</v>
      </c>
      <c r="I513" s="6">
        <v>0.1</v>
      </c>
      <c r="J513">
        <v>4770</v>
      </c>
    </row>
    <row r="514" spans="1:10" x14ac:dyDescent="0.25">
      <c r="A514" t="s">
        <v>535</v>
      </c>
      <c r="B514" s="2">
        <v>44354</v>
      </c>
      <c r="C514" t="s">
        <v>12</v>
      </c>
      <c r="D514" t="s">
        <v>2023</v>
      </c>
      <c r="E514" t="s">
        <v>19</v>
      </c>
      <c r="F514" t="s">
        <v>23</v>
      </c>
      <c r="G514">
        <v>3</v>
      </c>
      <c r="H514">
        <v>11700</v>
      </c>
      <c r="I514" s="6">
        <v>0.15000000000000002</v>
      </c>
      <c r="J514">
        <v>9945</v>
      </c>
    </row>
    <row r="515" spans="1:10" x14ac:dyDescent="0.25">
      <c r="A515" t="s">
        <v>536</v>
      </c>
      <c r="B515" s="2">
        <v>44355</v>
      </c>
      <c r="C515" t="s">
        <v>12</v>
      </c>
      <c r="D515" t="s">
        <v>18</v>
      </c>
      <c r="E515" t="s">
        <v>20</v>
      </c>
      <c r="F515" t="s">
        <v>23</v>
      </c>
      <c r="G515">
        <v>8</v>
      </c>
      <c r="H515">
        <v>9800</v>
      </c>
      <c r="I515" s="6">
        <v>0.2</v>
      </c>
      <c r="J515">
        <v>7840</v>
      </c>
    </row>
    <row r="516" spans="1:10" x14ac:dyDescent="0.25">
      <c r="A516" t="s">
        <v>537</v>
      </c>
      <c r="B516" s="2">
        <v>44356</v>
      </c>
      <c r="C516" t="s">
        <v>12</v>
      </c>
      <c r="D516" t="s">
        <v>2024</v>
      </c>
      <c r="E516" t="s">
        <v>21</v>
      </c>
      <c r="F516" t="s">
        <v>23</v>
      </c>
      <c r="G516">
        <v>6</v>
      </c>
      <c r="H516">
        <v>11000</v>
      </c>
      <c r="I516" s="6">
        <v>0.25</v>
      </c>
      <c r="J516">
        <v>8250</v>
      </c>
    </row>
    <row r="517" spans="1:10" x14ac:dyDescent="0.25">
      <c r="A517" t="s">
        <v>538</v>
      </c>
      <c r="B517" s="2">
        <v>44357</v>
      </c>
      <c r="C517" t="s">
        <v>12</v>
      </c>
      <c r="D517" t="s">
        <v>2025</v>
      </c>
      <c r="E517" t="s">
        <v>22</v>
      </c>
      <c r="F517" t="s">
        <v>23</v>
      </c>
      <c r="G517">
        <v>3</v>
      </c>
      <c r="H517">
        <v>12000</v>
      </c>
      <c r="I517" s="6">
        <v>0.05</v>
      </c>
      <c r="J517">
        <v>11400</v>
      </c>
    </row>
    <row r="518" spans="1:10" x14ac:dyDescent="0.25">
      <c r="A518" t="s">
        <v>539</v>
      </c>
      <c r="B518" s="2">
        <v>44358</v>
      </c>
      <c r="C518" t="s">
        <v>12</v>
      </c>
      <c r="D518" t="s">
        <v>2026</v>
      </c>
      <c r="E518" t="s">
        <v>19</v>
      </c>
      <c r="F518" t="s">
        <v>23</v>
      </c>
      <c r="G518">
        <v>1</v>
      </c>
      <c r="H518">
        <v>11400</v>
      </c>
      <c r="I518" s="6">
        <v>0.1</v>
      </c>
      <c r="J518">
        <v>10260</v>
      </c>
    </row>
    <row r="519" spans="1:10" x14ac:dyDescent="0.25">
      <c r="A519" t="s">
        <v>540</v>
      </c>
      <c r="B519" s="2">
        <v>44359</v>
      </c>
      <c r="C519" t="s">
        <v>12</v>
      </c>
      <c r="D519" t="s">
        <v>2027</v>
      </c>
      <c r="E519" t="s">
        <v>20</v>
      </c>
      <c r="F519" t="s">
        <v>23</v>
      </c>
      <c r="G519">
        <v>5</v>
      </c>
      <c r="H519">
        <v>10000</v>
      </c>
      <c r="I519" s="6">
        <v>0.15000000000000002</v>
      </c>
      <c r="J519">
        <v>8500</v>
      </c>
    </row>
    <row r="520" spans="1:10" x14ac:dyDescent="0.25">
      <c r="A520" t="s">
        <v>541</v>
      </c>
      <c r="B520" s="2">
        <v>44360</v>
      </c>
      <c r="C520" t="s">
        <v>12</v>
      </c>
      <c r="D520" t="s">
        <v>2028</v>
      </c>
      <c r="E520" t="s">
        <v>21</v>
      </c>
      <c r="F520" t="s">
        <v>23</v>
      </c>
      <c r="G520">
        <v>4</v>
      </c>
      <c r="H520">
        <v>7300</v>
      </c>
      <c r="I520" s="6">
        <v>0.2</v>
      </c>
      <c r="J520">
        <v>5840</v>
      </c>
    </row>
    <row r="521" spans="1:10" x14ac:dyDescent="0.25">
      <c r="A521" t="s">
        <v>542</v>
      </c>
      <c r="B521" s="2">
        <v>44361</v>
      </c>
      <c r="C521" t="s">
        <v>12</v>
      </c>
      <c r="D521" t="s">
        <v>2029</v>
      </c>
      <c r="E521" t="s">
        <v>22</v>
      </c>
      <c r="F521" t="s">
        <v>23</v>
      </c>
      <c r="G521">
        <v>3</v>
      </c>
      <c r="H521">
        <v>5300</v>
      </c>
      <c r="I521" s="6">
        <v>0.25</v>
      </c>
      <c r="J521">
        <v>3975</v>
      </c>
    </row>
    <row r="522" spans="1:10" x14ac:dyDescent="0.25">
      <c r="A522" t="s">
        <v>543</v>
      </c>
      <c r="B522" s="2">
        <v>44362</v>
      </c>
      <c r="C522" t="s">
        <v>13</v>
      </c>
      <c r="D522" t="s">
        <v>16</v>
      </c>
      <c r="E522" t="s">
        <v>19</v>
      </c>
      <c r="F522" t="s">
        <v>24</v>
      </c>
      <c r="G522">
        <v>3</v>
      </c>
      <c r="H522">
        <v>12400</v>
      </c>
      <c r="I522" s="6">
        <v>0.05</v>
      </c>
      <c r="J522">
        <v>11780</v>
      </c>
    </row>
    <row r="523" spans="1:10" x14ac:dyDescent="0.25">
      <c r="A523" t="s">
        <v>544</v>
      </c>
      <c r="B523" s="2">
        <v>44363</v>
      </c>
      <c r="C523" t="s">
        <v>13</v>
      </c>
      <c r="D523" t="s">
        <v>2030</v>
      </c>
      <c r="E523" t="s">
        <v>20</v>
      </c>
      <c r="F523" t="s">
        <v>24</v>
      </c>
      <c r="G523">
        <v>6</v>
      </c>
      <c r="H523">
        <v>13800</v>
      </c>
      <c r="I523" s="6">
        <v>0.1</v>
      </c>
      <c r="J523">
        <v>12420</v>
      </c>
    </row>
    <row r="524" spans="1:10" x14ac:dyDescent="0.25">
      <c r="A524" t="s">
        <v>545</v>
      </c>
      <c r="B524" s="2">
        <v>44364</v>
      </c>
      <c r="C524" t="s">
        <v>13</v>
      </c>
      <c r="D524" t="s">
        <v>2031</v>
      </c>
      <c r="E524" t="s">
        <v>21</v>
      </c>
      <c r="F524" t="s">
        <v>24</v>
      </c>
      <c r="G524">
        <v>4</v>
      </c>
      <c r="H524">
        <v>11500</v>
      </c>
      <c r="I524" s="6">
        <v>0.15000000000000002</v>
      </c>
      <c r="J524">
        <v>9775</v>
      </c>
    </row>
    <row r="525" spans="1:10" x14ac:dyDescent="0.25">
      <c r="A525" t="s">
        <v>546</v>
      </c>
      <c r="B525" s="2">
        <v>44365</v>
      </c>
      <c r="C525" t="s">
        <v>13</v>
      </c>
      <c r="D525" t="s">
        <v>2032</v>
      </c>
      <c r="E525" t="s">
        <v>22</v>
      </c>
      <c r="F525" t="s">
        <v>24</v>
      </c>
      <c r="G525">
        <v>6</v>
      </c>
      <c r="H525">
        <v>8300</v>
      </c>
      <c r="I525" s="6">
        <v>0.2</v>
      </c>
      <c r="J525">
        <v>6640</v>
      </c>
    </row>
    <row r="526" spans="1:10" x14ac:dyDescent="0.25">
      <c r="A526" t="s">
        <v>547</v>
      </c>
      <c r="B526" s="2">
        <v>44366</v>
      </c>
      <c r="C526" t="s">
        <v>13</v>
      </c>
      <c r="D526" t="s">
        <v>2033</v>
      </c>
      <c r="E526" t="s">
        <v>19</v>
      </c>
      <c r="F526" t="s">
        <v>24</v>
      </c>
      <c r="G526">
        <v>3</v>
      </c>
      <c r="H526">
        <v>14300</v>
      </c>
      <c r="I526" s="6">
        <v>0.25</v>
      </c>
      <c r="J526">
        <v>10725</v>
      </c>
    </row>
    <row r="527" spans="1:10" x14ac:dyDescent="0.25">
      <c r="A527" t="s">
        <v>548</v>
      </c>
      <c r="B527" s="2">
        <v>44367</v>
      </c>
      <c r="C527" t="s">
        <v>13</v>
      </c>
      <c r="D527" t="s">
        <v>2034</v>
      </c>
      <c r="E527" t="s">
        <v>20</v>
      </c>
      <c r="F527" t="s">
        <v>24</v>
      </c>
      <c r="G527">
        <v>3</v>
      </c>
      <c r="H527">
        <v>7200</v>
      </c>
      <c r="I527" s="6">
        <v>0.05</v>
      </c>
      <c r="J527">
        <v>6840</v>
      </c>
    </row>
    <row r="528" spans="1:10" x14ac:dyDescent="0.25">
      <c r="A528" t="s">
        <v>549</v>
      </c>
      <c r="B528" s="2">
        <v>44368</v>
      </c>
      <c r="C528" t="s">
        <v>13</v>
      </c>
      <c r="D528" t="s">
        <v>2035</v>
      </c>
      <c r="E528" t="s">
        <v>21</v>
      </c>
      <c r="F528" t="s">
        <v>24</v>
      </c>
      <c r="G528">
        <v>2</v>
      </c>
      <c r="H528">
        <v>9700</v>
      </c>
      <c r="I528" s="6">
        <v>0.1</v>
      </c>
      <c r="J528">
        <v>8730</v>
      </c>
    </row>
    <row r="529" spans="1:10" x14ac:dyDescent="0.25">
      <c r="A529" t="s">
        <v>550</v>
      </c>
      <c r="B529" s="2">
        <v>44369</v>
      </c>
      <c r="C529" t="s">
        <v>13</v>
      </c>
      <c r="D529" t="s">
        <v>2036</v>
      </c>
      <c r="E529" t="s">
        <v>22</v>
      </c>
      <c r="F529" t="s">
        <v>24</v>
      </c>
      <c r="G529">
        <v>6</v>
      </c>
      <c r="H529">
        <v>7200</v>
      </c>
      <c r="I529" s="6">
        <v>0.15000000000000002</v>
      </c>
      <c r="J529">
        <v>6120</v>
      </c>
    </row>
    <row r="530" spans="1:10" x14ac:dyDescent="0.25">
      <c r="A530" t="s">
        <v>551</v>
      </c>
      <c r="B530" s="2">
        <v>44370</v>
      </c>
      <c r="C530" t="s">
        <v>13</v>
      </c>
      <c r="D530" t="s">
        <v>2037</v>
      </c>
      <c r="E530" t="s">
        <v>19</v>
      </c>
      <c r="F530" t="s">
        <v>24</v>
      </c>
      <c r="G530">
        <v>10</v>
      </c>
      <c r="H530">
        <v>6000</v>
      </c>
      <c r="I530" s="6">
        <v>0.2</v>
      </c>
      <c r="J530">
        <v>4800</v>
      </c>
    </row>
    <row r="531" spans="1:10" x14ac:dyDescent="0.25">
      <c r="A531" t="s">
        <v>552</v>
      </c>
      <c r="B531" s="2">
        <v>44371</v>
      </c>
      <c r="C531" t="s">
        <v>13</v>
      </c>
      <c r="D531" t="s">
        <v>2038</v>
      </c>
      <c r="E531" t="s">
        <v>20</v>
      </c>
      <c r="F531" t="s">
        <v>24</v>
      </c>
      <c r="G531">
        <v>5</v>
      </c>
      <c r="H531">
        <v>6200</v>
      </c>
      <c r="I531" s="6">
        <v>0.25</v>
      </c>
      <c r="J531">
        <v>4650</v>
      </c>
    </row>
    <row r="532" spans="1:10" x14ac:dyDescent="0.25">
      <c r="A532" t="s">
        <v>553</v>
      </c>
      <c r="B532" s="2">
        <v>44372</v>
      </c>
      <c r="C532" t="s">
        <v>14</v>
      </c>
      <c r="D532" t="s">
        <v>2039</v>
      </c>
      <c r="E532" t="s">
        <v>21</v>
      </c>
      <c r="F532" t="s">
        <v>25</v>
      </c>
      <c r="G532">
        <v>5</v>
      </c>
      <c r="H532">
        <v>13600</v>
      </c>
      <c r="I532" s="6">
        <v>0.05</v>
      </c>
      <c r="J532">
        <v>12920</v>
      </c>
    </row>
    <row r="533" spans="1:10" x14ac:dyDescent="0.25">
      <c r="A533" t="s">
        <v>554</v>
      </c>
      <c r="B533" s="2">
        <v>44373</v>
      </c>
      <c r="C533" t="s">
        <v>14</v>
      </c>
      <c r="D533" t="s">
        <v>2040</v>
      </c>
      <c r="E533" t="s">
        <v>22</v>
      </c>
      <c r="F533" t="s">
        <v>25</v>
      </c>
      <c r="G533">
        <v>9</v>
      </c>
      <c r="H533">
        <v>7700</v>
      </c>
      <c r="I533" s="6">
        <v>0.1</v>
      </c>
      <c r="J533">
        <v>6930</v>
      </c>
    </row>
    <row r="534" spans="1:10" x14ac:dyDescent="0.25">
      <c r="A534" t="s">
        <v>555</v>
      </c>
      <c r="B534" s="2">
        <v>44374</v>
      </c>
      <c r="C534" t="s">
        <v>14</v>
      </c>
      <c r="D534" t="s">
        <v>2041</v>
      </c>
      <c r="E534" t="s">
        <v>19</v>
      </c>
      <c r="F534" t="s">
        <v>25</v>
      </c>
      <c r="G534">
        <v>5</v>
      </c>
      <c r="H534">
        <v>13500</v>
      </c>
      <c r="I534" s="6">
        <v>0.15000000000000002</v>
      </c>
      <c r="J534">
        <v>11475</v>
      </c>
    </row>
    <row r="535" spans="1:10" x14ac:dyDescent="0.25">
      <c r="A535" t="s">
        <v>556</v>
      </c>
      <c r="B535" s="2">
        <v>44375</v>
      </c>
      <c r="C535" t="s">
        <v>14</v>
      </c>
      <c r="D535" t="s">
        <v>2042</v>
      </c>
      <c r="E535" t="s">
        <v>20</v>
      </c>
      <c r="F535" t="s">
        <v>25</v>
      </c>
      <c r="G535">
        <v>5</v>
      </c>
      <c r="H535">
        <v>9400</v>
      </c>
      <c r="I535" s="6">
        <v>0.2</v>
      </c>
      <c r="J535">
        <v>7520</v>
      </c>
    </row>
    <row r="536" spans="1:10" x14ac:dyDescent="0.25">
      <c r="A536" t="s">
        <v>557</v>
      </c>
      <c r="B536" s="2">
        <v>44376</v>
      </c>
      <c r="C536" t="s">
        <v>14</v>
      </c>
      <c r="D536" t="s">
        <v>2043</v>
      </c>
      <c r="E536" t="s">
        <v>21</v>
      </c>
      <c r="F536" t="s">
        <v>25</v>
      </c>
      <c r="G536">
        <v>10</v>
      </c>
      <c r="H536">
        <v>5600</v>
      </c>
      <c r="I536" s="6">
        <v>0.25</v>
      </c>
      <c r="J536">
        <v>4200</v>
      </c>
    </row>
    <row r="537" spans="1:10" x14ac:dyDescent="0.25">
      <c r="A537" t="s">
        <v>558</v>
      </c>
      <c r="B537" s="2">
        <v>44377</v>
      </c>
      <c r="C537" t="s">
        <v>14</v>
      </c>
      <c r="D537" t="s">
        <v>2044</v>
      </c>
      <c r="E537" t="s">
        <v>22</v>
      </c>
      <c r="F537" t="s">
        <v>25</v>
      </c>
      <c r="G537">
        <v>7</v>
      </c>
      <c r="H537">
        <v>13100</v>
      </c>
      <c r="I537" s="6">
        <v>0.05</v>
      </c>
      <c r="J537">
        <v>12445</v>
      </c>
    </row>
    <row r="538" spans="1:10" x14ac:dyDescent="0.25">
      <c r="A538" t="s">
        <v>559</v>
      </c>
      <c r="B538" s="2">
        <v>44378</v>
      </c>
      <c r="C538" t="s">
        <v>14</v>
      </c>
      <c r="D538" t="s">
        <v>2045</v>
      </c>
      <c r="E538" t="s">
        <v>19</v>
      </c>
      <c r="F538" t="s">
        <v>25</v>
      </c>
      <c r="G538">
        <v>6</v>
      </c>
      <c r="H538">
        <v>4600</v>
      </c>
      <c r="I538" s="6">
        <v>0.1</v>
      </c>
      <c r="J538">
        <v>4140</v>
      </c>
    </row>
    <row r="539" spans="1:10" x14ac:dyDescent="0.25">
      <c r="A539" t="s">
        <v>560</v>
      </c>
      <c r="B539" s="2">
        <v>44379</v>
      </c>
      <c r="C539" t="s">
        <v>14</v>
      </c>
      <c r="D539" t="s">
        <v>2046</v>
      </c>
      <c r="E539" t="s">
        <v>20</v>
      </c>
      <c r="F539" t="s">
        <v>25</v>
      </c>
      <c r="G539">
        <v>4</v>
      </c>
      <c r="H539">
        <v>12400</v>
      </c>
      <c r="I539" s="6">
        <v>0.15000000000000002</v>
      </c>
      <c r="J539">
        <v>10540</v>
      </c>
    </row>
    <row r="540" spans="1:10" x14ac:dyDescent="0.25">
      <c r="A540" t="s">
        <v>561</v>
      </c>
      <c r="B540" s="2">
        <v>44380</v>
      </c>
      <c r="C540" t="s">
        <v>14</v>
      </c>
      <c r="D540" t="s">
        <v>2047</v>
      </c>
      <c r="E540" t="s">
        <v>21</v>
      </c>
      <c r="F540" t="s">
        <v>25</v>
      </c>
      <c r="G540">
        <v>8</v>
      </c>
      <c r="H540">
        <v>5800</v>
      </c>
      <c r="I540" s="6">
        <v>0.2</v>
      </c>
      <c r="J540">
        <v>4640</v>
      </c>
    </row>
    <row r="541" spans="1:10" x14ac:dyDescent="0.25">
      <c r="A541" t="s">
        <v>562</v>
      </c>
      <c r="B541" s="2">
        <v>44381</v>
      </c>
      <c r="C541" t="s">
        <v>14</v>
      </c>
      <c r="D541" t="s">
        <v>2048</v>
      </c>
      <c r="E541" t="s">
        <v>22</v>
      </c>
      <c r="F541" t="s">
        <v>25</v>
      </c>
      <c r="G541">
        <v>1</v>
      </c>
      <c r="H541">
        <v>12200</v>
      </c>
      <c r="I541" s="6">
        <v>0.25</v>
      </c>
      <c r="J541">
        <v>9150</v>
      </c>
    </row>
    <row r="542" spans="1:10" x14ac:dyDescent="0.25">
      <c r="A542" t="s">
        <v>563</v>
      </c>
      <c r="B542" s="2">
        <v>44382</v>
      </c>
      <c r="C542" t="s">
        <v>12</v>
      </c>
      <c r="D542" t="s">
        <v>15</v>
      </c>
      <c r="E542" t="s">
        <v>19</v>
      </c>
      <c r="F542" t="s">
        <v>23</v>
      </c>
      <c r="G542">
        <v>8</v>
      </c>
      <c r="H542">
        <v>7100</v>
      </c>
      <c r="I542" s="6">
        <v>0.05</v>
      </c>
      <c r="J542">
        <v>6745</v>
      </c>
    </row>
    <row r="543" spans="1:10" x14ac:dyDescent="0.25">
      <c r="A543" t="s">
        <v>564</v>
      </c>
      <c r="B543" s="2">
        <v>44383</v>
      </c>
      <c r="C543" t="s">
        <v>12</v>
      </c>
      <c r="D543" t="s">
        <v>17</v>
      </c>
      <c r="E543" t="s">
        <v>20</v>
      </c>
      <c r="F543" t="s">
        <v>23</v>
      </c>
      <c r="G543">
        <v>3</v>
      </c>
      <c r="H543">
        <v>8500</v>
      </c>
      <c r="I543" s="6">
        <v>0.1</v>
      </c>
      <c r="J543">
        <v>7650</v>
      </c>
    </row>
    <row r="544" spans="1:10" x14ac:dyDescent="0.25">
      <c r="A544" t="s">
        <v>565</v>
      </c>
      <c r="B544" s="2">
        <v>44384</v>
      </c>
      <c r="C544" t="s">
        <v>12</v>
      </c>
      <c r="D544" t="s">
        <v>2023</v>
      </c>
      <c r="E544" t="s">
        <v>21</v>
      </c>
      <c r="F544" t="s">
        <v>23</v>
      </c>
      <c r="G544">
        <v>10</v>
      </c>
      <c r="H544">
        <v>9600</v>
      </c>
      <c r="I544" s="6">
        <v>0.15000000000000002</v>
      </c>
      <c r="J544">
        <v>8160</v>
      </c>
    </row>
    <row r="545" spans="1:10" x14ac:dyDescent="0.25">
      <c r="A545" t="s">
        <v>566</v>
      </c>
      <c r="B545" s="2">
        <v>44385</v>
      </c>
      <c r="C545" t="s">
        <v>12</v>
      </c>
      <c r="D545" t="s">
        <v>18</v>
      </c>
      <c r="E545" t="s">
        <v>22</v>
      </c>
      <c r="F545" t="s">
        <v>23</v>
      </c>
      <c r="G545">
        <v>9</v>
      </c>
      <c r="H545">
        <v>12600</v>
      </c>
      <c r="I545" s="6">
        <v>0.2</v>
      </c>
      <c r="J545">
        <v>10080</v>
      </c>
    </row>
    <row r="546" spans="1:10" x14ac:dyDescent="0.25">
      <c r="A546" t="s">
        <v>567</v>
      </c>
      <c r="B546" s="2">
        <v>44386</v>
      </c>
      <c r="C546" t="s">
        <v>12</v>
      </c>
      <c r="D546" t="s">
        <v>2024</v>
      </c>
      <c r="E546" t="s">
        <v>19</v>
      </c>
      <c r="F546" t="s">
        <v>23</v>
      </c>
      <c r="G546">
        <v>7</v>
      </c>
      <c r="H546">
        <v>11800</v>
      </c>
      <c r="I546" s="6">
        <v>0.25</v>
      </c>
      <c r="J546">
        <v>8850</v>
      </c>
    </row>
    <row r="547" spans="1:10" x14ac:dyDescent="0.25">
      <c r="A547" t="s">
        <v>568</v>
      </c>
      <c r="B547" s="2">
        <v>44387</v>
      </c>
      <c r="C547" t="s">
        <v>12</v>
      </c>
      <c r="D547" t="s">
        <v>2025</v>
      </c>
      <c r="E547" t="s">
        <v>20</v>
      </c>
      <c r="F547" t="s">
        <v>23</v>
      </c>
      <c r="G547">
        <v>5</v>
      </c>
      <c r="H547">
        <v>14800</v>
      </c>
      <c r="I547" s="6">
        <v>0.05</v>
      </c>
      <c r="J547">
        <v>14060</v>
      </c>
    </row>
    <row r="548" spans="1:10" x14ac:dyDescent="0.25">
      <c r="A548" t="s">
        <v>569</v>
      </c>
      <c r="B548" s="2">
        <v>44388</v>
      </c>
      <c r="C548" t="s">
        <v>12</v>
      </c>
      <c r="D548" t="s">
        <v>2026</v>
      </c>
      <c r="E548" t="s">
        <v>21</v>
      </c>
      <c r="F548" t="s">
        <v>23</v>
      </c>
      <c r="G548">
        <v>5</v>
      </c>
      <c r="H548">
        <v>14200</v>
      </c>
      <c r="I548" s="6">
        <v>0.1</v>
      </c>
      <c r="J548">
        <v>12780</v>
      </c>
    </row>
    <row r="549" spans="1:10" x14ac:dyDescent="0.25">
      <c r="A549" t="s">
        <v>570</v>
      </c>
      <c r="B549" s="2">
        <v>44389</v>
      </c>
      <c r="C549" t="s">
        <v>12</v>
      </c>
      <c r="D549" t="s">
        <v>2027</v>
      </c>
      <c r="E549" t="s">
        <v>22</v>
      </c>
      <c r="F549" t="s">
        <v>23</v>
      </c>
      <c r="G549">
        <v>1</v>
      </c>
      <c r="H549">
        <v>7100</v>
      </c>
      <c r="I549" s="6">
        <v>0.15000000000000002</v>
      </c>
      <c r="J549">
        <v>6035</v>
      </c>
    </row>
    <row r="550" spans="1:10" x14ac:dyDescent="0.25">
      <c r="A550" t="s">
        <v>571</v>
      </c>
      <c r="B550" s="2">
        <v>44390</v>
      </c>
      <c r="C550" t="s">
        <v>12</v>
      </c>
      <c r="D550" t="s">
        <v>2028</v>
      </c>
      <c r="E550" t="s">
        <v>19</v>
      </c>
      <c r="F550" t="s">
        <v>23</v>
      </c>
      <c r="G550">
        <v>1</v>
      </c>
      <c r="H550">
        <v>11800</v>
      </c>
      <c r="I550" s="6">
        <v>0.2</v>
      </c>
      <c r="J550">
        <v>9440</v>
      </c>
    </row>
    <row r="551" spans="1:10" x14ac:dyDescent="0.25">
      <c r="A551" t="s">
        <v>572</v>
      </c>
      <c r="B551" s="2">
        <v>44391</v>
      </c>
      <c r="C551" t="s">
        <v>12</v>
      </c>
      <c r="D551" t="s">
        <v>2029</v>
      </c>
      <c r="E551" t="s">
        <v>20</v>
      </c>
      <c r="F551" t="s">
        <v>23</v>
      </c>
      <c r="G551">
        <v>2</v>
      </c>
      <c r="H551">
        <v>14400</v>
      </c>
      <c r="I551" s="6">
        <v>0.25</v>
      </c>
      <c r="J551">
        <v>10800</v>
      </c>
    </row>
    <row r="552" spans="1:10" x14ac:dyDescent="0.25">
      <c r="A552" t="s">
        <v>573</v>
      </c>
      <c r="B552" s="2">
        <v>44392</v>
      </c>
      <c r="C552" t="s">
        <v>13</v>
      </c>
      <c r="D552" t="s">
        <v>16</v>
      </c>
      <c r="E552" t="s">
        <v>21</v>
      </c>
      <c r="F552" t="s">
        <v>24</v>
      </c>
      <c r="G552">
        <v>2</v>
      </c>
      <c r="H552">
        <v>5400</v>
      </c>
      <c r="I552" s="6">
        <v>0.05</v>
      </c>
      <c r="J552">
        <v>5130</v>
      </c>
    </row>
    <row r="553" spans="1:10" x14ac:dyDescent="0.25">
      <c r="A553" t="s">
        <v>574</v>
      </c>
      <c r="B553" s="2">
        <v>44393</v>
      </c>
      <c r="C553" t="s">
        <v>13</v>
      </c>
      <c r="D553" t="s">
        <v>2030</v>
      </c>
      <c r="E553" t="s">
        <v>22</v>
      </c>
      <c r="F553" t="s">
        <v>24</v>
      </c>
      <c r="G553">
        <v>4</v>
      </c>
      <c r="H553">
        <v>12900</v>
      </c>
      <c r="I553" s="6">
        <v>0.1</v>
      </c>
      <c r="J553">
        <v>11610</v>
      </c>
    </row>
    <row r="554" spans="1:10" x14ac:dyDescent="0.25">
      <c r="A554" t="s">
        <v>575</v>
      </c>
      <c r="B554" s="2">
        <v>44394</v>
      </c>
      <c r="C554" t="s">
        <v>13</v>
      </c>
      <c r="D554" t="s">
        <v>2031</v>
      </c>
      <c r="E554" t="s">
        <v>19</v>
      </c>
      <c r="F554" t="s">
        <v>24</v>
      </c>
      <c r="G554">
        <v>2</v>
      </c>
      <c r="H554">
        <v>6500</v>
      </c>
      <c r="I554" s="6">
        <v>0.15000000000000002</v>
      </c>
      <c r="J554">
        <v>5525</v>
      </c>
    </row>
    <row r="555" spans="1:10" x14ac:dyDescent="0.25">
      <c r="A555" t="s">
        <v>576</v>
      </c>
      <c r="B555" s="2">
        <v>44395</v>
      </c>
      <c r="C555" t="s">
        <v>13</v>
      </c>
      <c r="D555" t="s">
        <v>2032</v>
      </c>
      <c r="E555" t="s">
        <v>20</v>
      </c>
      <c r="F555" t="s">
        <v>24</v>
      </c>
      <c r="G555">
        <v>4</v>
      </c>
      <c r="H555">
        <v>7300</v>
      </c>
      <c r="I555" s="6">
        <v>0.2</v>
      </c>
      <c r="J555">
        <v>5840</v>
      </c>
    </row>
    <row r="556" spans="1:10" x14ac:dyDescent="0.25">
      <c r="A556" t="s">
        <v>577</v>
      </c>
      <c r="B556" s="2">
        <v>44396</v>
      </c>
      <c r="C556" t="s">
        <v>13</v>
      </c>
      <c r="D556" t="s">
        <v>2033</v>
      </c>
      <c r="E556" t="s">
        <v>21</v>
      </c>
      <c r="F556" t="s">
        <v>24</v>
      </c>
      <c r="G556">
        <v>9</v>
      </c>
      <c r="H556">
        <v>14100</v>
      </c>
      <c r="I556" s="6">
        <v>0.25</v>
      </c>
      <c r="J556">
        <v>10575</v>
      </c>
    </row>
    <row r="557" spans="1:10" x14ac:dyDescent="0.25">
      <c r="A557" t="s">
        <v>578</v>
      </c>
      <c r="B557" s="2">
        <v>44397</v>
      </c>
      <c r="C557" t="s">
        <v>13</v>
      </c>
      <c r="D557" t="s">
        <v>2034</v>
      </c>
      <c r="E557" t="s">
        <v>22</v>
      </c>
      <c r="F557" t="s">
        <v>24</v>
      </c>
      <c r="G557">
        <v>1</v>
      </c>
      <c r="H557">
        <v>13500</v>
      </c>
      <c r="I557" s="6">
        <v>0.05</v>
      </c>
      <c r="J557">
        <v>12825</v>
      </c>
    </row>
    <row r="558" spans="1:10" x14ac:dyDescent="0.25">
      <c r="A558" t="s">
        <v>579</v>
      </c>
      <c r="B558" s="2">
        <v>44398</v>
      </c>
      <c r="C558" t="s">
        <v>13</v>
      </c>
      <c r="D558" t="s">
        <v>2035</v>
      </c>
      <c r="E558" t="s">
        <v>19</v>
      </c>
      <c r="F558" t="s">
        <v>24</v>
      </c>
      <c r="G558">
        <v>2</v>
      </c>
      <c r="H558">
        <v>13600</v>
      </c>
      <c r="I558" s="6">
        <v>0.1</v>
      </c>
      <c r="J558">
        <v>12240</v>
      </c>
    </row>
    <row r="559" spans="1:10" x14ac:dyDescent="0.25">
      <c r="A559" t="s">
        <v>580</v>
      </c>
      <c r="B559" s="2">
        <v>44399</v>
      </c>
      <c r="C559" t="s">
        <v>13</v>
      </c>
      <c r="D559" t="s">
        <v>2036</v>
      </c>
      <c r="E559" t="s">
        <v>20</v>
      </c>
      <c r="F559" t="s">
        <v>24</v>
      </c>
      <c r="G559">
        <v>4</v>
      </c>
      <c r="H559">
        <v>7100</v>
      </c>
      <c r="I559" s="6">
        <v>0.15000000000000002</v>
      </c>
      <c r="J559">
        <v>6035</v>
      </c>
    </row>
    <row r="560" spans="1:10" x14ac:dyDescent="0.25">
      <c r="A560" t="s">
        <v>581</v>
      </c>
      <c r="B560" s="2">
        <v>44400</v>
      </c>
      <c r="C560" t="s">
        <v>13</v>
      </c>
      <c r="D560" t="s">
        <v>2037</v>
      </c>
      <c r="E560" t="s">
        <v>21</v>
      </c>
      <c r="F560" t="s">
        <v>24</v>
      </c>
      <c r="G560">
        <v>6</v>
      </c>
      <c r="H560">
        <v>13000</v>
      </c>
      <c r="I560" s="6">
        <v>0.2</v>
      </c>
      <c r="J560">
        <v>10400</v>
      </c>
    </row>
    <row r="561" spans="1:10" x14ac:dyDescent="0.25">
      <c r="A561" t="s">
        <v>582</v>
      </c>
      <c r="B561" s="2">
        <v>44401</v>
      </c>
      <c r="C561" t="s">
        <v>13</v>
      </c>
      <c r="D561" t="s">
        <v>2038</v>
      </c>
      <c r="E561" t="s">
        <v>22</v>
      </c>
      <c r="F561" t="s">
        <v>24</v>
      </c>
      <c r="G561">
        <v>5</v>
      </c>
      <c r="H561">
        <v>6900</v>
      </c>
      <c r="I561" s="6">
        <v>0.25</v>
      </c>
      <c r="J561">
        <v>5175</v>
      </c>
    </row>
    <row r="562" spans="1:10" x14ac:dyDescent="0.25">
      <c r="A562" t="s">
        <v>583</v>
      </c>
      <c r="B562" s="2">
        <v>44402</v>
      </c>
      <c r="C562" t="s">
        <v>14</v>
      </c>
      <c r="D562" t="s">
        <v>2039</v>
      </c>
      <c r="E562" t="s">
        <v>19</v>
      </c>
      <c r="F562" t="s">
        <v>25</v>
      </c>
      <c r="G562">
        <v>5</v>
      </c>
      <c r="H562">
        <v>11900</v>
      </c>
      <c r="I562" s="6">
        <v>0.05</v>
      </c>
      <c r="J562">
        <v>11305</v>
      </c>
    </row>
    <row r="563" spans="1:10" x14ac:dyDescent="0.25">
      <c r="A563" t="s">
        <v>584</v>
      </c>
      <c r="B563" s="2">
        <v>44403</v>
      </c>
      <c r="C563" t="s">
        <v>14</v>
      </c>
      <c r="D563" t="s">
        <v>2040</v>
      </c>
      <c r="E563" t="s">
        <v>20</v>
      </c>
      <c r="F563" t="s">
        <v>25</v>
      </c>
      <c r="G563">
        <v>7</v>
      </c>
      <c r="H563">
        <v>13600</v>
      </c>
      <c r="I563" s="6">
        <v>0.1</v>
      </c>
      <c r="J563">
        <v>12240</v>
      </c>
    </row>
    <row r="564" spans="1:10" x14ac:dyDescent="0.25">
      <c r="A564" t="s">
        <v>585</v>
      </c>
      <c r="B564" s="2">
        <v>44404</v>
      </c>
      <c r="C564" t="s">
        <v>14</v>
      </c>
      <c r="D564" t="s">
        <v>2041</v>
      </c>
      <c r="E564" t="s">
        <v>21</v>
      </c>
      <c r="F564" t="s">
        <v>25</v>
      </c>
      <c r="G564">
        <v>10</v>
      </c>
      <c r="H564">
        <v>12500</v>
      </c>
      <c r="I564" s="6">
        <v>0.15000000000000002</v>
      </c>
      <c r="J564">
        <v>10625</v>
      </c>
    </row>
    <row r="565" spans="1:10" x14ac:dyDescent="0.25">
      <c r="A565" t="s">
        <v>586</v>
      </c>
      <c r="B565" s="2">
        <v>44405</v>
      </c>
      <c r="C565" t="s">
        <v>14</v>
      </c>
      <c r="D565" t="s">
        <v>2042</v>
      </c>
      <c r="E565" t="s">
        <v>22</v>
      </c>
      <c r="F565" t="s">
        <v>25</v>
      </c>
      <c r="G565">
        <v>8</v>
      </c>
      <c r="H565">
        <v>7200</v>
      </c>
      <c r="I565" s="6">
        <v>0.2</v>
      </c>
      <c r="J565">
        <v>5760</v>
      </c>
    </row>
    <row r="566" spans="1:10" x14ac:dyDescent="0.25">
      <c r="A566" t="s">
        <v>587</v>
      </c>
      <c r="B566" s="2">
        <v>44406</v>
      </c>
      <c r="C566" t="s">
        <v>14</v>
      </c>
      <c r="D566" t="s">
        <v>2043</v>
      </c>
      <c r="E566" t="s">
        <v>19</v>
      </c>
      <c r="F566" t="s">
        <v>25</v>
      </c>
      <c r="G566">
        <v>7</v>
      </c>
      <c r="H566">
        <v>11000</v>
      </c>
      <c r="I566" s="6">
        <v>0.25</v>
      </c>
      <c r="J566">
        <v>8250</v>
      </c>
    </row>
    <row r="567" spans="1:10" x14ac:dyDescent="0.25">
      <c r="A567" t="s">
        <v>588</v>
      </c>
      <c r="B567" s="2">
        <v>44407</v>
      </c>
      <c r="C567" t="s">
        <v>14</v>
      </c>
      <c r="D567" t="s">
        <v>2044</v>
      </c>
      <c r="E567" t="s">
        <v>20</v>
      </c>
      <c r="F567" t="s">
        <v>25</v>
      </c>
      <c r="G567">
        <v>1</v>
      </c>
      <c r="H567">
        <v>10800</v>
      </c>
      <c r="I567" s="6">
        <v>0.05</v>
      </c>
      <c r="J567">
        <v>10260</v>
      </c>
    </row>
    <row r="568" spans="1:10" x14ac:dyDescent="0.25">
      <c r="A568" t="s">
        <v>589</v>
      </c>
      <c r="B568" s="2">
        <v>44408</v>
      </c>
      <c r="C568" t="s">
        <v>14</v>
      </c>
      <c r="D568" t="s">
        <v>2045</v>
      </c>
      <c r="E568" t="s">
        <v>21</v>
      </c>
      <c r="F568" t="s">
        <v>25</v>
      </c>
      <c r="G568">
        <v>8</v>
      </c>
      <c r="H568">
        <v>13900</v>
      </c>
      <c r="I568" s="6">
        <v>0.1</v>
      </c>
      <c r="J568">
        <v>12510</v>
      </c>
    </row>
    <row r="569" spans="1:10" x14ac:dyDescent="0.25">
      <c r="A569" t="s">
        <v>590</v>
      </c>
      <c r="B569" s="2">
        <v>44409</v>
      </c>
      <c r="C569" t="s">
        <v>14</v>
      </c>
      <c r="D569" t="s">
        <v>2046</v>
      </c>
      <c r="E569" t="s">
        <v>22</v>
      </c>
      <c r="F569" t="s">
        <v>25</v>
      </c>
      <c r="G569">
        <v>8</v>
      </c>
      <c r="H569">
        <v>12700</v>
      </c>
      <c r="I569" s="6">
        <v>0.15000000000000002</v>
      </c>
      <c r="J569">
        <v>10795</v>
      </c>
    </row>
    <row r="570" spans="1:10" x14ac:dyDescent="0.25">
      <c r="A570" t="s">
        <v>591</v>
      </c>
      <c r="B570" s="2">
        <v>44410</v>
      </c>
      <c r="C570" t="s">
        <v>14</v>
      </c>
      <c r="D570" t="s">
        <v>2047</v>
      </c>
      <c r="E570" t="s">
        <v>19</v>
      </c>
      <c r="F570" t="s">
        <v>25</v>
      </c>
      <c r="G570">
        <v>7</v>
      </c>
      <c r="H570">
        <v>11500</v>
      </c>
      <c r="I570" s="6">
        <v>0.2</v>
      </c>
      <c r="J570">
        <v>9200</v>
      </c>
    </row>
    <row r="571" spans="1:10" x14ac:dyDescent="0.25">
      <c r="A571" t="s">
        <v>592</v>
      </c>
      <c r="B571" s="2">
        <v>44411</v>
      </c>
      <c r="C571" t="s">
        <v>14</v>
      </c>
      <c r="D571" t="s">
        <v>2048</v>
      </c>
      <c r="E571" t="s">
        <v>20</v>
      </c>
      <c r="F571" t="s">
        <v>25</v>
      </c>
      <c r="G571">
        <v>7</v>
      </c>
      <c r="H571">
        <v>7600</v>
      </c>
      <c r="I571" s="6">
        <v>0.25</v>
      </c>
      <c r="J571">
        <v>5700</v>
      </c>
    </row>
    <row r="572" spans="1:10" x14ac:dyDescent="0.25">
      <c r="A572" t="s">
        <v>593</v>
      </c>
      <c r="B572" s="2">
        <v>44412</v>
      </c>
      <c r="C572" t="s">
        <v>12</v>
      </c>
      <c r="D572" t="s">
        <v>15</v>
      </c>
      <c r="E572" t="s">
        <v>21</v>
      </c>
      <c r="F572" t="s">
        <v>23</v>
      </c>
      <c r="G572">
        <v>1</v>
      </c>
      <c r="H572">
        <v>14500</v>
      </c>
      <c r="I572" s="6">
        <v>0.05</v>
      </c>
      <c r="J572">
        <v>13775</v>
      </c>
    </row>
    <row r="573" spans="1:10" x14ac:dyDescent="0.25">
      <c r="A573" t="s">
        <v>594</v>
      </c>
      <c r="B573" s="2">
        <v>44413</v>
      </c>
      <c r="C573" t="s">
        <v>12</v>
      </c>
      <c r="D573" t="s">
        <v>17</v>
      </c>
      <c r="E573" t="s">
        <v>22</v>
      </c>
      <c r="F573" t="s">
        <v>23</v>
      </c>
      <c r="G573">
        <v>6</v>
      </c>
      <c r="H573">
        <v>5800</v>
      </c>
      <c r="I573" s="6">
        <v>0.1</v>
      </c>
      <c r="J573">
        <v>5220</v>
      </c>
    </row>
    <row r="574" spans="1:10" x14ac:dyDescent="0.25">
      <c r="A574" t="s">
        <v>595</v>
      </c>
      <c r="B574" s="2">
        <v>44414</v>
      </c>
      <c r="C574" t="s">
        <v>12</v>
      </c>
      <c r="D574" t="s">
        <v>2023</v>
      </c>
      <c r="E574" t="s">
        <v>19</v>
      </c>
      <c r="F574" t="s">
        <v>23</v>
      </c>
      <c r="G574">
        <v>6</v>
      </c>
      <c r="H574">
        <v>10700</v>
      </c>
      <c r="I574" s="6">
        <v>0.15000000000000002</v>
      </c>
      <c r="J574">
        <v>9095</v>
      </c>
    </row>
    <row r="575" spans="1:10" x14ac:dyDescent="0.25">
      <c r="A575" t="s">
        <v>596</v>
      </c>
      <c r="B575" s="2">
        <v>44415</v>
      </c>
      <c r="C575" t="s">
        <v>12</v>
      </c>
      <c r="D575" t="s">
        <v>18</v>
      </c>
      <c r="E575" t="s">
        <v>20</v>
      </c>
      <c r="F575" t="s">
        <v>23</v>
      </c>
      <c r="G575">
        <v>5</v>
      </c>
      <c r="H575">
        <v>4900</v>
      </c>
      <c r="I575" s="6">
        <v>0.2</v>
      </c>
      <c r="J575">
        <v>3920</v>
      </c>
    </row>
    <row r="576" spans="1:10" x14ac:dyDescent="0.25">
      <c r="A576" t="s">
        <v>597</v>
      </c>
      <c r="B576" s="2">
        <v>44416</v>
      </c>
      <c r="C576" t="s">
        <v>12</v>
      </c>
      <c r="D576" t="s">
        <v>2024</v>
      </c>
      <c r="E576" t="s">
        <v>21</v>
      </c>
      <c r="F576" t="s">
        <v>23</v>
      </c>
      <c r="G576">
        <v>10</v>
      </c>
      <c r="H576">
        <v>8400</v>
      </c>
      <c r="I576" s="6">
        <v>0.25</v>
      </c>
      <c r="J576">
        <v>6300</v>
      </c>
    </row>
    <row r="577" spans="1:10" x14ac:dyDescent="0.25">
      <c r="A577" t="s">
        <v>598</v>
      </c>
      <c r="B577" s="2">
        <v>44417</v>
      </c>
      <c r="C577" t="s">
        <v>12</v>
      </c>
      <c r="D577" t="s">
        <v>2025</v>
      </c>
      <c r="E577" t="s">
        <v>22</v>
      </c>
      <c r="F577" t="s">
        <v>23</v>
      </c>
      <c r="G577">
        <v>5</v>
      </c>
      <c r="H577">
        <v>10800</v>
      </c>
      <c r="I577" s="6">
        <v>0.05</v>
      </c>
      <c r="J577">
        <v>10260</v>
      </c>
    </row>
    <row r="578" spans="1:10" x14ac:dyDescent="0.25">
      <c r="A578" t="s">
        <v>599</v>
      </c>
      <c r="B578" s="2">
        <v>44418</v>
      </c>
      <c r="C578" t="s">
        <v>12</v>
      </c>
      <c r="D578" t="s">
        <v>2026</v>
      </c>
      <c r="E578" t="s">
        <v>19</v>
      </c>
      <c r="F578" t="s">
        <v>23</v>
      </c>
      <c r="G578">
        <v>5</v>
      </c>
      <c r="H578">
        <v>13500</v>
      </c>
      <c r="I578" s="6">
        <v>0.1</v>
      </c>
      <c r="J578">
        <v>12150</v>
      </c>
    </row>
    <row r="579" spans="1:10" x14ac:dyDescent="0.25">
      <c r="A579" t="s">
        <v>600</v>
      </c>
      <c r="B579" s="2">
        <v>44419</v>
      </c>
      <c r="C579" t="s">
        <v>12</v>
      </c>
      <c r="D579" t="s">
        <v>2027</v>
      </c>
      <c r="E579" t="s">
        <v>20</v>
      </c>
      <c r="F579" t="s">
        <v>23</v>
      </c>
      <c r="G579">
        <v>8</v>
      </c>
      <c r="H579">
        <v>9600</v>
      </c>
      <c r="I579" s="6">
        <v>0.15000000000000002</v>
      </c>
      <c r="J579">
        <v>8160</v>
      </c>
    </row>
    <row r="580" spans="1:10" x14ac:dyDescent="0.25">
      <c r="A580" t="s">
        <v>601</v>
      </c>
      <c r="B580" s="2">
        <v>44420</v>
      </c>
      <c r="C580" t="s">
        <v>12</v>
      </c>
      <c r="D580" t="s">
        <v>2028</v>
      </c>
      <c r="E580" t="s">
        <v>21</v>
      </c>
      <c r="F580" t="s">
        <v>23</v>
      </c>
      <c r="G580">
        <v>6</v>
      </c>
      <c r="H580">
        <v>8100</v>
      </c>
      <c r="I580" s="6">
        <v>0.2</v>
      </c>
      <c r="J580">
        <v>6480</v>
      </c>
    </row>
    <row r="581" spans="1:10" x14ac:dyDescent="0.25">
      <c r="A581" t="s">
        <v>602</v>
      </c>
      <c r="B581" s="2">
        <v>44421</v>
      </c>
      <c r="C581" t="s">
        <v>12</v>
      </c>
      <c r="D581" t="s">
        <v>2029</v>
      </c>
      <c r="E581" t="s">
        <v>22</v>
      </c>
      <c r="F581" t="s">
        <v>23</v>
      </c>
      <c r="G581">
        <v>6</v>
      </c>
      <c r="H581">
        <v>5400</v>
      </c>
      <c r="I581" s="6">
        <v>0.25</v>
      </c>
      <c r="J581">
        <v>4050</v>
      </c>
    </row>
    <row r="582" spans="1:10" x14ac:dyDescent="0.25">
      <c r="A582" t="s">
        <v>603</v>
      </c>
      <c r="B582" s="2">
        <v>44422</v>
      </c>
      <c r="C582" t="s">
        <v>13</v>
      </c>
      <c r="D582" t="s">
        <v>16</v>
      </c>
      <c r="E582" t="s">
        <v>19</v>
      </c>
      <c r="F582" t="s">
        <v>24</v>
      </c>
      <c r="G582">
        <v>4</v>
      </c>
      <c r="H582">
        <v>5200</v>
      </c>
      <c r="I582" s="6">
        <v>0.05</v>
      </c>
      <c r="J582">
        <v>4940</v>
      </c>
    </row>
    <row r="583" spans="1:10" x14ac:dyDescent="0.25">
      <c r="A583" t="s">
        <v>604</v>
      </c>
      <c r="B583" s="2">
        <v>44423</v>
      </c>
      <c r="C583" t="s">
        <v>13</v>
      </c>
      <c r="D583" t="s">
        <v>2030</v>
      </c>
      <c r="E583" t="s">
        <v>20</v>
      </c>
      <c r="F583" t="s">
        <v>24</v>
      </c>
      <c r="G583">
        <v>10</v>
      </c>
      <c r="H583">
        <v>6300</v>
      </c>
      <c r="I583" s="6">
        <v>0.1</v>
      </c>
      <c r="J583">
        <v>5670</v>
      </c>
    </row>
    <row r="584" spans="1:10" x14ac:dyDescent="0.25">
      <c r="A584" t="s">
        <v>605</v>
      </c>
      <c r="B584" s="2">
        <v>44424</v>
      </c>
      <c r="C584" t="s">
        <v>13</v>
      </c>
      <c r="D584" t="s">
        <v>2031</v>
      </c>
      <c r="E584" t="s">
        <v>21</v>
      </c>
      <c r="F584" t="s">
        <v>24</v>
      </c>
      <c r="G584">
        <v>9</v>
      </c>
      <c r="H584">
        <v>8200</v>
      </c>
      <c r="I584" s="6">
        <v>0.15000000000000002</v>
      </c>
      <c r="J584">
        <v>6970</v>
      </c>
    </row>
    <row r="585" spans="1:10" x14ac:dyDescent="0.25">
      <c r="A585" t="s">
        <v>606</v>
      </c>
      <c r="B585" s="2">
        <v>44425</v>
      </c>
      <c r="C585" t="s">
        <v>13</v>
      </c>
      <c r="D585" t="s">
        <v>2032</v>
      </c>
      <c r="E585" t="s">
        <v>22</v>
      </c>
      <c r="F585" t="s">
        <v>24</v>
      </c>
      <c r="G585">
        <v>7</v>
      </c>
      <c r="H585">
        <v>13000</v>
      </c>
      <c r="I585" s="6">
        <v>0.2</v>
      </c>
      <c r="J585">
        <v>10400</v>
      </c>
    </row>
    <row r="586" spans="1:10" x14ac:dyDescent="0.25">
      <c r="A586" t="s">
        <v>607</v>
      </c>
      <c r="B586" s="2">
        <v>44426</v>
      </c>
      <c r="C586" t="s">
        <v>13</v>
      </c>
      <c r="D586" t="s">
        <v>2033</v>
      </c>
      <c r="E586" t="s">
        <v>19</v>
      </c>
      <c r="F586" t="s">
        <v>24</v>
      </c>
      <c r="G586">
        <v>6</v>
      </c>
      <c r="H586">
        <v>11500</v>
      </c>
      <c r="I586" s="6">
        <v>0.25</v>
      </c>
      <c r="J586">
        <v>8625</v>
      </c>
    </row>
    <row r="587" spans="1:10" x14ac:dyDescent="0.25">
      <c r="A587" t="s">
        <v>608</v>
      </c>
      <c r="B587" s="2">
        <v>44427</v>
      </c>
      <c r="C587" t="s">
        <v>13</v>
      </c>
      <c r="D587" t="s">
        <v>2034</v>
      </c>
      <c r="E587" t="s">
        <v>20</v>
      </c>
      <c r="F587" t="s">
        <v>24</v>
      </c>
      <c r="G587">
        <v>1</v>
      </c>
      <c r="H587">
        <v>8300</v>
      </c>
      <c r="I587" s="6">
        <v>0.05</v>
      </c>
      <c r="J587">
        <v>7885</v>
      </c>
    </row>
    <row r="588" spans="1:10" x14ac:dyDescent="0.25">
      <c r="A588" t="s">
        <v>609</v>
      </c>
      <c r="B588" s="2">
        <v>44428</v>
      </c>
      <c r="C588" t="s">
        <v>13</v>
      </c>
      <c r="D588" t="s">
        <v>2035</v>
      </c>
      <c r="E588" t="s">
        <v>21</v>
      </c>
      <c r="F588" t="s">
        <v>24</v>
      </c>
      <c r="G588">
        <v>10</v>
      </c>
      <c r="H588">
        <v>6700</v>
      </c>
      <c r="I588" s="6">
        <v>0.1</v>
      </c>
      <c r="J588">
        <v>6030</v>
      </c>
    </row>
    <row r="589" spans="1:10" x14ac:dyDescent="0.25">
      <c r="A589" t="s">
        <v>610</v>
      </c>
      <c r="B589" s="2">
        <v>44429</v>
      </c>
      <c r="C589" t="s">
        <v>13</v>
      </c>
      <c r="D589" t="s">
        <v>2036</v>
      </c>
      <c r="E589" t="s">
        <v>22</v>
      </c>
      <c r="F589" t="s">
        <v>24</v>
      </c>
      <c r="G589">
        <v>4</v>
      </c>
      <c r="H589">
        <v>13300</v>
      </c>
      <c r="I589" s="6">
        <v>0.15000000000000002</v>
      </c>
      <c r="J589">
        <v>11305</v>
      </c>
    </row>
    <row r="590" spans="1:10" x14ac:dyDescent="0.25">
      <c r="A590" t="s">
        <v>611</v>
      </c>
      <c r="B590" s="2">
        <v>44430</v>
      </c>
      <c r="C590" t="s">
        <v>13</v>
      </c>
      <c r="D590" t="s">
        <v>2037</v>
      </c>
      <c r="E590" t="s">
        <v>19</v>
      </c>
      <c r="F590" t="s">
        <v>24</v>
      </c>
      <c r="G590">
        <v>7</v>
      </c>
      <c r="H590">
        <v>6100</v>
      </c>
      <c r="I590" s="6">
        <v>0.2</v>
      </c>
      <c r="J590">
        <v>4880</v>
      </c>
    </row>
    <row r="591" spans="1:10" x14ac:dyDescent="0.25">
      <c r="A591" t="s">
        <v>612</v>
      </c>
      <c r="B591" s="2">
        <v>44431</v>
      </c>
      <c r="C591" t="s">
        <v>13</v>
      </c>
      <c r="D591" t="s">
        <v>2038</v>
      </c>
      <c r="E591" t="s">
        <v>20</v>
      </c>
      <c r="F591" t="s">
        <v>24</v>
      </c>
      <c r="G591">
        <v>5</v>
      </c>
      <c r="H591">
        <v>12500</v>
      </c>
      <c r="I591" s="6">
        <v>0.25</v>
      </c>
      <c r="J591">
        <v>9375</v>
      </c>
    </row>
    <row r="592" spans="1:10" x14ac:dyDescent="0.25">
      <c r="A592" t="s">
        <v>613</v>
      </c>
      <c r="B592" s="2">
        <v>44432</v>
      </c>
      <c r="C592" t="s">
        <v>14</v>
      </c>
      <c r="D592" t="s">
        <v>2039</v>
      </c>
      <c r="E592" t="s">
        <v>21</v>
      </c>
      <c r="F592" t="s">
        <v>25</v>
      </c>
      <c r="G592">
        <v>3</v>
      </c>
      <c r="H592">
        <v>4100</v>
      </c>
      <c r="I592" s="6">
        <v>0.05</v>
      </c>
      <c r="J592">
        <v>3895</v>
      </c>
    </row>
    <row r="593" spans="1:10" x14ac:dyDescent="0.25">
      <c r="A593" t="s">
        <v>614</v>
      </c>
      <c r="B593" s="2">
        <v>44433</v>
      </c>
      <c r="C593" t="s">
        <v>14</v>
      </c>
      <c r="D593" t="s">
        <v>2040</v>
      </c>
      <c r="E593" t="s">
        <v>22</v>
      </c>
      <c r="F593" t="s">
        <v>25</v>
      </c>
      <c r="G593">
        <v>7</v>
      </c>
      <c r="H593">
        <v>9300</v>
      </c>
      <c r="I593" s="6">
        <v>0.1</v>
      </c>
      <c r="J593">
        <v>8370</v>
      </c>
    </row>
    <row r="594" spans="1:10" x14ac:dyDescent="0.25">
      <c r="A594" t="s">
        <v>615</v>
      </c>
      <c r="B594" s="2">
        <v>44434</v>
      </c>
      <c r="C594" t="s">
        <v>14</v>
      </c>
      <c r="D594" t="s">
        <v>2041</v>
      </c>
      <c r="E594" t="s">
        <v>19</v>
      </c>
      <c r="F594" t="s">
        <v>25</v>
      </c>
      <c r="G594">
        <v>9</v>
      </c>
      <c r="H594">
        <v>14100</v>
      </c>
      <c r="I594" s="6">
        <v>0.15000000000000002</v>
      </c>
      <c r="J594">
        <v>11985</v>
      </c>
    </row>
    <row r="595" spans="1:10" x14ac:dyDescent="0.25">
      <c r="A595" t="s">
        <v>616</v>
      </c>
      <c r="B595" s="2">
        <v>44435</v>
      </c>
      <c r="C595" t="s">
        <v>14</v>
      </c>
      <c r="D595" t="s">
        <v>2042</v>
      </c>
      <c r="E595" t="s">
        <v>20</v>
      </c>
      <c r="F595" t="s">
        <v>25</v>
      </c>
      <c r="G595">
        <v>9</v>
      </c>
      <c r="H595">
        <v>13100</v>
      </c>
      <c r="I595" s="6">
        <v>0.2</v>
      </c>
      <c r="J595">
        <v>10480</v>
      </c>
    </row>
    <row r="596" spans="1:10" x14ac:dyDescent="0.25">
      <c r="A596" t="s">
        <v>617</v>
      </c>
      <c r="B596" s="2">
        <v>44436</v>
      </c>
      <c r="C596" t="s">
        <v>14</v>
      </c>
      <c r="D596" t="s">
        <v>2043</v>
      </c>
      <c r="E596" t="s">
        <v>21</v>
      </c>
      <c r="F596" t="s">
        <v>25</v>
      </c>
      <c r="G596">
        <v>8</v>
      </c>
      <c r="H596">
        <v>14400</v>
      </c>
      <c r="I596" s="6">
        <v>0.25</v>
      </c>
      <c r="J596">
        <v>10800</v>
      </c>
    </row>
    <row r="597" spans="1:10" x14ac:dyDescent="0.25">
      <c r="A597" t="s">
        <v>618</v>
      </c>
      <c r="B597" s="2">
        <v>44437</v>
      </c>
      <c r="C597" t="s">
        <v>14</v>
      </c>
      <c r="D597" t="s">
        <v>2044</v>
      </c>
      <c r="E597" t="s">
        <v>22</v>
      </c>
      <c r="F597" t="s">
        <v>25</v>
      </c>
      <c r="G597">
        <v>1</v>
      </c>
      <c r="H597">
        <v>14900</v>
      </c>
      <c r="I597" s="6">
        <v>0.05</v>
      </c>
      <c r="J597">
        <v>14155</v>
      </c>
    </row>
    <row r="598" spans="1:10" x14ac:dyDescent="0.25">
      <c r="A598" t="s">
        <v>619</v>
      </c>
      <c r="B598" s="2">
        <v>44438</v>
      </c>
      <c r="C598" t="s">
        <v>14</v>
      </c>
      <c r="D598" t="s">
        <v>2045</v>
      </c>
      <c r="E598" t="s">
        <v>19</v>
      </c>
      <c r="F598" t="s">
        <v>25</v>
      </c>
      <c r="G598">
        <v>2</v>
      </c>
      <c r="H598">
        <v>4700</v>
      </c>
      <c r="I598" s="6">
        <v>0.1</v>
      </c>
      <c r="J598">
        <v>4230</v>
      </c>
    </row>
    <row r="599" spans="1:10" x14ac:dyDescent="0.25">
      <c r="A599" t="s">
        <v>620</v>
      </c>
      <c r="B599" s="2">
        <v>44439</v>
      </c>
      <c r="C599" t="s">
        <v>14</v>
      </c>
      <c r="D599" t="s">
        <v>2046</v>
      </c>
      <c r="E599" t="s">
        <v>20</v>
      </c>
      <c r="F599" t="s">
        <v>25</v>
      </c>
      <c r="G599">
        <v>4</v>
      </c>
      <c r="H599">
        <v>14400</v>
      </c>
      <c r="I599" s="6">
        <v>0.15000000000000002</v>
      </c>
      <c r="J599">
        <v>12240</v>
      </c>
    </row>
    <row r="600" spans="1:10" x14ac:dyDescent="0.25">
      <c r="A600" t="s">
        <v>621</v>
      </c>
      <c r="B600" s="2">
        <v>44440</v>
      </c>
      <c r="C600" t="s">
        <v>14</v>
      </c>
      <c r="D600" t="s">
        <v>2047</v>
      </c>
      <c r="E600" t="s">
        <v>21</v>
      </c>
      <c r="F600" t="s">
        <v>25</v>
      </c>
      <c r="G600">
        <v>9</v>
      </c>
      <c r="H600">
        <v>13800</v>
      </c>
      <c r="I600" s="6">
        <v>0.2</v>
      </c>
      <c r="J600">
        <v>11040</v>
      </c>
    </row>
    <row r="601" spans="1:10" x14ac:dyDescent="0.25">
      <c r="A601" t="s">
        <v>622</v>
      </c>
      <c r="B601" s="2">
        <v>44441</v>
      </c>
      <c r="C601" t="s">
        <v>14</v>
      </c>
      <c r="D601" t="s">
        <v>2048</v>
      </c>
      <c r="E601" t="s">
        <v>22</v>
      </c>
      <c r="F601" t="s">
        <v>25</v>
      </c>
      <c r="G601">
        <v>6</v>
      </c>
      <c r="H601">
        <v>4000</v>
      </c>
      <c r="I601" s="6">
        <v>0.25</v>
      </c>
      <c r="J601">
        <v>3000</v>
      </c>
    </row>
    <row r="602" spans="1:10" x14ac:dyDescent="0.25">
      <c r="A602" t="s">
        <v>623</v>
      </c>
      <c r="B602" s="2">
        <v>44442</v>
      </c>
      <c r="C602" t="s">
        <v>12</v>
      </c>
      <c r="D602" t="s">
        <v>15</v>
      </c>
      <c r="E602" t="s">
        <v>19</v>
      </c>
      <c r="F602" t="s">
        <v>23</v>
      </c>
      <c r="G602">
        <v>2</v>
      </c>
      <c r="H602">
        <v>12100</v>
      </c>
      <c r="I602" s="6">
        <v>0.05</v>
      </c>
      <c r="J602">
        <v>11495</v>
      </c>
    </row>
    <row r="603" spans="1:10" x14ac:dyDescent="0.25">
      <c r="A603" t="s">
        <v>624</v>
      </c>
      <c r="B603" s="2">
        <v>44443</v>
      </c>
      <c r="C603" t="s">
        <v>12</v>
      </c>
      <c r="D603" t="s">
        <v>17</v>
      </c>
      <c r="E603" t="s">
        <v>20</v>
      </c>
      <c r="F603" t="s">
        <v>23</v>
      </c>
      <c r="G603">
        <v>6</v>
      </c>
      <c r="H603">
        <v>8700</v>
      </c>
      <c r="I603" s="6">
        <v>0.1</v>
      </c>
      <c r="J603">
        <v>7830</v>
      </c>
    </row>
    <row r="604" spans="1:10" x14ac:dyDescent="0.25">
      <c r="A604" t="s">
        <v>625</v>
      </c>
      <c r="B604" s="2">
        <v>44444</v>
      </c>
      <c r="C604" t="s">
        <v>12</v>
      </c>
      <c r="D604" t="s">
        <v>2023</v>
      </c>
      <c r="E604" t="s">
        <v>21</v>
      </c>
      <c r="F604" t="s">
        <v>23</v>
      </c>
      <c r="G604">
        <v>2</v>
      </c>
      <c r="H604">
        <v>11100</v>
      </c>
      <c r="I604" s="6">
        <v>0.15000000000000002</v>
      </c>
      <c r="J604">
        <v>9435</v>
      </c>
    </row>
    <row r="605" spans="1:10" x14ac:dyDescent="0.25">
      <c r="A605" t="s">
        <v>626</v>
      </c>
      <c r="B605" s="2">
        <v>44445</v>
      </c>
      <c r="C605" t="s">
        <v>12</v>
      </c>
      <c r="D605" t="s">
        <v>18</v>
      </c>
      <c r="E605" t="s">
        <v>22</v>
      </c>
      <c r="F605" t="s">
        <v>23</v>
      </c>
      <c r="G605">
        <v>4</v>
      </c>
      <c r="H605">
        <v>11700</v>
      </c>
      <c r="I605" s="6">
        <v>0.2</v>
      </c>
      <c r="J605">
        <v>9360</v>
      </c>
    </row>
    <row r="606" spans="1:10" x14ac:dyDescent="0.25">
      <c r="A606" t="s">
        <v>627</v>
      </c>
      <c r="B606" s="2">
        <v>44446</v>
      </c>
      <c r="C606" t="s">
        <v>12</v>
      </c>
      <c r="D606" t="s">
        <v>2024</v>
      </c>
      <c r="E606" t="s">
        <v>19</v>
      </c>
      <c r="F606" t="s">
        <v>23</v>
      </c>
      <c r="G606">
        <v>7</v>
      </c>
      <c r="H606">
        <v>13200</v>
      </c>
      <c r="I606" s="6">
        <v>0.25</v>
      </c>
      <c r="J606">
        <v>9900</v>
      </c>
    </row>
    <row r="607" spans="1:10" x14ac:dyDescent="0.25">
      <c r="A607" t="s">
        <v>628</v>
      </c>
      <c r="B607" s="2">
        <v>44447</v>
      </c>
      <c r="C607" t="s">
        <v>12</v>
      </c>
      <c r="D607" t="s">
        <v>2025</v>
      </c>
      <c r="E607" t="s">
        <v>20</v>
      </c>
      <c r="F607" t="s">
        <v>23</v>
      </c>
      <c r="G607">
        <v>1</v>
      </c>
      <c r="H607">
        <v>5700</v>
      </c>
      <c r="I607" s="6">
        <v>0.05</v>
      </c>
      <c r="J607">
        <v>5415</v>
      </c>
    </row>
    <row r="608" spans="1:10" x14ac:dyDescent="0.25">
      <c r="A608" t="s">
        <v>629</v>
      </c>
      <c r="B608" s="2">
        <v>44448</v>
      </c>
      <c r="C608" t="s">
        <v>12</v>
      </c>
      <c r="D608" t="s">
        <v>2026</v>
      </c>
      <c r="E608" t="s">
        <v>21</v>
      </c>
      <c r="F608" t="s">
        <v>23</v>
      </c>
      <c r="G608">
        <v>5</v>
      </c>
      <c r="H608">
        <v>7800</v>
      </c>
      <c r="I608" s="6">
        <v>0.1</v>
      </c>
      <c r="J608">
        <v>7020</v>
      </c>
    </row>
    <row r="609" spans="1:10" x14ac:dyDescent="0.25">
      <c r="A609" t="s">
        <v>630</v>
      </c>
      <c r="B609" s="2">
        <v>44449</v>
      </c>
      <c r="C609" t="s">
        <v>12</v>
      </c>
      <c r="D609" t="s">
        <v>2027</v>
      </c>
      <c r="E609" t="s">
        <v>22</v>
      </c>
      <c r="F609" t="s">
        <v>23</v>
      </c>
      <c r="G609">
        <v>4</v>
      </c>
      <c r="H609">
        <v>10600</v>
      </c>
      <c r="I609" s="6">
        <v>0.15000000000000002</v>
      </c>
      <c r="J609">
        <v>9010</v>
      </c>
    </row>
    <row r="610" spans="1:10" x14ac:dyDescent="0.25">
      <c r="A610" t="s">
        <v>631</v>
      </c>
      <c r="B610" s="2">
        <v>44450</v>
      </c>
      <c r="C610" t="s">
        <v>12</v>
      </c>
      <c r="D610" t="s">
        <v>2028</v>
      </c>
      <c r="E610" t="s">
        <v>19</v>
      </c>
      <c r="F610" t="s">
        <v>23</v>
      </c>
      <c r="G610">
        <v>2</v>
      </c>
      <c r="H610">
        <v>9200</v>
      </c>
      <c r="I610" s="6">
        <v>0.2</v>
      </c>
      <c r="J610">
        <v>7360</v>
      </c>
    </row>
    <row r="611" spans="1:10" x14ac:dyDescent="0.25">
      <c r="A611" t="s">
        <v>632</v>
      </c>
      <c r="B611" s="2">
        <v>44451</v>
      </c>
      <c r="C611" t="s">
        <v>12</v>
      </c>
      <c r="D611" t="s">
        <v>2029</v>
      </c>
      <c r="E611" t="s">
        <v>20</v>
      </c>
      <c r="F611" t="s">
        <v>23</v>
      </c>
      <c r="G611">
        <v>8</v>
      </c>
      <c r="H611">
        <v>5900</v>
      </c>
      <c r="I611" s="6">
        <v>0.25</v>
      </c>
      <c r="J611">
        <v>4425</v>
      </c>
    </row>
    <row r="612" spans="1:10" x14ac:dyDescent="0.25">
      <c r="A612" t="s">
        <v>633</v>
      </c>
      <c r="B612" s="2">
        <v>44452</v>
      </c>
      <c r="C612" t="s">
        <v>13</v>
      </c>
      <c r="D612" t="s">
        <v>16</v>
      </c>
      <c r="E612" t="s">
        <v>21</v>
      </c>
      <c r="F612" t="s">
        <v>24</v>
      </c>
      <c r="G612">
        <v>3</v>
      </c>
      <c r="H612">
        <v>4400</v>
      </c>
      <c r="I612" s="6">
        <v>0.05</v>
      </c>
      <c r="J612">
        <v>4180</v>
      </c>
    </row>
    <row r="613" spans="1:10" x14ac:dyDescent="0.25">
      <c r="A613" t="s">
        <v>634</v>
      </c>
      <c r="B613" s="2">
        <v>44453</v>
      </c>
      <c r="C613" t="s">
        <v>13</v>
      </c>
      <c r="D613" t="s">
        <v>2030</v>
      </c>
      <c r="E613" t="s">
        <v>22</v>
      </c>
      <c r="F613" t="s">
        <v>24</v>
      </c>
      <c r="G613">
        <v>8</v>
      </c>
      <c r="H613">
        <v>6400</v>
      </c>
      <c r="I613" s="6">
        <v>0.1</v>
      </c>
      <c r="J613">
        <v>5760</v>
      </c>
    </row>
    <row r="614" spans="1:10" x14ac:dyDescent="0.25">
      <c r="A614" t="s">
        <v>635</v>
      </c>
      <c r="B614" s="2">
        <v>44454</v>
      </c>
      <c r="C614" t="s">
        <v>13</v>
      </c>
      <c r="D614" t="s">
        <v>2031</v>
      </c>
      <c r="E614" t="s">
        <v>19</v>
      </c>
      <c r="F614" t="s">
        <v>24</v>
      </c>
      <c r="G614">
        <v>5</v>
      </c>
      <c r="H614">
        <v>7500</v>
      </c>
      <c r="I614" s="6">
        <v>0.15000000000000002</v>
      </c>
      <c r="J614">
        <v>6375</v>
      </c>
    </row>
    <row r="615" spans="1:10" x14ac:dyDescent="0.25">
      <c r="A615" t="s">
        <v>636</v>
      </c>
      <c r="B615" s="2">
        <v>44455</v>
      </c>
      <c r="C615" t="s">
        <v>13</v>
      </c>
      <c r="D615" t="s">
        <v>2032</v>
      </c>
      <c r="E615" t="s">
        <v>20</v>
      </c>
      <c r="F615" t="s">
        <v>24</v>
      </c>
      <c r="G615">
        <v>8</v>
      </c>
      <c r="H615">
        <v>14100</v>
      </c>
      <c r="I615" s="6">
        <v>0.2</v>
      </c>
      <c r="J615">
        <v>11280</v>
      </c>
    </row>
    <row r="616" spans="1:10" x14ac:dyDescent="0.25">
      <c r="A616" t="s">
        <v>637</v>
      </c>
      <c r="B616" s="2">
        <v>44456</v>
      </c>
      <c r="C616" t="s">
        <v>13</v>
      </c>
      <c r="D616" t="s">
        <v>2033</v>
      </c>
      <c r="E616" t="s">
        <v>21</v>
      </c>
      <c r="F616" t="s">
        <v>24</v>
      </c>
      <c r="G616">
        <v>6</v>
      </c>
      <c r="H616">
        <v>4500</v>
      </c>
      <c r="I616" s="6">
        <v>0.25</v>
      </c>
      <c r="J616">
        <v>3375</v>
      </c>
    </row>
    <row r="617" spans="1:10" x14ac:dyDescent="0.25">
      <c r="A617" t="s">
        <v>638</v>
      </c>
      <c r="B617" s="2">
        <v>44457</v>
      </c>
      <c r="C617" t="s">
        <v>13</v>
      </c>
      <c r="D617" t="s">
        <v>2034</v>
      </c>
      <c r="E617" t="s">
        <v>22</v>
      </c>
      <c r="F617" t="s">
        <v>24</v>
      </c>
      <c r="G617">
        <v>2</v>
      </c>
      <c r="H617">
        <v>12500</v>
      </c>
      <c r="I617" s="6">
        <v>0.05</v>
      </c>
      <c r="J617">
        <v>11875</v>
      </c>
    </row>
    <row r="618" spans="1:10" x14ac:dyDescent="0.25">
      <c r="A618" t="s">
        <v>639</v>
      </c>
      <c r="B618" s="2">
        <v>44458</v>
      </c>
      <c r="C618" t="s">
        <v>13</v>
      </c>
      <c r="D618" t="s">
        <v>2035</v>
      </c>
      <c r="E618" t="s">
        <v>19</v>
      </c>
      <c r="F618" t="s">
        <v>24</v>
      </c>
      <c r="G618">
        <v>1</v>
      </c>
      <c r="H618">
        <v>7400</v>
      </c>
      <c r="I618" s="6">
        <v>0.1</v>
      </c>
      <c r="J618">
        <v>6660</v>
      </c>
    </row>
    <row r="619" spans="1:10" x14ac:dyDescent="0.25">
      <c r="A619" t="s">
        <v>640</v>
      </c>
      <c r="B619" s="2">
        <v>44459</v>
      </c>
      <c r="C619" t="s">
        <v>13</v>
      </c>
      <c r="D619" t="s">
        <v>2036</v>
      </c>
      <c r="E619" t="s">
        <v>20</v>
      </c>
      <c r="F619" t="s">
        <v>24</v>
      </c>
      <c r="G619">
        <v>8</v>
      </c>
      <c r="H619">
        <v>6800</v>
      </c>
      <c r="I619" s="6">
        <v>0.15000000000000002</v>
      </c>
      <c r="J619">
        <v>5780</v>
      </c>
    </row>
    <row r="620" spans="1:10" x14ac:dyDescent="0.25">
      <c r="A620" t="s">
        <v>641</v>
      </c>
      <c r="B620" s="2">
        <v>44460</v>
      </c>
      <c r="C620" t="s">
        <v>13</v>
      </c>
      <c r="D620" t="s">
        <v>2037</v>
      </c>
      <c r="E620" t="s">
        <v>21</v>
      </c>
      <c r="F620" t="s">
        <v>24</v>
      </c>
      <c r="G620">
        <v>7</v>
      </c>
      <c r="H620">
        <v>14600</v>
      </c>
      <c r="I620" s="6">
        <v>0.2</v>
      </c>
      <c r="J620">
        <v>11680</v>
      </c>
    </row>
    <row r="621" spans="1:10" x14ac:dyDescent="0.25">
      <c r="A621" t="s">
        <v>642</v>
      </c>
      <c r="B621" s="2">
        <v>44461</v>
      </c>
      <c r="C621" t="s">
        <v>13</v>
      </c>
      <c r="D621" t="s">
        <v>2038</v>
      </c>
      <c r="E621" t="s">
        <v>22</v>
      </c>
      <c r="F621" t="s">
        <v>24</v>
      </c>
      <c r="G621">
        <v>9</v>
      </c>
      <c r="H621">
        <v>12300</v>
      </c>
      <c r="I621" s="6">
        <v>0.25</v>
      </c>
      <c r="J621">
        <v>9225</v>
      </c>
    </row>
    <row r="622" spans="1:10" x14ac:dyDescent="0.25">
      <c r="A622" t="s">
        <v>643</v>
      </c>
      <c r="B622" s="2">
        <v>44462</v>
      </c>
      <c r="C622" t="s">
        <v>14</v>
      </c>
      <c r="D622" t="s">
        <v>2039</v>
      </c>
      <c r="E622" t="s">
        <v>19</v>
      </c>
      <c r="F622" t="s">
        <v>25</v>
      </c>
      <c r="G622">
        <v>6</v>
      </c>
      <c r="H622">
        <v>11600</v>
      </c>
      <c r="I622" s="6">
        <v>0.05</v>
      </c>
      <c r="J622">
        <v>11020</v>
      </c>
    </row>
    <row r="623" spans="1:10" x14ac:dyDescent="0.25">
      <c r="A623" t="s">
        <v>644</v>
      </c>
      <c r="B623" s="2">
        <v>44463</v>
      </c>
      <c r="C623" t="s">
        <v>14</v>
      </c>
      <c r="D623" t="s">
        <v>2040</v>
      </c>
      <c r="E623" t="s">
        <v>20</v>
      </c>
      <c r="F623" t="s">
        <v>25</v>
      </c>
      <c r="G623">
        <v>7</v>
      </c>
      <c r="H623">
        <v>14700</v>
      </c>
      <c r="I623" s="6">
        <v>0.1</v>
      </c>
      <c r="J623">
        <v>13230</v>
      </c>
    </row>
    <row r="624" spans="1:10" x14ac:dyDescent="0.25">
      <c r="A624" t="s">
        <v>645</v>
      </c>
      <c r="B624" s="2">
        <v>44464</v>
      </c>
      <c r="C624" t="s">
        <v>14</v>
      </c>
      <c r="D624" t="s">
        <v>2041</v>
      </c>
      <c r="E624" t="s">
        <v>21</v>
      </c>
      <c r="F624" t="s">
        <v>25</v>
      </c>
      <c r="G624">
        <v>7</v>
      </c>
      <c r="H624">
        <v>14100</v>
      </c>
      <c r="I624" s="6">
        <v>0.15000000000000002</v>
      </c>
      <c r="J624">
        <v>11985</v>
      </c>
    </row>
    <row r="625" spans="1:10" x14ac:dyDescent="0.25">
      <c r="A625" t="s">
        <v>646</v>
      </c>
      <c r="B625" s="2">
        <v>44465</v>
      </c>
      <c r="C625" t="s">
        <v>14</v>
      </c>
      <c r="D625" t="s">
        <v>2042</v>
      </c>
      <c r="E625" t="s">
        <v>22</v>
      </c>
      <c r="F625" t="s">
        <v>25</v>
      </c>
      <c r="G625">
        <v>5</v>
      </c>
      <c r="H625">
        <v>11500</v>
      </c>
      <c r="I625" s="6">
        <v>0.2</v>
      </c>
      <c r="J625">
        <v>9200</v>
      </c>
    </row>
    <row r="626" spans="1:10" x14ac:dyDescent="0.25">
      <c r="A626" t="s">
        <v>647</v>
      </c>
      <c r="B626" s="2">
        <v>44466</v>
      </c>
      <c r="C626" t="s">
        <v>14</v>
      </c>
      <c r="D626" t="s">
        <v>2043</v>
      </c>
      <c r="E626" t="s">
        <v>19</v>
      </c>
      <c r="F626" t="s">
        <v>25</v>
      </c>
      <c r="G626">
        <v>1</v>
      </c>
      <c r="H626">
        <v>7600</v>
      </c>
      <c r="I626" s="6">
        <v>0.25</v>
      </c>
      <c r="J626">
        <v>5700</v>
      </c>
    </row>
    <row r="627" spans="1:10" x14ac:dyDescent="0.25">
      <c r="A627" t="s">
        <v>648</v>
      </c>
      <c r="B627" s="2">
        <v>44467</v>
      </c>
      <c r="C627" t="s">
        <v>14</v>
      </c>
      <c r="D627" t="s">
        <v>2044</v>
      </c>
      <c r="E627" t="s">
        <v>20</v>
      </c>
      <c r="F627" t="s">
        <v>25</v>
      </c>
      <c r="G627">
        <v>4</v>
      </c>
      <c r="H627">
        <v>7100</v>
      </c>
      <c r="I627" s="6">
        <v>0.05</v>
      </c>
      <c r="J627">
        <v>6745</v>
      </c>
    </row>
    <row r="628" spans="1:10" x14ac:dyDescent="0.25">
      <c r="A628" t="s">
        <v>649</v>
      </c>
      <c r="B628" s="2">
        <v>44468</v>
      </c>
      <c r="C628" t="s">
        <v>14</v>
      </c>
      <c r="D628" t="s">
        <v>2045</v>
      </c>
      <c r="E628" t="s">
        <v>21</v>
      </c>
      <c r="F628" t="s">
        <v>25</v>
      </c>
      <c r="G628">
        <v>1</v>
      </c>
      <c r="H628">
        <v>4700</v>
      </c>
      <c r="I628" s="6">
        <v>0.1</v>
      </c>
      <c r="J628">
        <v>4230</v>
      </c>
    </row>
    <row r="629" spans="1:10" x14ac:dyDescent="0.25">
      <c r="A629" t="s">
        <v>650</v>
      </c>
      <c r="B629" s="2">
        <v>44469</v>
      </c>
      <c r="C629" t="s">
        <v>14</v>
      </c>
      <c r="D629" t="s">
        <v>2046</v>
      </c>
      <c r="E629" t="s">
        <v>22</v>
      </c>
      <c r="F629" t="s">
        <v>25</v>
      </c>
      <c r="G629">
        <v>2</v>
      </c>
      <c r="H629">
        <v>10400</v>
      </c>
      <c r="I629" s="6">
        <v>0.15000000000000002</v>
      </c>
      <c r="J629">
        <v>8840</v>
      </c>
    </row>
    <row r="630" spans="1:10" x14ac:dyDescent="0.25">
      <c r="A630" t="s">
        <v>651</v>
      </c>
      <c r="B630" s="2">
        <v>44470</v>
      </c>
      <c r="C630" t="s">
        <v>14</v>
      </c>
      <c r="D630" t="s">
        <v>2047</v>
      </c>
      <c r="E630" t="s">
        <v>19</v>
      </c>
      <c r="F630" t="s">
        <v>25</v>
      </c>
      <c r="G630">
        <v>1</v>
      </c>
      <c r="H630">
        <v>9900</v>
      </c>
      <c r="I630" s="6">
        <v>0.2</v>
      </c>
      <c r="J630">
        <v>7920</v>
      </c>
    </row>
    <row r="631" spans="1:10" x14ac:dyDescent="0.25">
      <c r="A631" t="s">
        <v>652</v>
      </c>
      <c r="B631" s="2">
        <v>44471</v>
      </c>
      <c r="C631" t="s">
        <v>14</v>
      </c>
      <c r="D631" t="s">
        <v>2048</v>
      </c>
      <c r="E631" t="s">
        <v>20</v>
      </c>
      <c r="F631" t="s">
        <v>25</v>
      </c>
      <c r="G631">
        <v>6</v>
      </c>
      <c r="H631">
        <v>8400</v>
      </c>
      <c r="I631" s="6">
        <v>0.25</v>
      </c>
      <c r="J631">
        <v>6300</v>
      </c>
    </row>
    <row r="632" spans="1:10" x14ac:dyDescent="0.25">
      <c r="A632" t="s">
        <v>653</v>
      </c>
      <c r="B632" s="2">
        <v>44472</v>
      </c>
      <c r="C632" t="s">
        <v>12</v>
      </c>
      <c r="D632" t="s">
        <v>15</v>
      </c>
      <c r="E632" t="s">
        <v>21</v>
      </c>
      <c r="F632" t="s">
        <v>23</v>
      </c>
      <c r="G632">
        <v>8</v>
      </c>
      <c r="H632">
        <v>4300</v>
      </c>
      <c r="I632" s="6">
        <v>0.05</v>
      </c>
      <c r="J632">
        <v>4085</v>
      </c>
    </row>
    <row r="633" spans="1:10" x14ac:dyDescent="0.25">
      <c r="A633" t="s">
        <v>654</v>
      </c>
      <c r="B633" s="2">
        <v>44473</v>
      </c>
      <c r="C633" t="s">
        <v>12</v>
      </c>
      <c r="D633" t="s">
        <v>17</v>
      </c>
      <c r="E633" t="s">
        <v>22</v>
      </c>
      <c r="F633" t="s">
        <v>23</v>
      </c>
      <c r="G633">
        <v>9</v>
      </c>
      <c r="H633">
        <v>7400</v>
      </c>
      <c r="I633" s="6">
        <v>0.1</v>
      </c>
      <c r="J633">
        <v>6660</v>
      </c>
    </row>
    <row r="634" spans="1:10" x14ac:dyDescent="0.25">
      <c r="A634" t="s">
        <v>655</v>
      </c>
      <c r="B634" s="2">
        <v>44474</v>
      </c>
      <c r="C634" t="s">
        <v>12</v>
      </c>
      <c r="D634" t="s">
        <v>2023</v>
      </c>
      <c r="E634" t="s">
        <v>19</v>
      </c>
      <c r="F634" t="s">
        <v>23</v>
      </c>
      <c r="G634">
        <v>1</v>
      </c>
      <c r="H634">
        <v>5500</v>
      </c>
      <c r="I634" s="6">
        <v>0.15000000000000002</v>
      </c>
      <c r="J634">
        <v>4675</v>
      </c>
    </row>
    <row r="635" spans="1:10" x14ac:dyDescent="0.25">
      <c r="A635" t="s">
        <v>656</v>
      </c>
      <c r="B635" s="2">
        <v>44475</v>
      </c>
      <c r="C635" t="s">
        <v>12</v>
      </c>
      <c r="D635" t="s">
        <v>18</v>
      </c>
      <c r="E635" t="s">
        <v>20</v>
      </c>
      <c r="F635" t="s">
        <v>23</v>
      </c>
      <c r="G635">
        <v>2</v>
      </c>
      <c r="H635">
        <v>12800</v>
      </c>
      <c r="I635" s="6">
        <v>0.2</v>
      </c>
      <c r="J635">
        <v>10240</v>
      </c>
    </row>
    <row r="636" spans="1:10" x14ac:dyDescent="0.25">
      <c r="A636" t="s">
        <v>657</v>
      </c>
      <c r="B636" s="2">
        <v>44476</v>
      </c>
      <c r="C636" t="s">
        <v>12</v>
      </c>
      <c r="D636" t="s">
        <v>2024</v>
      </c>
      <c r="E636" t="s">
        <v>21</v>
      </c>
      <c r="F636" t="s">
        <v>23</v>
      </c>
      <c r="G636">
        <v>9</v>
      </c>
      <c r="H636">
        <v>13700</v>
      </c>
      <c r="I636" s="6">
        <v>0.25</v>
      </c>
      <c r="J636">
        <v>10275</v>
      </c>
    </row>
    <row r="637" spans="1:10" x14ac:dyDescent="0.25">
      <c r="A637" t="s">
        <v>658</v>
      </c>
      <c r="B637" s="2">
        <v>44477</v>
      </c>
      <c r="C637" t="s">
        <v>12</v>
      </c>
      <c r="D637" t="s">
        <v>2025</v>
      </c>
      <c r="E637" t="s">
        <v>22</v>
      </c>
      <c r="F637" t="s">
        <v>23</v>
      </c>
      <c r="G637">
        <v>3</v>
      </c>
      <c r="H637">
        <v>10800</v>
      </c>
      <c r="I637" s="6">
        <v>0.05</v>
      </c>
      <c r="J637">
        <v>10260</v>
      </c>
    </row>
    <row r="638" spans="1:10" x14ac:dyDescent="0.25">
      <c r="A638" t="s">
        <v>659</v>
      </c>
      <c r="B638" s="2">
        <v>44478</v>
      </c>
      <c r="C638" t="s">
        <v>12</v>
      </c>
      <c r="D638" t="s">
        <v>2026</v>
      </c>
      <c r="E638" t="s">
        <v>19</v>
      </c>
      <c r="F638" t="s">
        <v>23</v>
      </c>
      <c r="G638">
        <v>9</v>
      </c>
      <c r="H638">
        <v>5600</v>
      </c>
      <c r="I638" s="6">
        <v>0.1</v>
      </c>
      <c r="J638">
        <v>5040</v>
      </c>
    </row>
    <row r="639" spans="1:10" x14ac:dyDescent="0.25">
      <c r="A639" t="s">
        <v>660</v>
      </c>
      <c r="B639" s="2">
        <v>44479</v>
      </c>
      <c r="C639" t="s">
        <v>12</v>
      </c>
      <c r="D639" t="s">
        <v>2027</v>
      </c>
      <c r="E639" t="s">
        <v>20</v>
      </c>
      <c r="F639" t="s">
        <v>23</v>
      </c>
      <c r="G639">
        <v>3</v>
      </c>
      <c r="H639">
        <v>12500</v>
      </c>
      <c r="I639" s="6">
        <v>0.15000000000000002</v>
      </c>
      <c r="J639">
        <v>10625</v>
      </c>
    </row>
    <row r="640" spans="1:10" x14ac:dyDescent="0.25">
      <c r="A640" t="s">
        <v>661</v>
      </c>
      <c r="B640" s="2">
        <v>44480</v>
      </c>
      <c r="C640" t="s">
        <v>12</v>
      </c>
      <c r="D640" t="s">
        <v>2028</v>
      </c>
      <c r="E640" t="s">
        <v>21</v>
      </c>
      <c r="F640" t="s">
        <v>23</v>
      </c>
      <c r="G640">
        <v>7</v>
      </c>
      <c r="H640">
        <v>9000</v>
      </c>
      <c r="I640" s="6">
        <v>0.2</v>
      </c>
      <c r="J640">
        <v>7200</v>
      </c>
    </row>
    <row r="641" spans="1:10" x14ac:dyDescent="0.25">
      <c r="A641" t="s">
        <v>662</v>
      </c>
      <c r="B641" s="2">
        <v>44481</v>
      </c>
      <c r="C641" t="s">
        <v>12</v>
      </c>
      <c r="D641" t="s">
        <v>2029</v>
      </c>
      <c r="E641" t="s">
        <v>22</v>
      </c>
      <c r="F641" t="s">
        <v>23</v>
      </c>
      <c r="G641">
        <v>5</v>
      </c>
      <c r="H641">
        <v>12000</v>
      </c>
      <c r="I641" s="6">
        <v>0.25</v>
      </c>
      <c r="J641">
        <v>9000</v>
      </c>
    </row>
    <row r="642" spans="1:10" x14ac:dyDescent="0.25">
      <c r="A642" t="s">
        <v>663</v>
      </c>
      <c r="B642" s="2">
        <v>44482</v>
      </c>
      <c r="C642" t="s">
        <v>13</v>
      </c>
      <c r="D642" t="s">
        <v>16</v>
      </c>
      <c r="E642" t="s">
        <v>19</v>
      </c>
      <c r="F642" t="s">
        <v>24</v>
      </c>
      <c r="G642">
        <v>3</v>
      </c>
      <c r="H642">
        <v>8200</v>
      </c>
      <c r="I642" s="6">
        <v>0.05</v>
      </c>
      <c r="J642">
        <v>7790</v>
      </c>
    </row>
    <row r="643" spans="1:10" x14ac:dyDescent="0.25">
      <c r="A643" t="s">
        <v>664</v>
      </c>
      <c r="B643" s="2">
        <v>44483</v>
      </c>
      <c r="C643" t="s">
        <v>13</v>
      </c>
      <c r="D643" t="s">
        <v>2030</v>
      </c>
      <c r="E643" t="s">
        <v>20</v>
      </c>
      <c r="F643" t="s">
        <v>24</v>
      </c>
      <c r="G643">
        <v>4</v>
      </c>
      <c r="H643">
        <v>9400</v>
      </c>
      <c r="I643" s="6">
        <v>0.1</v>
      </c>
      <c r="J643">
        <v>8460</v>
      </c>
    </row>
    <row r="644" spans="1:10" x14ac:dyDescent="0.25">
      <c r="A644" t="s">
        <v>665</v>
      </c>
      <c r="B644" s="2">
        <v>44484</v>
      </c>
      <c r="C644" t="s">
        <v>13</v>
      </c>
      <c r="D644" t="s">
        <v>2031</v>
      </c>
      <c r="E644" t="s">
        <v>21</v>
      </c>
      <c r="F644" t="s">
        <v>24</v>
      </c>
      <c r="G644">
        <v>6</v>
      </c>
      <c r="H644">
        <v>12400</v>
      </c>
      <c r="I644" s="6">
        <v>0.15000000000000002</v>
      </c>
      <c r="J644">
        <v>10540</v>
      </c>
    </row>
    <row r="645" spans="1:10" x14ac:dyDescent="0.25">
      <c r="A645" t="s">
        <v>666</v>
      </c>
      <c r="B645" s="2">
        <v>44485</v>
      </c>
      <c r="C645" t="s">
        <v>13</v>
      </c>
      <c r="D645" t="s">
        <v>2032</v>
      </c>
      <c r="E645" t="s">
        <v>22</v>
      </c>
      <c r="F645" t="s">
        <v>24</v>
      </c>
      <c r="G645">
        <v>1</v>
      </c>
      <c r="H645">
        <v>10200</v>
      </c>
      <c r="I645" s="6">
        <v>0.2</v>
      </c>
      <c r="J645">
        <v>8160</v>
      </c>
    </row>
    <row r="646" spans="1:10" x14ac:dyDescent="0.25">
      <c r="A646" t="s">
        <v>667</v>
      </c>
      <c r="B646" s="2">
        <v>44486</v>
      </c>
      <c r="C646" t="s">
        <v>13</v>
      </c>
      <c r="D646" t="s">
        <v>2033</v>
      </c>
      <c r="E646" t="s">
        <v>19</v>
      </c>
      <c r="F646" t="s">
        <v>24</v>
      </c>
      <c r="G646">
        <v>9</v>
      </c>
      <c r="H646">
        <v>11000</v>
      </c>
      <c r="I646" s="6">
        <v>0.25</v>
      </c>
      <c r="J646">
        <v>8250</v>
      </c>
    </row>
    <row r="647" spans="1:10" x14ac:dyDescent="0.25">
      <c r="A647" t="s">
        <v>668</v>
      </c>
      <c r="B647" s="2">
        <v>44487</v>
      </c>
      <c r="C647" t="s">
        <v>13</v>
      </c>
      <c r="D647" t="s">
        <v>2034</v>
      </c>
      <c r="E647" t="s">
        <v>20</v>
      </c>
      <c r="F647" t="s">
        <v>24</v>
      </c>
      <c r="G647">
        <v>7</v>
      </c>
      <c r="H647">
        <v>13100</v>
      </c>
      <c r="I647" s="6">
        <v>0.05</v>
      </c>
      <c r="J647">
        <v>12445</v>
      </c>
    </row>
    <row r="648" spans="1:10" x14ac:dyDescent="0.25">
      <c r="A648" t="s">
        <v>669</v>
      </c>
      <c r="B648" s="2">
        <v>44488</v>
      </c>
      <c r="C648" t="s">
        <v>13</v>
      </c>
      <c r="D648" t="s">
        <v>2035</v>
      </c>
      <c r="E648" t="s">
        <v>21</v>
      </c>
      <c r="F648" t="s">
        <v>24</v>
      </c>
      <c r="G648">
        <v>8</v>
      </c>
      <c r="H648">
        <v>13700</v>
      </c>
      <c r="I648" s="6">
        <v>0.1</v>
      </c>
      <c r="J648">
        <v>12330</v>
      </c>
    </row>
    <row r="649" spans="1:10" x14ac:dyDescent="0.25">
      <c r="A649" t="s">
        <v>670</v>
      </c>
      <c r="B649" s="2">
        <v>44489</v>
      </c>
      <c r="C649" t="s">
        <v>13</v>
      </c>
      <c r="D649" t="s">
        <v>2036</v>
      </c>
      <c r="E649" t="s">
        <v>22</v>
      </c>
      <c r="F649" t="s">
        <v>24</v>
      </c>
      <c r="G649">
        <v>3</v>
      </c>
      <c r="H649">
        <v>12100</v>
      </c>
      <c r="I649" s="6">
        <v>0.15000000000000002</v>
      </c>
      <c r="J649">
        <v>10285</v>
      </c>
    </row>
    <row r="650" spans="1:10" x14ac:dyDescent="0.25">
      <c r="A650" t="s">
        <v>671</v>
      </c>
      <c r="B650" s="2">
        <v>44490</v>
      </c>
      <c r="C650" t="s">
        <v>13</v>
      </c>
      <c r="D650" t="s">
        <v>2037</v>
      </c>
      <c r="E650" t="s">
        <v>19</v>
      </c>
      <c r="F650" t="s">
        <v>24</v>
      </c>
      <c r="G650">
        <v>7</v>
      </c>
      <c r="H650">
        <v>9600</v>
      </c>
      <c r="I650" s="6">
        <v>0.2</v>
      </c>
      <c r="J650">
        <v>7680</v>
      </c>
    </row>
    <row r="651" spans="1:10" x14ac:dyDescent="0.25">
      <c r="A651" t="s">
        <v>672</v>
      </c>
      <c r="B651" s="2">
        <v>44491</v>
      </c>
      <c r="C651" t="s">
        <v>13</v>
      </c>
      <c r="D651" t="s">
        <v>2038</v>
      </c>
      <c r="E651" t="s">
        <v>20</v>
      </c>
      <c r="F651" t="s">
        <v>24</v>
      </c>
      <c r="G651">
        <v>1</v>
      </c>
      <c r="H651">
        <v>9000</v>
      </c>
      <c r="I651" s="6">
        <v>0.25</v>
      </c>
      <c r="J651">
        <v>6750</v>
      </c>
    </row>
    <row r="652" spans="1:10" x14ac:dyDescent="0.25">
      <c r="A652" t="s">
        <v>673</v>
      </c>
      <c r="B652" s="2">
        <v>44492</v>
      </c>
      <c r="C652" t="s">
        <v>14</v>
      </c>
      <c r="D652" t="s">
        <v>2039</v>
      </c>
      <c r="E652" t="s">
        <v>21</v>
      </c>
      <c r="F652" t="s">
        <v>25</v>
      </c>
      <c r="G652">
        <v>8</v>
      </c>
      <c r="H652">
        <v>6800</v>
      </c>
      <c r="I652" s="6">
        <v>0.05</v>
      </c>
      <c r="J652">
        <v>6460</v>
      </c>
    </row>
    <row r="653" spans="1:10" x14ac:dyDescent="0.25">
      <c r="A653" t="s">
        <v>674</v>
      </c>
      <c r="B653" s="2">
        <v>44493</v>
      </c>
      <c r="C653" t="s">
        <v>14</v>
      </c>
      <c r="D653" t="s">
        <v>2040</v>
      </c>
      <c r="E653" t="s">
        <v>22</v>
      </c>
      <c r="F653" t="s">
        <v>25</v>
      </c>
      <c r="G653">
        <v>4</v>
      </c>
      <c r="H653">
        <v>8200</v>
      </c>
      <c r="I653" s="6">
        <v>0.1</v>
      </c>
      <c r="J653">
        <v>7380</v>
      </c>
    </row>
    <row r="654" spans="1:10" x14ac:dyDescent="0.25">
      <c r="A654" t="s">
        <v>675</v>
      </c>
      <c r="B654" s="2">
        <v>44494</v>
      </c>
      <c r="C654" t="s">
        <v>14</v>
      </c>
      <c r="D654" t="s">
        <v>2041</v>
      </c>
      <c r="E654" t="s">
        <v>19</v>
      </c>
      <c r="F654" t="s">
        <v>25</v>
      </c>
      <c r="G654">
        <v>3</v>
      </c>
      <c r="H654">
        <v>7400</v>
      </c>
      <c r="I654" s="6">
        <v>0.15000000000000002</v>
      </c>
      <c r="J654">
        <v>6290</v>
      </c>
    </row>
    <row r="655" spans="1:10" x14ac:dyDescent="0.25">
      <c r="A655" t="s">
        <v>676</v>
      </c>
      <c r="B655" s="2">
        <v>44495</v>
      </c>
      <c r="C655" t="s">
        <v>14</v>
      </c>
      <c r="D655" t="s">
        <v>2042</v>
      </c>
      <c r="E655" t="s">
        <v>20</v>
      </c>
      <c r="F655" t="s">
        <v>25</v>
      </c>
      <c r="G655">
        <v>2</v>
      </c>
      <c r="H655">
        <v>8800</v>
      </c>
      <c r="I655" s="6">
        <v>0.2</v>
      </c>
      <c r="J655">
        <v>7040</v>
      </c>
    </row>
    <row r="656" spans="1:10" x14ac:dyDescent="0.25">
      <c r="A656" t="s">
        <v>677</v>
      </c>
      <c r="B656" s="2">
        <v>44496</v>
      </c>
      <c r="C656" t="s">
        <v>14</v>
      </c>
      <c r="D656" t="s">
        <v>2043</v>
      </c>
      <c r="E656" t="s">
        <v>21</v>
      </c>
      <c r="F656" t="s">
        <v>25</v>
      </c>
      <c r="G656">
        <v>9</v>
      </c>
      <c r="H656">
        <v>9300</v>
      </c>
      <c r="I656" s="6">
        <v>0.25</v>
      </c>
      <c r="J656">
        <v>6975</v>
      </c>
    </row>
    <row r="657" spans="1:10" x14ac:dyDescent="0.25">
      <c r="A657" t="s">
        <v>678</v>
      </c>
      <c r="B657" s="2">
        <v>44497</v>
      </c>
      <c r="C657" t="s">
        <v>14</v>
      </c>
      <c r="D657" t="s">
        <v>2044</v>
      </c>
      <c r="E657" t="s">
        <v>22</v>
      </c>
      <c r="F657" t="s">
        <v>25</v>
      </c>
      <c r="G657">
        <v>9</v>
      </c>
      <c r="H657">
        <v>7900</v>
      </c>
      <c r="I657" s="6">
        <v>0.05</v>
      </c>
      <c r="J657">
        <v>7505</v>
      </c>
    </row>
    <row r="658" spans="1:10" x14ac:dyDescent="0.25">
      <c r="A658" t="s">
        <v>679</v>
      </c>
      <c r="B658" s="2">
        <v>44498</v>
      </c>
      <c r="C658" t="s">
        <v>14</v>
      </c>
      <c r="D658" t="s">
        <v>2045</v>
      </c>
      <c r="E658" t="s">
        <v>19</v>
      </c>
      <c r="F658" t="s">
        <v>25</v>
      </c>
      <c r="G658">
        <v>1</v>
      </c>
      <c r="H658">
        <v>15000</v>
      </c>
      <c r="I658" s="6">
        <v>0.1</v>
      </c>
      <c r="J658">
        <v>13500</v>
      </c>
    </row>
    <row r="659" spans="1:10" x14ac:dyDescent="0.25">
      <c r="A659" t="s">
        <v>680</v>
      </c>
      <c r="B659" s="2">
        <v>44499</v>
      </c>
      <c r="C659" t="s">
        <v>14</v>
      </c>
      <c r="D659" t="s">
        <v>2046</v>
      </c>
      <c r="E659" t="s">
        <v>20</v>
      </c>
      <c r="F659" t="s">
        <v>25</v>
      </c>
      <c r="G659">
        <v>5</v>
      </c>
      <c r="H659">
        <v>11100</v>
      </c>
      <c r="I659" s="6">
        <v>0.15000000000000002</v>
      </c>
      <c r="J659">
        <v>9435</v>
      </c>
    </row>
    <row r="660" spans="1:10" x14ac:dyDescent="0.25">
      <c r="A660" t="s">
        <v>681</v>
      </c>
      <c r="B660" s="2">
        <v>44500</v>
      </c>
      <c r="C660" t="s">
        <v>14</v>
      </c>
      <c r="D660" t="s">
        <v>2047</v>
      </c>
      <c r="E660" t="s">
        <v>21</v>
      </c>
      <c r="F660" t="s">
        <v>25</v>
      </c>
      <c r="G660">
        <v>2</v>
      </c>
      <c r="H660">
        <v>5000</v>
      </c>
      <c r="I660" s="6">
        <v>0.2</v>
      </c>
      <c r="J660">
        <v>4000</v>
      </c>
    </row>
    <row r="661" spans="1:10" x14ac:dyDescent="0.25">
      <c r="A661" t="s">
        <v>682</v>
      </c>
      <c r="B661" s="2">
        <v>44501</v>
      </c>
      <c r="C661" t="s">
        <v>14</v>
      </c>
      <c r="D661" t="s">
        <v>2048</v>
      </c>
      <c r="E661" t="s">
        <v>22</v>
      </c>
      <c r="F661" t="s">
        <v>25</v>
      </c>
      <c r="G661">
        <v>10</v>
      </c>
      <c r="H661">
        <v>11500</v>
      </c>
      <c r="I661" s="6">
        <v>0.25</v>
      </c>
      <c r="J661">
        <v>8625</v>
      </c>
    </row>
    <row r="662" spans="1:10" x14ac:dyDescent="0.25">
      <c r="A662" t="s">
        <v>683</v>
      </c>
      <c r="B662" s="2">
        <v>44502</v>
      </c>
      <c r="C662" t="s">
        <v>12</v>
      </c>
      <c r="D662" t="s">
        <v>15</v>
      </c>
      <c r="E662" t="s">
        <v>19</v>
      </c>
      <c r="F662" t="s">
        <v>23</v>
      </c>
      <c r="G662">
        <v>10</v>
      </c>
      <c r="H662">
        <v>8500</v>
      </c>
      <c r="I662" s="6">
        <v>0.05</v>
      </c>
      <c r="J662">
        <v>8075</v>
      </c>
    </row>
    <row r="663" spans="1:10" x14ac:dyDescent="0.25">
      <c r="A663" t="s">
        <v>684</v>
      </c>
      <c r="B663" s="2">
        <v>44503</v>
      </c>
      <c r="C663" t="s">
        <v>12</v>
      </c>
      <c r="D663" t="s">
        <v>17</v>
      </c>
      <c r="E663" t="s">
        <v>20</v>
      </c>
      <c r="F663" t="s">
        <v>23</v>
      </c>
      <c r="G663">
        <v>7</v>
      </c>
      <c r="H663">
        <v>12000</v>
      </c>
      <c r="I663" s="6">
        <v>0.1</v>
      </c>
      <c r="J663">
        <v>10800</v>
      </c>
    </row>
    <row r="664" spans="1:10" x14ac:dyDescent="0.25">
      <c r="A664" t="s">
        <v>685</v>
      </c>
      <c r="B664" s="2">
        <v>44504</v>
      </c>
      <c r="C664" t="s">
        <v>12</v>
      </c>
      <c r="D664" t="s">
        <v>2023</v>
      </c>
      <c r="E664" t="s">
        <v>21</v>
      </c>
      <c r="F664" t="s">
        <v>23</v>
      </c>
      <c r="G664">
        <v>9</v>
      </c>
      <c r="H664">
        <v>5300</v>
      </c>
      <c r="I664" s="6">
        <v>0.15000000000000002</v>
      </c>
      <c r="J664">
        <v>4505</v>
      </c>
    </row>
    <row r="665" spans="1:10" x14ac:dyDescent="0.25">
      <c r="A665" t="s">
        <v>686</v>
      </c>
      <c r="B665" s="2">
        <v>44505</v>
      </c>
      <c r="C665" t="s">
        <v>12</v>
      </c>
      <c r="D665" t="s">
        <v>18</v>
      </c>
      <c r="E665" t="s">
        <v>22</v>
      </c>
      <c r="F665" t="s">
        <v>23</v>
      </c>
      <c r="G665">
        <v>3</v>
      </c>
      <c r="H665">
        <v>4800</v>
      </c>
      <c r="I665" s="6">
        <v>0.2</v>
      </c>
      <c r="J665">
        <v>3840</v>
      </c>
    </row>
    <row r="666" spans="1:10" x14ac:dyDescent="0.25">
      <c r="A666" t="s">
        <v>687</v>
      </c>
      <c r="B666" s="2">
        <v>44506</v>
      </c>
      <c r="C666" t="s">
        <v>12</v>
      </c>
      <c r="D666" t="s">
        <v>2024</v>
      </c>
      <c r="E666" t="s">
        <v>19</v>
      </c>
      <c r="F666" t="s">
        <v>23</v>
      </c>
      <c r="G666">
        <v>9</v>
      </c>
      <c r="H666">
        <v>14200</v>
      </c>
      <c r="I666" s="6">
        <v>0.25</v>
      </c>
      <c r="J666">
        <v>10650</v>
      </c>
    </row>
    <row r="667" spans="1:10" x14ac:dyDescent="0.25">
      <c r="A667" t="s">
        <v>688</v>
      </c>
      <c r="B667" s="2">
        <v>44507</v>
      </c>
      <c r="C667" t="s">
        <v>12</v>
      </c>
      <c r="D667" t="s">
        <v>2025</v>
      </c>
      <c r="E667" t="s">
        <v>20</v>
      </c>
      <c r="F667" t="s">
        <v>23</v>
      </c>
      <c r="G667">
        <v>9</v>
      </c>
      <c r="H667">
        <v>13700</v>
      </c>
      <c r="I667" s="6">
        <v>0.05</v>
      </c>
      <c r="J667">
        <v>13015</v>
      </c>
    </row>
    <row r="668" spans="1:10" x14ac:dyDescent="0.25">
      <c r="A668" t="s">
        <v>689</v>
      </c>
      <c r="B668" s="2">
        <v>44508</v>
      </c>
      <c r="C668" t="s">
        <v>12</v>
      </c>
      <c r="D668" t="s">
        <v>2026</v>
      </c>
      <c r="E668" t="s">
        <v>21</v>
      </c>
      <c r="F668" t="s">
        <v>23</v>
      </c>
      <c r="G668">
        <v>7</v>
      </c>
      <c r="H668">
        <v>12800</v>
      </c>
      <c r="I668" s="6">
        <v>0.1</v>
      </c>
      <c r="J668">
        <v>11520</v>
      </c>
    </row>
    <row r="669" spans="1:10" x14ac:dyDescent="0.25">
      <c r="A669" t="s">
        <v>690</v>
      </c>
      <c r="B669" s="2">
        <v>44509</v>
      </c>
      <c r="C669" t="s">
        <v>12</v>
      </c>
      <c r="D669" t="s">
        <v>2027</v>
      </c>
      <c r="E669" t="s">
        <v>22</v>
      </c>
      <c r="F669" t="s">
        <v>23</v>
      </c>
      <c r="G669">
        <v>1</v>
      </c>
      <c r="H669">
        <v>8800</v>
      </c>
      <c r="I669" s="6">
        <v>0.15000000000000002</v>
      </c>
      <c r="J669">
        <v>7480</v>
      </c>
    </row>
    <row r="670" spans="1:10" x14ac:dyDescent="0.25">
      <c r="A670" t="s">
        <v>691</v>
      </c>
      <c r="B670" s="2">
        <v>44510</v>
      </c>
      <c r="C670" t="s">
        <v>12</v>
      </c>
      <c r="D670" t="s">
        <v>2028</v>
      </c>
      <c r="E670" t="s">
        <v>19</v>
      </c>
      <c r="F670" t="s">
        <v>23</v>
      </c>
      <c r="G670">
        <v>3</v>
      </c>
      <c r="H670">
        <v>9100</v>
      </c>
      <c r="I670" s="6">
        <v>0.2</v>
      </c>
      <c r="J670">
        <v>7280</v>
      </c>
    </row>
    <row r="671" spans="1:10" x14ac:dyDescent="0.25">
      <c r="A671" t="s">
        <v>692</v>
      </c>
      <c r="B671" s="2">
        <v>44511</v>
      </c>
      <c r="C671" t="s">
        <v>12</v>
      </c>
      <c r="D671" t="s">
        <v>2029</v>
      </c>
      <c r="E671" t="s">
        <v>20</v>
      </c>
      <c r="F671" t="s">
        <v>23</v>
      </c>
      <c r="G671">
        <v>5</v>
      </c>
      <c r="H671">
        <v>8000</v>
      </c>
      <c r="I671" s="6">
        <v>0.25</v>
      </c>
      <c r="J671">
        <v>6000</v>
      </c>
    </row>
    <row r="672" spans="1:10" x14ac:dyDescent="0.25">
      <c r="A672" t="s">
        <v>693</v>
      </c>
      <c r="B672" s="2">
        <v>44512</v>
      </c>
      <c r="C672" t="s">
        <v>13</v>
      </c>
      <c r="D672" t="s">
        <v>16</v>
      </c>
      <c r="E672" t="s">
        <v>21</v>
      </c>
      <c r="F672" t="s">
        <v>24</v>
      </c>
      <c r="G672">
        <v>10</v>
      </c>
      <c r="H672">
        <v>12400</v>
      </c>
      <c r="I672" s="6">
        <v>0.05</v>
      </c>
      <c r="J672">
        <v>11780</v>
      </c>
    </row>
    <row r="673" spans="1:10" x14ac:dyDescent="0.25">
      <c r="A673" t="s">
        <v>694</v>
      </c>
      <c r="B673" s="2">
        <v>44513</v>
      </c>
      <c r="C673" t="s">
        <v>13</v>
      </c>
      <c r="D673" t="s">
        <v>2030</v>
      </c>
      <c r="E673" t="s">
        <v>22</v>
      </c>
      <c r="F673" t="s">
        <v>24</v>
      </c>
      <c r="G673">
        <v>6</v>
      </c>
      <c r="H673">
        <v>9100</v>
      </c>
      <c r="I673" s="6">
        <v>0.1</v>
      </c>
      <c r="J673">
        <v>8190</v>
      </c>
    </row>
    <row r="674" spans="1:10" x14ac:dyDescent="0.25">
      <c r="A674" t="s">
        <v>695</v>
      </c>
      <c r="B674" s="2">
        <v>44514</v>
      </c>
      <c r="C674" t="s">
        <v>13</v>
      </c>
      <c r="D674" t="s">
        <v>2031</v>
      </c>
      <c r="E674" t="s">
        <v>19</v>
      </c>
      <c r="F674" t="s">
        <v>24</v>
      </c>
      <c r="G674">
        <v>5</v>
      </c>
      <c r="H674">
        <v>7700</v>
      </c>
      <c r="I674" s="6">
        <v>0.15000000000000002</v>
      </c>
      <c r="J674">
        <v>6545</v>
      </c>
    </row>
    <row r="675" spans="1:10" x14ac:dyDescent="0.25">
      <c r="A675" t="s">
        <v>696</v>
      </c>
      <c r="B675" s="2">
        <v>44515</v>
      </c>
      <c r="C675" t="s">
        <v>13</v>
      </c>
      <c r="D675" t="s">
        <v>2032</v>
      </c>
      <c r="E675" t="s">
        <v>20</v>
      </c>
      <c r="F675" t="s">
        <v>24</v>
      </c>
      <c r="G675">
        <v>6</v>
      </c>
      <c r="H675">
        <v>15000</v>
      </c>
      <c r="I675" s="6">
        <v>0.2</v>
      </c>
      <c r="J675">
        <v>12000</v>
      </c>
    </row>
    <row r="676" spans="1:10" x14ac:dyDescent="0.25">
      <c r="A676" t="s">
        <v>697</v>
      </c>
      <c r="B676" s="2">
        <v>44516</v>
      </c>
      <c r="C676" t="s">
        <v>13</v>
      </c>
      <c r="D676" t="s">
        <v>2033</v>
      </c>
      <c r="E676" t="s">
        <v>21</v>
      </c>
      <c r="F676" t="s">
        <v>24</v>
      </c>
      <c r="G676">
        <v>4</v>
      </c>
      <c r="H676">
        <v>10900</v>
      </c>
      <c r="I676" s="6">
        <v>0.25</v>
      </c>
      <c r="J676">
        <v>8175</v>
      </c>
    </row>
    <row r="677" spans="1:10" x14ac:dyDescent="0.25">
      <c r="A677" t="s">
        <v>698</v>
      </c>
      <c r="B677" s="2">
        <v>44517</v>
      </c>
      <c r="C677" t="s">
        <v>13</v>
      </c>
      <c r="D677" t="s">
        <v>2034</v>
      </c>
      <c r="E677" t="s">
        <v>22</v>
      </c>
      <c r="F677" t="s">
        <v>24</v>
      </c>
      <c r="G677">
        <v>5</v>
      </c>
      <c r="H677">
        <v>10700</v>
      </c>
      <c r="I677" s="6">
        <v>0.05</v>
      </c>
      <c r="J677">
        <v>10165</v>
      </c>
    </row>
    <row r="678" spans="1:10" x14ac:dyDescent="0.25">
      <c r="A678" t="s">
        <v>699</v>
      </c>
      <c r="B678" s="2">
        <v>44518</v>
      </c>
      <c r="C678" t="s">
        <v>13</v>
      </c>
      <c r="D678" t="s">
        <v>2035</v>
      </c>
      <c r="E678" t="s">
        <v>19</v>
      </c>
      <c r="F678" t="s">
        <v>24</v>
      </c>
      <c r="G678">
        <v>1</v>
      </c>
      <c r="H678">
        <v>7700</v>
      </c>
      <c r="I678" s="6">
        <v>0.1</v>
      </c>
      <c r="J678">
        <v>6930</v>
      </c>
    </row>
    <row r="679" spans="1:10" x14ac:dyDescent="0.25">
      <c r="A679" t="s">
        <v>700</v>
      </c>
      <c r="B679" s="2">
        <v>44519</v>
      </c>
      <c r="C679" t="s">
        <v>13</v>
      </c>
      <c r="D679" t="s">
        <v>2036</v>
      </c>
      <c r="E679" t="s">
        <v>20</v>
      </c>
      <c r="F679" t="s">
        <v>24</v>
      </c>
      <c r="G679">
        <v>2</v>
      </c>
      <c r="H679">
        <v>4400</v>
      </c>
      <c r="I679" s="6">
        <v>0.15000000000000002</v>
      </c>
      <c r="J679">
        <v>3740</v>
      </c>
    </row>
    <row r="680" spans="1:10" x14ac:dyDescent="0.25">
      <c r="A680" t="s">
        <v>701</v>
      </c>
      <c r="B680" s="2">
        <v>44520</v>
      </c>
      <c r="C680" t="s">
        <v>13</v>
      </c>
      <c r="D680" t="s">
        <v>2037</v>
      </c>
      <c r="E680" t="s">
        <v>21</v>
      </c>
      <c r="F680" t="s">
        <v>24</v>
      </c>
      <c r="G680">
        <v>9</v>
      </c>
      <c r="H680">
        <v>9000</v>
      </c>
      <c r="I680" s="6">
        <v>0.2</v>
      </c>
      <c r="J680">
        <v>7200</v>
      </c>
    </row>
    <row r="681" spans="1:10" x14ac:dyDescent="0.25">
      <c r="A681" t="s">
        <v>702</v>
      </c>
      <c r="B681" s="2">
        <v>44521</v>
      </c>
      <c r="C681" t="s">
        <v>13</v>
      </c>
      <c r="D681" t="s">
        <v>2038</v>
      </c>
      <c r="E681" t="s">
        <v>22</v>
      </c>
      <c r="F681" t="s">
        <v>24</v>
      </c>
      <c r="G681">
        <v>8</v>
      </c>
      <c r="H681">
        <v>4900</v>
      </c>
      <c r="I681" s="6">
        <v>0.25</v>
      </c>
      <c r="J681">
        <v>3675</v>
      </c>
    </row>
    <row r="682" spans="1:10" x14ac:dyDescent="0.25">
      <c r="A682" t="s">
        <v>703</v>
      </c>
      <c r="B682" s="2">
        <v>44522</v>
      </c>
      <c r="C682" t="s">
        <v>14</v>
      </c>
      <c r="D682" t="s">
        <v>2039</v>
      </c>
      <c r="E682" t="s">
        <v>19</v>
      </c>
      <c r="F682" t="s">
        <v>25</v>
      </c>
      <c r="G682">
        <v>4</v>
      </c>
      <c r="H682">
        <v>10400</v>
      </c>
      <c r="I682" s="6">
        <v>0.05</v>
      </c>
      <c r="J682">
        <v>9880</v>
      </c>
    </row>
    <row r="683" spans="1:10" x14ac:dyDescent="0.25">
      <c r="A683" t="s">
        <v>704</v>
      </c>
      <c r="B683" s="2">
        <v>44523</v>
      </c>
      <c r="C683" t="s">
        <v>14</v>
      </c>
      <c r="D683" t="s">
        <v>2040</v>
      </c>
      <c r="E683" t="s">
        <v>20</v>
      </c>
      <c r="F683" t="s">
        <v>25</v>
      </c>
      <c r="G683">
        <v>10</v>
      </c>
      <c r="H683">
        <v>11100</v>
      </c>
      <c r="I683" s="6">
        <v>0.1</v>
      </c>
      <c r="J683">
        <v>9990</v>
      </c>
    </row>
    <row r="684" spans="1:10" x14ac:dyDescent="0.25">
      <c r="A684" t="s">
        <v>705</v>
      </c>
      <c r="B684" s="2">
        <v>44524</v>
      </c>
      <c r="C684" t="s">
        <v>14</v>
      </c>
      <c r="D684" t="s">
        <v>2041</v>
      </c>
      <c r="E684" t="s">
        <v>21</v>
      </c>
      <c r="F684" t="s">
        <v>25</v>
      </c>
      <c r="G684">
        <v>6</v>
      </c>
      <c r="H684">
        <v>6900</v>
      </c>
      <c r="I684" s="6">
        <v>0.15000000000000002</v>
      </c>
      <c r="J684">
        <v>5865</v>
      </c>
    </row>
    <row r="685" spans="1:10" x14ac:dyDescent="0.25">
      <c r="A685" t="s">
        <v>706</v>
      </c>
      <c r="B685" s="2">
        <v>44525</v>
      </c>
      <c r="C685" t="s">
        <v>14</v>
      </c>
      <c r="D685" t="s">
        <v>2042</v>
      </c>
      <c r="E685" t="s">
        <v>22</v>
      </c>
      <c r="F685" t="s">
        <v>25</v>
      </c>
      <c r="G685">
        <v>1</v>
      </c>
      <c r="H685">
        <v>14500</v>
      </c>
      <c r="I685" s="6">
        <v>0.2</v>
      </c>
      <c r="J685">
        <v>11600</v>
      </c>
    </row>
    <row r="686" spans="1:10" x14ac:dyDescent="0.25">
      <c r="A686" t="s">
        <v>707</v>
      </c>
      <c r="B686" s="2">
        <v>44526</v>
      </c>
      <c r="C686" t="s">
        <v>14</v>
      </c>
      <c r="D686" t="s">
        <v>2043</v>
      </c>
      <c r="E686" t="s">
        <v>19</v>
      </c>
      <c r="F686" t="s">
        <v>25</v>
      </c>
      <c r="G686">
        <v>4</v>
      </c>
      <c r="H686">
        <v>10200</v>
      </c>
      <c r="I686" s="6">
        <v>0.25</v>
      </c>
      <c r="J686">
        <v>7650</v>
      </c>
    </row>
    <row r="687" spans="1:10" x14ac:dyDescent="0.25">
      <c r="A687" t="s">
        <v>708</v>
      </c>
      <c r="B687" s="2">
        <v>44527</v>
      </c>
      <c r="C687" t="s">
        <v>14</v>
      </c>
      <c r="D687" t="s">
        <v>2044</v>
      </c>
      <c r="E687" t="s">
        <v>20</v>
      </c>
      <c r="F687" t="s">
        <v>25</v>
      </c>
      <c r="G687">
        <v>7</v>
      </c>
      <c r="H687">
        <v>5000</v>
      </c>
      <c r="I687" s="6">
        <v>0.05</v>
      </c>
      <c r="J687">
        <v>4750</v>
      </c>
    </row>
    <row r="688" spans="1:10" x14ac:dyDescent="0.25">
      <c r="A688" t="s">
        <v>709</v>
      </c>
      <c r="B688" s="2">
        <v>44528</v>
      </c>
      <c r="C688" t="s">
        <v>14</v>
      </c>
      <c r="D688" t="s">
        <v>2045</v>
      </c>
      <c r="E688" t="s">
        <v>21</v>
      </c>
      <c r="F688" t="s">
        <v>25</v>
      </c>
      <c r="G688">
        <v>10</v>
      </c>
      <c r="H688">
        <v>13600</v>
      </c>
      <c r="I688" s="6">
        <v>0.1</v>
      </c>
      <c r="J688">
        <v>12240</v>
      </c>
    </row>
    <row r="689" spans="1:10" x14ac:dyDescent="0.25">
      <c r="A689" t="s">
        <v>710</v>
      </c>
      <c r="B689" s="2">
        <v>44529</v>
      </c>
      <c r="C689" t="s">
        <v>14</v>
      </c>
      <c r="D689" t="s">
        <v>2046</v>
      </c>
      <c r="E689" t="s">
        <v>22</v>
      </c>
      <c r="F689" t="s">
        <v>25</v>
      </c>
      <c r="G689">
        <v>5</v>
      </c>
      <c r="H689">
        <v>13100</v>
      </c>
      <c r="I689" s="6">
        <v>0.15000000000000002</v>
      </c>
      <c r="J689">
        <v>11135</v>
      </c>
    </row>
    <row r="690" spans="1:10" x14ac:dyDescent="0.25">
      <c r="A690" t="s">
        <v>711</v>
      </c>
      <c r="B690" s="2">
        <v>44530</v>
      </c>
      <c r="C690" t="s">
        <v>14</v>
      </c>
      <c r="D690" t="s">
        <v>2047</v>
      </c>
      <c r="E690" t="s">
        <v>19</v>
      </c>
      <c r="F690" t="s">
        <v>25</v>
      </c>
      <c r="G690">
        <v>8</v>
      </c>
      <c r="H690">
        <v>11600</v>
      </c>
      <c r="I690" s="6">
        <v>0.2</v>
      </c>
      <c r="J690">
        <v>9280</v>
      </c>
    </row>
    <row r="691" spans="1:10" x14ac:dyDescent="0.25">
      <c r="A691" t="s">
        <v>712</v>
      </c>
      <c r="B691" s="2">
        <v>44531</v>
      </c>
      <c r="C691" t="s">
        <v>14</v>
      </c>
      <c r="D691" t="s">
        <v>2048</v>
      </c>
      <c r="E691" t="s">
        <v>20</v>
      </c>
      <c r="F691" t="s">
        <v>25</v>
      </c>
      <c r="G691">
        <v>7</v>
      </c>
      <c r="H691">
        <v>4800</v>
      </c>
      <c r="I691" s="6">
        <v>0.25</v>
      </c>
      <c r="J691">
        <v>3600</v>
      </c>
    </row>
    <row r="692" spans="1:10" x14ac:dyDescent="0.25">
      <c r="A692" t="s">
        <v>713</v>
      </c>
      <c r="B692" s="2">
        <v>44532</v>
      </c>
      <c r="C692" t="s">
        <v>12</v>
      </c>
      <c r="D692" t="s">
        <v>15</v>
      </c>
      <c r="E692" t="s">
        <v>21</v>
      </c>
      <c r="F692" t="s">
        <v>23</v>
      </c>
      <c r="G692">
        <v>6</v>
      </c>
      <c r="H692">
        <v>13000</v>
      </c>
      <c r="I692" s="6">
        <v>0.05</v>
      </c>
      <c r="J692">
        <v>12350</v>
      </c>
    </row>
    <row r="693" spans="1:10" x14ac:dyDescent="0.25">
      <c r="A693" t="s">
        <v>714</v>
      </c>
      <c r="B693" s="2">
        <v>44533</v>
      </c>
      <c r="C693" t="s">
        <v>12</v>
      </c>
      <c r="D693" t="s">
        <v>17</v>
      </c>
      <c r="E693" t="s">
        <v>22</v>
      </c>
      <c r="F693" t="s">
        <v>23</v>
      </c>
      <c r="G693">
        <v>8</v>
      </c>
      <c r="H693">
        <v>7100</v>
      </c>
      <c r="I693" s="6">
        <v>0.1</v>
      </c>
      <c r="J693">
        <v>6390</v>
      </c>
    </row>
    <row r="694" spans="1:10" x14ac:dyDescent="0.25">
      <c r="A694" t="s">
        <v>715</v>
      </c>
      <c r="B694" s="2">
        <v>44534</v>
      </c>
      <c r="C694" t="s">
        <v>12</v>
      </c>
      <c r="D694" t="s">
        <v>2023</v>
      </c>
      <c r="E694" t="s">
        <v>19</v>
      </c>
      <c r="F694" t="s">
        <v>23</v>
      </c>
      <c r="G694">
        <v>7</v>
      </c>
      <c r="H694">
        <v>13200</v>
      </c>
      <c r="I694" s="6">
        <v>0.15000000000000002</v>
      </c>
      <c r="J694">
        <v>11220</v>
      </c>
    </row>
    <row r="695" spans="1:10" x14ac:dyDescent="0.25">
      <c r="A695" t="s">
        <v>716</v>
      </c>
      <c r="B695" s="2">
        <v>44535</v>
      </c>
      <c r="C695" t="s">
        <v>12</v>
      </c>
      <c r="D695" t="s">
        <v>18</v>
      </c>
      <c r="E695" t="s">
        <v>20</v>
      </c>
      <c r="F695" t="s">
        <v>23</v>
      </c>
      <c r="G695">
        <v>7</v>
      </c>
      <c r="H695">
        <v>8400</v>
      </c>
      <c r="I695" s="6">
        <v>0.2</v>
      </c>
      <c r="J695">
        <v>6720</v>
      </c>
    </row>
    <row r="696" spans="1:10" x14ac:dyDescent="0.25">
      <c r="A696" t="s">
        <v>717</v>
      </c>
      <c r="B696" s="2">
        <v>44536</v>
      </c>
      <c r="C696" t="s">
        <v>12</v>
      </c>
      <c r="D696" t="s">
        <v>2024</v>
      </c>
      <c r="E696" t="s">
        <v>21</v>
      </c>
      <c r="F696" t="s">
        <v>23</v>
      </c>
      <c r="G696">
        <v>6</v>
      </c>
      <c r="H696">
        <v>12600</v>
      </c>
      <c r="I696" s="6">
        <v>0.25</v>
      </c>
      <c r="J696">
        <v>9450</v>
      </c>
    </row>
    <row r="697" spans="1:10" x14ac:dyDescent="0.25">
      <c r="A697" t="s">
        <v>718</v>
      </c>
      <c r="B697" s="2">
        <v>44537</v>
      </c>
      <c r="C697" t="s">
        <v>12</v>
      </c>
      <c r="D697" t="s">
        <v>2025</v>
      </c>
      <c r="E697" t="s">
        <v>22</v>
      </c>
      <c r="F697" t="s">
        <v>23</v>
      </c>
      <c r="G697">
        <v>2</v>
      </c>
      <c r="H697">
        <v>4800</v>
      </c>
      <c r="I697" s="6">
        <v>0.05</v>
      </c>
      <c r="J697">
        <v>4560</v>
      </c>
    </row>
    <row r="698" spans="1:10" x14ac:dyDescent="0.25">
      <c r="A698" t="s">
        <v>719</v>
      </c>
      <c r="B698" s="2">
        <v>44538</v>
      </c>
      <c r="C698" t="s">
        <v>12</v>
      </c>
      <c r="D698" t="s">
        <v>2026</v>
      </c>
      <c r="E698" t="s">
        <v>19</v>
      </c>
      <c r="F698" t="s">
        <v>23</v>
      </c>
      <c r="G698">
        <v>4</v>
      </c>
      <c r="H698">
        <v>12900</v>
      </c>
      <c r="I698" s="6">
        <v>0.1</v>
      </c>
      <c r="J698">
        <v>11610</v>
      </c>
    </row>
    <row r="699" spans="1:10" x14ac:dyDescent="0.25">
      <c r="A699" t="s">
        <v>720</v>
      </c>
      <c r="B699" s="2">
        <v>44539</v>
      </c>
      <c r="C699" t="s">
        <v>12</v>
      </c>
      <c r="D699" t="s">
        <v>2027</v>
      </c>
      <c r="E699" t="s">
        <v>20</v>
      </c>
      <c r="F699" t="s">
        <v>23</v>
      </c>
      <c r="G699">
        <v>6</v>
      </c>
      <c r="H699">
        <v>6000</v>
      </c>
      <c r="I699" s="6">
        <v>0.15000000000000002</v>
      </c>
      <c r="J699">
        <v>5100</v>
      </c>
    </row>
    <row r="700" spans="1:10" x14ac:dyDescent="0.25">
      <c r="A700" t="s">
        <v>721</v>
      </c>
      <c r="B700" s="2">
        <v>44540</v>
      </c>
      <c r="C700" t="s">
        <v>12</v>
      </c>
      <c r="D700" t="s">
        <v>2028</v>
      </c>
      <c r="E700" t="s">
        <v>21</v>
      </c>
      <c r="F700" t="s">
        <v>23</v>
      </c>
      <c r="G700">
        <v>4</v>
      </c>
      <c r="H700">
        <v>11000</v>
      </c>
      <c r="I700" s="6">
        <v>0.2</v>
      </c>
      <c r="J700">
        <v>8800</v>
      </c>
    </row>
    <row r="701" spans="1:10" x14ac:dyDescent="0.25">
      <c r="A701" t="s">
        <v>722</v>
      </c>
      <c r="B701" s="2">
        <v>44541</v>
      </c>
      <c r="C701" t="s">
        <v>12</v>
      </c>
      <c r="D701" t="s">
        <v>2029</v>
      </c>
      <c r="E701" t="s">
        <v>22</v>
      </c>
      <c r="F701" t="s">
        <v>23</v>
      </c>
      <c r="G701">
        <v>7</v>
      </c>
      <c r="H701">
        <v>6100</v>
      </c>
      <c r="I701" s="6">
        <v>0.25</v>
      </c>
      <c r="J701">
        <v>4575</v>
      </c>
    </row>
    <row r="702" spans="1:10" x14ac:dyDescent="0.25">
      <c r="A702" t="s">
        <v>723</v>
      </c>
      <c r="B702" s="2">
        <v>44542</v>
      </c>
      <c r="C702" t="s">
        <v>13</v>
      </c>
      <c r="D702" t="s">
        <v>16</v>
      </c>
      <c r="E702" t="s">
        <v>19</v>
      </c>
      <c r="F702" t="s">
        <v>24</v>
      </c>
      <c r="G702">
        <v>1</v>
      </c>
      <c r="H702">
        <v>6200</v>
      </c>
      <c r="I702" s="6">
        <v>0.05</v>
      </c>
      <c r="J702">
        <v>5890</v>
      </c>
    </row>
    <row r="703" spans="1:10" x14ac:dyDescent="0.25">
      <c r="A703" t="s">
        <v>724</v>
      </c>
      <c r="B703" s="2">
        <v>44543</v>
      </c>
      <c r="C703" t="s">
        <v>13</v>
      </c>
      <c r="D703" t="s">
        <v>2030</v>
      </c>
      <c r="E703" t="s">
        <v>20</v>
      </c>
      <c r="F703" t="s">
        <v>24</v>
      </c>
      <c r="G703">
        <v>10</v>
      </c>
      <c r="H703">
        <v>5000</v>
      </c>
      <c r="I703" s="6">
        <v>0.1</v>
      </c>
      <c r="J703">
        <v>4500</v>
      </c>
    </row>
    <row r="704" spans="1:10" x14ac:dyDescent="0.25">
      <c r="A704" t="s">
        <v>725</v>
      </c>
      <c r="B704" s="2">
        <v>44544</v>
      </c>
      <c r="C704" t="s">
        <v>13</v>
      </c>
      <c r="D704" t="s">
        <v>2031</v>
      </c>
      <c r="E704" t="s">
        <v>21</v>
      </c>
      <c r="F704" t="s">
        <v>24</v>
      </c>
      <c r="G704">
        <v>5</v>
      </c>
      <c r="H704">
        <v>7000</v>
      </c>
      <c r="I704" s="6">
        <v>0.15000000000000002</v>
      </c>
      <c r="J704">
        <v>5950</v>
      </c>
    </row>
    <row r="705" spans="1:10" x14ac:dyDescent="0.25">
      <c r="A705" t="s">
        <v>726</v>
      </c>
      <c r="B705" s="2">
        <v>44545</v>
      </c>
      <c r="C705" t="s">
        <v>13</v>
      </c>
      <c r="D705" t="s">
        <v>2032</v>
      </c>
      <c r="E705" t="s">
        <v>22</v>
      </c>
      <c r="F705" t="s">
        <v>24</v>
      </c>
      <c r="G705">
        <v>9</v>
      </c>
      <c r="H705">
        <v>12000</v>
      </c>
      <c r="I705" s="6">
        <v>0.2</v>
      </c>
      <c r="J705">
        <v>9600</v>
      </c>
    </row>
    <row r="706" spans="1:10" x14ac:dyDescent="0.25">
      <c r="A706" t="s">
        <v>727</v>
      </c>
      <c r="B706" s="2">
        <v>44546</v>
      </c>
      <c r="C706" t="s">
        <v>13</v>
      </c>
      <c r="D706" t="s">
        <v>2033</v>
      </c>
      <c r="E706" t="s">
        <v>19</v>
      </c>
      <c r="F706" t="s">
        <v>24</v>
      </c>
      <c r="G706">
        <v>10</v>
      </c>
      <c r="H706">
        <v>6400</v>
      </c>
      <c r="I706" s="6">
        <v>0.25</v>
      </c>
      <c r="J706">
        <v>4800</v>
      </c>
    </row>
    <row r="707" spans="1:10" x14ac:dyDescent="0.25">
      <c r="A707" t="s">
        <v>728</v>
      </c>
      <c r="B707" s="2">
        <v>44547</v>
      </c>
      <c r="C707" t="s">
        <v>13</v>
      </c>
      <c r="D707" t="s">
        <v>2034</v>
      </c>
      <c r="E707" t="s">
        <v>20</v>
      </c>
      <c r="F707" t="s">
        <v>24</v>
      </c>
      <c r="G707">
        <v>3</v>
      </c>
      <c r="H707">
        <v>4500</v>
      </c>
      <c r="I707" s="6">
        <v>0.05</v>
      </c>
      <c r="J707">
        <v>4275</v>
      </c>
    </row>
    <row r="708" spans="1:10" x14ac:dyDescent="0.25">
      <c r="A708" t="s">
        <v>729</v>
      </c>
      <c r="B708" s="2">
        <v>44548</v>
      </c>
      <c r="C708" t="s">
        <v>13</v>
      </c>
      <c r="D708" t="s">
        <v>2035</v>
      </c>
      <c r="E708" t="s">
        <v>21</v>
      </c>
      <c r="F708" t="s">
        <v>24</v>
      </c>
      <c r="G708">
        <v>10</v>
      </c>
      <c r="H708">
        <v>7700</v>
      </c>
      <c r="I708" s="6">
        <v>0.1</v>
      </c>
      <c r="J708">
        <v>6930</v>
      </c>
    </row>
    <row r="709" spans="1:10" x14ac:dyDescent="0.25">
      <c r="A709" t="s">
        <v>730</v>
      </c>
      <c r="B709" s="2">
        <v>44549</v>
      </c>
      <c r="C709" t="s">
        <v>13</v>
      </c>
      <c r="D709" t="s">
        <v>2036</v>
      </c>
      <c r="E709" t="s">
        <v>22</v>
      </c>
      <c r="F709" t="s">
        <v>24</v>
      </c>
      <c r="G709">
        <v>6</v>
      </c>
      <c r="H709">
        <v>6800</v>
      </c>
      <c r="I709" s="6">
        <v>0.15000000000000002</v>
      </c>
      <c r="J709">
        <v>5780</v>
      </c>
    </row>
    <row r="710" spans="1:10" x14ac:dyDescent="0.25">
      <c r="A710" t="s">
        <v>731</v>
      </c>
      <c r="B710" s="2">
        <v>44550</v>
      </c>
      <c r="C710" t="s">
        <v>13</v>
      </c>
      <c r="D710" t="s">
        <v>2037</v>
      </c>
      <c r="E710" t="s">
        <v>19</v>
      </c>
      <c r="F710" t="s">
        <v>24</v>
      </c>
      <c r="G710">
        <v>3</v>
      </c>
      <c r="H710">
        <v>9700</v>
      </c>
      <c r="I710" s="6">
        <v>0.2</v>
      </c>
      <c r="J710">
        <v>7760</v>
      </c>
    </row>
    <row r="711" spans="1:10" x14ac:dyDescent="0.25">
      <c r="A711" t="s">
        <v>732</v>
      </c>
      <c r="B711" s="2">
        <v>44551</v>
      </c>
      <c r="C711" t="s">
        <v>13</v>
      </c>
      <c r="D711" t="s">
        <v>2038</v>
      </c>
      <c r="E711" t="s">
        <v>20</v>
      </c>
      <c r="F711" t="s">
        <v>24</v>
      </c>
      <c r="G711">
        <v>7</v>
      </c>
      <c r="H711">
        <v>13800</v>
      </c>
      <c r="I711" s="6">
        <v>0.25</v>
      </c>
      <c r="J711">
        <v>10350</v>
      </c>
    </row>
    <row r="712" spans="1:10" x14ac:dyDescent="0.25">
      <c r="A712" t="s">
        <v>733</v>
      </c>
      <c r="B712" s="2">
        <v>44552</v>
      </c>
      <c r="C712" t="s">
        <v>14</v>
      </c>
      <c r="D712" t="s">
        <v>2039</v>
      </c>
      <c r="E712" t="s">
        <v>21</v>
      </c>
      <c r="F712" t="s">
        <v>25</v>
      </c>
      <c r="G712">
        <v>2</v>
      </c>
      <c r="H712">
        <v>12700</v>
      </c>
      <c r="I712" s="6">
        <v>0.05</v>
      </c>
      <c r="J712">
        <v>12065</v>
      </c>
    </row>
    <row r="713" spans="1:10" x14ac:dyDescent="0.25">
      <c r="A713" t="s">
        <v>734</v>
      </c>
      <c r="B713" s="2">
        <v>44553</v>
      </c>
      <c r="C713" t="s">
        <v>14</v>
      </c>
      <c r="D713" t="s">
        <v>2040</v>
      </c>
      <c r="E713" t="s">
        <v>22</v>
      </c>
      <c r="F713" t="s">
        <v>25</v>
      </c>
      <c r="G713">
        <v>1</v>
      </c>
      <c r="H713">
        <v>9600</v>
      </c>
      <c r="I713" s="6">
        <v>0.1</v>
      </c>
      <c r="J713">
        <v>8640</v>
      </c>
    </row>
    <row r="714" spans="1:10" x14ac:dyDescent="0.25">
      <c r="A714" t="s">
        <v>735</v>
      </c>
      <c r="B714" s="2">
        <v>44554</v>
      </c>
      <c r="C714" t="s">
        <v>14</v>
      </c>
      <c r="D714" t="s">
        <v>2041</v>
      </c>
      <c r="E714" t="s">
        <v>19</v>
      </c>
      <c r="F714" t="s">
        <v>25</v>
      </c>
      <c r="G714">
        <v>6</v>
      </c>
      <c r="H714">
        <v>8500</v>
      </c>
      <c r="I714" s="6">
        <v>0.15000000000000002</v>
      </c>
      <c r="J714">
        <v>7225</v>
      </c>
    </row>
    <row r="715" spans="1:10" x14ac:dyDescent="0.25">
      <c r="A715" t="s">
        <v>736</v>
      </c>
      <c r="B715" s="2">
        <v>44555</v>
      </c>
      <c r="C715" t="s">
        <v>14</v>
      </c>
      <c r="D715" t="s">
        <v>2042</v>
      </c>
      <c r="E715" t="s">
        <v>20</v>
      </c>
      <c r="F715" t="s">
        <v>25</v>
      </c>
      <c r="G715">
        <v>10</v>
      </c>
      <c r="H715">
        <v>10800</v>
      </c>
      <c r="I715" s="6">
        <v>0.2</v>
      </c>
      <c r="J715">
        <v>8640</v>
      </c>
    </row>
    <row r="716" spans="1:10" x14ac:dyDescent="0.25">
      <c r="A716" t="s">
        <v>737</v>
      </c>
      <c r="B716" s="2">
        <v>44556</v>
      </c>
      <c r="C716" t="s">
        <v>14</v>
      </c>
      <c r="D716" t="s">
        <v>2043</v>
      </c>
      <c r="E716" t="s">
        <v>21</v>
      </c>
      <c r="F716" t="s">
        <v>25</v>
      </c>
      <c r="G716">
        <v>8</v>
      </c>
      <c r="H716">
        <v>7700</v>
      </c>
      <c r="I716" s="6">
        <v>0.25</v>
      </c>
      <c r="J716">
        <v>5775</v>
      </c>
    </row>
    <row r="717" spans="1:10" x14ac:dyDescent="0.25">
      <c r="A717" t="s">
        <v>738</v>
      </c>
      <c r="B717" s="2">
        <v>44557</v>
      </c>
      <c r="C717" t="s">
        <v>14</v>
      </c>
      <c r="D717" t="s">
        <v>2044</v>
      </c>
      <c r="E717" t="s">
        <v>22</v>
      </c>
      <c r="F717" t="s">
        <v>25</v>
      </c>
      <c r="G717">
        <v>1</v>
      </c>
      <c r="H717">
        <v>12500</v>
      </c>
      <c r="I717" s="6">
        <v>0.05</v>
      </c>
      <c r="J717">
        <v>11875</v>
      </c>
    </row>
    <row r="718" spans="1:10" x14ac:dyDescent="0.25">
      <c r="A718" t="s">
        <v>739</v>
      </c>
      <c r="B718" s="2">
        <v>44558</v>
      </c>
      <c r="C718" t="s">
        <v>14</v>
      </c>
      <c r="D718" t="s">
        <v>2045</v>
      </c>
      <c r="E718" t="s">
        <v>19</v>
      </c>
      <c r="F718" t="s">
        <v>25</v>
      </c>
      <c r="G718">
        <v>10</v>
      </c>
      <c r="H718">
        <v>8500</v>
      </c>
      <c r="I718" s="6">
        <v>0.1</v>
      </c>
      <c r="J718">
        <v>7650</v>
      </c>
    </row>
    <row r="719" spans="1:10" x14ac:dyDescent="0.25">
      <c r="A719" t="s">
        <v>740</v>
      </c>
      <c r="B719" s="2">
        <v>44559</v>
      </c>
      <c r="C719" t="s">
        <v>14</v>
      </c>
      <c r="D719" t="s">
        <v>2046</v>
      </c>
      <c r="E719" t="s">
        <v>20</v>
      </c>
      <c r="F719" t="s">
        <v>25</v>
      </c>
      <c r="G719">
        <v>10</v>
      </c>
      <c r="H719">
        <v>6800</v>
      </c>
      <c r="I719" s="6">
        <v>0.15000000000000002</v>
      </c>
      <c r="J719">
        <v>5780</v>
      </c>
    </row>
    <row r="720" spans="1:10" x14ac:dyDescent="0.25">
      <c r="A720" t="s">
        <v>741</v>
      </c>
      <c r="B720" s="2">
        <v>44560</v>
      </c>
      <c r="C720" t="s">
        <v>14</v>
      </c>
      <c r="D720" t="s">
        <v>2047</v>
      </c>
      <c r="E720" t="s">
        <v>21</v>
      </c>
      <c r="F720" t="s">
        <v>25</v>
      </c>
      <c r="G720">
        <v>3</v>
      </c>
      <c r="H720">
        <v>14100</v>
      </c>
      <c r="I720" s="6">
        <v>0.2</v>
      </c>
      <c r="J720">
        <v>11280</v>
      </c>
    </row>
    <row r="721" spans="1:10" x14ac:dyDescent="0.25">
      <c r="A721" t="s">
        <v>742</v>
      </c>
      <c r="B721" s="2">
        <v>44561</v>
      </c>
      <c r="C721" t="s">
        <v>14</v>
      </c>
      <c r="D721" t="s">
        <v>2048</v>
      </c>
      <c r="E721" t="s">
        <v>22</v>
      </c>
      <c r="F721" t="s">
        <v>25</v>
      </c>
      <c r="G721">
        <v>6</v>
      </c>
      <c r="H721">
        <v>7300</v>
      </c>
      <c r="I721" s="6">
        <v>0.25</v>
      </c>
      <c r="J721">
        <v>5475</v>
      </c>
    </row>
    <row r="722" spans="1:10" x14ac:dyDescent="0.25">
      <c r="A722" t="s">
        <v>743</v>
      </c>
      <c r="B722" s="2">
        <v>44562</v>
      </c>
      <c r="C722" t="s">
        <v>12</v>
      </c>
      <c r="D722" t="s">
        <v>15</v>
      </c>
      <c r="E722" t="s">
        <v>19</v>
      </c>
      <c r="F722" t="s">
        <v>23</v>
      </c>
      <c r="G722">
        <v>6</v>
      </c>
      <c r="H722">
        <v>6900</v>
      </c>
      <c r="I722" s="6">
        <v>0.05</v>
      </c>
      <c r="J722">
        <v>6555</v>
      </c>
    </row>
    <row r="723" spans="1:10" x14ac:dyDescent="0.25">
      <c r="A723" t="s">
        <v>744</v>
      </c>
      <c r="B723" s="2">
        <v>44563</v>
      </c>
      <c r="C723" t="s">
        <v>12</v>
      </c>
      <c r="D723" t="s">
        <v>17</v>
      </c>
      <c r="E723" t="s">
        <v>20</v>
      </c>
      <c r="F723" t="s">
        <v>23</v>
      </c>
      <c r="G723">
        <v>1</v>
      </c>
      <c r="H723">
        <v>7400</v>
      </c>
      <c r="I723" s="6">
        <v>0.1</v>
      </c>
      <c r="J723">
        <v>6660</v>
      </c>
    </row>
    <row r="724" spans="1:10" x14ac:dyDescent="0.25">
      <c r="A724" t="s">
        <v>745</v>
      </c>
      <c r="B724" s="2">
        <v>44564</v>
      </c>
      <c r="C724" t="s">
        <v>12</v>
      </c>
      <c r="D724" t="s">
        <v>2023</v>
      </c>
      <c r="E724" t="s">
        <v>21</v>
      </c>
      <c r="F724" t="s">
        <v>23</v>
      </c>
      <c r="G724">
        <v>2</v>
      </c>
      <c r="H724">
        <v>12500</v>
      </c>
      <c r="I724" s="6">
        <v>0.15000000000000002</v>
      </c>
      <c r="J724">
        <v>10625</v>
      </c>
    </row>
    <row r="725" spans="1:10" x14ac:dyDescent="0.25">
      <c r="A725" t="s">
        <v>746</v>
      </c>
      <c r="B725" s="2">
        <v>44565</v>
      </c>
      <c r="C725" t="s">
        <v>12</v>
      </c>
      <c r="D725" t="s">
        <v>18</v>
      </c>
      <c r="E725" t="s">
        <v>22</v>
      </c>
      <c r="F725" t="s">
        <v>23</v>
      </c>
      <c r="G725">
        <v>5</v>
      </c>
      <c r="H725">
        <v>14100</v>
      </c>
      <c r="I725" s="6">
        <v>0.2</v>
      </c>
      <c r="J725">
        <v>11280</v>
      </c>
    </row>
    <row r="726" spans="1:10" x14ac:dyDescent="0.25">
      <c r="A726" t="s">
        <v>747</v>
      </c>
      <c r="B726" s="2">
        <v>44566</v>
      </c>
      <c r="C726" t="s">
        <v>12</v>
      </c>
      <c r="D726" t="s">
        <v>2024</v>
      </c>
      <c r="E726" t="s">
        <v>19</v>
      </c>
      <c r="F726" t="s">
        <v>23</v>
      </c>
      <c r="G726">
        <v>8</v>
      </c>
      <c r="H726">
        <v>8900</v>
      </c>
      <c r="I726" s="6">
        <v>0.25</v>
      </c>
      <c r="J726">
        <v>6675</v>
      </c>
    </row>
    <row r="727" spans="1:10" x14ac:dyDescent="0.25">
      <c r="A727" t="s">
        <v>748</v>
      </c>
      <c r="B727" s="2">
        <v>44567</v>
      </c>
      <c r="C727" t="s">
        <v>12</v>
      </c>
      <c r="D727" t="s">
        <v>2025</v>
      </c>
      <c r="E727" t="s">
        <v>20</v>
      </c>
      <c r="F727" t="s">
        <v>23</v>
      </c>
      <c r="G727">
        <v>1</v>
      </c>
      <c r="H727">
        <v>10400</v>
      </c>
      <c r="I727" s="6">
        <v>0.05</v>
      </c>
      <c r="J727">
        <v>9880</v>
      </c>
    </row>
    <row r="728" spans="1:10" x14ac:dyDescent="0.25">
      <c r="A728" t="s">
        <v>749</v>
      </c>
      <c r="B728" s="2">
        <v>44568</v>
      </c>
      <c r="C728" t="s">
        <v>12</v>
      </c>
      <c r="D728" t="s">
        <v>2026</v>
      </c>
      <c r="E728" t="s">
        <v>21</v>
      </c>
      <c r="F728" t="s">
        <v>23</v>
      </c>
      <c r="G728">
        <v>3</v>
      </c>
      <c r="H728">
        <v>7700</v>
      </c>
      <c r="I728" s="6">
        <v>0.1</v>
      </c>
      <c r="J728">
        <v>6930</v>
      </c>
    </row>
    <row r="729" spans="1:10" x14ac:dyDescent="0.25">
      <c r="A729" t="s">
        <v>750</v>
      </c>
      <c r="B729" s="2">
        <v>44569</v>
      </c>
      <c r="C729" t="s">
        <v>12</v>
      </c>
      <c r="D729" t="s">
        <v>2027</v>
      </c>
      <c r="E729" t="s">
        <v>22</v>
      </c>
      <c r="F729" t="s">
        <v>23</v>
      </c>
      <c r="G729">
        <v>1</v>
      </c>
      <c r="H729">
        <v>9300</v>
      </c>
      <c r="I729" s="6">
        <v>0.15000000000000002</v>
      </c>
      <c r="J729">
        <v>7905</v>
      </c>
    </row>
    <row r="730" spans="1:10" x14ac:dyDescent="0.25">
      <c r="A730" t="s">
        <v>751</v>
      </c>
      <c r="B730" s="2">
        <v>44570</v>
      </c>
      <c r="C730" t="s">
        <v>12</v>
      </c>
      <c r="D730" t="s">
        <v>2028</v>
      </c>
      <c r="E730" t="s">
        <v>19</v>
      </c>
      <c r="F730" t="s">
        <v>23</v>
      </c>
      <c r="G730">
        <v>9</v>
      </c>
      <c r="H730">
        <v>12600</v>
      </c>
      <c r="I730" s="6">
        <v>0.2</v>
      </c>
      <c r="J730">
        <v>10080</v>
      </c>
    </row>
    <row r="731" spans="1:10" x14ac:dyDescent="0.25">
      <c r="A731" t="s">
        <v>752</v>
      </c>
      <c r="B731" s="2">
        <v>44571</v>
      </c>
      <c r="C731" t="s">
        <v>12</v>
      </c>
      <c r="D731" t="s">
        <v>2029</v>
      </c>
      <c r="E731" t="s">
        <v>20</v>
      </c>
      <c r="F731" t="s">
        <v>23</v>
      </c>
      <c r="G731">
        <v>7</v>
      </c>
      <c r="H731">
        <v>7600</v>
      </c>
      <c r="I731" s="6">
        <v>0.25</v>
      </c>
      <c r="J731">
        <v>5700</v>
      </c>
    </row>
    <row r="732" spans="1:10" x14ac:dyDescent="0.25">
      <c r="A732" t="s">
        <v>753</v>
      </c>
      <c r="B732" s="2">
        <v>44572</v>
      </c>
      <c r="C732" t="s">
        <v>13</v>
      </c>
      <c r="D732" t="s">
        <v>16</v>
      </c>
      <c r="E732" t="s">
        <v>21</v>
      </c>
      <c r="F732" t="s">
        <v>24</v>
      </c>
      <c r="G732">
        <v>7</v>
      </c>
      <c r="H732">
        <v>5900</v>
      </c>
      <c r="I732" s="6">
        <v>0.05</v>
      </c>
      <c r="J732">
        <v>5605</v>
      </c>
    </row>
    <row r="733" spans="1:10" x14ac:dyDescent="0.25">
      <c r="A733" t="s">
        <v>754</v>
      </c>
      <c r="B733" s="2">
        <v>44573</v>
      </c>
      <c r="C733" t="s">
        <v>13</v>
      </c>
      <c r="D733" t="s">
        <v>2030</v>
      </c>
      <c r="E733" t="s">
        <v>22</v>
      </c>
      <c r="F733" t="s">
        <v>24</v>
      </c>
      <c r="G733">
        <v>7</v>
      </c>
      <c r="H733">
        <v>13200</v>
      </c>
      <c r="I733" s="6">
        <v>0.1</v>
      </c>
      <c r="J733">
        <v>11880</v>
      </c>
    </row>
    <row r="734" spans="1:10" x14ac:dyDescent="0.25">
      <c r="A734" t="s">
        <v>755</v>
      </c>
      <c r="B734" s="2">
        <v>44574</v>
      </c>
      <c r="C734" t="s">
        <v>13</v>
      </c>
      <c r="D734" t="s">
        <v>2031</v>
      </c>
      <c r="E734" t="s">
        <v>19</v>
      </c>
      <c r="F734" t="s">
        <v>24</v>
      </c>
      <c r="G734">
        <v>8</v>
      </c>
      <c r="H734">
        <v>12400</v>
      </c>
      <c r="I734" s="6">
        <v>0.15000000000000002</v>
      </c>
      <c r="J734">
        <v>10540</v>
      </c>
    </row>
    <row r="735" spans="1:10" x14ac:dyDescent="0.25">
      <c r="A735" t="s">
        <v>756</v>
      </c>
      <c r="B735" s="2">
        <v>44575</v>
      </c>
      <c r="C735" t="s">
        <v>13</v>
      </c>
      <c r="D735" t="s">
        <v>2032</v>
      </c>
      <c r="E735" t="s">
        <v>20</v>
      </c>
      <c r="F735" t="s">
        <v>24</v>
      </c>
      <c r="G735">
        <v>5</v>
      </c>
      <c r="H735">
        <v>12600</v>
      </c>
      <c r="I735" s="6">
        <v>0.2</v>
      </c>
      <c r="J735">
        <v>10080</v>
      </c>
    </row>
    <row r="736" spans="1:10" x14ac:dyDescent="0.25">
      <c r="A736" t="s">
        <v>757</v>
      </c>
      <c r="B736" s="2">
        <v>44576</v>
      </c>
      <c r="C736" t="s">
        <v>13</v>
      </c>
      <c r="D736" t="s">
        <v>2033</v>
      </c>
      <c r="E736" t="s">
        <v>21</v>
      </c>
      <c r="F736" t="s">
        <v>24</v>
      </c>
      <c r="G736">
        <v>6</v>
      </c>
      <c r="H736">
        <v>10300</v>
      </c>
      <c r="I736" s="6">
        <v>0.25</v>
      </c>
      <c r="J736">
        <v>7725</v>
      </c>
    </row>
    <row r="737" spans="1:10" x14ac:dyDescent="0.25">
      <c r="A737" t="s">
        <v>758</v>
      </c>
      <c r="B737" s="2">
        <v>44577</v>
      </c>
      <c r="C737" t="s">
        <v>13</v>
      </c>
      <c r="D737" t="s">
        <v>2034</v>
      </c>
      <c r="E737" t="s">
        <v>22</v>
      </c>
      <c r="F737" t="s">
        <v>24</v>
      </c>
      <c r="G737">
        <v>7</v>
      </c>
      <c r="H737">
        <v>4300</v>
      </c>
      <c r="I737" s="6">
        <v>0.05</v>
      </c>
      <c r="J737">
        <v>4085</v>
      </c>
    </row>
    <row r="738" spans="1:10" x14ac:dyDescent="0.25">
      <c r="A738" t="s">
        <v>759</v>
      </c>
      <c r="B738" s="2">
        <v>44578</v>
      </c>
      <c r="C738" t="s">
        <v>13</v>
      </c>
      <c r="D738" t="s">
        <v>2035</v>
      </c>
      <c r="E738" t="s">
        <v>19</v>
      </c>
      <c r="F738" t="s">
        <v>24</v>
      </c>
      <c r="G738">
        <v>5</v>
      </c>
      <c r="H738">
        <v>10300</v>
      </c>
      <c r="I738" s="6">
        <v>0.1</v>
      </c>
      <c r="J738">
        <v>9270</v>
      </c>
    </row>
    <row r="739" spans="1:10" x14ac:dyDescent="0.25">
      <c r="A739" t="s">
        <v>760</v>
      </c>
      <c r="B739" s="2">
        <v>44579</v>
      </c>
      <c r="C739" t="s">
        <v>13</v>
      </c>
      <c r="D739" t="s">
        <v>2036</v>
      </c>
      <c r="E739" t="s">
        <v>20</v>
      </c>
      <c r="F739" t="s">
        <v>24</v>
      </c>
      <c r="G739">
        <v>9</v>
      </c>
      <c r="H739">
        <v>14500</v>
      </c>
      <c r="I739" s="6">
        <v>0.15000000000000002</v>
      </c>
      <c r="J739">
        <v>12325</v>
      </c>
    </row>
    <row r="740" spans="1:10" x14ac:dyDescent="0.25">
      <c r="A740" t="s">
        <v>761</v>
      </c>
      <c r="B740" s="2">
        <v>44580</v>
      </c>
      <c r="C740" t="s">
        <v>13</v>
      </c>
      <c r="D740" t="s">
        <v>2037</v>
      </c>
      <c r="E740" t="s">
        <v>21</v>
      </c>
      <c r="F740" t="s">
        <v>24</v>
      </c>
      <c r="G740">
        <v>9</v>
      </c>
      <c r="H740">
        <v>9500</v>
      </c>
      <c r="I740" s="6">
        <v>0.2</v>
      </c>
      <c r="J740">
        <v>7600</v>
      </c>
    </row>
    <row r="741" spans="1:10" x14ac:dyDescent="0.25">
      <c r="A741" t="s">
        <v>762</v>
      </c>
      <c r="B741" s="2">
        <v>44581</v>
      </c>
      <c r="C741" t="s">
        <v>13</v>
      </c>
      <c r="D741" t="s">
        <v>2038</v>
      </c>
      <c r="E741" t="s">
        <v>22</v>
      </c>
      <c r="F741" t="s">
        <v>24</v>
      </c>
      <c r="G741">
        <v>9</v>
      </c>
      <c r="H741">
        <v>6300</v>
      </c>
      <c r="I741" s="6">
        <v>0.25</v>
      </c>
      <c r="J741">
        <v>4725</v>
      </c>
    </row>
    <row r="742" spans="1:10" x14ac:dyDescent="0.25">
      <c r="A742" t="s">
        <v>763</v>
      </c>
      <c r="B742" s="2">
        <v>44582</v>
      </c>
      <c r="C742" t="s">
        <v>14</v>
      </c>
      <c r="D742" t="s">
        <v>2039</v>
      </c>
      <c r="E742" t="s">
        <v>19</v>
      </c>
      <c r="F742" t="s">
        <v>25</v>
      </c>
      <c r="G742">
        <v>10</v>
      </c>
      <c r="H742">
        <v>5900</v>
      </c>
      <c r="I742" s="6">
        <v>0.05</v>
      </c>
      <c r="J742">
        <v>5605</v>
      </c>
    </row>
    <row r="743" spans="1:10" x14ac:dyDescent="0.25">
      <c r="A743" t="s">
        <v>764</v>
      </c>
      <c r="B743" s="2">
        <v>44583</v>
      </c>
      <c r="C743" t="s">
        <v>14</v>
      </c>
      <c r="D743" t="s">
        <v>2040</v>
      </c>
      <c r="E743" t="s">
        <v>20</v>
      </c>
      <c r="F743" t="s">
        <v>25</v>
      </c>
      <c r="G743">
        <v>9</v>
      </c>
      <c r="H743">
        <v>10800</v>
      </c>
      <c r="I743" s="6">
        <v>0.1</v>
      </c>
      <c r="J743">
        <v>9720</v>
      </c>
    </row>
    <row r="744" spans="1:10" x14ac:dyDescent="0.25">
      <c r="A744" t="s">
        <v>765</v>
      </c>
      <c r="B744" s="2">
        <v>44584</v>
      </c>
      <c r="C744" t="s">
        <v>14</v>
      </c>
      <c r="D744" t="s">
        <v>2041</v>
      </c>
      <c r="E744" t="s">
        <v>21</v>
      </c>
      <c r="F744" t="s">
        <v>25</v>
      </c>
      <c r="G744">
        <v>6</v>
      </c>
      <c r="H744">
        <v>11000</v>
      </c>
      <c r="I744" s="6">
        <v>0.15000000000000002</v>
      </c>
      <c r="J744">
        <v>9350</v>
      </c>
    </row>
    <row r="745" spans="1:10" x14ac:dyDescent="0.25">
      <c r="A745" t="s">
        <v>766</v>
      </c>
      <c r="B745" s="2">
        <v>44585</v>
      </c>
      <c r="C745" t="s">
        <v>14</v>
      </c>
      <c r="D745" t="s">
        <v>2042</v>
      </c>
      <c r="E745" t="s">
        <v>22</v>
      </c>
      <c r="F745" t="s">
        <v>25</v>
      </c>
      <c r="G745">
        <v>5</v>
      </c>
      <c r="H745">
        <v>5000</v>
      </c>
      <c r="I745" s="6">
        <v>0.2</v>
      </c>
      <c r="J745">
        <v>4000</v>
      </c>
    </row>
    <row r="746" spans="1:10" x14ac:dyDescent="0.25">
      <c r="A746" t="s">
        <v>767</v>
      </c>
      <c r="B746" s="2">
        <v>44586</v>
      </c>
      <c r="C746" t="s">
        <v>14</v>
      </c>
      <c r="D746" t="s">
        <v>2043</v>
      </c>
      <c r="E746" t="s">
        <v>19</v>
      </c>
      <c r="F746" t="s">
        <v>25</v>
      </c>
      <c r="G746">
        <v>6</v>
      </c>
      <c r="H746">
        <v>10200</v>
      </c>
      <c r="I746" s="6">
        <v>0.25</v>
      </c>
      <c r="J746">
        <v>7650</v>
      </c>
    </row>
    <row r="747" spans="1:10" x14ac:dyDescent="0.25">
      <c r="A747" t="s">
        <v>768</v>
      </c>
      <c r="B747" s="2">
        <v>44587</v>
      </c>
      <c r="C747" t="s">
        <v>14</v>
      </c>
      <c r="D747" t="s">
        <v>2044</v>
      </c>
      <c r="E747" t="s">
        <v>20</v>
      </c>
      <c r="F747" t="s">
        <v>25</v>
      </c>
      <c r="G747">
        <v>2</v>
      </c>
      <c r="H747">
        <v>4600</v>
      </c>
      <c r="I747" s="6">
        <v>0.05</v>
      </c>
      <c r="J747">
        <v>4370</v>
      </c>
    </row>
    <row r="748" spans="1:10" x14ac:dyDescent="0.25">
      <c r="A748" t="s">
        <v>769</v>
      </c>
      <c r="B748" s="2">
        <v>44588</v>
      </c>
      <c r="C748" t="s">
        <v>14</v>
      </c>
      <c r="D748" t="s">
        <v>2045</v>
      </c>
      <c r="E748" t="s">
        <v>21</v>
      </c>
      <c r="F748" t="s">
        <v>25</v>
      </c>
      <c r="G748">
        <v>7</v>
      </c>
      <c r="H748">
        <v>6900</v>
      </c>
      <c r="I748" s="6">
        <v>0.1</v>
      </c>
      <c r="J748">
        <v>6210</v>
      </c>
    </row>
    <row r="749" spans="1:10" x14ac:dyDescent="0.25">
      <c r="A749" t="s">
        <v>770</v>
      </c>
      <c r="B749" s="2">
        <v>44589</v>
      </c>
      <c r="C749" t="s">
        <v>14</v>
      </c>
      <c r="D749" t="s">
        <v>2046</v>
      </c>
      <c r="E749" t="s">
        <v>22</v>
      </c>
      <c r="F749" t="s">
        <v>25</v>
      </c>
      <c r="G749">
        <v>4</v>
      </c>
      <c r="H749">
        <v>12200</v>
      </c>
      <c r="I749" s="6">
        <v>0.15000000000000002</v>
      </c>
      <c r="J749">
        <v>10370</v>
      </c>
    </row>
    <row r="750" spans="1:10" x14ac:dyDescent="0.25">
      <c r="A750" t="s">
        <v>771</v>
      </c>
      <c r="B750" s="2">
        <v>44590</v>
      </c>
      <c r="C750" t="s">
        <v>14</v>
      </c>
      <c r="D750" t="s">
        <v>2047</v>
      </c>
      <c r="E750" t="s">
        <v>19</v>
      </c>
      <c r="F750" t="s">
        <v>25</v>
      </c>
      <c r="G750">
        <v>1</v>
      </c>
      <c r="H750">
        <v>8600</v>
      </c>
      <c r="I750" s="6">
        <v>0.2</v>
      </c>
      <c r="J750">
        <v>6880</v>
      </c>
    </row>
    <row r="751" spans="1:10" x14ac:dyDescent="0.25">
      <c r="A751" t="s">
        <v>772</v>
      </c>
      <c r="B751" s="2">
        <v>44591</v>
      </c>
      <c r="C751" t="s">
        <v>14</v>
      </c>
      <c r="D751" t="s">
        <v>2048</v>
      </c>
      <c r="E751" t="s">
        <v>20</v>
      </c>
      <c r="F751" t="s">
        <v>25</v>
      </c>
      <c r="G751">
        <v>8</v>
      </c>
      <c r="H751">
        <v>6900</v>
      </c>
      <c r="I751" s="6">
        <v>0.25</v>
      </c>
      <c r="J751">
        <v>5175</v>
      </c>
    </row>
    <row r="752" spans="1:10" x14ac:dyDescent="0.25">
      <c r="A752" t="s">
        <v>773</v>
      </c>
      <c r="B752" s="2">
        <v>44592</v>
      </c>
      <c r="C752" t="s">
        <v>12</v>
      </c>
      <c r="D752" t="s">
        <v>15</v>
      </c>
      <c r="E752" t="s">
        <v>21</v>
      </c>
      <c r="F752" t="s">
        <v>23</v>
      </c>
      <c r="G752">
        <v>9</v>
      </c>
      <c r="H752">
        <v>4200</v>
      </c>
      <c r="I752" s="6">
        <v>0.05</v>
      </c>
      <c r="J752">
        <v>3990</v>
      </c>
    </row>
    <row r="753" spans="1:10" x14ac:dyDescent="0.25">
      <c r="A753" t="s">
        <v>774</v>
      </c>
      <c r="B753" s="2">
        <v>44593</v>
      </c>
      <c r="C753" t="s">
        <v>12</v>
      </c>
      <c r="D753" t="s">
        <v>17</v>
      </c>
      <c r="E753" t="s">
        <v>22</v>
      </c>
      <c r="F753" t="s">
        <v>23</v>
      </c>
      <c r="G753">
        <v>8</v>
      </c>
      <c r="H753">
        <v>9500</v>
      </c>
      <c r="I753" s="6">
        <v>0.1</v>
      </c>
      <c r="J753">
        <v>8550</v>
      </c>
    </row>
    <row r="754" spans="1:10" x14ac:dyDescent="0.25">
      <c r="A754" t="s">
        <v>775</v>
      </c>
      <c r="B754" s="2">
        <v>44594</v>
      </c>
      <c r="C754" t="s">
        <v>12</v>
      </c>
      <c r="D754" t="s">
        <v>2023</v>
      </c>
      <c r="E754" t="s">
        <v>19</v>
      </c>
      <c r="F754" t="s">
        <v>23</v>
      </c>
      <c r="G754">
        <v>4</v>
      </c>
      <c r="H754">
        <v>4200</v>
      </c>
      <c r="I754" s="6">
        <v>0.15000000000000002</v>
      </c>
      <c r="J754">
        <v>3570</v>
      </c>
    </row>
    <row r="755" spans="1:10" x14ac:dyDescent="0.25">
      <c r="A755" t="s">
        <v>776</v>
      </c>
      <c r="B755" s="2">
        <v>44595</v>
      </c>
      <c r="C755" t="s">
        <v>12</v>
      </c>
      <c r="D755" t="s">
        <v>18</v>
      </c>
      <c r="E755" t="s">
        <v>20</v>
      </c>
      <c r="F755" t="s">
        <v>23</v>
      </c>
      <c r="G755">
        <v>7</v>
      </c>
      <c r="H755">
        <v>6400</v>
      </c>
      <c r="I755" s="6">
        <v>0.2</v>
      </c>
      <c r="J755">
        <v>5120</v>
      </c>
    </row>
    <row r="756" spans="1:10" x14ac:dyDescent="0.25">
      <c r="A756" t="s">
        <v>777</v>
      </c>
      <c r="B756" s="2">
        <v>44596</v>
      </c>
      <c r="C756" t="s">
        <v>12</v>
      </c>
      <c r="D756" t="s">
        <v>2024</v>
      </c>
      <c r="E756" t="s">
        <v>21</v>
      </c>
      <c r="F756" t="s">
        <v>23</v>
      </c>
      <c r="G756">
        <v>9</v>
      </c>
      <c r="H756">
        <v>4500</v>
      </c>
      <c r="I756" s="6">
        <v>0.25</v>
      </c>
      <c r="J756">
        <v>3375</v>
      </c>
    </row>
    <row r="757" spans="1:10" x14ac:dyDescent="0.25">
      <c r="A757" t="s">
        <v>778</v>
      </c>
      <c r="B757" s="2">
        <v>44597</v>
      </c>
      <c r="C757" t="s">
        <v>12</v>
      </c>
      <c r="D757" t="s">
        <v>2025</v>
      </c>
      <c r="E757" t="s">
        <v>22</v>
      </c>
      <c r="F757" t="s">
        <v>23</v>
      </c>
      <c r="G757">
        <v>4</v>
      </c>
      <c r="H757">
        <v>11500</v>
      </c>
      <c r="I757" s="6">
        <v>0.05</v>
      </c>
      <c r="J757">
        <v>10925</v>
      </c>
    </row>
    <row r="758" spans="1:10" x14ac:dyDescent="0.25">
      <c r="A758" t="s">
        <v>779</v>
      </c>
      <c r="B758" s="2">
        <v>44598</v>
      </c>
      <c r="C758" t="s">
        <v>12</v>
      </c>
      <c r="D758" t="s">
        <v>2026</v>
      </c>
      <c r="E758" t="s">
        <v>19</v>
      </c>
      <c r="F758" t="s">
        <v>23</v>
      </c>
      <c r="G758">
        <v>7</v>
      </c>
      <c r="H758">
        <v>6600</v>
      </c>
      <c r="I758" s="6">
        <v>0.1</v>
      </c>
      <c r="J758">
        <v>5940</v>
      </c>
    </row>
    <row r="759" spans="1:10" x14ac:dyDescent="0.25">
      <c r="A759" t="s">
        <v>780</v>
      </c>
      <c r="B759" s="2">
        <v>44599</v>
      </c>
      <c r="C759" t="s">
        <v>12</v>
      </c>
      <c r="D759" t="s">
        <v>2027</v>
      </c>
      <c r="E759" t="s">
        <v>20</v>
      </c>
      <c r="F759" t="s">
        <v>23</v>
      </c>
      <c r="G759">
        <v>10</v>
      </c>
      <c r="H759">
        <v>10000</v>
      </c>
      <c r="I759" s="6">
        <v>0.15000000000000002</v>
      </c>
      <c r="J759">
        <v>8500</v>
      </c>
    </row>
    <row r="760" spans="1:10" x14ac:dyDescent="0.25">
      <c r="A760" t="s">
        <v>781</v>
      </c>
      <c r="B760" s="2">
        <v>44600</v>
      </c>
      <c r="C760" t="s">
        <v>12</v>
      </c>
      <c r="D760" t="s">
        <v>2028</v>
      </c>
      <c r="E760" t="s">
        <v>21</v>
      </c>
      <c r="F760" t="s">
        <v>23</v>
      </c>
      <c r="G760">
        <v>1</v>
      </c>
      <c r="H760">
        <v>10000</v>
      </c>
      <c r="I760" s="6">
        <v>0.2</v>
      </c>
      <c r="J760">
        <v>8000</v>
      </c>
    </row>
    <row r="761" spans="1:10" x14ac:dyDescent="0.25">
      <c r="A761" t="s">
        <v>782</v>
      </c>
      <c r="B761" s="2">
        <v>44601</v>
      </c>
      <c r="C761" t="s">
        <v>12</v>
      </c>
      <c r="D761" t="s">
        <v>2029</v>
      </c>
      <c r="E761" t="s">
        <v>22</v>
      </c>
      <c r="F761" t="s">
        <v>23</v>
      </c>
      <c r="G761">
        <v>10</v>
      </c>
      <c r="H761">
        <v>8200</v>
      </c>
      <c r="I761" s="6">
        <v>0.25</v>
      </c>
      <c r="J761">
        <v>6150</v>
      </c>
    </row>
    <row r="762" spans="1:10" x14ac:dyDescent="0.25">
      <c r="A762" t="s">
        <v>783</v>
      </c>
      <c r="B762" s="2">
        <v>44602</v>
      </c>
      <c r="C762" t="s">
        <v>13</v>
      </c>
      <c r="D762" t="s">
        <v>16</v>
      </c>
      <c r="E762" t="s">
        <v>19</v>
      </c>
      <c r="F762" t="s">
        <v>24</v>
      </c>
      <c r="G762">
        <v>1</v>
      </c>
      <c r="H762">
        <v>13700</v>
      </c>
      <c r="I762" s="6">
        <v>0.05</v>
      </c>
      <c r="J762">
        <v>13015</v>
      </c>
    </row>
    <row r="763" spans="1:10" x14ac:dyDescent="0.25">
      <c r="A763" t="s">
        <v>784</v>
      </c>
      <c r="B763" s="2">
        <v>44603</v>
      </c>
      <c r="C763" t="s">
        <v>13</v>
      </c>
      <c r="D763" t="s">
        <v>2030</v>
      </c>
      <c r="E763" t="s">
        <v>20</v>
      </c>
      <c r="F763" t="s">
        <v>24</v>
      </c>
      <c r="G763">
        <v>10</v>
      </c>
      <c r="H763">
        <v>13800</v>
      </c>
      <c r="I763" s="6">
        <v>0.1</v>
      </c>
      <c r="J763">
        <v>12420</v>
      </c>
    </row>
    <row r="764" spans="1:10" x14ac:dyDescent="0.25">
      <c r="A764" t="s">
        <v>785</v>
      </c>
      <c r="B764" s="2">
        <v>44604</v>
      </c>
      <c r="C764" t="s">
        <v>13</v>
      </c>
      <c r="D764" t="s">
        <v>2031</v>
      </c>
      <c r="E764" t="s">
        <v>21</v>
      </c>
      <c r="F764" t="s">
        <v>24</v>
      </c>
      <c r="G764">
        <v>1</v>
      </c>
      <c r="H764">
        <v>7800</v>
      </c>
      <c r="I764" s="6">
        <v>0.15000000000000002</v>
      </c>
      <c r="J764">
        <v>6630</v>
      </c>
    </row>
    <row r="765" spans="1:10" x14ac:dyDescent="0.25">
      <c r="A765" t="s">
        <v>786</v>
      </c>
      <c r="B765" s="2">
        <v>44605</v>
      </c>
      <c r="C765" t="s">
        <v>13</v>
      </c>
      <c r="D765" t="s">
        <v>2032</v>
      </c>
      <c r="E765" t="s">
        <v>22</v>
      </c>
      <c r="F765" t="s">
        <v>24</v>
      </c>
      <c r="G765">
        <v>6</v>
      </c>
      <c r="H765">
        <v>4300</v>
      </c>
      <c r="I765" s="6">
        <v>0.2</v>
      </c>
      <c r="J765">
        <v>3440</v>
      </c>
    </row>
    <row r="766" spans="1:10" x14ac:dyDescent="0.25">
      <c r="A766" t="s">
        <v>787</v>
      </c>
      <c r="B766" s="2">
        <v>44606</v>
      </c>
      <c r="C766" t="s">
        <v>13</v>
      </c>
      <c r="D766" t="s">
        <v>2033</v>
      </c>
      <c r="E766" t="s">
        <v>19</v>
      </c>
      <c r="F766" t="s">
        <v>24</v>
      </c>
      <c r="G766">
        <v>10</v>
      </c>
      <c r="H766">
        <v>8900</v>
      </c>
      <c r="I766" s="6">
        <v>0.25</v>
      </c>
      <c r="J766">
        <v>6675</v>
      </c>
    </row>
    <row r="767" spans="1:10" x14ac:dyDescent="0.25">
      <c r="A767" t="s">
        <v>788</v>
      </c>
      <c r="B767" s="2">
        <v>44607</v>
      </c>
      <c r="C767" t="s">
        <v>13</v>
      </c>
      <c r="D767" t="s">
        <v>2034</v>
      </c>
      <c r="E767" t="s">
        <v>20</v>
      </c>
      <c r="F767" t="s">
        <v>24</v>
      </c>
      <c r="G767">
        <v>8</v>
      </c>
      <c r="H767">
        <v>10700</v>
      </c>
      <c r="I767" s="6">
        <v>0.05</v>
      </c>
      <c r="J767">
        <v>10165</v>
      </c>
    </row>
    <row r="768" spans="1:10" x14ac:dyDescent="0.25">
      <c r="A768" t="s">
        <v>789</v>
      </c>
      <c r="B768" s="2">
        <v>44608</v>
      </c>
      <c r="C768" t="s">
        <v>13</v>
      </c>
      <c r="D768" t="s">
        <v>2035</v>
      </c>
      <c r="E768" t="s">
        <v>21</v>
      </c>
      <c r="F768" t="s">
        <v>24</v>
      </c>
      <c r="G768">
        <v>7</v>
      </c>
      <c r="H768">
        <v>13100</v>
      </c>
      <c r="I768" s="6">
        <v>0.1</v>
      </c>
      <c r="J768">
        <v>11790</v>
      </c>
    </row>
    <row r="769" spans="1:10" x14ac:dyDescent="0.25">
      <c r="A769" t="s">
        <v>790</v>
      </c>
      <c r="B769" s="2">
        <v>44609</v>
      </c>
      <c r="C769" t="s">
        <v>13</v>
      </c>
      <c r="D769" t="s">
        <v>2036</v>
      </c>
      <c r="E769" t="s">
        <v>22</v>
      </c>
      <c r="F769" t="s">
        <v>24</v>
      </c>
      <c r="G769">
        <v>9</v>
      </c>
      <c r="H769">
        <v>6300</v>
      </c>
      <c r="I769" s="6">
        <v>0.15000000000000002</v>
      </c>
      <c r="J769">
        <v>5355</v>
      </c>
    </row>
    <row r="770" spans="1:10" x14ac:dyDescent="0.25">
      <c r="A770" t="s">
        <v>791</v>
      </c>
      <c r="B770" s="2">
        <v>44610</v>
      </c>
      <c r="C770" t="s">
        <v>13</v>
      </c>
      <c r="D770" t="s">
        <v>2037</v>
      </c>
      <c r="E770" t="s">
        <v>19</v>
      </c>
      <c r="F770" t="s">
        <v>24</v>
      </c>
      <c r="G770">
        <v>2</v>
      </c>
      <c r="H770">
        <v>14500</v>
      </c>
      <c r="I770" s="6">
        <v>0.2</v>
      </c>
      <c r="J770">
        <v>11600</v>
      </c>
    </row>
    <row r="771" spans="1:10" x14ac:dyDescent="0.25">
      <c r="A771" t="s">
        <v>792</v>
      </c>
      <c r="B771" s="2">
        <v>44611</v>
      </c>
      <c r="C771" t="s">
        <v>13</v>
      </c>
      <c r="D771" t="s">
        <v>2038</v>
      </c>
      <c r="E771" t="s">
        <v>20</v>
      </c>
      <c r="F771" t="s">
        <v>24</v>
      </c>
      <c r="G771">
        <v>1</v>
      </c>
      <c r="H771">
        <v>10900</v>
      </c>
      <c r="I771" s="6">
        <v>0.25</v>
      </c>
      <c r="J771">
        <v>8175</v>
      </c>
    </row>
    <row r="772" spans="1:10" x14ac:dyDescent="0.25">
      <c r="A772" t="s">
        <v>793</v>
      </c>
      <c r="B772" s="2">
        <v>44612</v>
      </c>
      <c r="C772" t="s">
        <v>14</v>
      </c>
      <c r="D772" t="s">
        <v>2039</v>
      </c>
      <c r="E772" t="s">
        <v>21</v>
      </c>
      <c r="F772" t="s">
        <v>25</v>
      </c>
      <c r="G772">
        <v>10</v>
      </c>
      <c r="H772">
        <v>11100</v>
      </c>
      <c r="I772" s="6">
        <v>0.05</v>
      </c>
      <c r="J772">
        <v>10545</v>
      </c>
    </row>
    <row r="773" spans="1:10" x14ac:dyDescent="0.25">
      <c r="A773" t="s">
        <v>794</v>
      </c>
      <c r="B773" s="2">
        <v>44613</v>
      </c>
      <c r="C773" t="s">
        <v>14</v>
      </c>
      <c r="D773" t="s">
        <v>2040</v>
      </c>
      <c r="E773" t="s">
        <v>22</v>
      </c>
      <c r="F773" t="s">
        <v>25</v>
      </c>
      <c r="G773">
        <v>8</v>
      </c>
      <c r="H773">
        <v>5300</v>
      </c>
      <c r="I773" s="6">
        <v>0.1</v>
      </c>
      <c r="J773">
        <v>4770</v>
      </c>
    </row>
    <row r="774" spans="1:10" x14ac:dyDescent="0.25">
      <c r="A774" t="s">
        <v>795</v>
      </c>
      <c r="B774" s="2">
        <v>44614</v>
      </c>
      <c r="C774" t="s">
        <v>14</v>
      </c>
      <c r="D774" t="s">
        <v>2041</v>
      </c>
      <c r="E774" t="s">
        <v>19</v>
      </c>
      <c r="F774" t="s">
        <v>25</v>
      </c>
      <c r="G774">
        <v>1</v>
      </c>
      <c r="H774">
        <v>13500</v>
      </c>
      <c r="I774" s="6">
        <v>0.15000000000000002</v>
      </c>
      <c r="J774">
        <v>11475</v>
      </c>
    </row>
    <row r="775" spans="1:10" x14ac:dyDescent="0.25">
      <c r="A775" t="s">
        <v>796</v>
      </c>
      <c r="B775" s="2">
        <v>44615</v>
      </c>
      <c r="C775" t="s">
        <v>14</v>
      </c>
      <c r="D775" t="s">
        <v>2042</v>
      </c>
      <c r="E775" t="s">
        <v>20</v>
      </c>
      <c r="F775" t="s">
        <v>25</v>
      </c>
      <c r="G775">
        <v>10</v>
      </c>
      <c r="H775">
        <v>6100</v>
      </c>
      <c r="I775" s="6">
        <v>0.2</v>
      </c>
      <c r="J775">
        <v>4880</v>
      </c>
    </row>
    <row r="776" spans="1:10" x14ac:dyDescent="0.25">
      <c r="A776" t="s">
        <v>797</v>
      </c>
      <c r="B776" s="2">
        <v>44616</v>
      </c>
      <c r="C776" t="s">
        <v>14</v>
      </c>
      <c r="D776" t="s">
        <v>2043</v>
      </c>
      <c r="E776" t="s">
        <v>21</v>
      </c>
      <c r="F776" t="s">
        <v>25</v>
      </c>
      <c r="G776">
        <v>7</v>
      </c>
      <c r="H776">
        <v>6600</v>
      </c>
      <c r="I776" s="6">
        <v>0.25</v>
      </c>
      <c r="J776">
        <v>4950</v>
      </c>
    </row>
    <row r="777" spans="1:10" x14ac:dyDescent="0.25">
      <c r="A777" t="s">
        <v>798</v>
      </c>
      <c r="B777" s="2">
        <v>44617</v>
      </c>
      <c r="C777" t="s">
        <v>14</v>
      </c>
      <c r="D777" t="s">
        <v>2044</v>
      </c>
      <c r="E777" t="s">
        <v>22</v>
      </c>
      <c r="F777" t="s">
        <v>25</v>
      </c>
      <c r="G777">
        <v>8</v>
      </c>
      <c r="H777">
        <v>7500</v>
      </c>
      <c r="I777" s="6">
        <v>0.05</v>
      </c>
      <c r="J777">
        <v>7125</v>
      </c>
    </row>
    <row r="778" spans="1:10" x14ac:dyDescent="0.25">
      <c r="A778" t="s">
        <v>799</v>
      </c>
      <c r="B778" s="2">
        <v>44618</v>
      </c>
      <c r="C778" t="s">
        <v>14</v>
      </c>
      <c r="D778" t="s">
        <v>2045</v>
      </c>
      <c r="E778" t="s">
        <v>19</v>
      </c>
      <c r="F778" t="s">
        <v>25</v>
      </c>
      <c r="G778">
        <v>5</v>
      </c>
      <c r="H778">
        <v>10800</v>
      </c>
      <c r="I778" s="6">
        <v>0.1</v>
      </c>
      <c r="J778">
        <v>9720</v>
      </c>
    </row>
    <row r="779" spans="1:10" x14ac:dyDescent="0.25">
      <c r="A779" t="s">
        <v>800</v>
      </c>
      <c r="B779" s="2">
        <v>44619</v>
      </c>
      <c r="C779" t="s">
        <v>14</v>
      </c>
      <c r="D779" t="s">
        <v>2046</v>
      </c>
      <c r="E779" t="s">
        <v>20</v>
      </c>
      <c r="F779" t="s">
        <v>25</v>
      </c>
      <c r="G779">
        <v>6</v>
      </c>
      <c r="H779">
        <v>9000</v>
      </c>
      <c r="I779" s="6">
        <v>0.15000000000000002</v>
      </c>
      <c r="J779">
        <v>7650</v>
      </c>
    </row>
    <row r="780" spans="1:10" x14ac:dyDescent="0.25">
      <c r="A780" t="s">
        <v>801</v>
      </c>
      <c r="B780" s="2">
        <v>44620</v>
      </c>
      <c r="C780" t="s">
        <v>14</v>
      </c>
      <c r="D780" t="s">
        <v>2047</v>
      </c>
      <c r="E780" t="s">
        <v>21</v>
      </c>
      <c r="F780" t="s">
        <v>25</v>
      </c>
      <c r="G780">
        <v>6</v>
      </c>
      <c r="H780">
        <v>8900</v>
      </c>
      <c r="I780" s="6">
        <v>0.2</v>
      </c>
      <c r="J780">
        <v>7120</v>
      </c>
    </row>
    <row r="781" spans="1:10" x14ac:dyDescent="0.25">
      <c r="A781" t="s">
        <v>802</v>
      </c>
      <c r="B781" s="2">
        <v>44621</v>
      </c>
      <c r="C781" t="s">
        <v>14</v>
      </c>
      <c r="D781" t="s">
        <v>2048</v>
      </c>
      <c r="E781" t="s">
        <v>22</v>
      </c>
      <c r="F781" t="s">
        <v>25</v>
      </c>
      <c r="G781">
        <v>3</v>
      </c>
      <c r="H781">
        <v>10100</v>
      </c>
      <c r="I781" s="6">
        <v>0.25</v>
      </c>
      <c r="J781">
        <v>7575</v>
      </c>
    </row>
    <row r="782" spans="1:10" x14ac:dyDescent="0.25">
      <c r="A782" t="s">
        <v>803</v>
      </c>
      <c r="B782" s="2">
        <v>44622</v>
      </c>
      <c r="C782" t="s">
        <v>12</v>
      </c>
      <c r="D782" t="s">
        <v>15</v>
      </c>
      <c r="E782" t="s">
        <v>19</v>
      </c>
      <c r="F782" t="s">
        <v>23</v>
      </c>
      <c r="G782">
        <v>10</v>
      </c>
      <c r="H782">
        <v>6500</v>
      </c>
      <c r="I782" s="6">
        <v>0.05</v>
      </c>
      <c r="J782">
        <v>6175</v>
      </c>
    </row>
    <row r="783" spans="1:10" x14ac:dyDescent="0.25">
      <c r="A783" t="s">
        <v>804</v>
      </c>
      <c r="B783" s="2">
        <v>44623</v>
      </c>
      <c r="C783" t="s">
        <v>12</v>
      </c>
      <c r="D783" t="s">
        <v>17</v>
      </c>
      <c r="E783" t="s">
        <v>20</v>
      </c>
      <c r="F783" t="s">
        <v>23</v>
      </c>
      <c r="G783">
        <v>2</v>
      </c>
      <c r="H783">
        <v>11600</v>
      </c>
      <c r="I783" s="6">
        <v>0.1</v>
      </c>
      <c r="J783">
        <v>10440</v>
      </c>
    </row>
    <row r="784" spans="1:10" x14ac:dyDescent="0.25">
      <c r="A784" t="s">
        <v>805</v>
      </c>
      <c r="B784" s="2">
        <v>44624</v>
      </c>
      <c r="C784" t="s">
        <v>12</v>
      </c>
      <c r="D784" t="s">
        <v>2023</v>
      </c>
      <c r="E784" t="s">
        <v>21</v>
      </c>
      <c r="F784" t="s">
        <v>23</v>
      </c>
      <c r="G784">
        <v>1</v>
      </c>
      <c r="H784">
        <v>11600</v>
      </c>
      <c r="I784" s="6">
        <v>0.15000000000000002</v>
      </c>
      <c r="J784">
        <v>9860</v>
      </c>
    </row>
    <row r="785" spans="1:10" x14ac:dyDescent="0.25">
      <c r="A785" t="s">
        <v>806</v>
      </c>
      <c r="B785" s="2">
        <v>44625</v>
      </c>
      <c r="C785" t="s">
        <v>12</v>
      </c>
      <c r="D785" t="s">
        <v>18</v>
      </c>
      <c r="E785" t="s">
        <v>22</v>
      </c>
      <c r="F785" t="s">
        <v>23</v>
      </c>
      <c r="G785">
        <v>2</v>
      </c>
      <c r="H785">
        <v>11200</v>
      </c>
      <c r="I785" s="6">
        <v>0.2</v>
      </c>
      <c r="J785">
        <v>8960</v>
      </c>
    </row>
    <row r="786" spans="1:10" x14ac:dyDescent="0.25">
      <c r="A786" t="s">
        <v>807</v>
      </c>
      <c r="B786" s="2">
        <v>44626</v>
      </c>
      <c r="C786" t="s">
        <v>12</v>
      </c>
      <c r="D786" t="s">
        <v>2024</v>
      </c>
      <c r="E786" t="s">
        <v>19</v>
      </c>
      <c r="F786" t="s">
        <v>23</v>
      </c>
      <c r="G786">
        <v>8</v>
      </c>
      <c r="H786">
        <v>12600</v>
      </c>
      <c r="I786" s="6">
        <v>0.25</v>
      </c>
      <c r="J786">
        <v>9450</v>
      </c>
    </row>
    <row r="787" spans="1:10" x14ac:dyDescent="0.25">
      <c r="A787" t="s">
        <v>808</v>
      </c>
      <c r="B787" s="2">
        <v>44627</v>
      </c>
      <c r="C787" t="s">
        <v>12</v>
      </c>
      <c r="D787" t="s">
        <v>2025</v>
      </c>
      <c r="E787" t="s">
        <v>20</v>
      </c>
      <c r="F787" t="s">
        <v>23</v>
      </c>
      <c r="G787">
        <v>7</v>
      </c>
      <c r="H787">
        <v>12400</v>
      </c>
      <c r="I787" s="6">
        <v>0.05</v>
      </c>
      <c r="J787">
        <v>11780</v>
      </c>
    </row>
    <row r="788" spans="1:10" x14ac:dyDescent="0.25">
      <c r="A788" t="s">
        <v>809</v>
      </c>
      <c r="B788" s="2">
        <v>44628</v>
      </c>
      <c r="C788" t="s">
        <v>12</v>
      </c>
      <c r="D788" t="s">
        <v>2026</v>
      </c>
      <c r="E788" t="s">
        <v>21</v>
      </c>
      <c r="F788" t="s">
        <v>23</v>
      </c>
      <c r="G788">
        <v>8</v>
      </c>
      <c r="H788">
        <v>14600</v>
      </c>
      <c r="I788" s="6">
        <v>0.1</v>
      </c>
      <c r="J788">
        <v>13140</v>
      </c>
    </row>
    <row r="789" spans="1:10" x14ac:dyDescent="0.25">
      <c r="A789" t="s">
        <v>810</v>
      </c>
      <c r="B789" s="2">
        <v>44629</v>
      </c>
      <c r="C789" t="s">
        <v>12</v>
      </c>
      <c r="D789" t="s">
        <v>2027</v>
      </c>
      <c r="E789" t="s">
        <v>22</v>
      </c>
      <c r="F789" t="s">
        <v>23</v>
      </c>
      <c r="G789">
        <v>3</v>
      </c>
      <c r="H789">
        <v>5600</v>
      </c>
      <c r="I789" s="6">
        <v>0.15000000000000002</v>
      </c>
      <c r="J789">
        <v>4760</v>
      </c>
    </row>
    <row r="790" spans="1:10" x14ac:dyDescent="0.25">
      <c r="A790" t="s">
        <v>811</v>
      </c>
      <c r="B790" s="2">
        <v>44630</v>
      </c>
      <c r="C790" t="s">
        <v>12</v>
      </c>
      <c r="D790" t="s">
        <v>2028</v>
      </c>
      <c r="E790" t="s">
        <v>19</v>
      </c>
      <c r="F790" t="s">
        <v>23</v>
      </c>
      <c r="G790">
        <v>6</v>
      </c>
      <c r="H790">
        <v>7400</v>
      </c>
      <c r="I790" s="6">
        <v>0.2</v>
      </c>
      <c r="J790">
        <v>5920</v>
      </c>
    </row>
    <row r="791" spans="1:10" x14ac:dyDescent="0.25">
      <c r="A791" t="s">
        <v>812</v>
      </c>
      <c r="B791" s="2">
        <v>44631</v>
      </c>
      <c r="C791" t="s">
        <v>12</v>
      </c>
      <c r="D791" t="s">
        <v>2029</v>
      </c>
      <c r="E791" t="s">
        <v>20</v>
      </c>
      <c r="F791" t="s">
        <v>23</v>
      </c>
      <c r="G791">
        <v>2</v>
      </c>
      <c r="H791">
        <v>4600</v>
      </c>
      <c r="I791" s="6">
        <v>0.25</v>
      </c>
      <c r="J791">
        <v>3450</v>
      </c>
    </row>
    <row r="792" spans="1:10" x14ac:dyDescent="0.25">
      <c r="A792" t="s">
        <v>813</v>
      </c>
      <c r="B792" s="2">
        <v>44632</v>
      </c>
      <c r="C792" t="s">
        <v>13</v>
      </c>
      <c r="D792" t="s">
        <v>16</v>
      </c>
      <c r="E792" t="s">
        <v>21</v>
      </c>
      <c r="F792" t="s">
        <v>24</v>
      </c>
      <c r="G792">
        <v>10</v>
      </c>
      <c r="H792">
        <v>10800</v>
      </c>
      <c r="I792" s="6">
        <v>0.05</v>
      </c>
      <c r="J792">
        <v>10260</v>
      </c>
    </row>
    <row r="793" spans="1:10" x14ac:dyDescent="0.25">
      <c r="A793" t="s">
        <v>814</v>
      </c>
      <c r="B793" s="2">
        <v>44633</v>
      </c>
      <c r="C793" t="s">
        <v>13</v>
      </c>
      <c r="D793" t="s">
        <v>2030</v>
      </c>
      <c r="E793" t="s">
        <v>22</v>
      </c>
      <c r="F793" t="s">
        <v>24</v>
      </c>
      <c r="G793">
        <v>6</v>
      </c>
      <c r="H793">
        <v>8000</v>
      </c>
      <c r="I793" s="6">
        <v>0.1</v>
      </c>
      <c r="J793">
        <v>7200</v>
      </c>
    </row>
    <row r="794" spans="1:10" x14ac:dyDescent="0.25">
      <c r="A794" t="s">
        <v>815</v>
      </c>
      <c r="B794" s="2">
        <v>44634</v>
      </c>
      <c r="C794" t="s">
        <v>13</v>
      </c>
      <c r="D794" t="s">
        <v>2031</v>
      </c>
      <c r="E794" t="s">
        <v>19</v>
      </c>
      <c r="F794" t="s">
        <v>24</v>
      </c>
      <c r="G794">
        <v>1</v>
      </c>
      <c r="H794">
        <v>12600</v>
      </c>
      <c r="I794" s="6">
        <v>0.15000000000000002</v>
      </c>
      <c r="J794">
        <v>10710</v>
      </c>
    </row>
    <row r="795" spans="1:10" x14ac:dyDescent="0.25">
      <c r="A795" t="s">
        <v>816</v>
      </c>
      <c r="B795" s="2">
        <v>44635</v>
      </c>
      <c r="C795" t="s">
        <v>13</v>
      </c>
      <c r="D795" t="s">
        <v>2032</v>
      </c>
      <c r="E795" t="s">
        <v>20</v>
      </c>
      <c r="F795" t="s">
        <v>24</v>
      </c>
      <c r="G795">
        <v>9</v>
      </c>
      <c r="H795">
        <v>6900</v>
      </c>
      <c r="I795" s="6">
        <v>0.2</v>
      </c>
      <c r="J795">
        <v>5520</v>
      </c>
    </row>
    <row r="796" spans="1:10" x14ac:dyDescent="0.25">
      <c r="A796" t="s">
        <v>817</v>
      </c>
      <c r="B796" s="2">
        <v>44636</v>
      </c>
      <c r="C796" t="s">
        <v>13</v>
      </c>
      <c r="D796" t="s">
        <v>2033</v>
      </c>
      <c r="E796" t="s">
        <v>21</v>
      </c>
      <c r="F796" t="s">
        <v>24</v>
      </c>
      <c r="G796">
        <v>4</v>
      </c>
      <c r="H796">
        <v>8400</v>
      </c>
      <c r="I796" s="6">
        <v>0.25</v>
      </c>
      <c r="J796">
        <v>6300</v>
      </c>
    </row>
    <row r="797" spans="1:10" x14ac:dyDescent="0.25">
      <c r="A797" t="s">
        <v>818</v>
      </c>
      <c r="B797" s="2">
        <v>44637</v>
      </c>
      <c r="C797" t="s">
        <v>13</v>
      </c>
      <c r="D797" t="s">
        <v>2034</v>
      </c>
      <c r="E797" t="s">
        <v>22</v>
      </c>
      <c r="F797" t="s">
        <v>24</v>
      </c>
      <c r="G797">
        <v>10</v>
      </c>
      <c r="H797">
        <v>10900</v>
      </c>
      <c r="I797" s="6">
        <v>0.05</v>
      </c>
      <c r="J797">
        <v>10355</v>
      </c>
    </row>
    <row r="798" spans="1:10" x14ac:dyDescent="0.25">
      <c r="A798" t="s">
        <v>819</v>
      </c>
      <c r="B798" s="2">
        <v>44638</v>
      </c>
      <c r="C798" t="s">
        <v>13</v>
      </c>
      <c r="D798" t="s">
        <v>2035</v>
      </c>
      <c r="E798" t="s">
        <v>19</v>
      </c>
      <c r="F798" t="s">
        <v>24</v>
      </c>
      <c r="G798">
        <v>4</v>
      </c>
      <c r="H798">
        <v>8000</v>
      </c>
      <c r="I798" s="6">
        <v>0.1</v>
      </c>
      <c r="J798">
        <v>7200</v>
      </c>
    </row>
    <row r="799" spans="1:10" x14ac:dyDescent="0.25">
      <c r="A799" t="s">
        <v>820</v>
      </c>
      <c r="B799" s="2">
        <v>44639</v>
      </c>
      <c r="C799" t="s">
        <v>13</v>
      </c>
      <c r="D799" t="s">
        <v>2036</v>
      </c>
      <c r="E799" t="s">
        <v>20</v>
      </c>
      <c r="F799" t="s">
        <v>24</v>
      </c>
      <c r="G799">
        <v>2</v>
      </c>
      <c r="H799">
        <v>11900</v>
      </c>
      <c r="I799" s="6">
        <v>0.15000000000000002</v>
      </c>
      <c r="J799">
        <v>10115</v>
      </c>
    </row>
    <row r="800" spans="1:10" x14ac:dyDescent="0.25">
      <c r="A800" t="s">
        <v>821</v>
      </c>
      <c r="B800" s="2">
        <v>44640</v>
      </c>
      <c r="C800" t="s">
        <v>13</v>
      </c>
      <c r="D800" t="s">
        <v>2037</v>
      </c>
      <c r="E800" t="s">
        <v>21</v>
      </c>
      <c r="F800" t="s">
        <v>24</v>
      </c>
      <c r="G800">
        <v>6</v>
      </c>
      <c r="H800">
        <v>8000</v>
      </c>
      <c r="I800" s="6">
        <v>0.2</v>
      </c>
      <c r="J800">
        <v>6400</v>
      </c>
    </row>
    <row r="801" spans="1:10" x14ac:dyDescent="0.25">
      <c r="A801" t="s">
        <v>822</v>
      </c>
      <c r="B801" s="2">
        <v>44641</v>
      </c>
      <c r="C801" t="s">
        <v>13</v>
      </c>
      <c r="D801" t="s">
        <v>2038</v>
      </c>
      <c r="E801" t="s">
        <v>22</v>
      </c>
      <c r="F801" t="s">
        <v>24</v>
      </c>
      <c r="G801">
        <v>10</v>
      </c>
      <c r="H801">
        <v>10000</v>
      </c>
      <c r="I801" s="6">
        <v>0.25</v>
      </c>
      <c r="J801">
        <v>7500</v>
      </c>
    </row>
    <row r="802" spans="1:10" x14ac:dyDescent="0.25">
      <c r="A802" t="s">
        <v>823</v>
      </c>
      <c r="B802" s="2">
        <v>44642</v>
      </c>
      <c r="C802" t="s">
        <v>14</v>
      </c>
      <c r="D802" t="s">
        <v>2039</v>
      </c>
      <c r="E802" t="s">
        <v>19</v>
      </c>
      <c r="F802" t="s">
        <v>25</v>
      </c>
      <c r="G802">
        <v>6</v>
      </c>
      <c r="H802">
        <v>11300</v>
      </c>
      <c r="I802" s="6">
        <v>0.05</v>
      </c>
      <c r="J802">
        <v>10735</v>
      </c>
    </row>
    <row r="803" spans="1:10" x14ac:dyDescent="0.25">
      <c r="A803" t="s">
        <v>824</v>
      </c>
      <c r="B803" s="2">
        <v>44643</v>
      </c>
      <c r="C803" t="s">
        <v>14</v>
      </c>
      <c r="D803" t="s">
        <v>2040</v>
      </c>
      <c r="E803" t="s">
        <v>20</v>
      </c>
      <c r="F803" t="s">
        <v>25</v>
      </c>
      <c r="G803">
        <v>7</v>
      </c>
      <c r="H803">
        <v>7100</v>
      </c>
      <c r="I803" s="6">
        <v>0.1</v>
      </c>
      <c r="J803">
        <v>6390</v>
      </c>
    </row>
    <row r="804" spans="1:10" x14ac:dyDescent="0.25">
      <c r="A804" t="s">
        <v>825</v>
      </c>
      <c r="B804" s="2">
        <v>44644</v>
      </c>
      <c r="C804" t="s">
        <v>14</v>
      </c>
      <c r="D804" t="s">
        <v>2041</v>
      </c>
      <c r="E804" t="s">
        <v>21</v>
      </c>
      <c r="F804" t="s">
        <v>25</v>
      </c>
      <c r="G804">
        <v>10</v>
      </c>
      <c r="H804">
        <v>4300</v>
      </c>
      <c r="I804" s="6">
        <v>0.15000000000000002</v>
      </c>
      <c r="J804">
        <v>3655</v>
      </c>
    </row>
    <row r="805" spans="1:10" x14ac:dyDescent="0.25">
      <c r="A805" t="s">
        <v>826</v>
      </c>
      <c r="B805" s="2">
        <v>44645</v>
      </c>
      <c r="C805" t="s">
        <v>14</v>
      </c>
      <c r="D805" t="s">
        <v>2042</v>
      </c>
      <c r="E805" t="s">
        <v>22</v>
      </c>
      <c r="F805" t="s">
        <v>25</v>
      </c>
      <c r="G805">
        <v>5</v>
      </c>
      <c r="H805">
        <v>7900</v>
      </c>
      <c r="I805" s="6">
        <v>0.2</v>
      </c>
      <c r="J805">
        <v>6320</v>
      </c>
    </row>
    <row r="806" spans="1:10" x14ac:dyDescent="0.25">
      <c r="A806" t="s">
        <v>827</v>
      </c>
      <c r="B806" s="2">
        <v>44646</v>
      </c>
      <c r="C806" t="s">
        <v>14</v>
      </c>
      <c r="D806" t="s">
        <v>2043</v>
      </c>
      <c r="E806" t="s">
        <v>19</v>
      </c>
      <c r="F806" t="s">
        <v>25</v>
      </c>
      <c r="G806">
        <v>7</v>
      </c>
      <c r="H806">
        <v>5400</v>
      </c>
      <c r="I806" s="6">
        <v>0.25</v>
      </c>
      <c r="J806">
        <v>4050</v>
      </c>
    </row>
    <row r="807" spans="1:10" x14ac:dyDescent="0.25">
      <c r="A807" t="s">
        <v>828</v>
      </c>
      <c r="B807" s="2">
        <v>44647</v>
      </c>
      <c r="C807" t="s">
        <v>14</v>
      </c>
      <c r="D807" t="s">
        <v>2044</v>
      </c>
      <c r="E807" t="s">
        <v>20</v>
      </c>
      <c r="F807" t="s">
        <v>25</v>
      </c>
      <c r="G807">
        <v>2</v>
      </c>
      <c r="H807">
        <v>10900</v>
      </c>
      <c r="I807" s="6">
        <v>0.05</v>
      </c>
      <c r="J807">
        <v>10355</v>
      </c>
    </row>
    <row r="808" spans="1:10" x14ac:dyDescent="0.25">
      <c r="A808" t="s">
        <v>829</v>
      </c>
      <c r="B808" s="2">
        <v>44648</v>
      </c>
      <c r="C808" t="s">
        <v>14</v>
      </c>
      <c r="D808" t="s">
        <v>2045</v>
      </c>
      <c r="E808" t="s">
        <v>21</v>
      </c>
      <c r="F808" t="s">
        <v>25</v>
      </c>
      <c r="G808">
        <v>4</v>
      </c>
      <c r="H808">
        <v>9800</v>
      </c>
      <c r="I808" s="6">
        <v>0.1</v>
      </c>
      <c r="J808">
        <v>8820</v>
      </c>
    </row>
    <row r="809" spans="1:10" x14ac:dyDescent="0.25">
      <c r="A809" t="s">
        <v>830</v>
      </c>
      <c r="B809" s="2">
        <v>44649</v>
      </c>
      <c r="C809" t="s">
        <v>14</v>
      </c>
      <c r="D809" t="s">
        <v>2046</v>
      </c>
      <c r="E809" t="s">
        <v>22</v>
      </c>
      <c r="F809" t="s">
        <v>25</v>
      </c>
      <c r="G809">
        <v>8</v>
      </c>
      <c r="H809">
        <v>9500</v>
      </c>
      <c r="I809" s="6">
        <v>0.15000000000000002</v>
      </c>
      <c r="J809">
        <v>8075</v>
      </c>
    </row>
    <row r="810" spans="1:10" x14ac:dyDescent="0.25">
      <c r="A810" t="s">
        <v>831</v>
      </c>
      <c r="B810" s="2">
        <v>44650</v>
      </c>
      <c r="C810" t="s">
        <v>14</v>
      </c>
      <c r="D810" t="s">
        <v>2047</v>
      </c>
      <c r="E810" t="s">
        <v>19</v>
      </c>
      <c r="F810" t="s">
        <v>25</v>
      </c>
      <c r="G810">
        <v>2</v>
      </c>
      <c r="H810">
        <v>10600</v>
      </c>
      <c r="I810" s="6">
        <v>0.2</v>
      </c>
      <c r="J810">
        <v>8480</v>
      </c>
    </row>
    <row r="811" spans="1:10" x14ac:dyDescent="0.25">
      <c r="A811" t="s">
        <v>832</v>
      </c>
      <c r="B811" s="2">
        <v>44651</v>
      </c>
      <c r="C811" t="s">
        <v>14</v>
      </c>
      <c r="D811" t="s">
        <v>2048</v>
      </c>
      <c r="E811" t="s">
        <v>20</v>
      </c>
      <c r="F811" t="s">
        <v>25</v>
      </c>
      <c r="G811">
        <v>5</v>
      </c>
      <c r="H811">
        <v>5400</v>
      </c>
      <c r="I811" s="6">
        <v>0.25</v>
      </c>
      <c r="J811">
        <v>4050</v>
      </c>
    </row>
    <row r="812" spans="1:10" x14ac:dyDescent="0.25">
      <c r="A812" t="s">
        <v>833</v>
      </c>
      <c r="B812" s="2">
        <v>44652</v>
      </c>
      <c r="C812" t="s">
        <v>12</v>
      </c>
      <c r="D812" t="s">
        <v>15</v>
      </c>
      <c r="E812" t="s">
        <v>21</v>
      </c>
      <c r="F812" t="s">
        <v>23</v>
      </c>
      <c r="G812">
        <v>3</v>
      </c>
      <c r="H812">
        <v>9200</v>
      </c>
      <c r="I812" s="6">
        <v>0.05</v>
      </c>
      <c r="J812">
        <v>8740</v>
      </c>
    </row>
    <row r="813" spans="1:10" x14ac:dyDescent="0.25">
      <c r="A813" t="s">
        <v>834</v>
      </c>
      <c r="B813" s="2">
        <v>44653</v>
      </c>
      <c r="C813" t="s">
        <v>12</v>
      </c>
      <c r="D813" t="s">
        <v>17</v>
      </c>
      <c r="E813" t="s">
        <v>22</v>
      </c>
      <c r="F813" t="s">
        <v>23</v>
      </c>
      <c r="G813">
        <v>1</v>
      </c>
      <c r="H813">
        <v>5700</v>
      </c>
      <c r="I813" s="6">
        <v>0.1</v>
      </c>
      <c r="J813">
        <v>5130</v>
      </c>
    </row>
    <row r="814" spans="1:10" x14ac:dyDescent="0.25">
      <c r="A814" t="s">
        <v>835</v>
      </c>
      <c r="B814" s="2">
        <v>44654</v>
      </c>
      <c r="C814" t="s">
        <v>12</v>
      </c>
      <c r="D814" t="s">
        <v>2023</v>
      </c>
      <c r="E814" t="s">
        <v>19</v>
      </c>
      <c r="F814" t="s">
        <v>23</v>
      </c>
      <c r="G814">
        <v>8</v>
      </c>
      <c r="H814">
        <v>9600</v>
      </c>
      <c r="I814" s="6">
        <v>0.15000000000000002</v>
      </c>
      <c r="J814">
        <v>8160</v>
      </c>
    </row>
    <row r="815" spans="1:10" x14ac:dyDescent="0.25">
      <c r="A815" t="s">
        <v>836</v>
      </c>
      <c r="B815" s="2">
        <v>44655</v>
      </c>
      <c r="C815" t="s">
        <v>12</v>
      </c>
      <c r="D815" t="s">
        <v>18</v>
      </c>
      <c r="E815" t="s">
        <v>20</v>
      </c>
      <c r="F815" t="s">
        <v>23</v>
      </c>
      <c r="G815">
        <v>3</v>
      </c>
      <c r="H815">
        <v>13600</v>
      </c>
      <c r="I815" s="6">
        <v>0.2</v>
      </c>
      <c r="J815">
        <v>10880</v>
      </c>
    </row>
    <row r="816" spans="1:10" x14ac:dyDescent="0.25">
      <c r="A816" t="s">
        <v>837</v>
      </c>
      <c r="B816" s="2">
        <v>44656</v>
      </c>
      <c r="C816" t="s">
        <v>12</v>
      </c>
      <c r="D816" t="s">
        <v>2024</v>
      </c>
      <c r="E816" t="s">
        <v>21</v>
      </c>
      <c r="F816" t="s">
        <v>23</v>
      </c>
      <c r="G816">
        <v>9</v>
      </c>
      <c r="H816">
        <v>5600</v>
      </c>
      <c r="I816" s="6">
        <v>0.25</v>
      </c>
      <c r="J816">
        <v>4200</v>
      </c>
    </row>
    <row r="817" spans="1:10" x14ac:dyDescent="0.25">
      <c r="A817" t="s">
        <v>838</v>
      </c>
      <c r="B817" s="2">
        <v>44657</v>
      </c>
      <c r="C817" t="s">
        <v>12</v>
      </c>
      <c r="D817" t="s">
        <v>2025</v>
      </c>
      <c r="E817" t="s">
        <v>22</v>
      </c>
      <c r="F817" t="s">
        <v>23</v>
      </c>
      <c r="G817">
        <v>5</v>
      </c>
      <c r="H817">
        <v>8400</v>
      </c>
      <c r="I817" s="6">
        <v>0.05</v>
      </c>
      <c r="J817">
        <v>7980</v>
      </c>
    </row>
    <row r="818" spans="1:10" x14ac:dyDescent="0.25">
      <c r="A818" t="s">
        <v>839</v>
      </c>
      <c r="B818" s="2">
        <v>44658</v>
      </c>
      <c r="C818" t="s">
        <v>12</v>
      </c>
      <c r="D818" t="s">
        <v>2026</v>
      </c>
      <c r="E818" t="s">
        <v>19</v>
      </c>
      <c r="F818" t="s">
        <v>23</v>
      </c>
      <c r="G818">
        <v>7</v>
      </c>
      <c r="H818">
        <v>10000</v>
      </c>
      <c r="I818" s="6">
        <v>0.1</v>
      </c>
      <c r="J818">
        <v>9000</v>
      </c>
    </row>
    <row r="819" spans="1:10" x14ac:dyDescent="0.25">
      <c r="A819" t="s">
        <v>840</v>
      </c>
      <c r="B819" s="2">
        <v>44659</v>
      </c>
      <c r="C819" t="s">
        <v>12</v>
      </c>
      <c r="D819" t="s">
        <v>2027</v>
      </c>
      <c r="E819" t="s">
        <v>20</v>
      </c>
      <c r="F819" t="s">
        <v>23</v>
      </c>
      <c r="G819">
        <v>5</v>
      </c>
      <c r="H819">
        <v>14100</v>
      </c>
      <c r="I819" s="6">
        <v>0.15000000000000002</v>
      </c>
      <c r="J819">
        <v>11985</v>
      </c>
    </row>
    <row r="820" spans="1:10" x14ac:dyDescent="0.25">
      <c r="A820" t="s">
        <v>841</v>
      </c>
      <c r="B820" s="2">
        <v>44660</v>
      </c>
      <c r="C820" t="s">
        <v>12</v>
      </c>
      <c r="D820" t="s">
        <v>2028</v>
      </c>
      <c r="E820" t="s">
        <v>21</v>
      </c>
      <c r="F820" t="s">
        <v>23</v>
      </c>
      <c r="G820">
        <v>5</v>
      </c>
      <c r="H820">
        <v>10200</v>
      </c>
      <c r="I820" s="6">
        <v>0.2</v>
      </c>
      <c r="J820">
        <v>8160</v>
      </c>
    </row>
    <row r="821" spans="1:10" x14ac:dyDescent="0.25">
      <c r="A821" t="s">
        <v>842</v>
      </c>
      <c r="B821" s="2">
        <v>44661</v>
      </c>
      <c r="C821" t="s">
        <v>12</v>
      </c>
      <c r="D821" t="s">
        <v>2029</v>
      </c>
      <c r="E821" t="s">
        <v>22</v>
      </c>
      <c r="F821" t="s">
        <v>23</v>
      </c>
      <c r="G821">
        <v>5</v>
      </c>
      <c r="H821">
        <v>11200</v>
      </c>
      <c r="I821" s="6">
        <v>0.25</v>
      </c>
      <c r="J821">
        <v>8400</v>
      </c>
    </row>
    <row r="822" spans="1:10" x14ac:dyDescent="0.25">
      <c r="A822" t="s">
        <v>843</v>
      </c>
      <c r="B822" s="2">
        <v>44662</v>
      </c>
      <c r="C822" t="s">
        <v>13</v>
      </c>
      <c r="D822" t="s">
        <v>16</v>
      </c>
      <c r="E822" t="s">
        <v>19</v>
      </c>
      <c r="F822" t="s">
        <v>24</v>
      </c>
      <c r="G822">
        <v>6</v>
      </c>
      <c r="H822">
        <v>11200</v>
      </c>
      <c r="I822" s="6">
        <v>0.05</v>
      </c>
      <c r="J822">
        <v>10640</v>
      </c>
    </row>
    <row r="823" spans="1:10" x14ac:dyDescent="0.25">
      <c r="A823" t="s">
        <v>844</v>
      </c>
      <c r="B823" s="2">
        <v>44663</v>
      </c>
      <c r="C823" t="s">
        <v>13</v>
      </c>
      <c r="D823" t="s">
        <v>2030</v>
      </c>
      <c r="E823" t="s">
        <v>20</v>
      </c>
      <c r="F823" t="s">
        <v>24</v>
      </c>
      <c r="G823">
        <v>9</v>
      </c>
      <c r="H823">
        <v>8700</v>
      </c>
      <c r="I823" s="6">
        <v>0.1</v>
      </c>
      <c r="J823">
        <v>7830</v>
      </c>
    </row>
    <row r="824" spans="1:10" x14ac:dyDescent="0.25">
      <c r="A824" t="s">
        <v>845</v>
      </c>
      <c r="B824" s="2">
        <v>44664</v>
      </c>
      <c r="C824" t="s">
        <v>13</v>
      </c>
      <c r="D824" t="s">
        <v>2031</v>
      </c>
      <c r="E824" t="s">
        <v>21</v>
      </c>
      <c r="F824" t="s">
        <v>24</v>
      </c>
      <c r="G824">
        <v>7</v>
      </c>
      <c r="H824">
        <v>4600</v>
      </c>
      <c r="I824" s="6">
        <v>0.15000000000000002</v>
      </c>
      <c r="J824">
        <v>3910</v>
      </c>
    </row>
    <row r="825" spans="1:10" x14ac:dyDescent="0.25">
      <c r="A825" t="s">
        <v>846</v>
      </c>
      <c r="B825" s="2">
        <v>44665</v>
      </c>
      <c r="C825" t="s">
        <v>13</v>
      </c>
      <c r="D825" t="s">
        <v>2032</v>
      </c>
      <c r="E825" t="s">
        <v>22</v>
      </c>
      <c r="F825" t="s">
        <v>24</v>
      </c>
      <c r="G825">
        <v>10</v>
      </c>
      <c r="H825">
        <v>6100</v>
      </c>
      <c r="I825" s="6">
        <v>0.2</v>
      </c>
      <c r="J825">
        <v>4880</v>
      </c>
    </row>
    <row r="826" spans="1:10" x14ac:dyDescent="0.25">
      <c r="A826" t="s">
        <v>847</v>
      </c>
      <c r="B826" s="2">
        <v>44666</v>
      </c>
      <c r="C826" t="s">
        <v>13</v>
      </c>
      <c r="D826" t="s">
        <v>2033</v>
      </c>
      <c r="E826" t="s">
        <v>19</v>
      </c>
      <c r="F826" t="s">
        <v>24</v>
      </c>
      <c r="G826">
        <v>2</v>
      </c>
      <c r="H826">
        <v>14900</v>
      </c>
      <c r="I826" s="6">
        <v>0.25</v>
      </c>
      <c r="J826">
        <v>11175</v>
      </c>
    </row>
    <row r="827" spans="1:10" x14ac:dyDescent="0.25">
      <c r="A827" t="s">
        <v>848</v>
      </c>
      <c r="B827" s="2">
        <v>44667</v>
      </c>
      <c r="C827" t="s">
        <v>13</v>
      </c>
      <c r="D827" t="s">
        <v>2034</v>
      </c>
      <c r="E827" t="s">
        <v>20</v>
      </c>
      <c r="F827" t="s">
        <v>24</v>
      </c>
      <c r="G827">
        <v>7</v>
      </c>
      <c r="H827">
        <v>14200</v>
      </c>
      <c r="I827" s="6">
        <v>0.05</v>
      </c>
      <c r="J827">
        <v>13490</v>
      </c>
    </row>
    <row r="828" spans="1:10" x14ac:dyDescent="0.25">
      <c r="A828" t="s">
        <v>849</v>
      </c>
      <c r="B828" s="2">
        <v>44668</v>
      </c>
      <c r="C828" t="s">
        <v>13</v>
      </c>
      <c r="D828" t="s">
        <v>2035</v>
      </c>
      <c r="E828" t="s">
        <v>21</v>
      </c>
      <c r="F828" t="s">
        <v>24</v>
      </c>
      <c r="G828">
        <v>9</v>
      </c>
      <c r="H828">
        <v>7700</v>
      </c>
      <c r="I828" s="6">
        <v>0.1</v>
      </c>
      <c r="J828">
        <v>6930</v>
      </c>
    </row>
    <row r="829" spans="1:10" x14ac:dyDescent="0.25">
      <c r="A829" t="s">
        <v>850</v>
      </c>
      <c r="B829" s="2">
        <v>44669</v>
      </c>
      <c r="C829" t="s">
        <v>13</v>
      </c>
      <c r="D829" t="s">
        <v>2036</v>
      </c>
      <c r="E829" t="s">
        <v>22</v>
      </c>
      <c r="F829" t="s">
        <v>24</v>
      </c>
      <c r="G829">
        <v>1</v>
      </c>
      <c r="H829">
        <v>11900</v>
      </c>
      <c r="I829" s="6">
        <v>0.15000000000000002</v>
      </c>
      <c r="J829">
        <v>10115</v>
      </c>
    </row>
    <row r="830" spans="1:10" x14ac:dyDescent="0.25">
      <c r="A830" t="s">
        <v>851</v>
      </c>
      <c r="B830" s="2">
        <v>44670</v>
      </c>
      <c r="C830" t="s">
        <v>13</v>
      </c>
      <c r="D830" t="s">
        <v>2037</v>
      </c>
      <c r="E830" t="s">
        <v>19</v>
      </c>
      <c r="F830" t="s">
        <v>24</v>
      </c>
      <c r="G830">
        <v>7</v>
      </c>
      <c r="H830">
        <v>12300</v>
      </c>
      <c r="I830" s="6">
        <v>0.2</v>
      </c>
      <c r="J830">
        <v>9840</v>
      </c>
    </row>
    <row r="831" spans="1:10" x14ac:dyDescent="0.25">
      <c r="A831" t="s">
        <v>852</v>
      </c>
      <c r="B831" s="2">
        <v>44671</v>
      </c>
      <c r="C831" t="s">
        <v>13</v>
      </c>
      <c r="D831" t="s">
        <v>2038</v>
      </c>
      <c r="E831" t="s">
        <v>20</v>
      </c>
      <c r="F831" t="s">
        <v>24</v>
      </c>
      <c r="G831">
        <v>3</v>
      </c>
      <c r="H831">
        <v>12600</v>
      </c>
      <c r="I831" s="6">
        <v>0.25</v>
      </c>
      <c r="J831">
        <v>9450</v>
      </c>
    </row>
    <row r="832" spans="1:10" x14ac:dyDescent="0.25">
      <c r="A832" t="s">
        <v>853</v>
      </c>
      <c r="B832" s="2">
        <v>44672</v>
      </c>
      <c r="C832" t="s">
        <v>14</v>
      </c>
      <c r="D832" t="s">
        <v>2039</v>
      </c>
      <c r="E832" t="s">
        <v>21</v>
      </c>
      <c r="F832" t="s">
        <v>25</v>
      </c>
      <c r="G832">
        <v>10</v>
      </c>
      <c r="H832">
        <v>5100</v>
      </c>
      <c r="I832" s="6">
        <v>0.05</v>
      </c>
      <c r="J832">
        <v>4845</v>
      </c>
    </row>
    <row r="833" spans="1:10" x14ac:dyDescent="0.25">
      <c r="A833" t="s">
        <v>854</v>
      </c>
      <c r="B833" s="2">
        <v>44673</v>
      </c>
      <c r="C833" t="s">
        <v>14</v>
      </c>
      <c r="D833" t="s">
        <v>2040</v>
      </c>
      <c r="E833" t="s">
        <v>22</v>
      </c>
      <c r="F833" t="s">
        <v>25</v>
      </c>
      <c r="G833">
        <v>4</v>
      </c>
      <c r="H833">
        <v>5400</v>
      </c>
      <c r="I833" s="6">
        <v>0.1</v>
      </c>
      <c r="J833">
        <v>4860</v>
      </c>
    </row>
    <row r="834" spans="1:10" x14ac:dyDescent="0.25">
      <c r="A834" t="s">
        <v>855</v>
      </c>
      <c r="B834" s="2">
        <v>44674</v>
      </c>
      <c r="C834" t="s">
        <v>14</v>
      </c>
      <c r="D834" t="s">
        <v>2041</v>
      </c>
      <c r="E834" t="s">
        <v>19</v>
      </c>
      <c r="F834" t="s">
        <v>25</v>
      </c>
      <c r="G834">
        <v>9</v>
      </c>
      <c r="H834">
        <v>6100</v>
      </c>
      <c r="I834" s="6">
        <v>0.15000000000000002</v>
      </c>
      <c r="J834">
        <v>5185</v>
      </c>
    </row>
    <row r="835" spans="1:10" x14ac:dyDescent="0.25">
      <c r="A835" t="s">
        <v>856</v>
      </c>
      <c r="B835" s="2">
        <v>44675</v>
      </c>
      <c r="C835" t="s">
        <v>14</v>
      </c>
      <c r="D835" t="s">
        <v>2042</v>
      </c>
      <c r="E835" t="s">
        <v>20</v>
      </c>
      <c r="F835" t="s">
        <v>25</v>
      </c>
      <c r="G835">
        <v>3</v>
      </c>
      <c r="H835">
        <v>12900</v>
      </c>
      <c r="I835" s="6">
        <v>0.2</v>
      </c>
      <c r="J835">
        <v>10320</v>
      </c>
    </row>
    <row r="836" spans="1:10" x14ac:dyDescent="0.25">
      <c r="A836" t="s">
        <v>857</v>
      </c>
      <c r="B836" s="2">
        <v>44676</v>
      </c>
      <c r="C836" t="s">
        <v>14</v>
      </c>
      <c r="D836" t="s">
        <v>2043</v>
      </c>
      <c r="E836" t="s">
        <v>21</v>
      </c>
      <c r="F836" t="s">
        <v>25</v>
      </c>
      <c r="G836">
        <v>5</v>
      </c>
      <c r="H836">
        <v>9500</v>
      </c>
      <c r="I836" s="6">
        <v>0.25</v>
      </c>
      <c r="J836">
        <v>7125</v>
      </c>
    </row>
    <row r="837" spans="1:10" x14ac:dyDescent="0.25">
      <c r="A837" t="s">
        <v>858</v>
      </c>
      <c r="B837" s="2">
        <v>44677</v>
      </c>
      <c r="C837" t="s">
        <v>14</v>
      </c>
      <c r="D837" t="s">
        <v>2044</v>
      </c>
      <c r="E837" t="s">
        <v>22</v>
      </c>
      <c r="F837" t="s">
        <v>25</v>
      </c>
      <c r="G837">
        <v>5</v>
      </c>
      <c r="H837">
        <v>11400</v>
      </c>
      <c r="I837" s="6">
        <v>0.05</v>
      </c>
      <c r="J837">
        <v>10830</v>
      </c>
    </row>
    <row r="838" spans="1:10" x14ac:dyDescent="0.25">
      <c r="A838" t="s">
        <v>859</v>
      </c>
      <c r="B838" s="2">
        <v>44678</v>
      </c>
      <c r="C838" t="s">
        <v>14</v>
      </c>
      <c r="D838" t="s">
        <v>2045</v>
      </c>
      <c r="E838" t="s">
        <v>19</v>
      </c>
      <c r="F838" t="s">
        <v>25</v>
      </c>
      <c r="G838">
        <v>5</v>
      </c>
      <c r="H838">
        <v>5100</v>
      </c>
      <c r="I838" s="6">
        <v>0.1</v>
      </c>
      <c r="J838">
        <v>4590</v>
      </c>
    </row>
    <row r="839" spans="1:10" x14ac:dyDescent="0.25">
      <c r="A839" t="s">
        <v>860</v>
      </c>
      <c r="B839" s="2">
        <v>44679</v>
      </c>
      <c r="C839" t="s">
        <v>14</v>
      </c>
      <c r="D839" t="s">
        <v>2046</v>
      </c>
      <c r="E839" t="s">
        <v>20</v>
      </c>
      <c r="F839" t="s">
        <v>25</v>
      </c>
      <c r="G839">
        <v>1</v>
      </c>
      <c r="H839">
        <v>12700</v>
      </c>
      <c r="I839" s="6">
        <v>0.15000000000000002</v>
      </c>
      <c r="J839">
        <v>10795</v>
      </c>
    </row>
    <row r="840" spans="1:10" x14ac:dyDescent="0.25">
      <c r="A840" t="s">
        <v>861</v>
      </c>
      <c r="B840" s="2">
        <v>44680</v>
      </c>
      <c r="C840" t="s">
        <v>14</v>
      </c>
      <c r="D840" t="s">
        <v>2047</v>
      </c>
      <c r="E840" t="s">
        <v>21</v>
      </c>
      <c r="F840" t="s">
        <v>25</v>
      </c>
      <c r="G840">
        <v>8</v>
      </c>
      <c r="H840">
        <v>5100</v>
      </c>
      <c r="I840" s="6">
        <v>0.2</v>
      </c>
      <c r="J840">
        <v>4080</v>
      </c>
    </row>
    <row r="841" spans="1:10" x14ac:dyDescent="0.25">
      <c r="A841" t="s">
        <v>862</v>
      </c>
      <c r="B841" s="2">
        <v>44681</v>
      </c>
      <c r="C841" t="s">
        <v>14</v>
      </c>
      <c r="D841" t="s">
        <v>2048</v>
      </c>
      <c r="E841" t="s">
        <v>22</v>
      </c>
      <c r="F841" t="s">
        <v>25</v>
      </c>
      <c r="G841">
        <v>8</v>
      </c>
      <c r="H841">
        <v>7800</v>
      </c>
      <c r="I841" s="6">
        <v>0.25</v>
      </c>
      <c r="J841">
        <v>5850</v>
      </c>
    </row>
    <row r="842" spans="1:10" x14ac:dyDescent="0.25">
      <c r="A842" t="s">
        <v>863</v>
      </c>
      <c r="B842" s="2">
        <v>44682</v>
      </c>
      <c r="C842" t="s">
        <v>12</v>
      </c>
      <c r="D842" t="s">
        <v>15</v>
      </c>
      <c r="E842" t="s">
        <v>19</v>
      </c>
      <c r="F842" t="s">
        <v>23</v>
      </c>
      <c r="G842">
        <v>1</v>
      </c>
      <c r="H842">
        <v>9000</v>
      </c>
      <c r="I842" s="6">
        <v>0.05</v>
      </c>
      <c r="J842">
        <v>8550</v>
      </c>
    </row>
    <row r="843" spans="1:10" x14ac:dyDescent="0.25">
      <c r="A843" t="s">
        <v>864</v>
      </c>
      <c r="B843" s="2">
        <v>44683</v>
      </c>
      <c r="C843" t="s">
        <v>12</v>
      </c>
      <c r="D843" t="s">
        <v>17</v>
      </c>
      <c r="E843" t="s">
        <v>20</v>
      </c>
      <c r="F843" t="s">
        <v>23</v>
      </c>
      <c r="G843">
        <v>5</v>
      </c>
      <c r="H843">
        <v>13700</v>
      </c>
      <c r="I843" s="6">
        <v>0.1</v>
      </c>
      <c r="J843">
        <v>12330</v>
      </c>
    </row>
    <row r="844" spans="1:10" x14ac:dyDescent="0.25">
      <c r="A844" t="s">
        <v>865</v>
      </c>
      <c r="B844" s="2">
        <v>44684</v>
      </c>
      <c r="C844" t="s">
        <v>12</v>
      </c>
      <c r="D844" t="s">
        <v>2023</v>
      </c>
      <c r="E844" t="s">
        <v>21</v>
      </c>
      <c r="F844" t="s">
        <v>23</v>
      </c>
      <c r="G844">
        <v>4</v>
      </c>
      <c r="H844">
        <v>13100</v>
      </c>
      <c r="I844" s="6">
        <v>0.15000000000000002</v>
      </c>
      <c r="J844">
        <v>11135</v>
      </c>
    </row>
    <row r="845" spans="1:10" x14ac:dyDescent="0.25">
      <c r="A845" t="s">
        <v>866</v>
      </c>
      <c r="B845" s="2">
        <v>44685</v>
      </c>
      <c r="C845" t="s">
        <v>12</v>
      </c>
      <c r="D845" t="s">
        <v>18</v>
      </c>
      <c r="E845" t="s">
        <v>22</v>
      </c>
      <c r="F845" t="s">
        <v>23</v>
      </c>
      <c r="G845">
        <v>10</v>
      </c>
      <c r="H845">
        <v>7000</v>
      </c>
      <c r="I845" s="6">
        <v>0.2</v>
      </c>
      <c r="J845">
        <v>5600</v>
      </c>
    </row>
    <row r="846" spans="1:10" x14ac:dyDescent="0.25">
      <c r="A846" t="s">
        <v>867</v>
      </c>
      <c r="B846" s="2">
        <v>44686</v>
      </c>
      <c r="C846" t="s">
        <v>12</v>
      </c>
      <c r="D846" t="s">
        <v>2024</v>
      </c>
      <c r="E846" t="s">
        <v>19</v>
      </c>
      <c r="F846" t="s">
        <v>23</v>
      </c>
      <c r="G846">
        <v>5</v>
      </c>
      <c r="H846">
        <v>13400</v>
      </c>
      <c r="I846" s="6">
        <v>0.25</v>
      </c>
      <c r="J846">
        <v>10050</v>
      </c>
    </row>
    <row r="847" spans="1:10" x14ac:dyDescent="0.25">
      <c r="A847" t="s">
        <v>868</v>
      </c>
      <c r="B847" s="2">
        <v>44687</v>
      </c>
      <c r="C847" t="s">
        <v>12</v>
      </c>
      <c r="D847" t="s">
        <v>2025</v>
      </c>
      <c r="E847" t="s">
        <v>20</v>
      </c>
      <c r="F847" t="s">
        <v>23</v>
      </c>
      <c r="G847">
        <v>1</v>
      </c>
      <c r="H847">
        <v>9400</v>
      </c>
      <c r="I847" s="6">
        <v>0.05</v>
      </c>
      <c r="J847">
        <v>8930</v>
      </c>
    </row>
    <row r="848" spans="1:10" x14ac:dyDescent="0.25">
      <c r="A848" t="s">
        <v>869</v>
      </c>
      <c r="B848" s="2">
        <v>44688</v>
      </c>
      <c r="C848" t="s">
        <v>12</v>
      </c>
      <c r="D848" t="s">
        <v>2026</v>
      </c>
      <c r="E848" t="s">
        <v>21</v>
      </c>
      <c r="F848" t="s">
        <v>23</v>
      </c>
      <c r="G848">
        <v>4</v>
      </c>
      <c r="H848">
        <v>14000</v>
      </c>
      <c r="I848" s="6">
        <v>0.1</v>
      </c>
      <c r="J848">
        <v>12600</v>
      </c>
    </row>
    <row r="849" spans="1:10" x14ac:dyDescent="0.25">
      <c r="A849" t="s">
        <v>870</v>
      </c>
      <c r="B849" s="2">
        <v>44689</v>
      </c>
      <c r="C849" t="s">
        <v>12</v>
      </c>
      <c r="D849" t="s">
        <v>2027</v>
      </c>
      <c r="E849" t="s">
        <v>22</v>
      </c>
      <c r="F849" t="s">
        <v>23</v>
      </c>
      <c r="G849">
        <v>8</v>
      </c>
      <c r="H849">
        <v>4000</v>
      </c>
      <c r="I849" s="6">
        <v>0.15000000000000002</v>
      </c>
      <c r="J849">
        <v>3400</v>
      </c>
    </row>
    <row r="850" spans="1:10" x14ac:dyDescent="0.25">
      <c r="A850" t="s">
        <v>871</v>
      </c>
      <c r="B850" s="2">
        <v>44690</v>
      </c>
      <c r="C850" t="s">
        <v>12</v>
      </c>
      <c r="D850" t="s">
        <v>2028</v>
      </c>
      <c r="E850" t="s">
        <v>19</v>
      </c>
      <c r="F850" t="s">
        <v>23</v>
      </c>
      <c r="G850">
        <v>4</v>
      </c>
      <c r="H850">
        <v>12600</v>
      </c>
      <c r="I850" s="6">
        <v>0.2</v>
      </c>
      <c r="J850">
        <v>10080</v>
      </c>
    </row>
    <row r="851" spans="1:10" x14ac:dyDescent="0.25">
      <c r="A851" t="s">
        <v>872</v>
      </c>
      <c r="B851" s="2">
        <v>44691</v>
      </c>
      <c r="C851" t="s">
        <v>12</v>
      </c>
      <c r="D851" t="s">
        <v>2029</v>
      </c>
      <c r="E851" t="s">
        <v>20</v>
      </c>
      <c r="F851" t="s">
        <v>23</v>
      </c>
      <c r="G851">
        <v>7</v>
      </c>
      <c r="H851">
        <v>11800</v>
      </c>
      <c r="I851" s="6">
        <v>0.25</v>
      </c>
      <c r="J851">
        <v>8850</v>
      </c>
    </row>
    <row r="852" spans="1:10" x14ac:dyDescent="0.25">
      <c r="A852" t="s">
        <v>873</v>
      </c>
      <c r="B852" s="2">
        <v>44692</v>
      </c>
      <c r="C852" t="s">
        <v>13</v>
      </c>
      <c r="D852" t="s">
        <v>16</v>
      </c>
      <c r="E852" t="s">
        <v>21</v>
      </c>
      <c r="F852" t="s">
        <v>24</v>
      </c>
      <c r="G852">
        <v>2</v>
      </c>
      <c r="H852">
        <v>4900</v>
      </c>
      <c r="I852" s="6">
        <v>0.05</v>
      </c>
      <c r="J852">
        <v>4655</v>
      </c>
    </row>
    <row r="853" spans="1:10" x14ac:dyDescent="0.25">
      <c r="A853" t="s">
        <v>874</v>
      </c>
      <c r="B853" s="2">
        <v>44693</v>
      </c>
      <c r="C853" t="s">
        <v>13</v>
      </c>
      <c r="D853" t="s">
        <v>2030</v>
      </c>
      <c r="E853" t="s">
        <v>22</v>
      </c>
      <c r="F853" t="s">
        <v>24</v>
      </c>
      <c r="G853">
        <v>1</v>
      </c>
      <c r="H853">
        <v>4600</v>
      </c>
      <c r="I853" s="6">
        <v>0.1</v>
      </c>
      <c r="J853">
        <v>4140</v>
      </c>
    </row>
    <row r="854" spans="1:10" x14ac:dyDescent="0.25">
      <c r="A854" t="s">
        <v>875</v>
      </c>
      <c r="B854" s="2">
        <v>44694</v>
      </c>
      <c r="C854" t="s">
        <v>13</v>
      </c>
      <c r="D854" t="s">
        <v>2031</v>
      </c>
      <c r="E854" t="s">
        <v>19</v>
      </c>
      <c r="F854" t="s">
        <v>24</v>
      </c>
      <c r="G854">
        <v>10</v>
      </c>
      <c r="H854">
        <v>7700</v>
      </c>
      <c r="I854" s="6">
        <v>0.15000000000000002</v>
      </c>
      <c r="J854">
        <v>6545</v>
      </c>
    </row>
    <row r="855" spans="1:10" x14ac:dyDescent="0.25">
      <c r="A855" t="s">
        <v>876</v>
      </c>
      <c r="B855" s="2">
        <v>44695</v>
      </c>
      <c r="C855" t="s">
        <v>13</v>
      </c>
      <c r="D855" t="s">
        <v>2032</v>
      </c>
      <c r="E855" t="s">
        <v>20</v>
      </c>
      <c r="F855" t="s">
        <v>24</v>
      </c>
      <c r="G855">
        <v>8</v>
      </c>
      <c r="H855">
        <v>8600</v>
      </c>
      <c r="I855" s="6">
        <v>0.2</v>
      </c>
      <c r="J855">
        <v>6880</v>
      </c>
    </row>
    <row r="856" spans="1:10" x14ac:dyDescent="0.25">
      <c r="A856" t="s">
        <v>877</v>
      </c>
      <c r="B856" s="2">
        <v>44696</v>
      </c>
      <c r="C856" t="s">
        <v>13</v>
      </c>
      <c r="D856" t="s">
        <v>2033</v>
      </c>
      <c r="E856" t="s">
        <v>21</v>
      </c>
      <c r="F856" t="s">
        <v>24</v>
      </c>
      <c r="G856">
        <v>6</v>
      </c>
      <c r="H856">
        <v>6200</v>
      </c>
      <c r="I856" s="6">
        <v>0.25</v>
      </c>
      <c r="J856">
        <v>4650</v>
      </c>
    </row>
    <row r="857" spans="1:10" x14ac:dyDescent="0.25">
      <c r="A857" t="s">
        <v>878</v>
      </c>
      <c r="B857" s="2">
        <v>44697</v>
      </c>
      <c r="C857" t="s">
        <v>13</v>
      </c>
      <c r="D857" t="s">
        <v>2034</v>
      </c>
      <c r="E857" t="s">
        <v>22</v>
      </c>
      <c r="F857" t="s">
        <v>24</v>
      </c>
      <c r="G857">
        <v>1</v>
      </c>
      <c r="H857">
        <v>5800</v>
      </c>
      <c r="I857" s="6">
        <v>0.05</v>
      </c>
      <c r="J857">
        <v>5510</v>
      </c>
    </row>
    <row r="858" spans="1:10" x14ac:dyDescent="0.25">
      <c r="A858" t="s">
        <v>879</v>
      </c>
      <c r="B858" s="2">
        <v>44698</v>
      </c>
      <c r="C858" t="s">
        <v>13</v>
      </c>
      <c r="D858" t="s">
        <v>2035</v>
      </c>
      <c r="E858" t="s">
        <v>19</v>
      </c>
      <c r="F858" t="s">
        <v>24</v>
      </c>
      <c r="G858">
        <v>7</v>
      </c>
      <c r="H858">
        <v>6900</v>
      </c>
      <c r="I858" s="6">
        <v>0.1</v>
      </c>
      <c r="J858">
        <v>6210</v>
      </c>
    </row>
    <row r="859" spans="1:10" x14ac:dyDescent="0.25">
      <c r="A859" t="s">
        <v>880</v>
      </c>
      <c r="B859" s="2">
        <v>44699</v>
      </c>
      <c r="C859" t="s">
        <v>13</v>
      </c>
      <c r="D859" t="s">
        <v>2036</v>
      </c>
      <c r="E859" t="s">
        <v>20</v>
      </c>
      <c r="F859" t="s">
        <v>24</v>
      </c>
      <c r="G859">
        <v>5</v>
      </c>
      <c r="H859">
        <v>14200</v>
      </c>
      <c r="I859" s="6">
        <v>0.15000000000000002</v>
      </c>
      <c r="J859">
        <v>12070</v>
      </c>
    </row>
    <row r="860" spans="1:10" x14ac:dyDescent="0.25">
      <c r="A860" t="s">
        <v>881</v>
      </c>
      <c r="B860" s="2">
        <v>44700</v>
      </c>
      <c r="C860" t="s">
        <v>13</v>
      </c>
      <c r="D860" t="s">
        <v>2037</v>
      </c>
      <c r="E860" t="s">
        <v>21</v>
      </c>
      <c r="F860" t="s">
        <v>24</v>
      </c>
      <c r="G860">
        <v>1</v>
      </c>
      <c r="H860">
        <v>10100</v>
      </c>
      <c r="I860" s="6">
        <v>0.2</v>
      </c>
      <c r="J860">
        <v>8080</v>
      </c>
    </row>
    <row r="861" spans="1:10" x14ac:dyDescent="0.25">
      <c r="A861" t="s">
        <v>882</v>
      </c>
      <c r="B861" s="2">
        <v>44701</v>
      </c>
      <c r="C861" t="s">
        <v>13</v>
      </c>
      <c r="D861" t="s">
        <v>2038</v>
      </c>
      <c r="E861" t="s">
        <v>22</v>
      </c>
      <c r="F861" t="s">
        <v>24</v>
      </c>
      <c r="G861">
        <v>10</v>
      </c>
      <c r="H861">
        <v>4300</v>
      </c>
      <c r="I861" s="6">
        <v>0.25</v>
      </c>
      <c r="J861">
        <v>3225</v>
      </c>
    </row>
    <row r="862" spans="1:10" x14ac:dyDescent="0.25">
      <c r="A862" t="s">
        <v>883</v>
      </c>
      <c r="B862" s="2">
        <v>44702</v>
      </c>
      <c r="C862" t="s">
        <v>14</v>
      </c>
      <c r="D862" t="s">
        <v>2039</v>
      </c>
      <c r="E862" t="s">
        <v>19</v>
      </c>
      <c r="F862" t="s">
        <v>25</v>
      </c>
      <c r="G862">
        <v>1</v>
      </c>
      <c r="H862">
        <v>9800</v>
      </c>
      <c r="I862" s="6">
        <v>0.05</v>
      </c>
      <c r="J862">
        <v>9310</v>
      </c>
    </row>
    <row r="863" spans="1:10" x14ac:dyDescent="0.25">
      <c r="A863" t="s">
        <v>884</v>
      </c>
      <c r="B863" s="2">
        <v>44703</v>
      </c>
      <c r="C863" t="s">
        <v>14</v>
      </c>
      <c r="D863" t="s">
        <v>2040</v>
      </c>
      <c r="E863" t="s">
        <v>20</v>
      </c>
      <c r="F863" t="s">
        <v>25</v>
      </c>
      <c r="G863">
        <v>8</v>
      </c>
      <c r="H863">
        <v>6100</v>
      </c>
      <c r="I863" s="6">
        <v>0.1</v>
      </c>
      <c r="J863">
        <v>5490</v>
      </c>
    </row>
    <row r="864" spans="1:10" x14ac:dyDescent="0.25">
      <c r="A864" t="s">
        <v>885</v>
      </c>
      <c r="B864" s="2">
        <v>44704</v>
      </c>
      <c r="C864" t="s">
        <v>14</v>
      </c>
      <c r="D864" t="s">
        <v>2041</v>
      </c>
      <c r="E864" t="s">
        <v>21</v>
      </c>
      <c r="F864" t="s">
        <v>25</v>
      </c>
      <c r="G864">
        <v>1</v>
      </c>
      <c r="H864">
        <v>7600</v>
      </c>
      <c r="I864" s="6">
        <v>0.15000000000000002</v>
      </c>
      <c r="J864">
        <v>6460</v>
      </c>
    </row>
    <row r="865" spans="1:10" x14ac:dyDescent="0.25">
      <c r="A865" t="s">
        <v>886</v>
      </c>
      <c r="B865" s="2">
        <v>44705</v>
      </c>
      <c r="C865" t="s">
        <v>14</v>
      </c>
      <c r="D865" t="s">
        <v>2042</v>
      </c>
      <c r="E865" t="s">
        <v>22</v>
      </c>
      <c r="F865" t="s">
        <v>25</v>
      </c>
      <c r="G865">
        <v>5</v>
      </c>
      <c r="H865">
        <v>13000</v>
      </c>
      <c r="I865" s="6">
        <v>0.2</v>
      </c>
      <c r="J865">
        <v>10400</v>
      </c>
    </row>
    <row r="866" spans="1:10" x14ac:dyDescent="0.25">
      <c r="A866" t="s">
        <v>887</v>
      </c>
      <c r="B866" s="2">
        <v>44706</v>
      </c>
      <c r="C866" t="s">
        <v>14</v>
      </c>
      <c r="D866" t="s">
        <v>2043</v>
      </c>
      <c r="E866" t="s">
        <v>19</v>
      </c>
      <c r="F866" t="s">
        <v>25</v>
      </c>
      <c r="G866">
        <v>4</v>
      </c>
      <c r="H866">
        <v>9600</v>
      </c>
      <c r="I866" s="6">
        <v>0.25</v>
      </c>
      <c r="J866">
        <v>7200</v>
      </c>
    </row>
    <row r="867" spans="1:10" x14ac:dyDescent="0.25">
      <c r="A867" t="s">
        <v>888</v>
      </c>
      <c r="B867" s="2">
        <v>44707</v>
      </c>
      <c r="C867" t="s">
        <v>14</v>
      </c>
      <c r="D867" t="s">
        <v>2044</v>
      </c>
      <c r="E867" t="s">
        <v>20</v>
      </c>
      <c r="F867" t="s">
        <v>25</v>
      </c>
      <c r="G867">
        <v>10</v>
      </c>
      <c r="H867">
        <v>9600</v>
      </c>
      <c r="I867" s="6">
        <v>0.05</v>
      </c>
      <c r="J867">
        <v>9120</v>
      </c>
    </row>
    <row r="868" spans="1:10" x14ac:dyDescent="0.25">
      <c r="A868" t="s">
        <v>889</v>
      </c>
      <c r="B868" s="2">
        <v>44708</v>
      </c>
      <c r="C868" t="s">
        <v>14</v>
      </c>
      <c r="D868" t="s">
        <v>2045</v>
      </c>
      <c r="E868" t="s">
        <v>21</v>
      </c>
      <c r="F868" t="s">
        <v>25</v>
      </c>
      <c r="G868">
        <v>4</v>
      </c>
      <c r="H868">
        <v>4600</v>
      </c>
      <c r="I868" s="6">
        <v>0.1</v>
      </c>
      <c r="J868">
        <v>4140</v>
      </c>
    </row>
    <row r="869" spans="1:10" x14ac:dyDescent="0.25">
      <c r="A869" t="s">
        <v>890</v>
      </c>
      <c r="B869" s="2">
        <v>44709</v>
      </c>
      <c r="C869" t="s">
        <v>14</v>
      </c>
      <c r="D869" t="s">
        <v>2046</v>
      </c>
      <c r="E869" t="s">
        <v>22</v>
      </c>
      <c r="F869" t="s">
        <v>25</v>
      </c>
      <c r="G869">
        <v>4</v>
      </c>
      <c r="H869">
        <v>7600</v>
      </c>
      <c r="I869" s="6">
        <v>0.15000000000000002</v>
      </c>
      <c r="J869">
        <v>6460</v>
      </c>
    </row>
    <row r="870" spans="1:10" x14ac:dyDescent="0.25">
      <c r="A870" t="s">
        <v>891</v>
      </c>
      <c r="B870" s="2">
        <v>44710</v>
      </c>
      <c r="C870" t="s">
        <v>14</v>
      </c>
      <c r="D870" t="s">
        <v>2047</v>
      </c>
      <c r="E870" t="s">
        <v>19</v>
      </c>
      <c r="F870" t="s">
        <v>25</v>
      </c>
      <c r="G870">
        <v>2</v>
      </c>
      <c r="H870">
        <v>7000</v>
      </c>
      <c r="I870" s="6">
        <v>0.2</v>
      </c>
      <c r="J870">
        <v>5600</v>
      </c>
    </row>
    <row r="871" spans="1:10" x14ac:dyDescent="0.25">
      <c r="A871" t="s">
        <v>892</v>
      </c>
      <c r="B871" s="2">
        <v>44711</v>
      </c>
      <c r="C871" t="s">
        <v>14</v>
      </c>
      <c r="D871" t="s">
        <v>2048</v>
      </c>
      <c r="E871" t="s">
        <v>20</v>
      </c>
      <c r="F871" t="s">
        <v>25</v>
      </c>
      <c r="G871">
        <v>2</v>
      </c>
      <c r="H871">
        <v>7000</v>
      </c>
      <c r="I871" s="6">
        <v>0.25</v>
      </c>
      <c r="J871">
        <v>5250</v>
      </c>
    </row>
    <row r="872" spans="1:10" x14ac:dyDescent="0.25">
      <c r="A872" t="s">
        <v>893</v>
      </c>
      <c r="B872" s="2">
        <v>44712</v>
      </c>
      <c r="C872" t="s">
        <v>12</v>
      </c>
      <c r="D872" t="s">
        <v>15</v>
      </c>
      <c r="E872" t="s">
        <v>21</v>
      </c>
      <c r="F872" t="s">
        <v>23</v>
      </c>
      <c r="G872">
        <v>10</v>
      </c>
      <c r="H872">
        <v>11600</v>
      </c>
      <c r="I872" s="6">
        <v>0.05</v>
      </c>
      <c r="J872">
        <v>11020</v>
      </c>
    </row>
    <row r="873" spans="1:10" x14ac:dyDescent="0.25">
      <c r="A873" t="s">
        <v>894</v>
      </c>
      <c r="B873" s="2">
        <v>44713</v>
      </c>
      <c r="C873" t="s">
        <v>12</v>
      </c>
      <c r="D873" t="s">
        <v>17</v>
      </c>
      <c r="E873" t="s">
        <v>22</v>
      </c>
      <c r="F873" t="s">
        <v>23</v>
      </c>
      <c r="G873">
        <v>4</v>
      </c>
      <c r="H873">
        <v>14600</v>
      </c>
      <c r="I873" s="6">
        <v>0.1</v>
      </c>
      <c r="J873">
        <v>13140</v>
      </c>
    </row>
    <row r="874" spans="1:10" x14ac:dyDescent="0.25">
      <c r="A874" t="s">
        <v>895</v>
      </c>
      <c r="B874" s="2">
        <v>44714</v>
      </c>
      <c r="C874" t="s">
        <v>12</v>
      </c>
      <c r="D874" t="s">
        <v>2023</v>
      </c>
      <c r="E874" t="s">
        <v>19</v>
      </c>
      <c r="F874" t="s">
        <v>23</v>
      </c>
      <c r="G874">
        <v>2</v>
      </c>
      <c r="H874">
        <v>14000</v>
      </c>
      <c r="I874" s="6">
        <v>0.15000000000000002</v>
      </c>
      <c r="J874">
        <v>11900</v>
      </c>
    </row>
    <row r="875" spans="1:10" x14ac:dyDescent="0.25">
      <c r="A875" t="s">
        <v>896</v>
      </c>
      <c r="B875" s="2">
        <v>44715</v>
      </c>
      <c r="C875" t="s">
        <v>12</v>
      </c>
      <c r="D875" t="s">
        <v>18</v>
      </c>
      <c r="E875" t="s">
        <v>20</v>
      </c>
      <c r="F875" t="s">
        <v>23</v>
      </c>
      <c r="G875">
        <v>10</v>
      </c>
      <c r="H875">
        <v>9100</v>
      </c>
      <c r="I875" s="6">
        <v>0.2</v>
      </c>
      <c r="J875">
        <v>7280</v>
      </c>
    </row>
    <row r="876" spans="1:10" x14ac:dyDescent="0.25">
      <c r="A876" t="s">
        <v>897</v>
      </c>
      <c r="B876" s="2">
        <v>44716</v>
      </c>
      <c r="C876" t="s">
        <v>12</v>
      </c>
      <c r="D876" t="s">
        <v>2024</v>
      </c>
      <c r="E876" t="s">
        <v>21</v>
      </c>
      <c r="F876" t="s">
        <v>23</v>
      </c>
      <c r="G876">
        <v>1</v>
      </c>
      <c r="H876">
        <v>6900</v>
      </c>
      <c r="I876" s="6">
        <v>0.25</v>
      </c>
      <c r="J876">
        <v>5175</v>
      </c>
    </row>
    <row r="877" spans="1:10" x14ac:dyDescent="0.25">
      <c r="A877" t="s">
        <v>898</v>
      </c>
      <c r="B877" s="2">
        <v>44717</v>
      </c>
      <c r="C877" t="s">
        <v>12</v>
      </c>
      <c r="D877" t="s">
        <v>2025</v>
      </c>
      <c r="E877" t="s">
        <v>22</v>
      </c>
      <c r="F877" t="s">
        <v>23</v>
      </c>
      <c r="G877">
        <v>7</v>
      </c>
      <c r="H877">
        <v>11500</v>
      </c>
      <c r="I877" s="6">
        <v>0.05</v>
      </c>
      <c r="J877">
        <v>10925</v>
      </c>
    </row>
    <row r="878" spans="1:10" x14ac:dyDescent="0.25">
      <c r="A878" t="s">
        <v>899</v>
      </c>
      <c r="B878" s="2">
        <v>44718</v>
      </c>
      <c r="C878" t="s">
        <v>12</v>
      </c>
      <c r="D878" t="s">
        <v>2026</v>
      </c>
      <c r="E878" t="s">
        <v>19</v>
      </c>
      <c r="F878" t="s">
        <v>23</v>
      </c>
      <c r="G878">
        <v>3</v>
      </c>
      <c r="H878">
        <v>14000</v>
      </c>
      <c r="I878" s="6">
        <v>0.1</v>
      </c>
      <c r="J878">
        <v>12600</v>
      </c>
    </row>
    <row r="879" spans="1:10" x14ac:dyDescent="0.25">
      <c r="A879" t="s">
        <v>900</v>
      </c>
      <c r="B879" s="2">
        <v>44719</v>
      </c>
      <c r="C879" t="s">
        <v>12</v>
      </c>
      <c r="D879" t="s">
        <v>2027</v>
      </c>
      <c r="E879" t="s">
        <v>20</v>
      </c>
      <c r="F879" t="s">
        <v>23</v>
      </c>
      <c r="G879">
        <v>10</v>
      </c>
      <c r="H879">
        <v>14700</v>
      </c>
      <c r="I879" s="6">
        <v>0.15000000000000002</v>
      </c>
      <c r="J879">
        <v>12495</v>
      </c>
    </row>
    <row r="880" spans="1:10" x14ac:dyDescent="0.25">
      <c r="A880" t="s">
        <v>901</v>
      </c>
      <c r="B880" s="2">
        <v>44720</v>
      </c>
      <c r="C880" t="s">
        <v>12</v>
      </c>
      <c r="D880" t="s">
        <v>2028</v>
      </c>
      <c r="E880" t="s">
        <v>21</v>
      </c>
      <c r="F880" t="s">
        <v>23</v>
      </c>
      <c r="G880">
        <v>6</v>
      </c>
      <c r="H880">
        <v>13900</v>
      </c>
      <c r="I880" s="6">
        <v>0.2</v>
      </c>
      <c r="J880">
        <v>11120</v>
      </c>
    </row>
    <row r="881" spans="1:10" x14ac:dyDescent="0.25">
      <c r="A881" t="s">
        <v>902</v>
      </c>
      <c r="B881" s="2">
        <v>44721</v>
      </c>
      <c r="C881" t="s">
        <v>12</v>
      </c>
      <c r="D881" t="s">
        <v>2029</v>
      </c>
      <c r="E881" t="s">
        <v>22</v>
      </c>
      <c r="F881" t="s">
        <v>23</v>
      </c>
      <c r="G881">
        <v>2</v>
      </c>
      <c r="H881">
        <v>7800</v>
      </c>
      <c r="I881" s="6">
        <v>0.25</v>
      </c>
      <c r="J881">
        <v>5850</v>
      </c>
    </row>
    <row r="882" spans="1:10" x14ac:dyDescent="0.25">
      <c r="A882" t="s">
        <v>903</v>
      </c>
      <c r="B882" s="2">
        <v>44722</v>
      </c>
      <c r="C882" t="s">
        <v>13</v>
      </c>
      <c r="D882" t="s">
        <v>16</v>
      </c>
      <c r="E882" t="s">
        <v>19</v>
      </c>
      <c r="F882" t="s">
        <v>24</v>
      </c>
      <c r="G882">
        <v>4</v>
      </c>
      <c r="H882">
        <v>11600</v>
      </c>
      <c r="I882" s="6">
        <v>0.05</v>
      </c>
      <c r="J882">
        <v>11020</v>
      </c>
    </row>
    <row r="883" spans="1:10" x14ac:dyDescent="0.25">
      <c r="A883" t="s">
        <v>904</v>
      </c>
      <c r="B883" s="2">
        <v>44723</v>
      </c>
      <c r="C883" t="s">
        <v>13</v>
      </c>
      <c r="D883" t="s">
        <v>2030</v>
      </c>
      <c r="E883" t="s">
        <v>20</v>
      </c>
      <c r="F883" t="s">
        <v>24</v>
      </c>
      <c r="G883">
        <v>7</v>
      </c>
      <c r="H883">
        <v>4100</v>
      </c>
      <c r="I883" s="6">
        <v>0.1</v>
      </c>
      <c r="J883">
        <v>3690</v>
      </c>
    </row>
    <row r="884" spans="1:10" x14ac:dyDescent="0.25">
      <c r="A884" t="s">
        <v>905</v>
      </c>
      <c r="B884" s="2">
        <v>44724</v>
      </c>
      <c r="C884" t="s">
        <v>13</v>
      </c>
      <c r="D884" t="s">
        <v>2031</v>
      </c>
      <c r="E884" t="s">
        <v>21</v>
      </c>
      <c r="F884" t="s">
        <v>24</v>
      </c>
      <c r="G884">
        <v>10</v>
      </c>
      <c r="H884">
        <v>6300</v>
      </c>
      <c r="I884" s="6">
        <v>0.15000000000000002</v>
      </c>
      <c r="J884">
        <v>5355</v>
      </c>
    </row>
    <row r="885" spans="1:10" x14ac:dyDescent="0.25">
      <c r="A885" t="s">
        <v>906</v>
      </c>
      <c r="B885" s="2">
        <v>44725</v>
      </c>
      <c r="C885" t="s">
        <v>13</v>
      </c>
      <c r="D885" t="s">
        <v>2032</v>
      </c>
      <c r="E885" t="s">
        <v>22</v>
      </c>
      <c r="F885" t="s">
        <v>24</v>
      </c>
      <c r="G885">
        <v>1</v>
      </c>
      <c r="H885">
        <v>8600</v>
      </c>
      <c r="I885" s="6">
        <v>0.2</v>
      </c>
      <c r="J885">
        <v>6880</v>
      </c>
    </row>
    <row r="886" spans="1:10" x14ac:dyDescent="0.25">
      <c r="A886" t="s">
        <v>907</v>
      </c>
      <c r="B886" s="2">
        <v>44726</v>
      </c>
      <c r="C886" t="s">
        <v>13</v>
      </c>
      <c r="D886" t="s">
        <v>2033</v>
      </c>
      <c r="E886" t="s">
        <v>19</v>
      </c>
      <c r="F886" t="s">
        <v>24</v>
      </c>
      <c r="G886">
        <v>7</v>
      </c>
      <c r="H886">
        <v>14300</v>
      </c>
      <c r="I886" s="6">
        <v>0.25</v>
      </c>
      <c r="J886">
        <v>10725</v>
      </c>
    </row>
    <row r="887" spans="1:10" x14ac:dyDescent="0.25">
      <c r="A887" t="s">
        <v>908</v>
      </c>
      <c r="B887" s="2">
        <v>44727</v>
      </c>
      <c r="C887" t="s">
        <v>13</v>
      </c>
      <c r="D887" t="s">
        <v>2034</v>
      </c>
      <c r="E887" t="s">
        <v>20</v>
      </c>
      <c r="F887" t="s">
        <v>24</v>
      </c>
      <c r="G887">
        <v>2</v>
      </c>
      <c r="H887">
        <v>7900</v>
      </c>
      <c r="I887" s="6">
        <v>0.05</v>
      </c>
      <c r="J887">
        <v>7505</v>
      </c>
    </row>
    <row r="888" spans="1:10" x14ac:dyDescent="0.25">
      <c r="A888" t="s">
        <v>909</v>
      </c>
      <c r="B888" s="2">
        <v>44728</v>
      </c>
      <c r="C888" t="s">
        <v>13</v>
      </c>
      <c r="D888" t="s">
        <v>2035</v>
      </c>
      <c r="E888" t="s">
        <v>21</v>
      </c>
      <c r="F888" t="s">
        <v>24</v>
      </c>
      <c r="G888">
        <v>10</v>
      </c>
      <c r="H888">
        <v>4100</v>
      </c>
      <c r="I888" s="6">
        <v>0.1</v>
      </c>
      <c r="J888">
        <v>3690</v>
      </c>
    </row>
    <row r="889" spans="1:10" x14ac:dyDescent="0.25">
      <c r="A889" t="s">
        <v>910</v>
      </c>
      <c r="B889" s="2">
        <v>44729</v>
      </c>
      <c r="C889" t="s">
        <v>13</v>
      </c>
      <c r="D889" t="s">
        <v>2036</v>
      </c>
      <c r="E889" t="s">
        <v>22</v>
      </c>
      <c r="F889" t="s">
        <v>24</v>
      </c>
      <c r="G889">
        <v>10</v>
      </c>
      <c r="H889">
        <v>14600</v>
      </c>
      <c r="I889" s="6">
        <v>0.15000000000000002</v>
      </c>
      <c r="J889">
        <v>12410</v>
      </c>
    </row>
    <row r="890" spans="1:10" x14ac:dyDescent="0.25">
      <c r="A890" t="s">
        <v>911</v>
      </c>
      <c r="B890" s="2">
        <v>44730</v>
      </c>
      <c r="C890" t="s">
        <v>13</v>
      </c>
      <c r="D890" t="s">
        <v>2037</v>
      </c>
      <c r="E890" t="s">
        <v>19</v>
      </c>
      <c r="F890" t="s">
        <v>24</v>
      </c>
      <c r="G890">
        <v>2</v>
      </c>
      <c r="H890">
        <v>4800</v>
      </c>
      <c r="I890" s="6">
        <v>0.2</v>
      </c>
      <c r="J890">
        <v>3840</v>
      </c>
    </row>
    <row r="891" spans="1:10" x14ac:dyDescent="0.25">
      <c r="A891" t="s">
        <v>912</v>
      </c>
      <c r="B891" s="2">
        <v>44731</v>
      </c>
      <c r="C891" t="s">
        <v>13</v>
      </c>
      <c r="D891" t="s">
        <v>2038</v>
      </c>
      <c r="E891" t="s">
        <v>20</v>
      </c>
      <c r="F891" t="s">
        <v>24</v>
      </c>
      <c r="G891">
        <v>8</v>
      </c>
      <c r="H891">
        <v>6600</v>
      </c>
      <c r="I891" s="6">
        <v>0.25</v>
      </c>
      <c r="J891">
        <v>4950</v>
      </c>
    </row>
    <row r="892" spans="1:10" x14ac:dyDescent="0.25">
      <c r="A892" t="s">
        <v>913</v>
      </c>
      <c r="B892" s="2">
        <v>44732</v>
      </c>
      <c r="C892" t="s">
        <v>14</v>
      </c>
      <c r="D892" t="s">
        <v>2039</v>
      </c>
      <c r="E892" t="s">
        <v>21</v>
      </c>
      <c r="F892" t="s">
        <v>25</v>
      </c>
      <c r="G892">
        <v>4</v>
      </c>
      <c r="H892">
        <v>6700</v>
      </c>
      <c r="I892" s="6">
        <v>0.05</v>
      </c>
      <c r="J892">
        <v>6365</v>
      </c>
    </row>
    <row r="893" spans="1:10" x14ac:dyDescent="0.25">
      <c r="A893" t="s">
        <v>914</v>
      </c>
      <c r="B893" s="2">
        <v>44733</v>
      </c>
      <c r="C893" t="s">
        <v>14</v>
      </c>
      <c r="D893" t="s">
        <v>2040</v>
      </c>
      <c r="E893" t="s">
        <v>22</v>
      </c>
      <c r="F893" t="s">
        <v>25</v>
      </c>
      <c r="G893">
        <v>3</v>
      </c>
      <c r="H893">
        <v>4900</v>
      </c>
      <c r="I893" s="6">
        <v>0.1</v>
      </c>
      <c r="J893">
        <v>4410</v>
      </c>
    </row>
    <row r="894" spans="1:10" x14ac:dyDescent="0.25">
      <c r="A894" t="s">
        <v>915</v>
      </c>
      <c r="B894" s="2">
        <v>44734</v>
      </c>
      <c r="C894" t="s">
        <v>14</v>
      </c>
      <c r="D894" t="s">
        <v>2041</v>
      </c>
      <c r="E894" t="s">
        <v>19</v>
      </c>
      <c r="F894" t="s">
        <v>25</v>
      </c>
      <c r="G894">
        <v>5</v>
      </c>
      <c r="H894">
        <v>10300</v>
      </c>
      <c r="I894" s="6">
        <v>0.15000000000000002</v>
      </c>
      <c r="J894">
        <v>8755</v>
      </c>
    </row>
    <row r="895" spans="1:10" x14ac:dyDescent="0.25">
      <c r="A895" t="s">
        <v>916</v>
      </c>
      <c r="B895" s="2">
        <v>44735</v>
      </c>
      <c r="C895" t="s">
        <v>14</v>
      </c>
      <c r="D895" t="s">
        <v>2042</v>
      </c>
      <c r="E895" t="s">
        <v>20</v>
      </c>
      <c r="F895" t="s">
        <v>25</v>
      </c>
      <c r="G895">
        <v>4</v>
      </c>
      <c r="H895">
        <v>5400</v>
      </c>
      <c r="I895" s="6">
        <v>0.2</v>
      </c>
      <c r="J895">
        <v>4320</v>
      </c>
    </row>
    <row r="896" spans="1:10" x14ac:dyDescent="0.25">
      <c r="A896" t="s">
        <v>917</v>
      </c>
      <c r="B896" s="2">
        <v>44736</v>
      </c>
      <c r="C896" t="s">
        <v>14</v>
      </c>
      <c r="D896" t="s">
        <v>2043</v>
      </c>
      <c r="E896" t="s">
        <v>21</v>
      </c>
      <c r="F896" t="s">
        <v>25</v>
      </c>
      <c r="G896">
        <v>5</v>
      </c>
      <c r="H896">
        <v>14100</v>
      </c>
      <c r="I896" s="6">
        <v>0.25</v>
      </c>
      <c r="J896">
        <v>10575</v>
      </c>
    </row>
    <row r="897" spans="1:10" x14ac:dyDescent="0.25">
      <c r="A897" t="s">
        <v>918</v>
      </c>
      <c r="B897" s="2">
        <v>44737</v>
      </c>
      <c r="C897" t="s">
        <v>14</v>
      </c>
      <c r="D897" t="s">
        <v>2044</v>
      </c>
      <c r="E897" t="s">
        <v>22</v>
      </c>
      <c r="F897" t="s">
        <v>25</v>
      </c>
      <c r="G897">
        <v>2</v>
      </c>
      <c r="H897">
        <v>9600</v>
      </c>
      <c r="I897" s="6">
        <v>0.05</v>
      </c>
      <c r="J897">
        <v>9120</v>
      </c>
    </row>
    <row r="898" spans="1:10" x14ac:dyDescent="0.25">
      <c r="A898" t="s">
        <v>919</v>
      </c>
      <c r="B898" s="2">
        <v>44738</v>
      </c>
      <c r="C898" t="s">
        <v>14</v>
      </c>
      <c r="D898" t="s">
        <v>2045</v>
      </c>
      <c r="E898" t="s">
        <v>19</v>
      </c>
      <c r="F898" t="s">
        <v>25</v>
      </c>
      <c r="G898">
        <v>5</v>
      </c>
      <c r="H898">
        <v>7500</v>
      </c>
      <c r="I898" s="6">
        <v>0.1</v>
      </c>
      <c r="J898">
        <v>6750</v>
      </c>
    </row>
    <row r="899" spans="1:10" x14ac:dyDescent="0.25">
      <c r="A899" t="s">
        <v>920</v>
      </c>
      <c r="B899" s="2">
        <v>44739</v>
      </c>
      <c r="C899" t="s">
        <v>14</v>
      </c>
      <c r="D899" t="s">
        <v>2046</v>
      </c>
      <c r="E899" t="s">
        <v>20</v>
      </c>
      <c r="F899" t="s">
        <v>25</v>
      </c>
      <c r="G899">
        <v>7</v>
      </c>
      <c r="H899">
        <v>14300</v>
      </c>
      <c r="I899" s="6">
        <v>0.15000000000000002</v>
      </c>
      <c r="J899">
        <v>12155</v>
      </c>
    </row>
    <row r="900" spans="1:10" x14ac:dyDescent="0.25">
      <c r="A900" t="s">
        <v>921</v>
      </c>
      <c r="B900" s="2">
        <v>44740</v>
      </c>
      <c r="C900" t="s">
        <v>14</v>
      </c>
      <c r="D900" t="s">
        <v>2047</v>
      </c>
      <c r="E900" t="s">
        <v>21</v>
      </c>
      <c r="F900" t="s">
        <v>25</v>
      </c>
      <c r="G900">
        <v>1</v>
      </c>
      <c r="H900">
        <v>11400</v>
      </c>
      <c r="I900" s="6">
        <v>0.2</v>
      </c>
      <c r="J900">
        <v>9120</v>
      </c>
    </row>
    <row r="901" spans="1:10" x14ac:dyDescent="0.25">
      <c r="A901" t="s">
        <v>922</v>
      </c>
      <c r="B901" s="2">
        <v>44741</v>
      </c>
      <c r="C901" t="s">
        <v>14</v>
      </c>
      <c r="D901" t="s">
        <v>2048</v>
      </c>
      <c r="E901" t="s">
        <v>22</v>
      </c>
      <c r="F901" t="s">
        <v>25</v>
      </c>
      <c r="G901">
        <v>1</v>
      </c>
      <c r="H901">
        <v>6200</v>
      </c>
      <c r="I901" s="6">
        <v>0.25</v>
      </c>
      <c r="J901">
        <v>4650</v>
      </c>
    </row>
    <row r="902" spans="1:10" x14ac:dyDescent="0.25">
      <c r="A902" t="s">
        <v>923</v>
      </c>
      <c r="B902" s="2">
        <v>44742</v>
      </c>
      <c r="C902" t="s">
        <v>12</v>
      </c>
      <c r="D902" t="s">
        <v>15</v>
      </c>
      <c r="E902" t="s">
        <v>19</v>
      </c>
      <c r="F902" t="s">
        <v>23</v>
      </c>
      <c r="G902">
        <v>8</v>
      </c>
      <c r="H902">
        <v>9900</v>
      </c>
      <c r="I902" s="6">
        <v>0.05</v>
      </c>
      <c r="J902">
        <v>9405</v>
      </c>
    </row>
    <row r="903" spans="1:10" x14ac:dyDescent="0.25">
      <c r="A903" t="s">
        <v>924</v>
      </c>
      <c r="B903" s="2">
        <v>44743</v>
      </c>
      <c r="C903" t="s">
        <v>12</v>
      </c>
      <c r="D903" t="s">
        <v>17</v>
      </c>
      <c r="E903" t="s">
        <v>20</v>
      </c>
      <c r="F903" t="s">
        <v>23</v>
      </c>
      <c r="G903">
        <v>4</v>
      </c>
      <c r="H903">
        <v>8900</v>
      </c>
      <c r="I903" s="6">
        <v>0.1</v>
      </c>
      <c r="J903">
        <v>8010</v>
      </c>
    </row>
    <row r="904" spans="1:10" x14ac:dyDescent="0.25">
      <c r="A904" t="s">
        <v>925</v>
      </c>
      <c r="B904" s="2">
        <v>44744</v>
      </c>
      <c r="C904" t="s">
        <v>12</v>
      </c>
      <c r="D904" t="s">
        <v>2023</v>
      </c>
      <c r="E904" t="s">
        <v>21</v>
      </c>
      <c r="F904" t="s">
        <v>23</v>
      </c>
      <c r="G904">
        <v>5</v>
      </c>
      <c r="H904">
        <v>12500</v>
      </c>
      <c r="I904" s="6">
        <v>0.15000000000000002</v>
      </c>
      <c r="J904">
        <v>10625</v>
      </c>
    </row>
    <row r="905" spans="1:10" x14ac:dyDescent="0.25">
      <c r="A905" t="s">
        <v>926</v>
      </c>
      <c r="B905" s="2">
        <v>44745</v>
      </c>
      <c r="C905" t="s">
        <v>12</v>
      </c>
      <c r="D905" t="s">
        <v>18</v>
      </c>
      <c r="E905" t="s">
        <v>22</v>
      </c>
      <c r="F905" t="s">
        <v>23</v>
      </c>
      <c r="G905">
        <v>10</v>
      </c>
      <c r="H905">
        <v>10200</v>
      </c>
      <c r="I905" s="6">
        <v>0.2</v>
      </c>
      <c r="J905">
        <v>8160</v>
      </c>
    </row>
    <row r="906" spans="1:10" x14ac:dyDescent="0.25">
      <c r="A906" t="s">
        <v>927</v>
      </c>
      <c r="B906" s="2">
        <v>44746</v>
      </c>
      <c r="C906" t="s">
        <v>12</v>
      </c>
      <c r="D906" t="s">
        <v>2024</v>
      </c>
      <c r="E906" t="s">
        <v>19</v>
      </c>
      <c r="F906" t="s">
        <v>23</v>
      </c>
      <c r="G906">
        <v>2</v>
      </c>
      <c r="H906">
        <v>5300</v>
      </c>
      <c r="I906" s="6">
        <v>0.25</v>
      </c>
      <c r="J906">
        <v>3975</v>
      </c>
    </row>
    <row r="907" spans="1:10" x14ac:dyDescent="0.25">
      <c r="A907" t="s">
        <v>928</v>
      </c>
      <c r="B907" s="2">
        <v>44747</v>
      </c>
      <c r="C907" t="s">
        <v>12</v>
      </c>
      <c r="D907" t="s">
        <v>2025</v>
      </c>
      <c r="E907" t="s">
        <v>20</v>
      </c>
      <c r="F907" t="s">
        <v>23</v>
      </c>
      <c r="G907">
        <v>1</v>
      </c>
      <c r="H907">
        <v>12000</v>
      </c>
      <c r="I907" s="6">
        <v>0.05</v>
      </c>
      <c r="J907">
        <v>11400</v>
      </c>
    </row>
    <row r="908" spans="1:10" x14ac:dyDescent="0.25">
      <c r="A908" t="s">
        <v>929</v>
      </c>
      <c r="B908" s="2">
        <v>44748</v>
      </c>
      <c r="C908" t="s">
        <v>12</v>
      </c>
      <c r="D908" t="s">
        <v>2026</v>
      </c>
      <c r="E908" t="s">
        <v>21</v>
      </c>
      <c r="F908" t="s">
        <v>23</v>
      </c>
      <c r="G908">
        <v>3</v>
      </c>
      <c r="H908">
        <v>12300</v>
      </c>
      <c r="I908" s="6">
        <v>0.1</v>
      </c>
      <c r="J908">
        <v>11070</v>
      </c>
    </row>
    <row r="909" spans="1:10" x14ac:dyDescent="0.25">
      <c r="A909" t="s">
        <v>930</v>
      </c>
      <c r="B909" s="2">
        <v>44749</v>
      </c>
      <c r="C909" t="s">
        <v>12</v>
      </c>
      <c r="D909" t="s">
        <v>2027</v>
      </c>
      <c r="E909" t="s">
        <v>22</v>
      </c>
      <c r="F909" t="s">
        <v>23</v>
      </c>
      <c r="G909">
        <v>6</v>
      </c>
      <c r="H909">
        <v>11400</v>
      </c>
      <c r="I909" s="6">
        <v>0.15000000000000002</v>
      </c>
      <c r="J909">
        <v>9690</v>
      </c>
    </row>
    <row r="910" spans="1:10" x14ac:dyDescent="0.25">
      <c r="A910" t="s">
        <v>931</v>
      </c>
      <c r="B910" s="2">
        <v>44750</v>
      </c>
      <c r="C910" t="s">
        <v>12</v>
      </c>
      <c r="D910" t="s">
        <v>2028</v>
      </c>
      <c r="E910" t="s">
        <v>19</v>
      </c>
      <c r="F910" t="s">
        <v>23</v>
      </c>
      <c r="G910">
        <v>10</v>
      </c>
      <c r="H910">
        <v>13600</v>
      </c>
      <c r="I910" s="6">
        <v>0.2</v>
      </c>
      <c r="J910">
        <v>10880</v>
      </c>
    </row>
    <row r="911" spans="1:10" x14ac:dyDescent="0.25">
      <c r="A911" t="s">
        <v>932</v>
      </c>
      <c r="B911" s="2">
        <v>44751</v>
      </c>
      <c r="C911" t="s">
        <v>12</v>
      </c>
      <c r="D911" t="s">
        <v>2029</v>
      </c>
      <c r="E911" t="s">
        <v>20</v>
      </c>
      <c r="F911" t="s">
        <v>23</v>
      </c>
      <c r="G911">
        <v>9</v>
      </c>
      <c r="H911">
        <v>7000</v>
      </c>
      <c r="I911" s="6">
        <v>0.25</v>
      </c>
      <c r="J911">
        <v>5250</v>
      </c>
    </row>
    <row r="912" spans="1:10" x14ac:dyDescent="0.25">
      <c r="A912" t="s">
        <v>933</v>
      </c>
      <c r="B912" s="2">
        <v>44752</v>
      </c>
      <c r="C912" t="s">
        <v>13</v>
      </c>
      <c r="D912" t="s">
        <v>16</v>
      </c>
      <c r="E912" t="s">
        <v>21</v>
      </c>
      <c r="F912" t="s">
        <v>24</v>
      </c>
      <c r="G912">
        <v>8</v>
      </c>
      <c r="H912">
        <v>10300</v>
      </c>
      <c r="I912" s="6">
        <v>0.05</v>
      </c>
      <c r="J912">
        <v>9785</v>
      </c>
    </row>
    <row r="913" spans="1:10" x14ac:dyDescent="0.25">
      <c r="A913" t="s">
        <v>934</v>
      </c>
      <c r="B913" s="2">
        <v>44753</v>
      </c>
      <c r="C913" t="s">
        <v>13</v>
      </c>
      <c r="D913" t="s">
        <v>2030</v>
      </c>
      <c r="E913" t="s">
        <v>22</v>
      </c>
      <c r="F913" t="s">
        <v>24</v>
      </c>
      <c r="G913">
        <v>1</v>
      </c>
      <c r="H913">
        <v>5600</v>
      </c>
      <c r="I913" s="6">
        <v>0.1</v>
      </c>
      <c r="J913">
        <v>5040</v>
      </c>
    </row>
    <row r="914" spans="1:10" x14ac:dyDescent="0.25">
      <c r="A914" t="s">
        <v>935</v>
      </c>
      <c r="B914" s="2">
        <v>44754</v>
      </c>
      <c r="C914" t="s">
        <v>13</v>
      </c>
      <c r="D914" t="s">
        <v>2031</v>
      </c>
      <c r="E914" t="s">
        <v>19</v>
      </c>
      <c r="F914" t="s">
        <v>24</v>
      </c>
      <c r="G914">
        <v>6</v>
      </c>
      <c r="H914">
        <v>14900</v>
      </c>
      <c r="I914" s="6">
        <v>0.15000000000000002</v>
      </c>
      <c r="J914">
        <v>12665</v>
      </c>
    </row>
    <row r="915" spans="1:10" x14ac:dyDescent="0.25">
      <c r="A915" t="s">
        <v>936</v>
      </c>
      <c r="B915" s="2">
        <v>44755</v>
      </c>
      <c r="C915" t="s">
        <v>13</v>
      </c>
      <c r="D915" t="s">
        <v>2032</v>
      </c>
      <c r="E915" t="s">
        <v>20</v>
      </c>
      <c r="F915" t="s">
        <v>24</v>
      </c>
      <c r="G915">
        <v>3</v>
      </c>
      <c r="H915">
        <v>11100</v>
      </c>
      <c r="I915" s="6">
        <v>0.2</v>
      </c>
      <c r="J915">
        <v>8880</v>
      </c>
    </row>
    <row r="916" spans="1:10" x14ac:dyDescent="0.25">
      <c r="A916" t="s">
        <v>937</v>
      </c>
      <c r="B916" s="2">
        <v>44756</v>
      </c>
      <c r="C916" t="s">
        <v>13</v>
      </c>
      <c r="D916" t="s">
        <v>2033</v>
      </c>
      <c r="E916" t="s">
        <v>21</v>
      </c>
      <c r="F916" t="s">
        <v>24</v>
      </c>
      <c r="G916">
        <v>4</v>
      </c>
      <c r="H916">
        <v>10300</v>
      </c>
      <c r="I916" s="6">
        <v>0.25</v>
      </c>
      <c r="J916">
        <v>7725</v>
      </c>
    </row>
    <row r="917" spans="1:10" x14ac:dyDescent="0.25">
      <c r="A917" t="s">
        <v>938</v>
      </c>
      <c r="B917" s="2">
        <v>44757</v>
      </c>
      <c r="C917" t="s">
        <v>13</v>
      </c>
      <c r="D917" t="s">
        <v>2034</v>
      </c>
      <c r="E917" t="s">
        <v>22</v>
      </c>
      <c r="F917" t="s">
        <v>24</v>
      </c>
      <c r="G917">
        <v>8</v>
      </c>
      <c r="H917">
        <v>11500</v>
      </c>
      <c r="I917" s="6">
        <v>0.05</v>
      </c>
      <c r="J917">
        <v>10925</v>
      </c>
    </row>
    <row r="918" spans="1:10" x14ac:dyDescent="0.25">
      <c r="A918" t="s">
        <v>939</v>
      </c>
      <c r="B918" s="2">
        <v>44758</v>
      </c>
      <c r="C918" t="s">
        <v>13</v>
      </c>
      <c r="D918" t="s">
        <v>2035</v>
      </c>
      <c r="E918" t="s">
        <v>19</v>
      </c>
      <c r="F918" t="s">
        <v>24</v>
      </c>
      <c r="G918">
        <v>6</v>
      </c>
      <c r="H918">
        <v>8700</v>
      </c>
      <c r="I918" s="6">
        <v>0.1</v>
      </c>
      <c r="J918">
        <v>7830</v>
      </c>
    </row>
    <row r="919" spans="1:10" x14ac:dyDescent="0.25">
      <c r="A919" t="s">
        <v>940</v>
      </c>
      <c r="B919" s="2">
        <v>44759</v>
      </c>
      <c r="C919" t="s">
        <v>13</v>
      </c>
      <c r="D919" t="s">
        <v>2036</v>
      </c>
      <c r="E919" t="s">
        <v>20</v>
      </c>
      <c r="F919" t="s">
        <v>24</v>
      </c>
      <c r="G919">
        <v>6</v>
      </c>
      <c r="H919">
        <v>4100</v>
      </c>
      <c r="I919" s="6">
        <v>0.15000000000000002</v>
      </c>
      <c r="J919">
        <v>3485</v>
      </c>
    </row>
    <row r="920" spans="1:10" x14ac:dyDescent="0.25">
      <c r="A920" t="s">
        <v>941</v>
      </c>
      <c r="B920" s="2">
        <v>44760</v>
      </c>
      <c r="C920" t="s">
        <v>13</v>
      </c>
      <c r="D920" t="s">
        <v>2037</v>
      </c>
      <c r="E920" t="s">
        <v>21</v>
      </c>
      <c r="F920" t="s">
        <v>24</v>
      </c>
      <c r="G920">
        <v>1</v>
      </c>
      <c r="H920">
        <v>5500</v>
      </c>
      <c r="I920" s="6">
        <v>0.2</v>
      </c>
      <c r="J920">
        <v>4400</v>
      </c>
    </row>
    <row r="921" spans="1:10" x14ac:dyDescent="0.25">
      <c r="A921" t="s">
        <v>942</v>
      </c>
      <c r="B921" s="2">
        <v>44761</v>
      </c>
      <c r="C921" t="s">
        <v>13</v>
      </c>
      <c r="D921" t="s">
        <v>2038</v>
      </c>
      <c r="E921" t="s">
        <v>22</v>
      </c>
      <c r="F921" t="s">
        <v>24</v>
      </c>
      <c r="G921">
        <v>1</v>
      </c>
      <c r="H921">
        <v>12000</v>
      </c>
      <c r="I921" s="6">
        <v>0.25</v>
      </c>
      <c r="J921">
        <v>9000</v>
      </c>
    </row>
    <row r="922" spans="1:10" x14ac:dyDescent="0.25">
      <c r="A922" t="s">
        <v>943</v>
      </c>
      <c r="B922" s="2">
        <v>44762</v>
      </c>
      <c r="C922" t="s">
        <v>14</v>
      </c>
      <c r="D922" t="s">
        <v>2039</v>
      </c>
      <c r="E922" t="s">
        <v>19</v>
      </c>
      <c r="F922" t="s">
        <v>25</v>
      </c>
      <c r="G922">
        <v>5</v>
      </c>
      <c r="H922">
        <v>8800</v>
      </c>
      <c r="I922" s="6">
        <v>0.05</v>
      </c>
      <c r="J922">
        <v>8360</v>
      </c>
    </row>
    <row r="923" spans="1:10" x14ac:dyDescent="0.25">
      <c r="A923" t="s">
        <v>944</v>
      </c>
      <c r="B923" s="2">
        <v>44763</v>
      </c>
      <c r="C923" t="s">
        <v>14</v>
      </c>
      <c r="D923" t="s">
        <v>2040</v>
      </c>
      <c r="E923" t="s">
        <v>20</v>
      </c>
      <c r="F923" t="s">
        <v>25</v>
      </c>
      <c r="G923">
        <v>1</v>
      </c>
      <c r="H923">
        <v>9400</v>
      </c>
      <c r="I923" s="6">
        <v>0.1</v>
      </c>
      <c r="J923">
        <v>8460</v>
      </c>
    </row>
    <row r="924" spans="1:10" x14ac:dyDescent="0.25">
      <c r="A924" t="s">
        <v>945</v>
      </c>
      <c r="B924" s="2">
        <v>44764</v>
      </c>
      <c r="C924" t="s">
        <v>14</v>
      </c>
      <c r="D924" t="s">
        <v>2041</v>
      </c>
      <c r="E924" t="s">
        <v>21</v>
      </c>
      <c r="F924" t="s">
        <v>25</v>
      </c>
      <c r="G924">
        <v>4</v>
      </c>
      <c r="H924">
        <v>11800</v>
      </c>
      <c r="I924" s="6">
        <v>0.15000000000000002</v>
      </c>
      <c r="J924">
        <v>10030</v>
      </c>
    </row>
    <row r="925" spans="1:10" x14ac:dyDescent="0.25">
      <c r="A925" t="s">
        <v>946</v>
      </c>
      <c r="B925" s="2">
        <v>44765</v>
      </c>
      <c r="C925" t="s">
        <v>14</v>
      </c>
      <c r="D925" t="s">
        <v>2042</v>
      </c>
      <c r="E925" t="s">
        <v>22</v>
      </c>
      <c r="F925" t="s">
        <v>25</v>
      </c>
      <c r="G925">
        <v>8</v>
      </c>
      <c r="H925">
        <v>4000</v>
      </c>
      <c r="I925" s="6">
        <v>0.2</v>
      </c>
      <c r="J925">
        <v>3200</v>
      </c>
    </row>
    <row r="926" spans="1:10" x14ac:dyDescent="0.25">
      <c r="A926" t="s">
        <v>947</v>
      </c>
      <c r="B926" s="2">
        <v>44766</v>
      </c>
      <c r="C926" t="s">
        <v>14</v>
      </c>
      <c r="D926" t="s">
        <v>2043</v>
      </c>
      <c r="E926" t="s">
        <v>19</v>
      </c>
      <c r="F926" t="s">
        <v>25</v>
      </c>
      <c r="G926">
        <v>5</v>
      </c>
      <c r="H926">
        <v>5300</v>
      </c>
      <c r="I926" s="6">
        <v>0.25</v>
      </c>
      <c r="J926">
        <v>3975</v>
      </c>
    </row>
    <row r="927" spans="1:10" x14ac:dyDescent="0.25">
      <c r="A927" t="s">
        <v>948</v>
      </c>
      <c r="B927" s="2">
        <v>44767</v>
      </c>
      <c r="C927" t="s">
        <v>14</v>
      </c>
      <c r="D927" t="s">
        <v>2044</v>
      </c>
      <c r="E927" t="s">
        <v>20</v>
      </c>
      <c r="F927" t="s">
        <v>25</v>
      </c>
      <c r="G927">
        <v>2</v>
      </c>
      <c r="H927">
        <v>11000</v>
      </c>
      <c r="I927" s="6">
        <v>0.05</v>
      </c>
      <c r="J927">
        <v>10450</v>
      </c>
    </row>
    <row r="928" spans="1:10" x14ac:dyDescent="0.25">
      <c r="A928" t="s">
        <v>949</v>
      </c>
      <c r="B928" s="2">
        <v>44768</v>
      </c>
      <c r="C928" t="s">
        <v>14</v>
      </c>
      <c r="D928" t="s">
        <v>2045</v>
      </c>
      <c r="E928" t="s">
        <v>21</v>
      </c>
      <c r="F928" t="s">
        <v>25</v>
      </c>
      <c r="G928">
        <v>7</v>
      </c>
      <c r="H928">
        <v>8200</v>
      </c>
      <c r="I928" s="6">
        <v>0.1</v>
      </c>
      <c r="J928">
        <v>7380</v>
      </c>
    </row>
    <row r="929" spans="1:10" x14ac:dyDescent="0.25">
      <c r="A929" t="s">
        <v>950</v>
      </c>
      <c r="B929" s="2">
        <v>44769</v>
      </c>
      <c r="C929" t="s">
        <v>14</v>
      </c>
      <c r="D929" t="s">
        <v>2046</v>
      </c>
      <c r="E929" t="s">
        <v>22</v>
      </c>
      <c r="F929" t="s">
        <v>25</v>
      </c>
      <c r="G929">
        <v>3</v>
      </c>
      <c r="H929">
        <v>8600</v>
      </c>
      <c r="I929" s="6">
        <v>0.15000000000000002</v>
      </c>
      <c r="J929">
        <v>7310</v>
      </c>
    </row>
    <row r="930" spans="1:10" x14ac:dyDescent="0.25">
      <c r="A930" t="s">
        <v>951</v>
      </c>
      <c r="B930" s="2">
        <v>44770</v>
      </c>
      <c r="C930" t="s">
        <v>14</v>
      </c>
      <c r="D930" t="s">
        <v>2047</v>
      </c>
      <c r="E930" t="s">
        <v>19</v>
      </c>
      <c r="F930" t="s">
        <v>25</v>
      </c>
      <c r="G930">
        <v>2</v>
      </c>
      <c r="H930">
        <v>8100</v>
      </c>
      <c r="I930" s="6">
        <v>0.2</v>
      </c>
      <c r="J930">
        <v>6480</v>
      </c>
    </row>
    <row r="931" spans="1:10" x14ac:dyDescent="0.25">
      <c r="A931" t="s">
        <v>952</v>
      </c>
      <c r="B931" s="2">
        <v>44771</v>
      </c>
      <c r="C931" t="s">
        <v>14</v>
      </c>
      <c r="D931" t="s">
        <v>2048</v>
      </c>
      <c r="E931" t="s">
        <v>20</v>
      </c>
      <c r="F931" t="s">
        <v>25</v>
      </c>
      <c r="G931">
        <v>3</v>
      </c>
      <c r="H931">
        <v>11100</v>
      </c>
      <c r="I931" s="6">
        <v>0.25</v>
      </c>
      <c r="J931">
        <v>8325</v>
      </c>
    </row>
    <row r="932" spans="1:10" x14ac:dyDescent="0.25">
      <c r="A932" t="s">
        <v>953</v>
      </c>
      <c r="B932" s="2">
        <v>44772</v>
      </c>
      <c r="C932" t="s">
        <v>12</v>
      </c>
      <c r="D932" t="s">
        <v>15</v>
      </c>
      <c r="E932" t="s">
        <v>21</v>
      </c>
      <c r="F932" t="s">
        <v>23</v>
      </c>
      <c r="G932">
        <v>5</v>
      </c>
      <c r="H932">
        <v>9300</v>
      </c>
      <c r="I932" s="6">
        <v>0.05</v>
      </c>
      <c r="J932">
        <v>8835</v>
      </c>
    </row>
    <row r="933" spans="1:10" x14ac:dyDescent="0.25">
      <c r="A933" t="s">
        <v>954</v>
      </c>
      <c r="B933" s="2">
        <v>44773</v>
      </c>
      <c r="C933" t="s">
        <v>12</v>
      </c>
      <c r="D933" t="s">
        <v>17</v>
      </c>
      <c r="E933" t="s">
        <v>22</v>
      </c>
      <c r="F933" t="s">
        <v>23</v>
      </c>
      <c r="G933">
        <v>8</v>
      </c>
      <c r="H933">
        <v>7300</v>
      </c>
      <c r="I933" s="6">
        <v>0.1</v>
      </c>
      <c r="J933">
        <v>6570</v>
      </c>
    </row>
    <row r="934" spans="1:10" x14ac:dyDescent="0.25">
      <c r="A934" t="s">
        <v>955</v>
      </c>
      <c r="B934" s="2">
        <v>44774</v>
      </c>
      <c r="C934" t="s">
        <v>12</v>
      </c>
      <c r="D934" t="s">
        <v>2023</v>
      </c>
      <c r="E934" t="s">
        <v>19</v>
      </c>
      <c r="F934" t="s">
        <v>23</v>
      </c>
      <c r="G934">
        <v>10</v>
      </c>
      <c r="H934">
        <v>13300</v>
      </c>
      <c r="I934" s="6">
        <v>0.15000000000000002</v>
      </c>
      <c r="J934">
        <v>11305</v>
      </c>
    </row>
    <row r="935" spans="1:10" x14ac:dyDescent="0.25">
      <c r="A935" t="s">
        <v>956</v>
      </c>
      <c r="B935" s="2">
        <v>44775</v>
      </c>
      <c r="C935" t="s">
        <v>12</v>
      </c>
      <c r="D935" t="s">
        <v>18</v>
      </c>
      <c r="E935" t="s">
        <v>20</v>
      </c>
      <c r="F935" t="s">
        <v>23</v>
      </c>
      <c r="G935">
        <v>2</v>
      </c>
      <c r="H935">
        <v>8300</v>
      </c>
      <c r="I935" s="6">
        <v>0.2</v>
      </c>
      <c r="J935">
        <v>6640</v>
      </c>
    </row>
    <row r="936" spans="1:10" x14ac:dyDescent="0.25">
      <c r="A936" t="s">
        <v>957</v>
      </c>
      <c r="B936" s="2">
        <v>44776</v>
      </c>
      <c r="C936" t="s">
        <v>12</v>
      </c>
      <c r="D936" t="s">
        <v>2024</v>
      </c>
      <c r="E936" t="s">
        <v>21</v>
      </c>
      <c r="F936" t="s">
        <v>23</v>
      </c>
      <c r="G936">
        <v>3</v>
      </c>
      <c r="H936">
        <v>14800</v>
      </c>
      <c r="I936" s="6">
        <v>0.25</v>
      </c>
      <c r="J936">
        <v>11100</v>
      </c>
    </row>
    <row r="937" spans="1:10" x14ac:dyDescent="0.25">
      <c r="A937" t="s">
        <v>958</v>
      </c>
      <c r="B937" s="2">
        <v>44777</v>
      </c>
      <c r="C937" t="s">
        <v>12</v>
      </c>
      <c r="D937" t="s">
        <v>2025</v>
      </c>
      <c r="E937" t="s">
        <v>22</v>
      </c>
      <c r="F937" t="s">
        <v>23</v>
      </c>
      <c r="G937">
        <v>2</v>
      </c>
      <c r="H937">
        <v>12500</v>
      </c>
      <c r="I937" s="6">
        <v>0.05</v>
      </c>
      <c r="J937">
        <v>11875</v>
      </c>
    </row>
    <row r="938" spans="1:10" x14ac:dyDescent="0.25">
      <c r="A938" t="s">
        <v>959</v>
      </c>
      <c r="B938" s="2">
        <v>44778</v>
      </c>
      <c r="C938" t="s">
        <v>12</v>
      </c>
      <c r="D938" t="s">
        <v>2026</v>
      </c>
      <c r="E938" t="s">
        <v>19</v>
      </c>
      <c r="F938" t="s">
        <v>23</v>
      </c>
      <c r="G938">
        <v>1</v>
      </c>
      <c r="H938">
        <v>8300</v>
      </c>
      <c r="I938" s="6">
        <v>0.1</v>
      </c>
      <c r="J938">
        <v>7470</v>
      </c>
    </row>
    <row r="939" spans="1:10" x14ac:dyDescent="0.25">
      <c r="A939" t="s">
        <v>960</v>
      </c>
      <c r="B939" s="2">
        <v>44779</v>
      </c>
      <c r="C939" t="s">
        <v>12</v>
      </c>
      <c r="D939" t="s">
        <v>2027</v>
      </c>
      <c r="E939" t="s">
        <v>20</v>
      </c>
      <c r="F939" t="s">
        <v>23</v>
      </c>
      <c r="G939">
        <v>5</v>
      </c>
      <c r="H939">
        <v>13800</v>
      </c>
      <c r="I939" s="6">
        <v>0.15000000000000002</v>
      </c>
      <c r="J939">
        <v>11730</v>
      </c>
    </row>
    <row r="940" spans="1:10" x14ac:dyDescent="0.25">
      <c r="A940" t="s">
        <v>961</v>
      </c>
      <c r="B940" s="2">
        <v>44780</v>
      </c>
      <c r="C940" t="s">
        <v>12</v>
      </c>
      <c r="D940" t="s">
        <v>2028</v>
      </c>
      <c r="E940" t="s">
        <v>21</v>
      </c>
      <c r="F940" t="s">
        <v>23</v>
      </c>
      <c r="G940">
        <v>8</v>
      </c>
      <c r="H940">
        <v>6400</v>
      </c>
      <c r="I940" s="6">
        <v>0.2</v>
      </c>
      <c r="J940">
        <v>5120</v>
      </c>
    </row>
    <row r="941" spans="1:10" x14ac:dyDescent="0.25">
      <c r="A941" t="s">
        <v>962</v>
      </c>
      <c r="B941" s="2">
        <v>44781</v>
      </c>
      <c r="C941" t="s">
        <v>12</v>
      </c>
      <c r="D941" t="s">
        <v>2029</v>
      </c>
      <c r="E941" t="s">
        <v>22</v>
      </c>
      <c r="F941" t="s">
        <v>23</v>
      </c>
      <c r="G941">
        <v>2</v>
      </c>
      <c r="H941">
        <v>4900</v>
      </c>
      <c r="I941" s="6">
        <v>0.25</v>
      </c>
      <c r="J941">
        <v>3675</v>
      </c>
    </row>
    <row r="942" spans="1:10" x14ac:dyDescent="0.25">
      <c r="A942" t="s">
        <v>963</v>
      </c>
      <c r="B942" s="2">
        <v>44782</v>
      </c>
      <c r="C942" t="s">
        <v>13</v>
      </c>
      <c r="D942" t="s">
        <v>16</v>
      </c>
      <c r="E942" t="s">
        <v>19</v>
      </c>
      <c r="F942" t="s">
        <v>24</v>
      </c>
      <c r="G942">
        <v>4</v>
      </c>
      <c r="H942">
        <v>9600</v>
      </c>
      <c r="I942" s="6">
        <v>0.05</v>
      </c>
      <c r="J942">
        <v>9120</v>
      </c>
    </row>
    <row r="943" spans="1:10" x14ac:dyDescent="0.25">
      <c r="A943" t="s">
        <v>964</v>
      </c>
      <c r="B943" s="2">
        <v>44783</v>
      </c>
      <c r="C943" t="s">
        <v>13</v>
      </c>
      <c r="D943" t="s">
        <v>2030</v>
      </c>
      <c r="E943" t="s">
        <v>20</v>
      </c>
      <c r="F943" t="s">
        <v>24</v>
      </c>
      <c r="G943">
        <v>4</v>
      </c>
      <c r="H943">
        <v>4400</v>
      </c>
      <c r="I943" s="6">
        <v>0.1</v>
      </c>
      <c r="J943">
        <v>3960</v>
      </c>
    </row>
    <row r="944" spans="1:10" x14ac:dyDescent="0.25">
      <c r="A944" t="s">
        <v>965</v>
      </c>
      <c r="B944" s="2">
        <v>44784</v>
      </c>
      <c r="C944" t="s">
        <v>13</v>
      </c>
      <c r="D944" t="s">
        <v>2031</v>
      </c>
      <c r="E944" t="s">
        <v>21</v>
      </c>
      <c r="F944" t="s">
        <v>24</v>
      </c>
      <c r="G944">
        <v>7</v>
      </c>
      <c r="H944">
        <v>10200</v>
      </c>
      <c r="I944" s="6">
        <v>0.15000000000000002</v>
      </c>
      <c r="J944">
        <v>8670</v>
      </c>
    </row>
    <row r="945" spans="1:10" x14ac:dyDescent="0.25">
      <c r="A945" t="s">
        <v>966</v>
      </c>
      <c r="B945" s="2">
        <v>44785</v>
      </c>
      <c r="C945" t="s">
        <v>13</v>
      </c>
      <c r="D945" t="s">
        <v>2032</v>
      </c>
      <c r="E945" t="s">
        <v>22</v>
      </c>
      <c r="F945" t="s">
        <v>24</v>
      </c>
      <c r="G945">
        <v>2</v>
      </c>
      <c r="H945">
        <v>8600</v>
      </c>
      <c r="I945" s="6">
        <v>0.2</v>
      </c>
      <c r="J945">
        <v>6880</v>
      </c>
    </row>
    <row r="946" spans="1:10" x14ac:dyDescent="0.25">
      <c r="A946" t="s">
        <v>967</v>
      </c>
      <c r="B946" s="2">
        <v>44786</v>
      </c>
      <c r="C946" t="s">
        <v>13</v>
      </c>
      <c r="D946" t="s">
        <v>2033</v>
      </c>
      <c r="E946" t="s">
        <v>19</v>
      </c>
      <c r="F946" t="s">
        <v>24</v>
      </c>
      <c r="G946">
        <v>1</v>
      </c>
      <c r="H946">
        <v>10400</v>
      </c>
      <c r="I946" s="6">
        <v>0.25</v>
      </c>
      <c r="J946">
        <v>7800</v>
      </c>
    </row>
    <row r="947" spans="1:10" x14ac:dyDescent="0.25">
      <c r="A947" t="s">
        <v>968</v>
      </c>
      <c r="B947" s="2">
        <v>44787</v>
      </c>
      <c r="C947" t="s">
        <v>13</v>
      </c>
      <c r="D947" t="s">
        <v>2034</v>
      </c>
      <c r="E947" t="s">
        <v>20</v>
      </c>
      <c r="F947" t="s">
        <v>24</v>
      </c>
      <c r="G947">
        <v>5</v>
      </c>
      <c r="H947">
        <v>12000</v>
      </c>
      <c r="I947" s="6">
        <v>0.05</v>
      </c>
      <c r="J947">
        <v>11400</v>
      </c>
    </row>
    <row r="948" spans="1:10" x14ac:dyDescent="0.25">
      <c r="A948" t="s">
        <v>969</v>
      </c>
      <c r="B948" s="2">
        <v>44788</v>
      </c>
      <c r="C948" t="s">
        <v>13</v>
      </c>
      <c r="D948" t="s">
        <v>2035</v>
      </c>
      <c r="E948" t="s">
        <v>21</v>
      </c>
      <c r="F948" t="s">
        <v>24</v>
      </c>
      <c r="G948">
        <v>4</v>
      </c>
      <c r="H948">
        <v>12400</v>
      </c>
      <c r="I948" s="6">
        <v>0.1</v>
      </c>
      <c r="J948">
        <v>11160</v>
      </c>
    </row>
    <row r="949" spans="1:10" x14ac:dyDescent="0.25">
      <c r="A949" t="s">
        <v>970</v>
      </c>
      <c r="B949" s="2">
        <v>44789</v>
      </c>
      <c r="C949" t="s">
        <v>13</v>
      </c>
      <c r="D949" t="s">
        <v>2036</v>
      </c>
      <c r="E949" t="s">
        <v>22</v>
      </c>
      <c r="F949" t="s">
        <v>24</v>
      </c>
      <c r="G949">
        <v>1</v>
      </c>
      <c r="H949">
        <v>14700</v>
      </c>
      <c r="I949" s="6">
        <v>0.15000000000000002</v>
      </c>
      <c r="J949">
        <v>12495</v>
      </c>
    </row>
    <row r="950" spans="1:10" x14ac:dyDescent="0.25">
      <c r="A950" t="s">
        <v>971</v>
      </c>
      <c r="B950" s="2">
        <v>44790</v>
      </c>
      <c r="C950" t="s">
        <v>13</v>
      </c>
      <c r="D950" t="s">
        <v>2037</v>
      </c>
      <c r="E950" t="s">
        <v>19</v>
      </c>
      <c r="F950" t="s">
        <v>24</v>
      </c>
      <c r="G950">
        <v>10</v>
      </c>
      <c r="H950">
        <v>13400</v>
      </c>
      <c r="I950" s="6">
        <v>0.2</v>
      </c>
      <c r="J950">
        <v>10720</v>
      </c>
    </row>
    <row r="951" spans="1:10" x14ac:dyDescent="0.25">
      <c r="A951" t="s">
        <v>972</v>
      </c>
      <c r="B951" s="2">
        <v>44791</v>
      </c>
      <c r="C951" t="s">
        <v>13</v>
      </c>
      <c r="D951" t="s">
        <v>2038</v>
      </c>
      <c r="E951" t="s">
        <v>20</v>
      </c>
      <c r="F951" t="s">
        <v>24</v>
      </c>
      <c r="G951">
        <v>1</v>
      </c>
      <c r="H951">
        <v>9000</v>
      </c>
      <c r="I951" s="6">
        <v>0.25</v>
      </c>
      <c r="J951">
        <v>6750</v>
      </c>
    </row>
    <row r="952" spans="1:10" x14ac:dyDescent="0.25">
      <c r="A952" t="s">
        <v>973</v>
      </c>
      <c r="B952" s="2">
        <v>44792</v>
      </c>
      <c r="C952" t="s">
        <v>14</v>
      </c>
      <c r="D952" t="s">
        <v>2039</v>
      </c>
      <c r="E952" t="s">
        <v>21</v>
      </c>
      <c r="F952" t="s">
        <v>25</v>
      </c>
      <c r="G952">
        <v>2</v>
      </c>
      <c r="H952">
        <v>5100</v>
      </c>
      <c r="I952" s="6">
        <v>0.05</v>
      </c>
      <c r="J952">
        <v>4845</v>
      </c>
    </row>
    <row r="953" spans="1:10" x14ac:dyDescent="0.25">
      <c r="A953" t="s">
        <v>974</v>
      </c>
      <c r="B953" s="2">
        <v>44793</v>
      </c>
      <c r="C953" t="s">
        <v>14</v>
      </c>
      <c r="D953" t="s">
        <v>2040</v>
      </c>
      <c r="E953" t="s">
        <v>22</v>
      </c>
      <c r="F953" t="s">
        <v>25</v>
      </c>
      <c r="G953">
        <v>5</v>
      </c>
      <c r="H953">
        <v>14000</v>
      </c>
      <c r="I953" s="6">
        <v>0.1</v>
      </c>
      <c r="J953">
        <v>12600</v>
      </c>
    </row>
    <row r="954" spans="1:10" x14ac:dyDescent="0.25">
      <c r="A954" t="s">
        <v>975</v>
      </c>
      <c r="B954" s="2">
        <v>44794</v>
      </c>
      <c r="C954" t="s">
        <v>14</v>
      </c>
      <c r="D954" t="s">
        <v>2041</v>
      </c>
      <c r="E954" t="s">
        <v>19</v>
      </c>
      <c r="F954" t="s">
        <v>25</v>
      </c>
      <c r="G954">
        <v>10</v>
      </c>
      <c r="H954">
        <v>11900</v>
      </c>
      <c r="I954" s="6">
        <v>0.15000000000000002</v>
      </c>
      <c r="J954">
        <v>10115</v>
      </c>
    </row>
    <row r="955" spans="1:10" x14ac:dyDescent="0.25">
      <c r="A955" t="s">
        <v>976</v>
      </c>
      <c r="B955" s="2">
        <v>44795</v>
      </c>
      <c r="C955" t="s">
        <v>14</v>
      </c>
      <c r="D955" t="s">
        <v>2042</v>
      </c>
      <c r="E955" t="s">
        <v>20</v>
      </c>
      <c r="F955" t="s">
        <v>25</v>
      </c>
      <c r="G955">
        <v>6</v>
      </c>
      <c r="H955">
        <v>9000</v>
      </c>
      <c r="I955" s="6">
        <v>0.2</v>
      </c>
      <c r="J955">
        <v>7200</v>
      </c>
    </row>
    <row r="956" spans="1:10" x14ac:dyDescent="0.25">
      <c r="A956" t="s">
        <v>977</v>
      </c>
      <c r="B956" s="2">
        <v>44796</v>
      </c>
      <c r="C956" t="s">
        <v>14</v>
      </c>
      <c r="D956" t="s">
        <v>2043</v>
      </c>
      <c r="E956" t="s">
        <v>21</v>
      </c>
      <c r="F956" t="s">
        <v>25</v>
      </c>
      <c r="G956">
        <v>7</v>
      </c>
      <c r="H956">
        <v>4800</v>
      </c>
      <c r="I956" s="6">
        <v>0.25</v>
      </c>
      <c r="J956">
        <v>3600</v>
      </c>
    </row>
    <row r="957" spans="1:10" x14ac:dyDescent="0.25">
      <c r="A957" t="s">
        <v>978</v>
      </c>
      <c r="B957" s="2">
        <v>44797</v>
      </c>
      <c r="C957" t="s">
        <v>14</v>
      </c>
      <c r="D957" t="s">
        <v>2044</v>
      </c>
      <c r="E957" t="s">
        <v>22</v>
      </c>
      <c r="F957" t="s">
        <v>25</v>
      </c>
      <c r="G957">
        <v>10</v>
      </c>
      <c r="H957">
        <v>7400</v>
      </c>
      <c r="I957" s="6">
        <v>0.05</v>
      </c>
      <c r="J957">
        <v>7030</v>
      </c>
    </row>
    <row r="958" spans="1:10" x14ac:dyDescent="0.25">
      <c r="A958" t="s">
        <v>979</v>
      </c>
      <c r="B958" s="2">
        <v>44798</v>
      </c>
      <c r="C958" t="s">
        <v>14</v>
      </c>
      <c r="D958" t="s">
        <v>2045</v>
      </c>
      <c r="E958" t="s">
        <v>19</v>
      </c>
      <c r="F958" t="s">
        <v>25</v>
      </c>
      <c r="G958">
        <v>6</v>
      </c>
      <c r="H958">
        <v>4200</v>
      </c>
      <c r="I958" s="6">
        <v>0.1</v>
      </c>
      <c r="J958">
        <v>3780</v>
      </c>
    </row>
    <row r="959" spans="1:10" x14ac:dyDescent="0.25">
      <c r="A959" t="s">
        <v>980</v>
      </c>
      <c r="B959" s="2">
        <v>44799</v>
      </c>
      <c r="C959" t="s">
        <v>14</v>
      </c>
      <c r="D959" t="s">
        <v>2046</v>
      </c>
      <c r="E959" t="s">
        <v>20</v>
      </c>
      <c r="F959" t="s">
        <v>25</v>
      </c>
      <c r="G959">
        <v>1</v>
      </c>
      <c r="H959">
        <v>8700</v>
      </c>
      <c r="I959" s="6">
        <v>0.15000000000000002</v>
      </c>
      <c r="J959">
        <v>7395</v>
      </c>
    </row>
    <row r="960" spans="1:10" x14ac:dyDescent="0.25">
      <c r="A960" t="s">
        <v>981</v>
      </c>
      <c r="B960" s="2">
        <v>44800</v>
      </c>
      <c r="C960" t="s">
        <v>14</v>
      </c>
      <c r="D960" t="s">
        <v>2047</v>
      </c>
      <c r="E960" t="s">
        <v>21</v>
      </c>
      <c r="F960" t="s">
        <v>25</v>
      </c>
      <c r="G960">
        <v>9</v>
      </c>
      <c r="H960">
        <v>14700</v>
      </c>
      <c r="I960" s="6">
        <v>0.2</v>
      </c>
      <c r="J960">
        <v>11760</v>
      </c>
    </row>
    <row r="961" spans="1:10" x14ac:dyDescent="0.25">
      <c r="A961" t="s">
        <v>982</v>
      </c>
      <c r="B961" s="2">
        <v>44801</v>
      </c>
      <c r="C961" t="s">
        <v>14</v>
      </c>
      <c r="D961" t="s">
        <v>2048</v>
      </c>
      <c r="E961" t="s">
        <v>22</v>
      </c>
      <c r="F961" t="s">
        <v>25</v>
      </c>
      <c r="G961">
        <v>9</v>
      </c>
      <c r="H961">
        <v>9500</v>
      </c>
      <c r="I961" s="6">
        <v>0.25</v>
      </c>
      <c r="J961">
        <v>7125</v>
      </c>
    </row>
    <row r="962" spans="1:10" x14ac:dyDescent="0.25">
      <c r="A962" t="s">
        <v>983</v>
      </c>
      <c r="B962" s="2">
        <v>44802</v>
      </c>
      <c r="C962" t="s">
        <v>12</v>
      </c>
      <c r="D962" t="s">
        <v>15</v>
      </c>
      <c r="E962" t="s">
        <v>19</v>
      </c>
      <c r="F962" t="s">
        <v>23</v>
      </c>
      <c r="G962">
        <v>1</v>
      </c>
      <c r="H962">
        <v>12600</v>
      </c>
      <c r="I962" s="6">
        <v>0.05</v>
      </c>
      <c r="J962">
        <v>11970</v>
      </c>
    </row>
    <row r="963" spans="1:10" x14ac:dyDescent="0.25">
      <c r="A963" t="s">
        <v>984</v>
      </c>
      <c r="B963" s="2">
        <v>44803</v>
      </c>
      <c r="C963" t="s">
        <v>12</v>
      </c>
      <c r="D963" t="s">
        <v>17</v>
      </c>
      <c r="E963" t="s">
        <v>20</v>
      </c>
      <c r="F963" t="s">
        <v>23</v>
      </c>
      <c r="G963">
        <v>6</v>
      </c>
      <c r="H963">
        <v>9500</v>
      </c>
      <c r="I963" s="6">
        <v>0.1</v>
      </c>
      <c r="J963">
        <v>8550</v>
      </c>
    </row>
    <row r="964" spans="1:10" x14ac:dyDescent="0.25">
      <c r="A964" t="s">
        <v>985</v>
      </c>
      <c r="B964" s="2">
        <v>44804</v>
      </c>
      <c r="C964" t="s">
        <v>12</v>
      </c>
      <c r="D964" t="s">
        <v>2023</v>
      </c>
      <c r="E964" t="s">
        <v>21</v>
      </c>
      <c r="F964" t="s">
        <v>23</v>
      </c>
      <c r="G964">
        <v>1</v>
      </c>
      <c r="H964">
        <v>4300</v>
      </c>
      <c r="I964" s="6">
        <v>0.15000000000000002</v>
      </c>
      <c r="J964">
        <v>3655</v>
      </c>
    </row>
    <row r="965" spans="1:10" x14ac:dyDescent="0.25">
      <c r="A965" t="s">
        <v>986</v>
      </c>
      <c r="B965" s="2">
        <v>44805</v>
      </c>
      <c r="C965" t="s">
        <v>12</v>
      </c>
      <c r="D965" t="s">
        <v>18</v>
      </c>
      <c r="E965" t="s">
        <v>22</v>
      </c>
      <c r="F965" t="s">
        <v>23</v>
      </c>
      <c r="G965">
        <v>8</v>
      </c>
      <c r="H965">
        <v>12700</v>
      </c>
      <c r="I965" s="6">
        <v>0.2</v>
      </c>
      <c r="J965">
        <v>10160</v>
      </c>
    </row>
    <row r="966" spans="1:10" x14ac:dyDescent="0.25">
      <c r="A966" t="s">
        <v>987</v>
      </c>
      <c r="B966" s="2">
        <v>44806</v>
      </c>
      <c r="C966" t="s">
        <v>12</v>
      </c>
      <c r="D966" t="s">
        <v>2024</v>
      </c>
      <c r="E966" t="s">
        <v>19</v>
      </c>
      <c r="F966" t="s">
        <v>23</v>
      </c>
      <c r="G966">
        <v>1</v>
      </c>
      <c r="H966">
        <v>11600</v>
      </c>
      <c r="I966" s="6">
        <v>0.25</v>
      </c>
      <c r="J966">
        <v>8700</v>
      </c>
    </row>
    <row r="967" spans="1:10" x14ac:dyDescent="0.25">
      <c r="A967" t="s">
        <v>988</v>
      </c>
      <c r="B967" s="2">
        <v>44807</v>
      </c>
      <c r="C967" t="s">
        <v>12</v>
      </c>
      <c r="D967" t="s">
        <v>2025</v>
      </c>
      <c r="E967" t="s">
        <v>20</v>
      </c>
      <c r="F967" t="s">
        <v>23</v>
      </c>
      <c r="G967">
        <v>2</v>
      </c>
      <c r="H967">
        <v>12000</v>
      </c>
      <c r="I967" s="6">
        <v>0.05</v>
      </c>
      <c r="J967">
        <v>11400</v>
      </c>
    </row>
    <row r="968" spans="1:10" x14ac:dyDescent="0.25">
      <c r="A968" t="s">
        <v>989</v>
      </c>
      <c r="B968" s="2">
        <v>44808</v>
      </c>
      <c r="C968" t="s">
        <v>12</v>
      </c>
      <c r="D968" t="s">
        <v>2026</v>
      </c>
      <c r="E968" t="s">
        <v>21</v>
      </c>
      <c r="F968" t="s">
        <v>23</v>
      </c>
      <c r="G968">
        <v>8</v>
      </c>
      <c r="H968">
        <v>11600</v>
      </c>
      <c r="I968" s="6">
        <v>0.1</v>
      </c>
      <c r="J968">
        <v>10440</v>
      </c>
    </row>
    <row r="969" spans="1:10" x14ac:dyDescent="0.25">
      <c r="A969" t="s">
        <v>990</v>
      </c>
      <c r="B969" s="2">
        <v>44809</v>
      </c>
      <c r="C969" t="s">
        <v>12</v>
      </c>
      <c r="D969" t="s">
        <v>2027</v>
      </c>
      <c r="E969" t="s">
        <v>22</v>
      </c>
      <c r="F969" t="s">
        <v>23</v>
      </c>
      <c r="G969">
        <v>10</v>
      </c>
      <c r="H969">
        <v>9500</v>
      </c>
      <c r="I969" s="6">
        <v>0.15000000000000002</v>
      </c>
      <c r="J969">
        <v>8075</v>
      </c>
    </row>
    <row r="970" spans="1:10" x14ac:dyDescent="0.25">
      <c r="A970" t="s">
        <v>991</v>
      </c>
      <c r="B970" s="2">
        <v>44810</v>
      </c>
      <c r="C970" t="s">
        <v>12</v>
      </c>
      <c r="D970" t="s">
        <v>2028</v>
      </c>
      <c r="E970" t="s">
        <v>19</v>
      </c>
      <c r="F970" t="s">
        <v>23</v>
      </c>
      <c r="G970">
        <v>7</v>
      </c>
      <c r="H970">
        <v>12100</v>
      </c>
      <c r="I970" s="6">
        <v>0.2</v>
      </c>
      <c r="J970">
        <v>9680</v>
      </c>
    </row>
    <row r="971" spans="1:10" x14ac:dyDescent="0.25">
      <c r="A971" t="s">
        <v>992</v>
      </c>
      <c r="B971" s="2">
        <v>44811</v>
      </c>
      <c r="C971" t="s">
        <v>12</v>
      </c>
      <c r="D971" t="s">
        <v>2029</v>
      </c>
      <c r="E971" t="s">
        <v>20</v>
      </c>
      <c r="F971" t="s">
        <v>23</v>
      </c>
      <c r="G971">
        <v>8</v>
      </c>
      <c r="H971">
        <v>6700</v>
      </c>
      <c r="I971" s="6">
        <v>0.25</v>
      </c>
      <c r="J971">
        <v>5025</v>
      </c>
    </row>
    <row r="972" spans="1:10" x14ac:dyDescent="0.25">
      <c r="A972" t="s">
        <v>993</v>
      </c>
      <c r="B972" s="2">
        <v>44812</v>
      </c>
      <c r="C972" t="s">
        <v>13</v>
      </c>
      <c r="D972" t="s">
        <v>16</v>
      </c>
      <c r="E972" t="s">
        <v>21</v>
      </c>
      <c r="F972" t="s">
        <v>24</v>
      </c>
      <c r="G972">
        <v>5</v>
      </c>
      <c r="H972">
        <v>7100</v>
      </c>
      <c r="I972" s="6">
        <v>0.05</v>
      </c>
      <c r="J972">
        <v>6745</v>
      </c>
    </row>
    <row r="973" spans="1:10" x14ac:dyDescent="0.25">
      <c r="A973" t="s">
        <v>994</v>
      </c>
      <c r="B973" s="2">
        <v>44813</v>
      </c>
      <c r="C973" t="s">
        <v>13</v>
      </c>
      <c r="D973" t="s">
        <v>2030</v>
      </c>
      <c r="E973" t="s">
        <v>22</v>
      </c>
      <c r="F973" t="s">
        <v>24</v>
      </c>
      <c r="G973">
        <v>8</v>
      </c>
      <c r="H973">
        <v>12700</v>
      </c>
      <c r="I973" s="6">
        <v>0.1</v>
      </c>
      <c r="J973">
        <v>11430</v>
      </c>
    </row>
    <row r="974" spans="1:10" x14ac:dyDescent="0.25">
      <c r="A974" t="s">
        <v>995</v>
      </c>
      <c r="B974" s="2">
        <v>44814</v>
      </c>
      <c r="C974" t="s">
        <v>13</v>
      </c>
      <c r="D974" t="s">
        <v>2031</v>
      </c>
      <c r="E974" t="s">
        <v>19</v>
      </c>
      <c r="F974" t="s">
        <v>24</v>
      </c>
      <c r="G974">
        <v>1</v>
      </c>
      <c r="H974">
        <v>5400</v>
      </c>
      <c r="I974" s="6">
        <v>0.15000000000000002</v>
      </c>
      <c r="J974">
        <v>4590</v>
      </c>
    </row>
    <row r="975" spans="1:10" x14ac:dyDescent="0.25">
      <c r="A975" t="s">
        <v>996</v>
      </c>
      <c r="B975" s="2">
        <v>44815</v>
      </c>
      <c r="C975" t="s">
        <v>13</v>
      </c>
      <c r="D975" t="s">
        <v>2032</v>
      </c>
      <c r="E975" t="s">
        <v>20</v>
      </c>
      <c r="F975" t="s">
        <v>24</v>
      </c>
      <c r="G975">
        <v>2</v>
      </c>
      <c r="H975">
        <v>9200</v>
      </c>
      <c r="I975" s="6">
        <v>0.2</v>
      </c>
      <c r="J975">
        <v>7360</v>
      </c>
    </row>
    <row r="976" spans="1:10" x14ac:dyDescent="0.25">
      <c r="A976" t="s">
        <v>997</v>
      </c>
      <c r="B976" s="2">
        <v>44816</v>
      </c>
      <c r="C976" t="s">
        <v>13</v>
      </c>
      <c r="D976" t="s">
        <v>2033</v>
      </c>
      <c r="E976" t="s">
        <v>21</v>
      </c>
      <c r="F976" t="s">
        <v>24</v>
      </c>
      <c r="G976">
        <v>4</v>
      </c>
      <c r="H976">
        <v>5000</v>
      </c>
      <c r="I976" s="6">
        <v>0.25</v>
      </c>
      <c r="J976">
        <v>3750</v>
      </c>
    </row>
    <row r="977" spans="1:10" x14ac:dyDescent="0.25">
      <c r="A977" t="s">
        <v>998</v>
      </c>
      <c r="B977" s="2">
        <v>44817</v>
      </c>
      <c r="C977" t="s">
        <v>13</v>
      </c>
      <c r="D977" t="s">
        <v>2034</v>
      </c>
      <c r="E977" t="s">
        <v>22</v>
      </c>
      <c r="F977" t="s">
        <v>24</v>
      </c>
      <c r="G977">
        <v>4</v>
      </c>
      <c r="H977">
        <v>11600</v>
      </c>
      <c r="I977" s="6">
        <v>0.05</v>
      </c>
      <c r="J977">
        <v>11020</v>
      </c>
    </row>
    <row r="978" spans="1:10" x14ac:dyDescent="0.25">
      <c r="A978" t="s">
        <v>999</v>
      </c>
      <c r="B978" s="2">
        <v>44818</v>
      </c>
      <c r="C978" t="s">
        <v>13</v>
      </c>
      <c r="D978" t="s">
        <v>2035</v>
      </c>
      <c r="E978" t="s">
        <v>19</v>
      </c>
      <c r="F978" t="s">
        <v>24</v>
      </c>
      <c r="G978">
        <v>9</v>
      </c>
      <c r="H978">
        <v>9000</v>
      </c>
      <c r="I978" s="6">
        <v>0.1</v>
      </c>
      <c r="J978">
        <v>8100</v>
      </c>
    </row>
    <row r="979" spans="1:10" x14ac:dyDescent="0.25">
      <c r="A979" t="s">
        <v>1000</v>
      </c>
      <c r="B979" s="2">
        <v>44819</v>
      </c>
      <c r="C979" t="s">
        <v>13</v>
      </c>
      <c r="D979" t="s">
        <v>2036</v>
      </c>
      <c r="E979" t="s">
        <v>20</v>
      </c>
      <c r="F979" t="s">
        <v>24</v>
      </c>
      <c r="G979">
        <v>8</v>
      </c>
      <c r="H979">
        <v>11700</v>
      </c>
      <c r="I979" s="6">
        <v>0.15000000000000002</v>
      </c>
      <c r="J979">
        <v>9945</v>
      </c>
    </row>
    <row r="980" spans="1:10" x14ac:dyDescent="0.25">
      <c r="A980" t="s">
        <v>1001</v>
      </c>
      <c r="B980" s="2">
        <v>44820</v>
      </c>
      <c r="C980" t="s">
        <v>13</v>
      </c>
      <c r="D980" t="s">
        <v>2037</v>
      </c>
      <c r="E980" t="s">
        <v>21</v>
      </c>
      <c r="F980" t="s">
        <v>24</v>
      </c>
      <c r="G980">
        <v>10</v>
      </c>
      <c r="H980">
        <v>14400</v>
      </c>
      <c r="I980" s="6">
        <v>0.2</v>
      </c>
      <c r="J980">
        <v>11520</v>
      </c>
    </row>
    <row r="981" spans="1:10" x14ac:dyDescent="0.25">
      <c r="A981" t="s">
        <v>1002</v>
      </c>
      <c r="B981" s="2">
        <v>44821</v>
      </c>
      <c r="C981" t="s">
        <v>13</v>
      </c>
      <c r="D981" t="s">
        <v>2038</v>
      </c>
      <c r="E981" t="s">
        <v>22</v>
      </c>
      <c r="F981" t="s">
        <v>24</v>
      </c>
      <c r="G981">
        <v>9</v>
      </c>
      <c r="H981">
        <v>8800</v>
      </c>
      <c r="I981" s="6">
        <v>0.25</v>
      </c>
      <c r="J981">
        <v>6600</v>
      </c>
    </row>
    <row r="982" spans="1:10" x14ac:dyDescent="0.25">
      <c r="A982" t="s">
        <v>1003</v>
      </c>
      <c r="B982" s="2">
        <v>44822</v>
      </c>
      <c r="C982" t="s">
        <v>14</v>
      </c>
      <c r="D982" t="s">
        <v>2039</v>
      </c>
      <c r="E982" t="s">
        <v>19</v>
      </c>
      <c r="F982" t="s">
        <v>25</v>
      </c>
      <c r="G982">
        <v>10</v>
      </c>
      <c r="H982">
        <v>8700</v>
      </c>
      <c r="I982" s="6">
        <v>0.05</v>
      </c>
      <c r="J982">
        <v>8265</v>
      </c>
    </row>
    <row r="983" spans="1:10" x14ac:dyDescent="0.25">
      <c r="A983" t="s">
        <v>1004</v>
      </c>
      <c r="B983" s="2">
        <v>44823</v>
      </c>
      <c r="C983" t="s">
        <v>14</v>
      </c>
      <c r="D983" t="s">
        <v>2040</v>
      </c>
      <c r="E983" t="s">
        <v>20</v>
      </c>
      <c r="F983" t="s">
        <v>25</v>
      </c>
      <c r="G983">
        <v>5</v>
      </c>
      <c r="H983">
        <v>13900</v>
      </c>
      <c r="I983" s="6">
        <v>0.1</v>
      </c>
      <c r="J983">
        <v>12510</v>
      </c>
    </row>
    <row r="984" spans="1:10" x14ac:dyDescent="0.25">
      <c r="A984" t="s">
        <v>1005</v>
      </c>
      <c r="B984" s="2">
        <v>44824</v>
      </c>
      <c r="C984" t="s">
        <v>14</v>
      </c>
      <c r="D984" t="s">
        <v>2041</v>
      </c>
      <c r="E984" t="s">
        <v>21</v>
      </c>
      <c r="F984" t="s">
        <v>25</v>
      </c>
      <c r="G984">
        <v>2</v>
      </c>
      <c r="H984">
        <v>14000</v>
      </c>
      <c r="I984" s="6">
        <v>0.15000000000000002</v>
      </c>
      <c r="J984">
        <v>11900</v>
      </c>
    </row>
    <row r="985" spans="1:10" x14ac:dyDescent="0.25">
      <c r="A985" t="s">
        <v>1006</v>
      </c>
      <c r="B985" s="2">
        <v>44825</v>
      </c>
      <c r="C985" t="s">
        <v>14</v>
      </c>
      <c r="D985" t="s">
        <v>2042</v>
      </c>
      <c r="E985" t="s">
        <v>22</v>
      </c>
      <c r="F985" t="s">
        <v>25</v>
      </c>
      <c r="G985">
        <v>7</v>
      </c>
      <c r="H985">
        <v>6500</v>
      </c>
      <c r="I985" s="6">
        <v>0.2</v>
      </c>
      <c r="J985">
        <v>5200</v>
      </c>
    </row>
    <row r="986" spans="1:10" x14ac:dyDescent="0.25">
      <c r="A986" t="s">
        <v>1007</v>
      </c>
      <c r="B986" s="2">
        <v>44826</v>
      </c>
      <c r="C986" t="s">
        <v>14</v>
      </c>
      <c r="D986" t="s">
        <v>2043</v>
      </c>
      <c r="E986" t="s">
        <v>19</v>
      </c>
      <c r="F986" t="s">
        <v>25</v>
      </c>
      <c r="G986">
        <v>9</v>
      </c>
      <c r="H986">
        <v>6500</v>
      </c>
      <c r="I986" s="6">
        <v>0.25</v>
      </c>
      <c r="J986">
        <v>4875</v>
      </c>
    </row>
    <row r="987" spans="1:10" x14ac:dyDescent="0.25">
      <c r="A987" t="s">
        <v>1008</v>
      </c>
      <c r="B987" s="2">
        <v>44827</v>
      </c>
      <c r="C987" t="s">
        <v>14</v>
      </c>
      <c r="D987" t="s">
        <v>2044</v>
      </c>
      <c r="E987" t="s">
        <v>20</v>
      </c>
      <c r="F987" t="s">
        <v>25</v>
      </c>
      <c r="G987">
        <v>8</v>
      </c>
      <c r="H987">
        <v>12700</v>
      </c>
      <c r="I987" s="6">
        <v>0.05</v>
      </c>
      <c r="J987">
        <v>12065</v>
      </c>
    </row>
    <row r="988" spans="1:10" x14ac:dyDescent="0.25">
      <c r="A988" t="s">
        <v>1009</v>
      </c>
      <c r="B988" s="2">
        <v>44828</v>
      </c>
      <c r="C988" t="s">
        <v>14</v>
      </c>
      <c r="D988" t="s">
        <v>2045</v>
      </c>
      <c r="E988" t="s">
        <v>21</v>
      </c>
      <c r="F988" t="s">
        <v>25</v>
      </c>
      <c r="G988">
        <v>9</v>
      </c>
      <c r="H988">
        <v>13800</v>
      </c>
      <c r="I988" s="6">
        <v>0.1</v>
      </c>
      <c r="J988">
        <v>12420</v>
      </c>
    </row>
    <row r="989" spans="1:10" x14ac:dyDescent="0.25">
      <c r="A989" t="s">
        <v>1010</v>
      </c>
      <c r="B989" s="2">
        <v>44829</v>
      </c>
      <c r="C989" t="s">
        <v>14</v>
      </c>
      <c r="D989" t="s">
        <v>2046</v>
      </c>
      <c r="E989" t="s">
        <v>22</v>
      </c>
      <c r="F989" t="s">
        <v>25</v>
      </c>
      <c r="G989">
        <v>1</v>
      </c>
      <c r="H989">
        <v>5800</v>
      </c>
      <c r="I989" s="6">
        <v>0.15000000000000002</v>
      </c>
      <c r="J989">
        <v>4930</v>
      </c>
    </row>
    <row r="990" spans="1:10" x14ac:dyDescent="0.25">
      <c r="A990" t="s">
        <v>1011</v>
      </c>
      <c r="B990" s="2">
        <v>44830</v>
      </c>
      <c r="C990" t="s">
        <v>14</v>
      </c>
      <c r="D990" t="s">
        <v>2047</v>
      </c>
      <c r="E990" t="s">
        <v>19</v>
      </c>
      <c r="F990" t="s">
        <v>25</v>
      </c>
      <c r="G990">
        <v>3</v>
      </c>
      <c r="H990">
        <v>13300</v>
      </c>
      <c r="I990" s="6">
        <v>0.2</v>
      </c>
      <c r="J990">
        <v>10640</v>
      </c>
    </row>
    <row r="991" spans="1:10" x14ac:dyDescent="0.25">
      <c r="A991" t="s">
        <v>1012</v>
      </c>
      <c r="B991" s="2">
        <v>44831</v>
      </c>
      <c r="C991" t="s">
        <v>14</v>
      </c>
      <c r="D991" t="s">
        <v>2048</v>
      </c>
      <c r="E991" t="s">
        <v>20</v>
      </c>
      <c r="F991" t="s">
        <v>25</v>
      </c>
      <c r="G991">
        <v>1</v>
      </c>
      <c r="H991">
        <v>10800</v>
      </c>
      <c r="I991" s="6">
        <v>0.25</v>
      </c>
      <c r="J991">
        <v>8100</v>
      </c>
    </row>
    <row r="992" spans="1:10" x14ac:dyDescent="0.25">
      <c r="A992" t="s">
        <v>1013</v>
      </c>
      <c r="B992" s="2">
        <v>44832</v>
      </c>
      <c r="C992" t="s">
        <v>12</v>
      </c>
      <c r="D992" t="s">
        <v>15</v>
      </c>
      <c r="E992" t="s">
        <v>21</v>
      </c>
      <c r="F992" t="s">
        <v>23</v>
      </c>
      <c r="G992">
        <v>8</v>
      </c>
      <c r="H992">
        <v>6700</v>
      </c>
      <c r="I992" s="6">
        <v>0.05</v>
      </c>
      <c r="J992">
        <v>6365</v>
      </c>
    </row>
    <row r="993" spans="1:10" x14ac:dyDescent="0.25">
      <c r="A993" t="s">
        <v>1014</v>
      </c>
      <c r="B993" s="2">
        <v>44833</v>
      </c>
      <c r="C993" t="s">
        <v>12</v>
      </c>
      <c r="D993" t="s">
        <v>17</v>
      </c>
      <c r="E993" t="s">
        <v>22</v>
      </c>
      <c r="F993" t="s">
        <v>23</v>
      </c>
      <c r="G993">
        <v>2</v>
      </c>
      <c r="H993">
        <v>8600</v>
      </c>
      <c r="I993" s="6">
        <v>0.1</v>
      </c>
      <c r="J993">
        <v>7740</v>
      </c>
    </row>
    <row r="994" spans="1:10" x14ac:dyDescent="0.25">
      <c r="A994" t="s">
        <v>1015</v>
      </c>
      <c r="B994" s="2">
        <v>44834</v>
      </c>
      <c r="C994" t="s">
        <v>12</v>
      </c>
      <c r="D994" t="s">
        <v>2023</v>
      </c>
      <c r="E994" t="s">
        <v>19</v>
      </c>
      <c r="F994" t="s">
        <v>23</v>
      </c>
      <c r="G994">
        <v>2</v>
      </c>
      <c r="H994">
        <v>12500</v>
      </c>
      <c r="I994" s="6">
        <v>0.15000000000000002</v>
      </c>
      <c r="J994">
        <v>10625</v>
      </c>
    </row>
    <row r="995" spans="1:10" x14ac:dyDescent="0.25">
      <c r="A995" t="s">
        <v>1016</v>
      </c>
      <c r="B995" s="2">
        <v>44835</v>
      </c>
      <c r="C995" t="s">
        <v>12</v>
      </c>
      <c r="D995" t="s">
        <v>18</v>
      </c>
      <c r="E995" t="s">
        <v>20</v>
      </c>
      <c r="F995" t="s">
        <v>23</v>
      </c>
      <c r="G995">
        <v>3</v>
      </c>
      <c r="H995">
        <v>14400</v>
      </c>
      <c r="I995" s="6">
        <v>0.2</v>
      </c>
      <c r="J995">
        <v>11520</v>
      </c>
    </row>
    <row r="996" spans="1:10" x14ac:dyDescent="0.25">
      <c r="A996" t="s">
        <v>1017</v>
      </c>
      <c r="B996" s="2">
        <v>44836</v>
      </c>
      <c r="C996" t="s">
        <v>12</v>
      </c>
      <c r="D996" t="s">
        <v>2024</v>
      </c>
      <c r="E996" t="s">
        <v>21</v>
      </c>
      <c r="F996" t="s">
        <v>23</v>
      </c>
      <c r="G996">
        <v>1</v>
      </c>
      <c r="H996">
        <v>8900</v>
      </c>
      <c r="I996" s="6">
        <v>0.25</v>
      </c>
      <c r="J996">
        <v>6675</v>
      </c>
    </row>
    <row r="997" spans="1:10" x14ac:dyDescent="0.25">
      <c r="A997" t="s">
        <v>1018</v>
      </c>
      <c r="B997" s="2">
        <v>44837</v>
      </c>
      <c r="C997" t="s">
        <v>12</v>
      </c>
      <c r="D997" t="s">
        <v>2025</v>
      </c>
      <c r="E997" t="s">
        <v>22</v>
      </c>
      <c r="F997" t="s">
        <v>23</v>
      </c>
      <c r="G997">
        <v>2</v>
      </c>
      <c r="H997">
        <v>5100</v>
      </c>
      <c r="I997" s="6">
        <v>0.05</v>
      </c>
      <c r="J997">
        <v>4845</v>
      </c>
    </row>
    <row r="998" spans="1:10" x14ac:dyDescent="0.25">
      <c r="A998" t="s">
        <v>1019</v>
      </c>
      <c r="B998" s="2">
        <v>44838</v>
      </c>
      <c r="C998" t="s">
        <v>12</v>
      </c>
      <c r="D998" t="s">
        <v>2026</v>
      </c>
      <c r="E998" t="s">
        <v>19</v>
      </c>
      <c r="F998" t="s">
        <v>23</v>
      </c>
      <c r="G998">
        <v>1</v>
      </c>
      <c r="H998">
        <v>6500</v>
      </c>
      <c r="I998" s="6">
        <v>0.1</v>
      </c>
      <c r="J998">
        <v>5850</v>
      </c>
    </row>
    <row r="999" spans="1:10" x14ac:dyDescent="0.25">
      <c r="A999" t="s">
        <v>1020</v>
      </c>
      <c r="B999" s="2">
        <v>44839</v>
      </c>
      <c r="C999" t="s">
        <v>12</v>
      </c>
      <c r="D999" t="s">
        <v>2027</v>
      </c>
      <c r="E999" t="s">
        <v>20</v>
      </c>
      <c r="F999" t="s">
        <v>23</v>
      </c>
      <c r="G999">
        <v>3</v>
      </c>
      <c r="H999">
        <v>12500</v>
      </c>
      <c r="I999" s="6">
        <v>0.15000000000000002</v>
      </c>
      <c r="J999">
        <v>10625</v>
      </c>
    </row>
    <row r="1000" spans="1:10" x14ac:dyDescent="0.25">
      <c r="A1000" t="s">
        <v>1021</v>
      </c>
      <c r="B1000" s="2">
        <v>44840</v>
      </c>
      <c r="C1000" t="s">
        <v>12</v>
      </c>
      <c r="D1000" t="s">
        <v>2028</v>
      </c>
      <c r="E1000" t="s">
        <v>21</v>
      </c>
      <c r="F1000" t="s">
        <v>23</v>
      </c>
      <c r="G1000">
        <v>9</v>
      </c>
      <c r="H1000">
        <v>13100</v>
      </c>
      <c r="I1000" s="6">
        <v>0.2</v>
      </c>
      <c r="J1000">
        <v>10480</v>
      </c>
    </row>
    <row r="1001" spans="1:10" x14ac:dyDescent="0.25">
      <c r="A1001" t="s">
        <v>1022</v>
      </c>
      <c r="B1001" s="2">
        <v>44841</v>
      </c>
      <c r="C1001" t="s">
        <v>12</v>
      </c>
      <c r="D1001" t="s">
        <v>2029</v>
      </c>
      <c r="E1001" t="s">
        <v>22</v>
      </c>
      <c r="F1001" t="s">
        <v>23</v>
      </c>
      <c r="G1001">
        <v>5</v>
      </c>
      <c r="H1001">
        <v>12200</v>
      </c>
      <c r="I1001" s="6">
        <v>0.25</v>
      </c>
      <c r="J1001">
        <v>9150</v>
      </c>
    </row>
    <row r="1002" spans="1:10" x14ac:dyDescent="0.25">
      <c r="A1002" t="s">
        <v>1023</v>
      </c>
      <c r="B1002" s="2">
        <v>44842</v>
      </c>
      <c r="C1002" t="s">
        <v>13</v>
      </c>
      <c r="D1002" t="s">
        <v>16</v>
      </c>
      <c r="E1002" t="s">
        <v>19</v>
      </c>
      <c r="F1002" t="s">
        <v>24</v>
      </c>
      <c r="G1002">
        <v>2</v>
      </c>
      <c r="H1002">
        <v>4800</v>
      </c>
      <c r="I1002" s="6">
        <v>0.05</v>
      </c>
      <c r="J1002">
        <v>4560</v>
      </c>
    </row>
    <row r="1003" spans="1:10" x14ac:dyDescent="0.25">
      <c r="A1003" t="s">
        <v>1024</v>
      </c>
      <c r="B1003" s="2">
        <v>44843</v>
      </c>
      <c r="C1003" t="s">
        <v>13</v>
      </c>
      <c r="D1003" t="s">
        <v>2030</v>
      </c>
      <c r="E1003" t="s">
        <v>20</v>
      </c>
      <c r="F1003" t="s">
        <v>24</v>
      </c>
      <c r="G1003">
        <v>5</v>
      </c>
      <c r="H1003">
        <v>7000</v>
      </c>
      <c r="I1003" s="6">
        <v>0.1</v>
      </c>
      <c r="J1003">
        <v>6300</v>
      </c>
    </row>
    <row r="1004" spans="1:10" x14ac:dyDescent="0.25">
      <c r="A1004" t="s">
        <v>1025</v>
      </c>
      <c r="B1004" s="2">
        <v>44844</v>
      </c>
      <c r="C1004" t="s">
        <v>13</v>
      </c>
      <c r="D1004" t="s">
        <v>2031</v>
      </c>
      <c r="E1004" t="s">
        <v>21</v>
      </c>
      <c r="F1004" t="s">
        <v>24</v>
      </c>
      <c r="G1004">
        <v>10</v>
      </c>
      <c r="H1004">
        <v>9700</v>
      </c>
      <c r="I1004" s="6">
        <v>0.15000000000000002</v>
      </c>
      <c r="J1004">
        <v>8245</v>
      </c>
    </row>
    <row r="1005" spans="1:10" x14ac:dyDescent="0.25">
      <c r="A1005" t="s">
        <v>1026</v>
      </c>
      <c r="B1005" s="2">
        <v>44845</v>
      </c>
      <c r="C1005" t="s">
        <v>13</v>
      </c>
      <c r="D1005" t="s">
        <v>2032</v>
      </c>
      <c r="E1005" t="s">
        <v>22</v>
      </c>
      <c r="F1005" t="s">
        <v>24</v>
      </c>
      <c r="G1005">
        <v>5</v>
      </c>
      <c r="H1005">
        <v>14300</v>
      </c>
      <c r="I1005" s="6">
        <v>0.2</v>
      </c>
      <c r="J1005">
        <v>11440</v>
      </c>
    </row>
    <row r="1006" spans="1:10" x14ac:dyDescent="0.25">
      <c r="A1006" t="s">
        <v>1027</v>
      </c>
      <c r="B1006" s="2">
        <v>44846</v>
      </c>
      <c r="C1006" t="s">
        <v>13</v>
      </c>
      <c r="D1006" t="s">
        <v>2033</v>
      </c>
      <c r="E1006" t="s">
        <v>19</v>
      </c>
      <c r="F1006" t="s">
        <v>24</v>
      </c>
      <c r="G1006">
        <v>9</v>
      </c>
      <c r="H1006">
        <v>13000</v>
      </c>
      <c r="I1006" s="6">
        <v>0.25</v>
      </c>
      <c r="J1006">
        <v>9750</v>
      </c>
    </row>
    <row r="1007" spans="1:10" x14ac:dyDescent="0.25">
      <c r="A1007" t="s">
        <v>1028</v>
      </c>
      <c r="B1007" s="2">
        <v>44847</v>
      </c>
      <c r="C1007" t="s">
        <v>13</v>
      </c>
      <c r="D1007" t="s">
        <v>2034</v>
      </c>
      <c r="E1007" t="s">
        <v>20</v>
      </c>
      <c r="F1007" t="s">
        <v>24</v>
      </c>
      <c r="G1007">
        <v>10</v>
      </c>
      <c r="H1007">
        <v>8600</v>
      </c>
      <c r="I1007" s="6">
        <v>0.05</v>
      </c>
      <c r="J1007">
        <v>8170</v>
      </c>
    </row>
    <row r="1008" spans="1:10" x14ac:dyDescent="0.25">
      <c r="A1008" t="s">
        <v>1029</v>
      </c>
      <c r="B1008" s="2">
        <v>44848</v>
      </c>
      <c r="C1008" t="s">
        <v>13</v>
      </c>
      <c r="D1008" t="s">
        <v>2035</v>
      </c>
      <c r="E1008" t="s">
        <v>21</v>
      </c>
      <c r="F1008" t="s">
        <v>24</v>
      </c>
      <c r="G1008">
        <v>3</v>
      </c>
      <c r="H1008">
        <v>8400</v>
      </c>
      <c r="I1008" s="6">
        <v>0.1</v>
      </c>
      <c r="J1008">
        <v>7560</v>
      </c>
    </row>
    <row r="1009" spans="1:10" x14ac:dyDescent="0.25">
      <c r="A1009" t="s">
        <v>1030</v>
      </c>
      <c r="B1009" s="2">
        <v>44849</v>
      </c>
      <c r="C1009" t="s">
        <v>13</v>
      </c>
      <c r="D1009" t="s">
        <v>2036</v>
      </c>
      <c r="E1009" t="s">
        <v>22</v>
      </c>
      <c r="F1009" t="s">
        <v>24</v>
      </c>
      <c r="G1009">
        <v>8</v>
      </c>
      <c r="H1009">
        <v>6800</v>
      </c>
      <c r="I1009" s="6">
        <v>0.15000000000000002</v>
      </c>
      <c r="J1009">
        <v>5780</v>
      </c>
    </row>
    <row r="1010" spans="1:10" x14ac:dyDescent="0.25">
      <c r="A1010" t="s">
        <v>1031</v>
      </c>
      <c r="B1010" s="2">
        <v>44850</v>
      </c>
      <c r="C1010" t="s">
        <v>13</v>
      </c>
      <c r="D1010" t="s">
        <v>2037</v>
      </c>
      <c r="E1010" t="s">
        <v>19</v>
      </c>
      <c r="F1010" t="s">
        <v>24</v>
      </c>
      <c r="G1010">
        <v>1</v>
      </c>
      <c r="H1010">
        <v>6100</v>
      </c>
      <c r="I1010" s="6">
        <v>0.2</v>
      </c>
      <c r="J1010">
        <v>4880</v>
      </c>
    </row>
    <row r="1011" spans="1:10" x14ac:dyDescent="0.25">
      <c r="A1011" t="s">
        <v>1032</v>
      </c>
      <c r="B1011" s="2">
        <v>44851</v>
      </c>
      <c r="C1011" t="s">
        <v>13</v>
      </c>
      <c r="D1011" t="s">
        <v>2038</v>
      </c>
      <c r="E1011" t="s">
        <v>20</v>
      </c>
      <c r="F1011" t="s">
        <v>24</v>
      </c>
      <c r="G1011">
        <v>3</v>
      </c>
      <c r="H1011">
        <v>8100</v>
      </c>
      <c r="I1011" s="6">
        <v>0.25</v>
      </c>
      <c r="J1011">
        <v>6075</v>
      </c>
    </row>
    <row r="1012" spans="1:10" x14ac:dyDescent="0.25">
      <c r="A1012" t="s">
        <v>1033</v>
      </c>
      <c r="B1012" s="2">
        <v>44852</v>
      </c>
      <c r="C1012" t="s">
        <v>14</v>
      </c>
      <c r="D1012" t="s">
        <v>2039</v>
      </c>
      <c r="E1012" t="s">
        <v>21</v>
      </c>
      <c r="F1012" t="s">
        <v>25</v>
      </c>
      <c r="G1012">
        <v>1</v>
      </c>
      <c r="H1012">
        <v>14800</v>
      </c>
      <c r="I1012" s="6">
        <v>0.05</v>
      </c>
      <c r="J1012">
        <v>14060</v>
      </c>
    </row>
    <row r="1013" spans="1:10" x14ac:dyDescent="0.25">
      <c r="A1013" t="s">
        <v>1034</v>
      </c>
      <c r="B1013" s="2">
        <v>44853</v>
      </c>
      <c r="C1013" t="s">
        <v>14</v>
      </c>
      <c r="D1013" t="s">
        <v>2040</v>
      </c>
      <c r="E1013" t="s">
        <v>22</v>
      </c>
      <c r="F1013" t="s">
        <v>25</v>
      </c>
      <c r="G1013">
        <v>7</v>
      </c>
      <c r="H1013">
        <v>7000</v>
      </c>
      <c r="I1013" s="6">
        <v>0.1</v>
      </c>
      <c r="J1013">
        <v>6300</v>
      </c>
    </row>
    <row r="1014" spans="1:10" x14ac:dyDescent="0.25">
      <c r="A1014" t="s">
        <v>1035</v>
      </c>
      <c r="B1014" s="2">
        <v>44854</v>
      </c>
      <c r="C1014" t="s">
        <v>14</v>
      </c>
      <c r="D1014" t="s">
        <v>2041</v>
      </c>
      <c r="E1014" t="s">
        <v>19</v>
      </c>
      <c r="F1014" t="s">
        <v>25</v>
      </c>
      <c r="G1014">
        <v>2</v>
      </c>
      <c r="H1014">
        <v>6500</v>
      </c>
      <c r="I1014" s="6">
        <v>0.15000000000000002</v>
      </c>
      <c r="J1014">
        <v>5525</v>
      </c>
    </row>
    <row r="1015" spans="1:10" x14ac:dyDescent="0.25">
      <c r="A1015" t="s">
        <v>1036</v>
      </c>
      <c r="B1015" s="2">
        <v>44855</v>
      </c>
      <c r="C1015" t="s">
        <v>14</v>
      </c>
      <c r="D1015" t="s">
        <v>2042</v>
      </c>
      <c r="E1015" t="s">
        <v>20</v>
      </c>
      <c r="F1015" t="s">
        <v>25</v>
      </c>
      <c r="G1015">
        <v>5</v>
      </c>
      <c r="H1015">
        <v>6600</v>
      </c>
      <c r="I1015" s="6">
        <v>0.2</v>
      </c>
      <c r="J1015">
        <v>5280</v>
      </c>
    </row>
    <row r="1016" spans="1:10" x14ac:dyDescent="0.25">
      <c r="A1016" t="s">
        <v>1037</v>
      </c>
      <c r="B1016" s="2">
        <v>44856</v>
      </c>
      <c r="C1016" t="s">
        <v>14</v>
      </c>
      <c r="D1016" t="s">
        <v>2043</v>
      </c>
      <c r="E1016" t="s">
        <v>21</v>
      </c>
      <c r="F1016" t="s">
        <v>25</v>
      </c>
      <c r="G1016">
        <v>5</v>
      </c>
      <c r="H1016">
        <v>4900</v>
      </c>
      <c r="I1016" s="6">
        <v>0.25</v>
      </c>
      <c r="J1016">
        <v>3675</v>
      </c>
    </row>
    <row r="1017" spans="1:10" x14ac:dyDescent="0.25">
      <c r="A1017" t="s">
        <v>1038</v>
      </c>
      <c r="B1017" s="2">
        <v>44857</v>
      </c>
      <c r="C1017" t="s">
        <v>14</v>
      </c>
      <c r="D1017" t="s">
        <v>2044</v>
      </c>
      <c r="E1017" t="s">
        <v>22</v>
      </c>
      <c r="F1017" t="s">
        <v>25</v>
      </c>
      <c r="G1017">
        <v>6</v>
      </c>
      <c r="H1017">
        <v>11100</v>
      </c>
      <c r="I1017" s="6">
        <v>0.05</v>
      </c>
      <c r="J1017">
        <v>10545</v>
      </c>
    </row>
    <row r="1018" spans="1:10" x14ac:dyDescent="0.25">
      <c r="A1018" t="s">
        <v>1039</v>
      </c>
      <c r="B1018" s="2">
        <v>44858</v>
      </c>
      <c r="C1018" t="s">
        <v>14</v>
      </c>
      <c r="D1018" t="s">
        <v>2045</v>
      </c>
      <c r="E1018" t="s">
        <v>19</v>
      </c>
      <c r="F1018" t="s">
        <v>25</v>
      </c>
      <c r="G1018">
        <v>1</v>
      </c>
      <c r="H1018">
        <v>13700</v>
      </c>
      <c r="I1018" s="6">
        <v>0.1</v>
      </c>
      <c r="J1018">
        <v>12330</v>
      </c>
    </row>
    <row r="1019" spans="1:10" x14ac:dyDescent="0.25">
      <c r="A1019" t="s">
        <v>1040</v>
      </c>
      <c r="B1019" s="2">
        <v>44859</v>
      </c>
      <c r="C1019" t="s">
        <v>14</v>
      </c>
      <c r="D1019" t="s">
        <v>2046</v>
      </c>
      <c r="E1019" t="s">
        <v>20</v>
      </c>
      <c r="F1019" t="s">
        <v>25</v>
      </c>
      <c r="G1019">
        <v>6</v>
      </c>
      <c r="H1019">
        <v>11900</v>
      </c>
      <c r="I1019" s="6">
        <v>0.15000000000000002</v>
      </c>
      <c r="J1019">
        <v>10115</v>
      </c>
    </row>
    <row r="1020" spans="1:10" x14ac:dyDescent="0.25">
      <c r="A1020" t="s">
        <v>1041</v>
      </c>
      <c r="B1020" s="2">
        <v>44860</v>
      </c>
      <c r="C1020" t="s">
        <v>14</v>
      </c>
      <c r="D1020" t="s">
        <v>2047</v>
      </c>
      <c r="E1020" t="s">
        <v>21</v>
      </c>
      <c r="F1020" t="s">
        <v>25</v>
      </c>
      <c r="G1020">
        <v>6</v>
      </c>
      <c r="H1020">
        <v>6100</v>
      </c>
      <c r="I1020" s="6">
        <v>0.2</v>
      </c>
      <c r="J1020">
        <v>4880</v>
      </c>
    </row>
    <row r="1021" spans="1:10" x14ac:dyDescent="0.25">
      <c r="A1021" t="s">
        <v>1042</v>
      </c>
      <c r="B1021" s="2">
        <v>44861</v>
      </c>
      <c r="C1021" t="s">
        <v>14</v>
      </c>
      <c r="D1021" t="s">
        <v>2048</v>
      </c>
      <c r="E1021" t="s">
        <v>22</v>
      </c>
      <c r="F1021" t="s">
        <v>25</v>
      </c>
      <c r="G1021">
        <v>3</v>
      </c>
      <c r="H1021">
        <v>8900</v>
      </c>
      <c r="I1021" s="6">
        <v>0.25</v>
      </c>
      <c r="J1021">
        <v>6675</v>
      </c>
    </row>
    <row r="1022" spans="1:10" x14ac:dyDescent="0.25">
      <c r="A1022" t="s">
        <v>1043</v>
      </c>
      <c r="B1022" s="2">
        <v>44862</v>
      </c>
      <c r="C1022" t="s">
        <v>12</v>
      </c>
      <c r="D1022" t="s">
        <v>15</v>
      </c>
      <c r="E1022" t="s">
        <v>19</v>
      </c>
      <c r="F1022" t="s">
        <v>23</v>
      </c>
      <c r="G1022">
        <v>6</v>
      </c>
      <c r="H1022">
        <v>9400</v>
      </c>
      <c r="I1022" s="6">
        <v>0.05</v>
      </c>
      <c r="J1022">
        <v>8930</v>
      </c>
    </row>
    <row r="1023" spans="1:10" x14ac:dyDescent="0.25">
      <c r="A1023" t="s">
        <v>1044</v>
      </c>
      <c r="B1023" s="2">
        <v>44863</v>
      </c>
      <c r="C1023" t="s">
        <v>12</v>
      </c>
      <c r="D1023" t="s">
        <v>17</v>
      </c>
      <c r="E1023" t="s">
        <v>20</v>
      </c>
      <c r="F1023" t="s">
        <v>23</v>
      </c>
      <c r="G1023">
        <v>9</v>
      </c>
      <c r="H1023">
        <v>8500</v>
      </c>
      <c r="I1023" s="6">
        <v>0.1</v>
      </c>
      <c r="J1023">
        <v>7650</v>
      </c>
    </row>
    <row r="1024" spans="1:10" x14ac:dyDescent="0.25">
      <c r="A1024" t="s">
        <v>1045</v>
      </c>
      <c r="B1024" s="2">
        <v>44864</v>
      </c>
      <c r="C1024" t="s">
        <v>12</v>
      </c>
      <c r="D1024" t="s">
        <v>2023</v>
      </c>
      <c r="E1024" t="s">
        <v>21</v>
      </c>
      <c r="F1024" t="s">
        <v>23</v>
      </c>
      <c r="G1024">
        <v>9</v>
      </c>
      <c r="H1024">
        <v>11300</v>
      </c>
      <c r="I1024" s="6">
        <v>0.15000000000000002</v>
      </c>
      <c r="J1024">
        <v>9605</v>
      </c>
    </row>
    <row r="1025" spans="1:10" x14ac:dyDescent="0.25">
      <c r="A1025" t="s">
        <v>1046</v>
      </c>
      <c r="B1025" s="2">
        <v>44865</v>
      </c>
      <c r="C1025" t="s">
        <v>12</v>
      </c>
      <c r="D1025" t="s">
        <v>18</v>
      </c>
      <c r="E1025" t="s">
        <v>22</v>
      </c>
      <c r="F1025" t="s">
        <v>23</v>
      </c>
      <c r="G1025">
        <v>1</v>
      </c>
      <c r="H1025">
        <v>5900</v>
      </c>
      <c r="I1025" s="6">
        <v>0.2</v>
      </c>
      <c r="J1025">
        <v>4720</v>
      </c>
    </row>
    <row r="1026" spans="1:10" x14ac:dyDescent="0.25">
      <c r="A1026" t="s">
        <v>1047</v>
      </c>
      <c r="B1026" s="2">
        <v>44866</v>
      </c>
      <c r="C1026" t="s">
        <v>12</v>
      </c>
      <c r="D1026" t="s">
        <v>2024</v>
      </c>
      <c r="E1026" t="s">
        <v>19</v>
      </c>
      <c r="F1026" t="s">
        <v>23</v>
      </c>
      <c r="G1026">
        <v>7</v>
      </c>
      <c r="H1026">
        <v>10200</v>
      </c>
      <c r="I1026" s="6">
        <v>0.25</v>
      </c>
      <c r="J1026">
        <v>7650</v>
      </c>
    </row>
    <row r="1027" spans="1:10" x14ac:dyDescent="0.25">
      <c r="A1027" t="s">
        <v>1048</v>
      </c>
      <c r="B1027" s="2">
        <v>44867</v>
      </c>
      <c r="C1027" t="s">
        <v>12</v>
      </c>
      <c r="D1027" t="s">
        <v>2025</v>
      </c>
      <c r="E1027" t="s">
        <v>20</v>
      </c>
      <c r="F1027" t="s">
        <v>23</v>
      </c>
      <c r="G1027">
        <v>5</v>
      </c>
      <c r="H1027">
        <v>6600</v>
      </c>
      <c r="I1027" s="6">
        <v>0.05</v>
      </c>
      <c r="J1027">
        <v>6270</v>
      </c>
    </row>
    <row r="1028" spans="1:10" x14ac:dyDescent="0.25">
      <c r="A1028" t="s">
        <v>1049</v>
      </c>
      <c r="B1028" s="2">
        <v>44868</v>
      </c>
      <c r="C1028" t="s">
        <v>12</v>
      </c>
      <c r="D1028" t="s">
        <v>2026</v>
      </c>
      <c r="E1028" t="s">
        <v>21</v>
      </c>
      <c r="F1028" t="s">
        <v>23</v>
      </c>
      <c r="G1028">
        <v>1</v>
      </c>
      <c r="H1028">
        <v>7500</v>
      </c>
      <c r="I1028" s="6">
        <v>0.1</v>
      </c>
      <c r="J1028">
        <v>6750</v>
      </c>
    </row>
    <row r="1029" spans="1:10" x14ac:dyDescent="0.25">
      <c r="A1029" t="s">
        <v>1050</v>
      </c>
      <c r="B1029" s="2">
        <v>44869</v>
      </c>
      <c r="C1029" t="s">
        <v>12</v>
      </c>
      <c r="D1029" t="s">
        <v>2027</v>
      </c>
      <c r="E1029" t="s">
        <v>22</v>
      </c>
      <c r="F1029" t="s">
        <v>23</v>
      </c>
      <c r="G1029">
        <v>5</v>
      </c>
      <c r="H1029">
        <v>13500</v>
      </c>
      <c r="I1029" s="6">
        <v>0.15000000000000002</v>
      </c>
      <c r="J1029">
        <v>11475</v>
      </c>
    </row>
    <row r="1030" spans="1:10" x14ac:dyDescent="0.25">
      <c r="A1030" t="s">
        <v>1051</v>
      </c>
      <c r="B1030" s="2">
        <v>44870</v>
      </c>
      <c r="C1030" t="s">
        <v>12</v>
      </c>
      <c r="D1030" t="s">
        <v>2028</v>
      </c>
      <c r="E1030" t="s">
        <v>19</v>
      </c>
      <c r="F1030" t="s">
        <v>23</v>
      </c>
      <c r="G1030">
        <v>4</v>
      </c>
      <c r="H1030">
        <v>5700</v>
      </c>
      <c r="I1030" s="6">
        <v>0.2</v>
      </c>
      <c r="J1030">
        <v>4560</v>
      </c>
    </row>
    <row r="1031" spans="1:10" x14ac:dyDescent="0.25">
      <c r="A1031" t="s">
        <v>1052</v>
      </c>
      <c r="B1031" s="2">
        <v>44871</v>
      </c>
      <c r="C1031" t="s">
        <v>12</v>
      </c>
      <c r="D1031" t="s">
        <v>2029</v>
      </c>
      <c r="E1031" t="s">
        <v>20</v>
      </c>
      <c r="F1031" t="s">
        <v>23</v>
      </c>
      <c r="G1031">
        <v>2</v>
      </c>
      <c r="H1031">
        <v>12000</v>
      </c>
      <c r="I1031" s="6">
        <v>0.25</v>
      </c>
      <c r="J1031">
        <v>9000</v>
      </c>
    </row>
    <row r="1032" spans="1:10" x14ac:dyDescent="0.25">
      <c r="A1032" t="s">
        <v>1053</v>
      </c>
      <c r="B1032" s="2">
        <v>44872</v>
      </c>
      <c r="C1032" t="s">
        <v>13</v>
      </c>
      <c r="D1032" t="s">
        <v>16</v>
      </c>
      <c r="E1032" t="s">
        <v>21</v>
      </c>
      <c r="F1032" t="s">
        <v>24</v>
      </c>
      <c r="G1032">
        <v>1</v>
      </c>
      <c r="H1032">
        <v>5400</v>
      </c>
      <c r="I1032" s="6">
        <v>0.05</v>
      </c>
      <c r="J1032">
        <v>5130</v>
      </c>
    </row>
    <row r="1033" spans="1:10" x14ac:dyDescent="0.25">
      <c r="A1033" t="s">
        <v>1054</v>
      </c>
      <c r="B1033" s="2">
        <v>44873</v>
      </c>
      <c r="C1033" t="s">
        <v>13</v>
      </c>
      <c r="D1033" t="s">
        <v>2030</v>
      </c>
      <c r="E1033" t="s">
        <v>22</v>
      </c>
      <c r="F1033" t="s">
        <v>24</v>
      </c>
      <c r="G1033">
        <v>9</v>
      </c>
      <c r="H1033">
        <v>11300</v>
      </c>
      <c r="I1033" s="6">
        <v>0.1</v>
      </c>
      <c r="J1033">
        <v>10170</v>
      </c>
    </row>
    <row r="1034" spans="1:10" x14ac:dyDescent="0.25">
      <c r="A1034" t="s">
        <v>1055</v>
      </c>
      <c r="B1034" s="2">
        <v>44874</v>
      </c>
      <c r="C1034" t="s">
        <v>13</v>
      </c>
      <c r="D1034" t="s">
        <v>2031</v>
      </c>
      <c r="E1034" t="s">
        <v>19</v>
      </c>
      <c r="F1034" t="s">
        <v>24</v>
      </c>
      <c r="G1034">
        <v>7</v>
      </c>
      <c r="H1034">
        <v>4100</v>
      </c>
      <c r="I1034" s="6">
        <v>0.15000000000000002</v>
      </c>
      <c r="J1034">
        <v>3485</v>
      </c>
    </row>
    <row r="1035" spans="1:10" x14ac:dyDescent="0.25">
      <c r="A1035" t="s">
        <v>1056</v>
      </c>
      <c r="B1035" s="2">
        <v>44875</v>
      </c>
      <c r="C1035" t="s">
        <v>13</v>
      </c>
      <c r="D1035" t="s">
        <v>2032</v>
      </c>
      <c r="E1035" t="s">
        <v>20</v>
      </c>
      <c r="F1035" t="s">
        <v>24</v>
      </c>
      <c r="G1035">
        <v>9</v>
      </c>
      <c r="H1035">
        <v>11500</v>
      </c>
      <c r="I1035" s="6">
        <v>0.2</v>
      </c>
      <c r="J1035">
        <v>9200</v>
      </c>
    </row>
    <row r="1036" spans="1:10" x14ac:dyDescent="0.25">
      <c r="A1036" t="s">
        <v>1057</v>
      </c>
      <c r="B1036" s="2">
        <v>44876</v>
      </c>
      <c r="C1036" t="s">
        <v>13</v>
      </c>
      <c r="D1036" t="s">
        <v>2033</v>
      </c>
      <c r="E1036" t="s">
        <v>21</v>
      </c>
      <c r="F1036" t="s">
        <v>24</v>
      </c>
      <c r="G1036">
        <v>9</v>
      </c>
      <c r="H1036">
        <v>4200</v>
      </c>
      <c r="I1036" s="6">
        <v>0.25</v>
      </c>
      <c r="J1036">
        <v>3150</v>
      </c>
    </row>
    <row r="1037" spans="1:10" x14ac:dyDescent="0.25">
      <c r="A1037" t="s">
        <v>1058</v>
      </c>
      <c r="B1037" s="2">
        <v>44877</v>
      </c>
      <c r="C1037" t="s">
        <v>13</v>
      </c>
      <c r="D1037" t="s">
        <v>2034</v>
      </c>
      <c r="E1037" t="s">
        <v>22</v>
      </c>
      <c r="F1037" t="s">
        <v>24</v>
      </c>
      <c r="G1037">
        <v>4</v>
      </c>
      <c r="H1037">
        <v>5700</v>
      </c>
      <c r="I1037" s="6">
        <v>0.05</v>
      </c>
      <c r="J1037">
        <v>5415</v>
      </c>
    </row>
    <row r="1038" spans="1:10" x14ac:dyDescent="0.25">
      <c r="A1038" t="s">
        <v>1059</v>
      </c>
      <c r="B1038" s="2">
        <v>44878</v>
      </c>
      <c r="C1038" t="s">
        <v>13</v>
      </c>
      <c r="D1038" t="s">
        <v>2035</v>
      </c>
      <c r="E1038" t="s">
        <v>19</v>
      </c>
      <c r="F1038" t="s">
        <v>24</v>
      </c>
      <c r="G1038">
        <v>5</v>
      </c>
      <c r="H1038">
        <v>6800</v>
      </c>
      <c r="I1038" s="6">
        <v>0.1</v>
      </c>
      <c r="J1038">
        <v>6120</v>
      </c>
    </row>
    <row r="1039" spans="1:10" x14ac:dyDescent="0.25">
      <c r="A1039" t="s">
        <v>1060</v>
      </c>
      <c r="B1039" s="2">
        <v>44879</v>
      </c>
      <c r="C1039" t="s">
        <v>13</v>
      </c>
      <c r="D1039" t="s">
        <v>2036</v>
      </c>
      <c r="E1039" t="s">
        <v>20</v>
      </c>
      <c r="F1039" t="s">
        <v>24</v>
      </c>
      <c r="G1039">
        <v>1</v>
      </c>
      <c r="H1039">
        <v>4900</v>
      </c>
      <c r="I1039" s="6">
        <v>0.15000000000000002</v>
      </c>
      <c r="J1039">
        <v>4165</v>
      </c>
    </row>
    <row r="1040" spans="1:10" x14ac:dyDescent="0.25">
      <c r="A1040" t="s">
        <v>1061</v>
      </c>
      <c r="B1040" s="2">
        <v>44880</v>
      </c>
      <c r="C1040" t="s">
        <v>13</v>
      </c>
      <c r="D1040" t="s">
        <v>2037</v>
      </c>
      <c r="E1040" t="s">
        <v>21</v>
      </c>
      <c r="F1040" t="s">
        <v>24</v>
      </c>
      <c r="G1040">
        <v>5</v>
      </c>
      <c r="H1040">
        <v>12800</v>
      </c>
      <c r="I1040" s="6">
        <v>0.2</v>
      </c>
      <c r="J1040">
        <v>10240</v>
      </c>
    </row>
    <row r="1041" spans="1:10" x14ac:dyDescent="0.25">
      <c r="A1041" t="s">
        <v>1062</v>
      </c>
      <c r="B1041" s="2">
        <v>44881</v>
      </c>
      <c r="C1041" t="s">
        <v>13</v>
      </c>
      <c r="D1041" t="s">
        <v>2038</v>
      </c>
      <c r="E1041" t="s">
        <v>22</v>
      </c>
      <c r="F1041" t="s">
        <v>24</v>
      </c>
      <c r="G1041">
        <v>10</v>
      </c>
      <c r="H1041">
        <v>11000</v>
      </c>
      <c r="I1041" s="6">
        <v>0.25</v>
      </c>
      <c r="J1041">
        <v>8250</v>
      </c>
    </row>
    <row r="1042" spans="1:10" x14ac:dyDescent="0.25">
      <c r="A1042" t="s">
        <v>1063</v>
      </c>
      <c r="B1042" s="2">
        <v>44882</v>
      </c>
      <c r="C1042" t="s">
        <v>14</v>
      </c>
      <c r="D1042" t="s">
        <v>2039</v>
      </c>
      <c r="E1042" t="s">
        <v>19</v>
      </c>
      <c r="F1042" t="s">
        <v>25</v>
      </c>
      <c r="G1042">
        <v>8</v>
      </c>
      <c r="H1042">
        <v>10500</v>
      </c>
      <c r="I1042" s="6">
        <v>0.05</v>
      </c>
      <c r="J1042">
        <v>9975</v>
      </c>
    </row>
    <row r="1043" spans="1:10" x14ac:dyDescent="0.25">
      <c r="A1043" t="s">
        <v>1064</v>
      </c>
      <c r="B1043" s="2">
        <v>44883</v>
      </c>
      <c r="C1043" t="s">
        <v>14</v>
      </c>
      <c r="D1043" t="s">
        <v>2040</v>
      </c>
      <c r="E1043" t="s">
        <v>20</v>
      </c>
      <c r="F1043" t="s">
        <v>25</v>
      </c>
      <c r="G1043">
        <v>10</v>
      </c>
      <c r="H1043">
        <v>12000</v>
      </c>
      <c r="I1043" s="6">
        <v>0.1</v>
      </c>
      <c r="J1043">
        <v>10800</v>
      </c>
    </row>
    <row r="1044" spans="1:10" x14ac:dyDescent="0.25">
      <c r="A1044" t="s">
        <v>1065</v>
      </c>
      <c r="B1044" s="2">
        <v>44884</v>
      </c>
      <c r="C1044" t="s">
        <v>14</v>
      </c>
      <c r="D1044" t="s">
        <v>2041</v>
      </c>
      <c r="E1044" t="s">
        <v>21</v>
      </c>
      <c r="F1044" t="s">
        <v>25</v>
      </c>
      <c r="G1044">
        <v>5</v>
      </c>
      <c r="H1044">
        <v>12900</v>
      </c>
      <c r="I1044" s="6">
        <v>0.15000000000000002</v>
      </c>
      <c r="J1044">
        <v>10965</v>
      </c>
    </row>
    <row r="1045" spans="1:10" x14ac:dyDescent="0.25">
      <c r="A1045" t="s">
        <v>1066</v>
      </c>
      <c r="B1045" s="2">
        <v>44885</v>
      </c>
      <c r="C1045" t="s">
        <v>14</v>
      </c>
      <c r="D1045" t="s">
        <v>2042</v>
      </c>
      <c r="E1045" t="s">
        <v>22</v>
      </c>
      <c r="F1045" t="s">
        <v>25</v>
      </c>
      <c r="G1045">
        <v>7</v>
      </c>
      <c r="H1045">
        <v>8700</v>
      </c>
      <c r="I1045" s="6">
        <v>0.2</v>
      </c>
      <c r="J1045">
        <v>6960</v>
      </c>
    </row>
    <row r="1046" spans="1:10" x14ac:dyDescent="0.25">
      <c r="A1046" t="s">
        <v>1067</v>
      </c>
      <c r="B1046" s="2">
        <v>44886</v>
      </c>
      <c r="C1046" t="s">
        <v>14</v>
      </c>
      <c r="D1046" t="s">
        <v>2043</v>
      </c>
      <c r="E1046" t="s">
        <v>19</v>
      </c>
      <c r="F1046" t="s">
        <v>25</v>
      </c>
      <c r="G1046">
        <v>9</v>
      </c>
      <c r="H1046">
        <v>4200</v>
      </c>
      <c r="I1046" s="6">
        <v>0.25</v>
      </c>
      <c r="J1046">
        <v>3150</v>
      </c>
    </row>
    <row r="1047" spans="1:10" x14ac:dyDescent="0.25">
      <c r="A1047" t="s">
        <v>1068</v>
      </c>
      <c r="B1047" s="2">
        <v>44887</v>
      </c>
      <c r="C1047" t="s">
        <v>14</v>
      </c>
      <c r="D1047" t="s">
        <v>2044</v>
      </c>
      <c r="E1047" t="s">
        <v>20</v>
      </c>
      <c r="F1047" t="s">
        <v>25</v>
      </c>
      <c r="G1047">
        <v>8</v>
      </c>
      <c r="H1047">
        <v>7800</v>
      </c>
      <c r="I1047" s="6">
        <v>0.05</v>
      </c>
      <c r="J1047">
        <v>7410</v>
      </c>
    </row>
    <row r="1048" spans="1:10" x14ac:dyDescent="0.25">
      <c r="A1048" t="s">
        <v>1069</v>
      </c>
      <c r="B1048" s="2">
        <v>44888</v>
      </c>
      <c r="C1048" t="s">
        <v>14</v>
      </c>
      <c r="D1048" t="s">
        <v>2045</v>
      </c>
      <c r="E1048" t="s">
        <v>21</v>
      </c>
      <c r="F1048" t="s">
        <v>25</v>
      </c>
      <c r="G1048">
        <v>3</v>
      </c>
      <c r="H1048">
        <v>13500</v>
      </c>
      <c r="I1048" s="6">
        <v>0.1</v>
      </c>
      <c r="J1048">
        <v>12150</v>
      </c>
    </row>
    <row r="1049" spans="1:10" x14ac:dyDescent="0.25">
      <c r="A1049" t="s">
        <v>1070</v>
      </c>
      <c r="B1049" s="2">
        <v>44889</v>
      </c>
      <c r="C1049" t="s">
        <v>14</v>
      </c>
      <c r="D1049" t="s">
        <v>2046</v>
      </c>
      <c r="E1049" t="s">
        <v>22</v>
      </c>
      <c r="F1049" t="s">
        <v>25</v>
      </c>
      <c r="G1049">
        <v>3</v>
      </c>
      <c r="H1049">
        <v>10800</v>
      </c>
      <c r="I1049" s="6">
        <v>0.15000000000000002</v>
      </c>
      <c r="J1049">
        <v>9180</v>
      </c>
    </row>
    <row r="1050" spans="1:10" x14ac:dyDescent="0.25">
      <c r="A1050" t="s">
        <v>1071</v>
      </c>
      <c r="B1050" s="2">
        <v>44890</v>
      </c>
      <c r="C1050" t="s">
        <v>14</v>
      </c>
      <c r="D1050" t="s">
        <v>2047</v>
      </c>
      <c r="E1050" t="s">
        <v>19</v>
      </c>
      <c r="F1050" t="s">
        <v>25</v>
      </c>
      <c r="G1050">
        <v>7</v>
      </c>
      <c r="H1050">
        <v>10500</v>
      </c>
      <c r="I1050" s="6">
        <v>0.2</v>
      </c>
      <c r="J1050">
        <v>8400</v>
      </c>
    </row>
    <row r="1051" spans="1:10" x14ac:dyDescent="0.25">
      <c r="A1051" t="s">
        <v>1072</v>
      </c>
      <c r="B1051" s="2">
        <v>44891</v>
      </c>
      <c r="C1051" t="s">
        <v>14</v>
      </c>
      <c r="D1051" t="s">
        <v>2048</v>
      </c>
      <c r="E1051" t="s">
        <v>20</v>
      </c>
      <c r="F1051" t="s">
        <v>25</v>
      </c>
      <c r="G1051">
        <v>8</v>
      </c>
      <c r="H1051">
        <v>13100</v>
      </c>
      <c r="I1051" s="6">
        <v>0.25</v>
      </c>
      <c r="J1051">
        <v>9825</v>
      </c>
    </row>
    <row r="1052" spans="1:10" x14ac:dyDescent="0.25">
      <c r="A1052" t="s">
        <v>1073</v>
      </c>
      <c r="B1052" s="2">
        <v>44892</v>
      </c>
      <c r="C1052" t="s">
        <v>12</v>
      </c>
      <c r="D1052" t="s">
        <v>15</v>
      </c>
      <c r="E1052" t="s">
        <v>21</v>
      </c>
      <c r="F1052" t="s">
        <v>23</v>
      </c>
      <c r="G1052">
        <v>2</v>
      </c>
      <c r="H1052">
        <v>11000</v>
      </c>
      <c r="I1052" s="6">
        <v>0.05</v>
      </c>
      <c r="J1052">
        <v>10450</v>
      </c>
    </row>
    <row r="1053" spans="1:10" x14ac:dyDescent="0.25">
      <c r="A1053" t="s">
        <v>1074</v>
      </c>
      <c r="B1053" s="2">
        <v>44893</v>
      </c>
      <c r="C1053" t="s">
        <v>12</v>
      </c>
      <c r="D1053" t="s">
        <v>17</v>
      </c>
      <c r="E1053" t="s">
        <v>22</v>
      </c>
      <c r="F1053" t="s">
        <v>23</v>
      </c>
      <c r="G1053">
        <v>9</v>
      </c>
      <c r="H1053">
        <v>11000</v>
      </c>
      <c r="I1053" s="6">
        <v>0.1</v>
      </c>
      <c r="J1053">
        <v>9900</v>
      </c>
    </row>
    <row r="1054" spans="1:10" x14ac:dyDescent="0.25">
      <c r="A1054" t="s">
        <v>1075</v>
      </c>
      <c r="B1054" s="2">
        <v>44894</v>
      </c>
      <c r="C1054" t="s">
        <v>12</v>
      </c>
      <c r="D1054" t="s">
        <v>2023</v>
      </c>
      <c r="E1054" t="s">
        <v>19</v>
      </c>
      <c r="F1054" t="s">
        <v>23</v>
      </c>
      <c r="G1054">
        <v>1</v>
      </c>
      <c r="H1054">
        <v>12100</v>
      </c>
      <c r="I1054" s="6">
        <v>0.15000000000000002</v>
      </c>
      <c r="J1054">
        <v>10285</v>
      </c>
    </row>
    <row r="1055" spans="1:10" x14ac:dyDescent="0.25">
      <c r="A1055" t="s">
        <v>1076</v>
      </c>
      <c r="B1055" s="2">
        <v>44895</v>
      </c>
      <c r="C1055" t="s">
        <v>12</v>
      </c>
      <c r="D1055" t="s">
        <v>18</v>
      </c>
      <c r="E1055" t="s">
        <v>20</v>
      </c>
      <c r="F1055" t="s">
        <v>23</v>
      </c>
      <c r="G1055">
        <v>6</v>
      </c>
      <c r="H1055">
        <v>8400</v>
      </c>
      <c r="I1055" s="6">
        <v>0.2</v>
      </c>
      <c r="J1055">
        <v>6720</v>
      </c>
    </row>
    <row r="1056" spans="1:10" x14ac:dyDescent="0.25">
      <c r="A1056" t="s">
        <v>1077</v>
      </c>
      <c r="B1056" s="2">
        <v>44896</v>
      </c>
      <c r="C1056" t="s">
        <v>12</v>
      </c>
      <c r="D1056" t="s">
        <v>2024</v>
      </c>
      <c r="E1056" t="s">
        <v>21</v>
      </c>
      <c r="F1056" t="s">
        <v>23</v>
      </c>
      <c r="G1056">
        <v>1</v>
      </c>
      <c r="H1056">
        <v>8300</v>
      </c>
      <c r="I1056" s="6">
        <v>0.25</v>
      </c>
      <c r="J1056">
        <v>6225</v>
      </c>
    </row>
    <row r="1057" spans="1:10" x14ac:dyDescent="0.25">
      <c r="A1057" t="s">
        <v>1078</v>
      </c>
      <c r="B1057" s="2">
        <v>44897</v>
      </c>
      <c r="C1057" t="s">
        <v>12</v>
      </c>
      <c r="D1057" t="s">
        <v>2025</v>
      </c>
      <c r="E1057" t="s">
        <v>22</v>
      </c>
      <c r="F1057" t="s">
        <v>23</v>
      </c>
      <c r="G1057">
        <v>5</v>
      </c>
      <c r="H1057">
        <v>14300</v>
      </c>
      <c r="I1057" s="6">
        <v>0.05</v>
      </c>
      <c r="J1057">
        <v>13585</v>
      </c>
    </row>
    <row r="1058" spans="1:10" x14ac:dyDescent="0.25">
      <c r="A1058" t="s">
        <v>1079</v>
      </c>
      <c r="B1058" s="2">
        <v>44898</v>
      </c>
      <c r="C1058" t="s">
        <v>12</v>
      </c>
      <c r="D1058" t="s">
        <v>2026</v>
      </c>
      <c r="E1058" t="s">
        <v>19</v>
      </c>
      <c r="F1058" t="s">
        <v>23</v>
      </c>
      <c r="G1058">
        <v>6</v>
      </c>
      <c r="H1058">
        <v>9300</v>
      </c>
      <c r="I1058" s="6">
        <v>0.1</v>
      </c>
      <c r="J1058">
        <v>8370</v>
      </c>
    </row>
    <row r="1059" spans="1:10" x14ac:dyDescent="0.25">
      <c r="A1059" t="s">
        <v>1080</v>
      </c>
      <c r="B1059" s="2">
        <v>44899</v>
      </c>
      <c r="C1059" t="s">
        <v>12</v>
      </c>
      <c r="D1059" t="s">
        <v>2027</v>
      </c>
      <c r="E1059" t="s">
        <v>20</v>
      </c>
      <c r="F1059" t="s">
        <v>23</v>
      </c>
      <c r="G1059">
        <v>6</v>
      </c>
      <c r="H1059">
        <v>11100</v>
      </c>
      <c r="I1059" s="6">
        <v>0.15000000000000002</v>
      </c>
      <c r="J1059">
        <v>9435</v>
      </c>
    </row>
    <row r="1060" spans="1:10" x14ac:dyDescent="0.25">
      <c r="A1060" t="s">
        <v>1081</v>
      </c>
      <c r="B1060" s="2">
        <v>44900</v>
      </c>
      <c r="C1060" t="s">
        <v>12</v>
      </c>
      <c r="D1060" t="s">
        <v>2028</v>
      </c>
      <c r="E1060" t="s">
        <v>21</v>
      </c>
      <c r="F1060" t="s">
        <v>23</v>
      </c>
      <c r="G1060">
        <v>9</v>
      </c>
      <c r="H1060">
        <v>4600</v>
      </c>
      <c r="I1060" s="6">
        <v>0.2</v>
      </c>
      <c r="J1060">
        <v>3680</v>
      </c>
    </row>
    <row r="1061" spans="1:10" x14ac:dyDescent="0.25">
      <c r="A1061" t="s">
        <v>1082</v>
      </c>
      <c r="B1061" s="2">
        <v>44901</v>
      </c>
      <c r="C1061" t="s">
        <v>12</v>
      </c>
      <c r="D1061" t="s">
        <v>2029</v>
      </c>
      <c r="E1061" t="s">
        <v>22</v>
      </c>
      <c r="F1061" t="s">
        <v>23</v>
      </c>
      <c r="G1061">
        <v>6</v>
      </c>
      <c r="H1061">
        <v>10300</v>
      </c>
      <c r="I1061" s="6">
        <v>0.25</v>
      </c>
      <c r="J1061">
        <v>7725</v>
      </c>
    </row>
    <row r="1062" spans="1:10" x14ac:dyDescent="0.25">
      <c r="A1062" t="s">
        <v>1083</v>
      </c>
      <c r="B1062" s="2">
        <v>44902</v>
      </c>
      <c r="C1062" t="s">
        <v>13</v>
      </c>
      <c r="D1062" t="s">
        <v>16</v>
      </c>
      <c r="E1062" t="s">
        <v>19</v>
      </c>
      <c r="F1062" t="s">
        <v>24</v>
      </c>
      <c r="G1062">
        <v>7</v>
      </c>
      <c r="H1062">
        <v>14800</v>
      </c>
      <c r="I1062" s="6">
        <v>0.05</v>
      </c>
      <c r="J1062">
        <v>14060</v>
      </c>
    </row>
    <row r="1063" spans="1:10" x14ac:dyDescent="0.25">
      <c r="A1063" t="s">
        <v>1084</v>
      </c>
      <c r="B1063" s="2">
        <v>44903</v>
      </c>
      <c r="C1063" t="s">
        <v>13</v>
      </c>
      <c r="D1063" t="s">
        <v>2030</v>
      </c>
      <c r="E1063" t="s">
        <v>20</v>
      </c>
      <c r="F1063" t="s">
        <v>24</v>
      </c>
      <c r="G1063">
        <v>10</v>
      </c>
      <c r="H1063">
        <v>11400</v>
      </c>
      <c r="I1063" s="6">
        <v>0.1</v>
      </c>
      <c r="J1063">
        <v>10260</v>
      </c>
    </row>
    <row r="1064" spans="1:10" x14ac:dyDescent="0.25">
      <c r="A1064" t="s">
        <v>1085</v>
      </c>
      <c r="B1064" s="2">
        <v>44904</v>
      </c>
      <c r="C1064" t="s">
        <v>13</v>
      </c>
      <c r="D1064" t="s">
        <v>2031</v>
      </c>
      <c r="E1064" t="s">
        <v>21</v>
      </c>
      <c r="F1064" t="s">
        <v>24</v>
      </c>
      <c r="G1064">
        <v>3</v>
      </c>
      <c r="H1064">
        <v>6800</v>
      </c>
      <c r="I1064" s="6">
        <v>0.15000000000000002</v>
      </c>
      <c r="J1064">
        <v>5780</v>
      </c>
    </row>
    <row r="1065" spans="1:10" x14ac:dyDescent="0.25">
      <c r="A1065" t="s">
        <v>1086</v>
      </c>
      <c r="B1065" s="2">
        <v>44905</v>
      </c>
      <c r="C1065" t="s">
        <v>13</v>
      </c>
      <c r="D1065" t="s">
        <v>2032</v>
      </c>
      <c r="E1065" t="s">
        <v>22</v>
      </c>
      <c r="F1065" t="s">
        <v>24</v>
      </c>
      <c r="G1065">
        <v>4</v>
      </c>
      <c r="H1065">
        <v>8400</v>
      </c>
      <c r="I1065" s="6">
        <v>0.2</v>
      </c>
      <c r="J1065">
        <v>6720</v>
      </c>
    </row>
    <row r="1066" spans="1:10" x14ac:dyDescent="0.25">
      <c r="A1066" t="s">
        <v>1087</v>
      </c>
      <c r="B1066" s="2">
        <v>44906</v>
      </c>
      <c r="C1066" t="s">
        <v>13</v>
      </c>
      <c r="D1066" t="s">
        <v>2033</v>
      </c>
      <c r="E1066" t="s">
        <v>19</v>
      </c>
      <c r="F1066" t="s">
        <v>24</v>
      </c>
      <c r="G1066">
        <v>8</v>
      </c>
      <c r="H1066">
        <v>12600</v>
      </c>
      <c r="I1066" s="6">
        <v>0.25</v>
      </c>
      <c r="J1066">
        <v>9450</v>
      </c>
    </row>
    <row r="1067" spans="1:10" x14ac:dyDescent="0.25">
      <c r="A1067" t="s">
        <v>1088</v>
      </c>
      <c r="B1067" s="2">
        <v>44907</v>
      </c>
      <c r="C1067" t="s">
        <v>13</v>
      </c>
      <c r="D1067" t="s">
        <v>2034</v>
      </c>
      <c r="E1067" t="s">
        <v>20</v>
      </c>
      <c r="F1067" t="s">
        <v>24</v>
      </c>
      <c r="G1067">
        <v>2</v>
      </c>
      <c r="H1067">
        <v>4900</v>
      </c>
      <c r="I1067" s="6">
        <v>0.05</v>
      </c>
      <c r="J1067">
        <v>4655</v>
      </c>
    </row>
    <row r="1068" spans="1:10" x14ac:dyDescent="0.25">
      <c r="A1068" t="s">
        <v>1089</v>
      </c>
      <c r="B1068" s="2">
        <v>44908</v>
      </c>
      <c r="C1068" t="s">
        <v>13</v>
      </c>
      <c r="D1068" t="s">
        <v>2035</v>
      </c>
      <c r="E1068" t="s">
        <v>21</v>
      </c>
      <c r="F1068" t="s">
        <v>24</v>
      </c>
      <c r="G1068">
        <v>9</v>
      </c>
      <c r="H1068">
        <v>5200</v>
      </c>
      <c r="I1068" s="6">
        <v>0.1</v>
      </c>
      <c r="J1068">
        <v>4680</v>
      </c>
    </row>
    <row r="1069" spans="1:10" x14ac:dyDescent="0.25">
      <c r="A1069" t="s">
        <v>1090</v>
      </c>
      <c r="B1069" s="2">
        <v>44909</v>
      </c>
      <c r="C1069" t="s">
        <v>13</v>
      </c>
      <c r="D1069" t="s">
        <v>2036</v>
      </c>
      <c r="E1069" t="s">
        <v>22</v>
      </c>
      <c r="F1069" t="s">
        <v>24</v>
      </c>
      <c r="G1069">
        <v>9</v>
      </c>
      <c r="H1069">
        <v>12300</v>
      </c>
      <c r="I1069" s="6">
        <v>0.15000000000000002</v>
      </c>
      <c r="J1069">
        <v>10455</v>
      </c>
    </row>
    <row r="1070" spans="1:10" x14ac:dyDescent="0.25">
      <c r="A1070" t="s">
        <v>1091</v>
      </c>
      <c r="B1070" s="2">
        <v>44910</v>
      </c>
      <c r="C1070" t="s">
        <v>13</v>
      </c>
      <c r="D1070" t="s">
        <v>2037</v>
      </c>
      <c r="E1070" t="s">
        <v>19</v>
      </c>
      <c r="F1070" t="s">
        <v>24</v>
      </c>
      <c r="G1070">
        <v>8</v>
      </c>
      <c r="H1070">
        <v>8100</v>
      </c>
      <c r="I1070" s="6">
        <v>0.2</v>
      </c>
      <c r="J1070">
        <v>6480</v>
      </c>
    </row>
    <row r="1071" spans="1:10" x14ac:dyDescent="0.25">
      <c r="A1071" t="s">
        <v>1092</v>
      </c>
      <c r="B1071" s="2">
        <v>44911</v>
      </c>
      <c r="C1071" t="s">
        <v>13</v>
      </c>
      <c r="D1071" t="s">
        <v>2038</v>
      </c>
      <c r="E1071" t="s">
        <v>20</v>
      </c>
      <c r="F1071" t="s">
        <v>24</v>
      </c>
      <c r="G1071">
        <v>6</v>
      </c>
      <c r="H1071">
        <v>10900</v>
      </c>
      <c r="I1071" s="6">
        <v>0.25</v>
      </c>
      <c r="J1071">
        <v>8175</v>
      </c>
    </row>
    <row r="1072" spans="1:10" x14ac:dyDescent="0.25">
      <c r="A1072" t="s">
        <v>1093</v>
      </c>
      <c r="B1072" s="2">
        <v>44912</v>
      </c>
      <c r="C1072" t="s">
        <v>14</v>
      </c>
      <c r="D1072" t="s">
        <v>2039</v>
      </c>
      <c r="E1072" t="s">
        <v>21</v>
      </c>
      <c r="F1072" t="s">
        <v>25</v>
      </c>
      <c r="G1072">
        <v>3</v>
      </c>
      <c r="H1072">
        <v>11500</v>
      </c>
      <c r="I1072" s="6">
        <v>0.05</v>
      </c>
      <c r="J1072">
        <v>10925</v>
      </c>
    </row>
    <row r="1073" spans="1:10" x14ac:dyDescent="0.25">
      <c r="A1073" t="s">
        <v>1094</v>
      </c>
      <c r="B1073" s="2">
        <v>44913</v>
      </c>
      <c r="C1073" t="s">
        <v>14</v>
      </c>
      <c r="D1073" t="s">
        <v>2040</v>
      </c>
      <c r="E1073" t="s">
        <v>22</v>
      </c>
      <c r="F1073" t="s">
        <v>25</v>
      </c>
      <c r="G1073">
        <v>1</v>
      </c>
      <c r="H1073">
        <v>13800</v>
      </c>
      <c r="I1073" s="6">
        <v>0.1</v>
      </c>
      <c r="J1073">
        <v>12420</v>
      </c>
    </row>
    <row r="1074" spans="1:10" x14ac:dyDescent="0.25">
      <c r="A1074" t="s">
        <v>1095</v>
      </c>
      <c r="B1074" s="2">
        <v>44914</v>
      </c>
      <c r="C1074" t="s">
        <v>14</v>
      </c>
      <c r="D1074" t="s">
        <v>2041</v>
      </c>
      <c r="E1074" t="s">
        <v>19</v>
      </c>
      <c r="F1074" t="s">
        <v>25</v>
      </c>
      <c r="G1074">
        <v>5</v>
      </c>
      <c r="H1074">
        <v>5800</v>
      </c>
      <c r="I1074" s="6">
        <v>0.15000000000000002</v>
      </c>
      <c r="J1074">
        <v>4930</v>
      </c>
    </row>
    <row r="1075" spans="1:10" x14ac:dyDescent="0.25">
      <c r="A1075" t="s">
        <v>1096</v>
      </c>
      <c r="B1075" s="2">
        <v>44915</v>
      </c>
      <c r="C1075" t="s">
        <v>14</v>
      </c>
      <c r="D1075" t="s">
        <v>2042</v>
      </c>
      <c r="E1075" t="s">
        <v>20</v>
      </c>
      <c r="F1075" t="s">
        <v>25</v>
      </c>
      <c r="G1075">
        <v>7</v>
      </c>
      <c r="H1075">
        <v>13700</v>
      </c>
      <c r="I1075" s="6">
        <v>0.2</v>
      </c>
      <c r="J1075">
        <v>10960</v>
      </c>
    </row>
    <row r="1076" spans="1:10" x14ac:dyDescent="0.25">
      <c r="A1076" t="s">
        <v>1097</v>
      </c>
      <c r="B1076" s="2">
        <v>44916</v>
      </c>
      <c r="C1076" t="s">
        <v>14</v>
      </c>
      <c r="D1076" t="s">
        <v>2043</v>
      </c>
      <c r="E1076" t="s">
        <v>21</v>
      </c>
      <c r="F1076" t="s">
        <v>25</v>
      </c>
      <c r="G1076">
        <v>7</v>
      </c>
      <c r="H1076">
        <v>5500</v>
      </c>
      <c r="I1076" s="6">
        <v>0.25</v>
      </c>
      <c r="J1076">
        <v>4125</v>
      </c>
    </row>
    <row r="1077" spans="1:10" x14ac:dyDescent="0.25">
      <c r="A1077" t="s">
        <v>1098</v>
      </c>
      <c r="B1077" s="2">
        <v>44917</v>
      </c>
      <c r="C1077" t="s">
        <v>14</v>
      </c>
      <c r="D1077" t="s">
        <v>2044</v>
      </c>
      <c r="E1077" t="s">
        <v>22</v>
      </c>
      <c r="F1077" t="s">
        <v>25</v>
      </c>
      <c r="G1077">
        <v>9</v>
      </c>
      <c r="H1077">
        <v>4100</v>
      </c>
      <c r="I1077" s="6">
        <v>0.05</v>
      </c>
      <c r="J1077">
        <v>3895</v>
      </c>
    </row>
    <row r="1078" spans="1:10" x14ac:dyDescent="0.25">
      <c r="A1078" t="s">
        <v>1099</v>
      </c>
      <c r="B1078" s="2">
        <v>44918</v>
      </c>
      <c r="C1078" t="s">
        <v>14</v>
      </c>
      <c r="D1078" t="s">
        <v>2045</v>
      </c>
      <c r="E1078" t="s">
        <v>19</v>
      </c>
      <c r="F1078" t="s">
        <v>25</v>
      </c>
      <c r="G1078">
        <v>7</v>
      </c>
      <c r="H1078">
        <v>8400</v>
      </c>
      <c r="I1078" s="6">
        <v>0.1</v>
      </c>
      <c r="J1078">
        <v>7560</v>
      </c>
    </row>
    <row r="1079" spans="1:10" x14ac:dyDescent="0.25">
      <c r="A1079" t="s">
        <v>1100</v>
      </c>
      <c r="B1079" s="2">
        <v>44919</v>
      </c>
      <c r="C1079" t="s">
        <v>14</v>
      </c>
      <c r="D1079" t="s">
        <v>2046</v>
      </c>
      <c r="E1079" t="s">
        <v>20</v>
      </c>
      <c r="F1079" t="s">
        <v>25</v>
      </c>
      <c r="G1079">
        <v>6</v>
      </c>
      <c r="H1079">
        <v>11600</v>
      </c>
      <c r="I1079" s="6">
        <v>0.15000000000000002</v>
      </c>
      <c r="J1079">
        <v>9860</v>
      </c>
    </row>
    <row r="1080" spans="1:10" x14ac:dyDescent="0.25">
      <c r="A1080" t="s">
        <v>1101</v>
      </c>
      <c r="B1080" s="2">
        <v>44920</v>
      </c>
      <c r="C1080" t="s">
        <v>14</v>
      </c>
      <c r="D1080" t="s">
        <v>2047</v>
      </c>
      <c r="E1080" t="s">
        <v>21</v>
      </c>
      <c r="F1080" t="s">
        <v>25</v>
      </c>
      <c r="G1080">
        <v>8</v>
      </c>
      <c r="H1080">
        <v>14900</v>
      </c>
      <c r="I1080" s="6">
        <v>0.2</v>
      </c>
      <c r="J1080">
        <v>11920</v>
      </c>
    </row>
    <row r="1081" spans="1:10" x14ac:dyDescent="0.25">
      <c r="A1081" t="s">
        <v>1102</v>
      </c>
      <c r="B1081" s="2">
        <v>44921</v>
      </c>
      <c r="C1081" t="s">
        <v>14</v>
      </c>
      <c r="D1081" t="s">
        <v>2048</v>
      </c>
      <c r="E1081" t="s">
        <v>22</v>
      </c>
      <c r="F1081" t="s">
        <v>25</v>
      </c>
      <c r="G1081">
        <v>9</v>
      </c>
      <c r="H1081">
        <v>7000</v>
      </c>
      <c r="I1081" s="6">
        <v>0.25</v>
      </c>
      <c r="J1081">
        <v>5250</v>
      </c>
    </row>
    <row r="1082" spans="1:10" x14ac:dyDescent="0.25">
      <c r="A1082" t="s">
        <v>1103</v>
      </c>
      <c r="B1082" s="2">
        <v>44922</v>
      </c>
      <c r="C1082" t="s">
        <v>12</v>
      </c>
      <c r="D1082" t="s">
        <v>15</v>
      </c>
      <c r="E1082" t="s">
        <v>19</v>
      </c>
      <c r="F1082" t="s">
        <v>23</v>
      </c>
      <c r="G1082">
        <v>7</v>
      </c>
      <c r="H1082">
        <v>11700</v>
      </c>
      <c r="I1082" s="6">
        <v>0.05</v>
      </c>
      <c r="J1082">
        <v>11115</v>
      </c>
    </row>
    <row r="1083" spans="1:10" x14ac:dyDescent="0.25">
      <c r="A1083" t="s">
        <v>1104</v>
      </c>
      <c r="B1083" s="2">
        <v>44923</v>
      </c>
      <c r="C1083" t="s">
        <v>12</v>
      </c>
      <c r="D1083" t="s">
        <v>17</v>
      </c>
      <c r="E1083" t="s">
        <v>20</v>
      </c>
      <c r="F1083" t="s">
        <v>23</v>
      </c>
      <c r="G1083">
        <v>7</v>
      </c>
      <c r="H1083">
        <v>12500</v>
      </c>
      <c r="I1083" s="6">
        <v>0.1</v>
      </c>
      <c r="J1083">
        <v>11250</v>
      </c>
    </row>
    <row r="1084" spans="1:10" x14ac:dyDescent="0.25">
      <c r="A1084" t="s">
        <v>1105</v>
      </c>
      <c r="B1084" s="2">
        <v>44924</v>
      </c>
      <c r="C1084" t="s">
        <v>12</v>
      </c>
      <c r="D1084" t="s">
        <v>2023</v>
      </c>
      <c r="E1084" t="s">
        <v>21</v>
      </c>
      <c r="F1084" t="s">
        <v>23</v>
      </c>
      <c r="G1084">
        <v>9</v>
      </c>
      <c r="H1084">
        <v>8300</v>
      </c>
      <c r="I1084" s="6">
        <v>0.15000000000000002</v>
      </c>
      <c r="J1084">
        <v>7055</v>
      </c>
    </row>
    <row r="1085" spans="1:10" x14ac:dyDescent="0.25">
      <c r="A1085" t="s">
        <v>1106</v>
      </c>
      <c r="B1085" s="2">
        <v>44925</v>
      </c>
      <c r="C1085" t="s">
        <v>12</v>
      </c>
      <c r="D1085" t="s">
        <v>18</v>
      </c>
      <c r="E1085" t="s">
        <v>22</v>
      </c>
      <c r="F1085" t="s">
        <v>23</v>
      </c>
      <c r="G1085">
        <v>5</v>
      </c>
      <c r="H1085">
        <v>11000</v>
      </c>
      <c r="I1085" s="6">
        <v>0.2</v>
      </c>
      <c r="J1085">
        <v>8800</v>
      </c>
    </row>
    <row r="1086" spans="1:10" x14ac:dyDescent="0.25">
      <c r="A1086" t="s">
        <v>1107</v>
      </c>
      <c r="B1086" s="2">
        <v>44926</v>
      </c>
      <c r="C1086" t="s">
        <v>12</v>
      </c>
      <c r="D1086" t="s">
        <v>2024</v>
      </c>
      <c r="E1086" t="s">
        <v>19</v>
      </c>
      <c r="F1086" t="s">
        <v>23</v>
      </c>
      <c r="G1086">
        <v>8</v>
      </c>
      <c r="H1086">
        <v>5600</v>
      </c>
      <c r="I1086" s="6">
        <v>0.25</v>
      </c>
      <c r="J1086">
        <v>4200</v>
      </c>
    </row>
    <row r="1087" spans="1:10" x14ac:dyDescent="0.25">
      <c r="A1087" t="s">
        <v>1108</v>
      </c>
      <c r="B1087" s="2">
        <v>44927</v>
      </c>
      <c r="C1087" t="s">
        <v>12</v>
      </c>
      <c r="D1087" t="s">
        <v>2025</v>
      </c>
      <c r="E1087" t="s">
        <v>20</v>
      </c>
      <c r="F1087" t="s">
        <v>23</v>
      </c>
      <c r="G1087">
        <v>6</v>
      </c>
      <c r="H1087">
        <v>8400</v>
      </c>
      <c r="I1087" s="6">
        <v>0.05</v>
      </c>
      <c r="J1087">
        <v>7980</v>
      </c>
    </row>
    <row r="1088" spans="1:10" x14ac:dyDescent="0.25">
      <c r="A1088" t="s">
        <v>1109</v>
      </c>
      <c r="B1088" s="2">
        <v>44928</v>
      </c>
      <c r="C1088" t="s">
        <v>12</v>
      </c>
      <c r="D1088" t="s">
        <v>2026</v>
      </c>
      <c r="E1088" t="s">
        <v>21</v>
      </c>
      <c r="F1088" t="s">
        <v>23</v>
      </c>
      <c r="G1088">
        <v>9</v>
      </c>
      <c r="H1088">
        <v>4600</v>
      </c>
      <c r="I1088" s="6">
        <v>0.1</v>
      </c>
      <c r="J1088">
        <v>4140</v>
      </c>
    </row>
    <row r="1089" spans="1:10" x14ac:dyDescent="0.25">
      <c r="A1089" t="s">
        <v>1110</v>
      </c>
      <c r="B1089" s="2">
        <v>44929</v>
      </c>
      <c r="C1089" t="s">
        <v>12</v>
      </c>
      <c r="D1089" t="s">
        <v>2027</v>
      </c>
      <c r="E1089" t="s">
        <v>22</v>
      </c>
      <c r="F1089" t="s">
        <v>23</v>
      </c>
      <c r="G1089">
        <v>10</v>
      </c>
      <c r="H1089">
        <v>12400</v>
      </c>
      <c r="I1089" s="6">
        <v>0.15000000000000002</v>
      </c>
      <c r="J1089">
        <v>10540</v>
      </c>
    </row>
    <row r="1090" spans="1:10" x14ac:dyDescent="0.25">
      <c r="A1090" t="s">
        <v>1111</v>
      </c>
      <c r="B1090" s="2">
        <v>44930</v>
      </c>
      <c r="C1090" t="s">
        <v>12</v>
      </c>
      <c r="D1090" t="s">
        <v>2028</v>
      </c>
      <c r="E1090" t="s">
        <v>19</v>
      </c>
      <c r="F1090" t="s">
        <v>23</v>
      </c>
      <c r="G1090">
        <v>8</v>
      </c>
      <c r="H1090">
        <v>7400</v>
      </c>
      <c r="I1090" s="6">
        <v>0.2</v>
      </c>
      <c r="J1090">
        <v>5920</v>
      </c>
    </row>
    <row r="1091" spans="1:10" x14ac:dyDescent="0.25">
      <c r="A1091" t="s">
        <v>1112</v>
      </c>
      <c r="B1091" s="2">
        <v>44931</v>
      </c>
      <c r="C1091" t="s">
        <v>12</v>
      </c>
      <c r="D1091" t="s">
        <v>2029</v>
      </c>
      <c r="E1091" t="s">
        <v>20</v>
      </c>
      <c r="F1091" t="s">
        <v>23</v>
      </c>
      <c r="G1091">
        <v>5</v>
      </c>
      <c r="H1091">
        <v>7500</v>
      </c>
      <c r="I1091" s="6">
        <v>0.25</v>
      </c>
      <c r="J1091">
        <v>5625</v>
      </c>
    </row>
    <row r="1092" spans="1:10" x14ac:dyDescent="0.25">
      <c r="A1092" t="s">
        <v>1113</v>
      </c>
      <c r="B1092" s="2">
        <v>44932</v>
      </c>
      <c r="C1092" t="s">
        <v>13</v>
      </c>
      <c r="D1092" t="s">
        <v>16</v>
      </c>
      <c r="E1092" t="s">
        <v>21</v>
      </c>
      <c r="F1092" t="s">
        <v>24</v>
      </c>
      <c r="G1092">
        <v>9</v>
      </c>
      <c r="H1092">
        <v>9300</v>
      </c>
      <c r="I1092" s="6">
        <v>0.05</v>
      </c>
      <c r="J1092">
        <v>8835</v>
      </c>
    </row>
    <row r="1093" spans="1:10" x14ac:dyDescent="0.25">
      <c r="A1093" t="s">
        <v>1114</v>
      </c>
      <c r="B1093" s="2">
        <v>44933</v>
      </c>
      <c r="C1093" t="s">
        <v>13</v>
      </c>
      <c r="D1093" t="s">
        <v>2030</v>
      </c>
      <c r="E1093" t="s">
        <v>22</v>
      </c>
      <c r="F1093" t="s">
        <v>24</v>
      </c>
      <c r="G1093">
        <v>4</v>
      </c>
      <c r="H1093">
        <v>11100</v>
      </c>
      <c r="I1093" s="6">
        <v>0.1</v>
      </c>
      <c r="J1093">
        <v>9990</v>
      </c>
    </row>
    <row r="1094" spans="1:10" x14ac:dyDescent="0.25">
      <c r="A1094" t="s">
        <v>1115</v>
      </c>
      <c r="B1094" s="2">
        <v>44934</v>
      </c>
      <c r="C1094" t="s">
        <v>13</v>
      </c>
      <c r="D1094" t="s">
        <v>2031</v>
      </c>
      <c r="E1094" t="s">
        <v>19</v>
      </c>
      <c r="F1094" t="s">
        <v>24</v>
      </c>
      <c r="G1094">
        <v>10</v>
      </c>
      <c r="H1094">
        <v>6300</v>
      </c>
      <c r="I1094" s="6">
        <v>0.15000000000000002</v>
      </c>
      <c r="J1094">
        <v>5355</v>
      </c>
    </row>
    <row r="1095" spans="1:10" x14ac:dyDescent="0.25">
      <c r="A1095" t="s">
        <v>1116</v>
      </c>
      <c r="B1095" s="2">
        <v>44935</v>
      </c>
      <c r="C1095" t="s">
        <v>13</v>
      </c>
      <c r="D1095" t="s">
        <v>2032</v>
      </c>
      <c r="E1095" t="s">
        <v>20</v>
      </c>
      <c r="F1095" t="s">
        <v>24</v>
      </c>
      <c r="G1095">
        <v>7</v>
      </c>
      <c r="H1095">
        <v>12600</v>
      </c>
      <c r="I1095" s="6">
        <v>0.2</v>
      </c>
      <c r="J1095">
        <v>10080</v>
      </c>
    </row>
    <row r="1096" spans="1:10" x14ac:dyDescent="0.25">
      <c r="A1096" t="s">
        <v>1117</v>
      </c>
      <c r="B1096" s="2">
        <v>44936</v>
      </c>
      <c r="C1096" t="s">
        <v>13</v>
      </c>
      <c r="D1096" t="s">
        <v>2033</v>
      </c>
      <c r="E1096" t="s">
        <v>21</v>
      </c>
      <c r="F1096" t="s">
        <v>24</v>
      </c>
      <c r="G1096">
        <v>3</v>
      </c>
      <c r="H1096">
        <v>5100</v>
      </c>
      <c r="I1096" s="6">
        <v>0.25</v>
      </c>
      <c r="J1096">
        <v>3825</v>
      </c>
    </row>
    <row r="1097" spans="1:10" x14ac:dyDescent="0.25">
      <c r="A1097" t="s">
        <v>1118</v>
      </c>
      <c r="B1097" s="2">
        <v>44937</v>
      </c>
      <c r="C1097" t="s">
        <v>13</v>
      </c>
      <c r="D1097" t="s">
        <v>2034</v>
      </c>
      <c r="E1097" t="s">
        <v>22</v>
      </c>
      <c r="F1097" t="s">
        <v>24</v>
      </c>
      <c r="G1097">
        <v>6</v>
      </c>
      <c r="H1097">
        <v>9600</v>
      </c>
      <c r="I1097" s="6">
        <v>0.05</v>
      </c>
      <c r="J1097">
        <v>9120</v>
      </c>
    </row>
    <row r="1098" spans="1:10" x14ac:dyDescent="0.25">
      <c r="A1098" t="s">
        <v>1119</v>
      </c>
      <c r="B1098" s="2">
        <v>44938</v>
      </c>
      <c r="C1098" t="s">
        <v>13</v>
      </c>
      <c r="D1098" t="s">
        <v>2035</v>
      </c>
      <c r="E1098" t="s">
        <v>19</v>
      </c>
      <c r="F1098" t="s">
        <v>24</v>
      </c>
      <c r="G1098">
        <v>10</v>
      </c>
      <c r="H1098">
        <v>7200</v>
      </c>
      <c r="I1098" s="6">
        <v>0.1</v>
      </c>
      <c r="J1098">
        <v>6480</v>
      </c>
    </row>
    <row r="1099" spans="1:10" x14ac:dyDescent="0.25">
      <c r="A1099" t="s">
        <v>1120</v>
      </c>
      <c r="B1099" s="2">
        <v>44939</v>
      </c>
      <c r="C1099" t="s">
        <v>13</v>
      </c>
      <c r="D1099" t="s">
        <v>2036</v>
      </c>
      <c r="E1099" t="s">
        <v>20</v>
      </c>
      <c r="F1099" t="s">
        <v>24</v>
      </c>
      <c r="G1099">
        <v>1</v>
      </c>
      <c r="H1099">
        <v>13300</v>
      </c>
      <c r="I1099" s="6">
        <v>0.15000000000000002</v>
      </c>
      <c r="J1099">
        <v>11305</v>
      </c>
    </row>
    <row r="1100" spans="1:10" x14ac:dyDescent="0.25">
      <c r="A1100" t="s">
        <v>1121</v>
      </c>
      <c r="B1100" s="2">
        <v>44940</v>
      </c>
      <c r="C1100" t="s">
        <v>13</v>
      </c>
      <c r="D1100" t="s">
        <v>2037</v>
      </c>
      <c r="E1100" t="s">
        <v>21</v>
      </c>
      <c r="F1100" t="s">
        <v>24</v>
      </c>
      <c r="G1100">
        <v>4</v>
      </c>
      <c r="H1100">
        <v>10300</v>
      </c>
      <c r="I1100" s="6">
        <v>0.2</v>
      </c>
      <c r="J1100">
        <v>8240</v>
      </c>
    </row>
    <row r="1101" spans="1:10" x14ac:dyDescent="0.25">
      <c r="A1101" t="s">
        <v>1122</v>
      </c>
      <c r="B1101" s="2">
        <v>44941</v>
      </c>
      <c r="C1101" t="s">
        <v>13</v>
      </c>
      <c r="D1101" t="s">
        <v>2038</v>
      </c>
      <c r="E1101" t="s">
        <v>22</v>
      </c>
      <c r="F1101" t="s">
        <v>24</v>
      </c>
      <c r="G1101">
        <v>5</v>
      </c>
      <c r="H1101">
        <v>10800</v>
      </c>
      <c r="I1101" s="6">
        <v>0.25</v>
      </c>
      <c r="J1101">
        <v>8100</v>
      </c>
    </row>
    <row r="1102" spans="1:10" x14ac:dyDescent="0.25">
      <c r="A1102" t="s">
        <v>1123</v>
      </c>
      <c r="B1102" s="2">
        <v>44942</v>
      </c>
      <c r="C1102" t="s">
        <v>14</v>
      </c>
      <c r="D1102" t="s">
        <v>2039</v>
      </c>
      <c r="E1102" t="s">
        <v>19</v>
      </c>
      <c r="F1102" t="s">
        <v>25</v>
      </c>
      <c r="G1102">
        <v>2</v>
      </c>
      <c r="H1102">
        <v>10600</v>
      </c>
      <c r="I1102" s="6">
        <v>0.05</v>
      </c>
      <c r="J1102">
        <v>10070</v>
      </c>
    </row>
    <row r="1103" spans="1:10" x14ac:dyDescent="0.25">
      <c r="A1103" t="s">
        <v>1124</v>
      </c>
      <c r="B1103" s="2">
        <v>44943</v>
      </c>
      <c r="C1103" t="s">
        <v>14</v>
      </c>
      <c r="D1103" t="s">
        <v>2040</v>
      </c>
      <c r="E1103" t="s">
        <v>20</v>
      </c>
      <c r="F1103" t="s">
        <v>25</v>
      </c>
      <c r="G1103">
        <v>1</v>
      </c>
      <c r="H1103">
        <v>10000</v>
      </c>
      <c r="I1103" s="6">
        <v>0.1</v>
      </c>
      <c r="J1103">
        <v>9000</v>
      </c>
    </row>
    <row r="1104" spans="1:10" x14ac:dyDescent="0.25">
      <c r="A1104" t="s">
        <v>1125</v>
      </c>
      <c r="B1104" s="2">
        <v>44944</v>
      </c>
      <c r="C1104" t="s">
        <v>14</v>
      </c>
      <c r="D1104" t="s">
        <v>2041</v>
      </c>
      <c r="E1104" t="s">
        <v>21</v>
      </c>
      <c r="F1104" t="s">
        <v>25</v>
      </c>
      <c r="G1104">
        <v>7</v>
      </c>
      <c r="H1104">
        <v>6700</v>
      </c>
      <c r="I1104" s="6">
        <v>0.15000000000000002</v>
      </c>
      <c r="J1104">
        <v>5695</v>
      </c>
    </row>
    <row r="1105" spans="1:10" x14ac:dyDescent="0.25">
      <c r="A1105" t="s">
        <v>1126</v>
      </c>
      <c r="B1105" s="2">
        <v>44945</v>
      </c>
      <c r="C1105" t="s">
        <v>14</v>
      </c>
      <c r="D1105" t="s">
        <v>2042</v>
      </c>
      <c r="E1105" t="s">
        <v>22</v>
      </c>
      <c r="F1105" t="s">
        <v>25</v>
      </c>
      <c r="G1105">
        <v>8</v>
      </c>
      <c r="H1105">
        <v>11700</v>
      </c>
      <c r="I1105" s="6">
        <v>0.2</v>
      </c>
      <c r="J1105">
        <v>9360</v>
      </c>
    </row>
    <row r="1106" spans="1:10" x14ac:dyDescent="0.25">
      <c r="A1106" t="s">
        <v>1127</v>
      </c>
      <c r="B1106" s="2">
        <v>44946</v>
      </c>
      <c r="C1106" t="s">
        <v>14</v>
      </c>
      <c r="D1106" t="s">
        <v>2043</v>
      </c>
      <c r="E1106" t="s">
        <v>19</v>
      </c>
      <c r="F1106" t="s">
        <v>25</v>
      </c>
      <c r="G1106">
        <v>6</v>
      </c>
      <c r="H1106">
        <v>11100</v>
      </c>
      <c r="I1106" s="6">
        <v>0.25</v>
      </c>
      <c r="J1106">
        <v>8325</v>
      </c>
    </row>
    <row r="1107" spans="1:10" x14ac:dyDescent="0.25">
      <c r="A1107" t="s">
        <v>1128</v>
      </c>
      <c r="B1107" s="2">
        <v>44947</v>
      </c>
      <c r="C1107" t="s">
        <v>14</v>
      </c>
      <c r="D1107" t="s">
        <v>2044</v>
      </c>
      <c r="E1107" t="s">
        <v>20</v>
      </c>
      <c r="F1107" t="s">
        <v>25</v>
      </c>
      <c r="G1107">
        <v>3</v>
      </c>
      <c r="H1107">
        <v>14100</v>
      </c>
      <c r="I1107" s="6">
        <v>0.05</v>
      </c>
      <c r="J1107">
        <v>13395</v>
      </c>
    </row>
    <row r="1108" spans="1:10" x14ac:dyDescent="0.25">
      <c r="A1108" t="s">
        <v>1129</v>
      </c>
      <c r="B1108" s="2">
        <v>44948</v>
      </c>
      <c r="C1108" t="s">
        <v>14</v>
      </c>
      <c r="D1108" t="s">
        <v>2045</v>
      </c>
      <c r="E1108" t="s">
        <v>21</v>
      </c>
      <c r="F1108" t="s">
        <v>25</v>
      </c>
      <c r="G1108">
        <v>8</v>
      </c>
      <c r="H1108">
        <v>5700</v>
      </c>
      <c r="I1108" s="6">
        <v>0.1</v>
      </c>
      <c r="J1108">
        <v>5130</v>
      </c>
    </row>
    <row r="1109" spans="1:10" x14ac:dyDescent="0.25">
      <c r="A1109" t="s">
        <v>1130</v>
      </c>
      <c r="B1109" s="2">
        <v>44949</v>
      </c>
      <c r="C1109" t="s">
        <v>14</v>
      </c>
      <c r="D1109" t="s">
        <v>2046</v>
      </c>
      <c r="E1109" t="s">
        <v>22</v>
      </c>
      <c r="F1109" t="s">
        <v>25</v>
      </c>
      <c r="G1109">
        <v>3</v>
      </c>
      <c r="H1109">
        <v>13800</v>
      </c>
      <c r="I1109" s="6">
        <v>0.15000000000000002</v>
      </c>
      <c r="J1109">
        <v>11730</v>
      </c>
    </row>
    <row r="1110" spans="1:10" x14ac:dyDescent="0.25">
      <c r="A1110" t="s">
        <v>1131</v>
      </c>
      <c r="B1110" s="2">
        <v>44950</v>
      </c>
      <c r="C1110" t="s">
        <v>14</v>
      </c>
      <c r="D1110" t="s">
        <v>2047</v>
      </c>
      <c r="E1110" t="s">
        <v>19</v>
      </c>
      <c r="F1110" t="s">
        <v>25</v>
      </c>
      <c r="G1110">
        <v>5</v>
      </c>
      <c r="H1110">
        <v>14500</v>
      </c>
      <c r="I1110" s="6">
        <v>0.2</v>
      </c>
      <c r="J1110">
        <v>11600</v>
      </c>
    </row>
    <row r="1111" spans="1:10" x14ac:dyDescent="0.25">
      <c r="A1111" t="s">
        <v>1132</v>
      </c>
      <c r="B1111" s="2">
        <v>44951</v>
      </c>
      <c r="C1111" t="s">
        <v>14</v>
      </c>
      <c r="D1111" t="s">
        <v>2048</v>
      </c>
      <c r="E1111" t="s">
        <v>20</v>
      </c>
      <c r="F1111" t="s">
        <v>25</v>
      </c>
      <c r="G1111">
        <v>5</v>
      </c>
      <c r="H1111">
        <v>14900</v>
      </c>
      <c r="I1111" s="6">
        <v>0.25</v>
      </c>
      <c r="J1111">
        <v>11175</v>
      </c>
    </row>
    <row r="1112" spans="1:10" x14ac:dyDescent="0.25">
      <c r="A1112" t="s">
        <v>1133</v>
      </c>
      <c r="B1112" s="2">
        <v>44952</v>
      </c>
      <c r="C1112" t="s">
        <v>12</v>
      </c>
      <c r="D1112" t="s">
        <v>15</v>
      </c>
      <c r="E1112" t="s">
        <v>21</v>
      </c>
      <c r="F1112" t="s">
        <v>23</v>
      </c>
      <c r="G1112">
        <v>3</v>
      </c>
      <c r="H1112">
        <v>7500</v>
      </c>
      <c r="I1112" s="6">
        <v>0.05</v>
      </c>
      <c r="J1112">
        <v>7125</v>
      </c>
    </row>
    <row r="1113" spans="1:10" x14ac:dyDescent="0.25">
      <c r="A1113" t="s">
        <v>1134</v>
      </c>
      <c r="B1113" s="2">
        <v>44953</v>
      </c>
      <c r="C1113" t="s">
        <v>12</v>
      </c>
      <c r="D1113" t="s">
        <v>17</v>
      </c>
      <c r="E1113" t="s">
        <v>22</v>
      </c>
      <c r="F1113" t="s">
        <v>23</v>
      </c>
      <c r="G1113">
        <v>7</v>
      </c>
      <c r="H1113">
        <v>13200</v>
      </c>
      <c r="I1113" s="6">
        <v>0.1</v>
      </c>
      <c r="J1113">
        <v>11880</v>
      </c>
    </row>
    <row r="1114" spans="1:10" x14ac:dyDescent="0.25">
      <c r="A1114" t="s">
        <v>1135</v>
      </c>
      <c r="B1114" s="2">
        <v>44954</v>
      </c>
      <c r="C1114" t="s">
        <v>12</v>
      </c>
      <c r="D1114" t="s">
        <v>2023</v>
      </c>
      <c r="E1114" t="s">
        <v>19</v>
      </c>
      <c r="F1114" t="s">
        <v>23</v>
      </c>
      <c r="G1114">
        <v>8</v>
      </c>
      <c r="H1114">
        <v>14900</v>
      </c>
      <c r="I1114" s="6">
        <v>0.15000000000000002</v>
      </c>
      <c r="J1114">
        <v>12665</v>
      </c>
    </row>
    <row r="1115" spans="1:10" x14ac:dyDescent="0.25">
      <c r="A1115" t="s">
        <v>1136</v>
      </c>
      <c r="B1115" s="2">
        <v>44955</v>
      </c>
      <c r="C1115" t="s">
        <v>12</v>
      </c>
      <c r="D1115" t="s">
        <v>18</v>
      </c>
      <c r="E1115" t="s">
        <v>20</v>
      </c>
      <c r="F1115" t="s">
        <v>23</v>
      </c>
      <c r="G1115">
        <v>7</v>
      </c>
      <c r="H1115">
        <v>12600</v>
      </c>
      <c r="I1115" s="6">
        <v>0.2</v>
      </c>
      <c r="J1115">
        <v>10080</v>
      </c>
    </row>
    <row r="1116" spans="1:10" x14ac:dyDescent="0.25">
      <c r="A1116" t="s">
        <v>1137</v>
      </c>
      <c r="B1116" s="2">
        <v>44956</v>
      </c>
      <c r="C1116" t="s">
        <v>12</v>
      </c>
      <c r="D1116" t="s">
        <v>2024</v>
      </c>
      <c r="E1116" t="s">
        <v>21</v>
      </c>
      <c r="F1116" t="s">
        <v>23</v>
      </c>
      <c r="G1116">
        <v>1</v>
      </c>
      <c r="H1116">
        <v>9800</v>
      </c>
      <c r="I1116" s="6">
        <v>0.25</v>
      </c>
      <c r="J1116">
        <v>7350</v>
      </c>
    </row>
    <row r="1117" spans="1:10" x14ac:dyDescent="0.25">
      <c r="A1117" t="s">
        <v>1138</v>
      </c>
      <c r="B1117" s="2">
        <v>44957</v>
      </c>
      <c r="C1117" t="s">
        <v>12</v>
      </c>
      <c r="D1117" t="s">
        <v>2025</v>
      </c>
      <c r="E1117" t="s">
        <v>22</v>
      </c>
      <c r="F1117" t="s">
        <v>23</v>
      </c>
      <c r="G1117">
        <v>3</v>
      </c>
      <c r="H1117">
        <v>6400</v>
      </c>
      <c r="I1117" s="6">
        <v>0.05</v>
      </c>
      <c r="J1117">
        <v>6080</v>
      </c>
    </row>
    <row r="1118" spans="1:10" x14ac:dyDescent="0.25">
      <c r="A1118" t="s">
        <v>1139</v>
      </c>
      <c r="B1118" s="2">
        <v>44958</v>
      </c>
      <c r="C1118" t="s">
        <v>12</v>
      </c>
      <c r="D1118" t="s">
        <v>2026</v>
      </c>
      <c r="E1118" t="s">
        <v>19</v>
      </c>
      <c r="F1118" t="s">
        <v>23</v>
      </c>
      <c r="G1118">
        <v>10</v>
      </c>
      <c r="H1118">
        <v>7800</v>
      </c>
      <c r="I1118" s="6">
        <v>0.1</v>
      </c>
      <c r="J1118">
        <v>7020</v>
      </c>
    </row>
    <row r="1119" spans="1:10" x14ac:dyDescent="0.25">
      <c r="A1119" t="s">
        <v>1140</v>
      </c>
      <c r="B1119" s="2">
        <v>44959</v>
      </c>
      <c r="C1119" t="s">
        <v>12</v>
      </c>
      <c r="D1119" t="s">
        <v>2027</v>
      </c>
      <c r="E1119" t="s">
        <v>20</v>
      </c>
      <c r="F1119" t="s">
        <v>23</v>
      </c>
      <c r="G1119">
        <v>4</v>
      </c>
      <c r="H1119">
        <v>12900</v>
      </c>
      <c r="I1119" s="6">
        <v>0.15000000000000002</v>
      </c>
      <c r="J1119">
        <v>10965</v>
      </c>
    </row>
    <row r="1120" spans="1:10" x14ac:dyDescent="0.25">
      <c r="A1120" t="s">
        <v>1141</v>
      </c>
      <c r="B1120" s="2">
        <v>44960</v>
      </c>
      <c r="C1120" t="s">
        <v>12</v>
      </c>
      <c r="D1120" t="s">
        <v>2028</v>
      </c>
      <c r="E1120" t="s">
        <v>21</v>
      </c>
      <c r="F1120" t="s">
        <v>23</v>
      </c>
      <c r="G1120">
        <v>3</v>
      </c>
      <c r="H1120">
        <v>13400</v>
      </c>
      <c r="I1120" s="6">
        <v>0.2</v>
      </c>
      <c r="J1120">
        <v>10720</v>
      </c>
    </row>
    <row r="1121" spans="1:10" x14ac:dyDescent="0.25">
      <c r="A1121" t="s">
        <v>1142</v>
      </c>
      <c r="B1121" s="2">
        <v>44961</v>
      </c>
      <c r="C1121" t="s">
        <v>12</v>
      </c>
      <c r="D1121" t="s">
        <v>2029</v>
      </c>
      <c r="E1121" t="s">
        <v>22</v>
      </c>
      <c r="F1121" t="s">
        <v>23</v>
      </c>
      <c r="G1121">
        <v>5</v>
      </c>
      <c r="H1121">
        <v>10200</v>
      </c>
      <c r="I1121" s="6">
        <v>0.25</v>
      </c>
      <c r="J1121">
        <v>7650</v>
      </c>
    </row>
    <row r="1122" spans="1:10" x14ac:dyDescent="0.25">
      <c r="A1122" t="s">
        <v>1143</v>
      </c>
      <c r="B1122" s="2">
        <v>44962</v>
      </c>
      <c r="C1122" t="s">
        <v>13</v>
      </c>
      <c r="D1122" t="s">
        <v>16</v>
      </c>
      <c r="E1122" t="s">
        <v>19</v>
      </c>
      <c r="F1122" t="s">
        <v>24</v>
      </c>
      <c r="G1122">
        <v>2</v>
      </c>
      <c r="H1122">
        <v>14400</v>
      </c>
      <c r="I1122" s="6">
        <v>0.05</v>
      </c>
      <c r="J1122">
        <v>13680</v>
      </c>
    </row>
    <row r="1123" spans="1:10" x14ac:dyDescent="0.25">
      <c r="A1123" t="s">
        <v>1144</v>
      </c>
      <c r="B1123" s="2">
        <v>44963</v>
      </c>
      <c r="C1123" t="s">
        <v>13</v>
      </c>
      <c r="D1123" t="s">
        <v>2030</v>
      </c>
      <c r="E1123" t="s">
        <v>20</v>
      </c>
      <c r="F1123" t="s">
        <v>24</v>
      </c>
      <c r="G1123">
        <v>6</v>
      </c>
      <c r="H1123">
        <v>12300</v>
      </c>
      <c r="I1123" s="6">
        <v>0.1</v>
      </c>
      <c r="J1123">
        <v>11070</v>
      </c>
    </row>
    <row r="1124" spans="1:10" x14ac:dyDescent="0.25">
      <c r="A1124" t="s">
        <v>1145</v>
      </c>
      <c r="B1124" s="2">
        <v>44964</v>
      </c>
      <c r="C1124" t="s">
        <v>13</v>
      </c>
      <c r="D1124" t="s">
        <v>2031</v>
      </c>
      <c r="E1124" t="s">
        <v>21</v>
      </c>
      <c r="F1124" t="s">
        <v>24</v>
      </c>
      <c r="G1124">
        <v>5</v>
      </c>
      <c r="H1124">
        <v>13500</v>
      </c>
      <c r="I1124" s="6">
        <v>0.15000000000000002</v>
      </c>
      <c r="J1124">
        <v>11475</v>
      </c>
    </row>
    <row r="1125" spans="1:10" x14ac:dyDescent="0.25">
      <c r="A1125" t="s">
        <v>1146</v>
      </c>
      <c r="B1125" s="2">
        <v>44965</v>
      </c>
      <c r="C1125" t="s">
        <v>13</v>
      </c>
      <c r="D1125" t="s">
        <v>2032</v>
      </c>
      <c r="E1125" t="s">
        <v>22</v>
      </c>
      <c r="F1125" t="s">
        <v>24</v>
      </c>
      <c r="G1125">
        <v>7</v>
      </c>
      <c r="H1125">
        <v>7400</v>
      </c>
      <c r="I1125" s="6">
        <v>0.2</v>
      </c>
      <c r="J1125">
        <v>5920</v>
      </c>
    </row>
    <row r="1126" spans="1:10" x14ac:dyDescent="0.25">
      <c r="A1126" t="s">
        <v>1147</v>
      </c>
      <c r="B1126" s="2">
        <v>44966</v>
      </c>
      <c r="C1126" t="s">
        <v>13</v>
      </c>
      <c r="D1126" t="s">
        <v>2033</v>
      </c>
      <c r="E1126" t="s">
        <v>19</v>
      </c>
      <c r="F1126" t="s">
        <v>24</v>
      </c>
      <c r="G1126">
        <v>6</v>
      </c>
      <c r="H1126">
        <v>11300</v>
      </c>
      <c r="I1126" s="6">
        <v>0.25</v>
      </c>
      <c r="J1126">
        <v>8475</v>
      </c>
    </row>
    <row r="1127" spans="1:10" x14ac:dyDescent="0.25">
      <c r="A1127" t="s">
        <v>1148</v>
      </c>
      <c r="B1127" s="2">
        <v>44967</v>
      </c>
      <c r="C1127" t="s">
        <v>13</v>
      </c>
      <c r="D1127" t="s">
        <v>2034</v>
      </c>
      <c r="E1127" t="s">
        <v>20</v>
      </c>
      <c r="F1127" t="s">
        <v>24</v>
      </c>
      <c r="G1127">
        <v>1</v>
      </c>
      <c r="H1127">
        <v>7900</v>
      </c>
      <c r="I1127" s="6">
        <v>0.05</v>
      </c>
      <c r="J1127">
        <v>7505</v>
      </c>
    </row>
    <row r="1128" spans="1:10" x14ac:dyDescent="0.25">
      <c r="A1128" t="s">
        <v>1149</v>
      </c>
      <c r="B1128" s="2">
        <v>44968</v>
      </c>
      <c r="C1128" t="s">
        <v>13</v>
      </c>
      <c r="D1128" t="s">
        <v>2035</v>
      </c>
      <c r="E1128" t="s">
        <v>21</v>
      </c>
      <c r="F1128" t="s">
        <v>24</v>
      </c>
      <c r="G1128">
        <v>4</v>
      </c>
      <c r="H1128">
        <v>14900</v>
      </c>
      <c r="I1128" s="6">
        <v>0.1</v>
      </c>
      <c r="J1128">
        <v>13410</v>
      </c>
    </row>
    <row r="1129" spans="1:10" x14ac:dyDescent="0.25">
      <c r="A1129" t="s">
        <v>1150</v>
      </c>
      <c r="B1129" s="2">
        <v>44969</v>
      </c>
      <c r="C1129" t="s">
        <v>13</v>
      </c>
      <c r="D1129" t="s">
        <v>2036</v>
      </c>
      <c r="E1129" t="s">
        <v>22</v>
      </c>
      <c r="F1129" t="s">
        <v>24</v>
      </c>
      <c r="G1129">
        <v>7</v>
      </c>
      <c r="H1129">
        <v>10900</v>
      </c>
      <c r="I1129" s="6">
        <v>0.15000000000000002</v>
      </c>
      <c r="J1129">
        <v>9265</v>
      </c>
    </row>
    <row r="1130" spans="1:10" x14ac:dyDescent="0.25">
      <c r="A1130" t="s">
        <v>1151</v>
      </c>
      <c r="B1130" s="2">
        <v>44970</v>
      </c>
      <c r="C1130" t="s">
        <v>13</v>
      </c>
      <c r="D1130" t="s">
        <v>2037</v>
      </c>
      <c r="E1130" t="s">
        <v>19</v>
      </c>
      <c r="F1130" t="s">
        <v>24</v>
      </c>
      <c r="G1130">
        <v>8</v>
      </c>
      <c r="H1130">
        <v>13400</v>
      </c>
      <c r="I1130" s="6">
        <v>0.2</v>
      </c>
      <c r="J1130">
        <v>10720</v>
      </c>
    </row>
    <row r="1131" spans="1:10" x14ac:dyDescent="0.25">
      <c r="A1131" t="s">
        <v>1152</v>
      </c>
      <c r="B1131" s="2">
        <v>44971</v>
      </c>
      <c r="C1131" t="s">
        <v>13</v>
      </c>
      <c r="D1131" t="s">
        <v>2038</v>
      </c>
      <c r="E1131" t="s">
        <v>20</v>
      </c>
      <c r="F1131" t="s">
        <v>24</v>
      </c>
      <c r="G1131">
        <v>1</v>
      </c>
      <c r="H1131">
        <v>10800</v>
      </c>
      <c r="I1131" s="6">
        <v>0.25</v>
      </c>
      <c r="J1131">
        <v>8100</v>
      </c>
    </row>
    <row r="1132" spans="1:10" x14ac:dyDescent="0.25">
      <c r="A1132" t="s">
        <v>1153</v>
      </c>
      <c r="B1132" s="2">
        <v>44972</v>
      </c>
      <c r="C1132" t="s">
        <v>14</v>
      </c>
      <c r="D1132" t="s">
        <v>2039</v>
      </c>
      <c r="E1132" t="s">
        <v>21</v>
      </c>
      <c r="F1132" t="s">
        <v>25</v>
      </c>
      <c r="G1132">
        <v>1</v>
      </c>
      <c r="H1132">
        <v>11800</v>
      </c>
      <c r="I1132" s="6">
        <v>0.05</v>
      </c>
      <c r="J1132">
        <v>11210</v>
      </c>
    </row>
    <row r="1133" spans="1:10" x14ac:dyDescent="0.25">
      <c r="A1133" t="s">
        <v>1154</v>
      </c>
      <c r="B1133" s="2">
        <v>44973</v>
      </c>
      <c r="C1133" t="s">
        <v>14</v>
      </c>
      <c r="D1133" t="s">
        <v>2040</v>
      </c>
      <c r="E1133" t="s">
        <v>22</v>
      </c>
      <c r="F1133" t="s">
        <v>25</v>
      </c>
      <c r="G1133">
        <v>7</v>
      </c>
      <c r="H1133">
        <v>5200</v>
      </c>
      <c r="I1133" s="6">
        <v>0.1</v>
      </c>
      <c r="J1133">
        <v>4680</v>
      </c>
    </row>
    <row r="1134" spans="1:10" x14ac:dyDescent="0.25">
      <c r="A1134" t="s">
        <v>1155</v>
      </c>
      <c r="B1134" s="2">
        <v>44974</v>
      </c>
      <c r="C1134" t="s">
        <v>14</v>
      </c>
      <c r="D1134" t="s">
        <v>2041</v>
      </c>
      <c r="E1134" t="s">
        <v>19</v>
      </c>
      <c r="F1134" t="s">
        <v>25</v>
      </c>
      <c r="G1134">
        <v>9</v>
      </c>
      <c r="H1134">
        <v>5600</v>
      </c>
      <c r="I1134" s="6">
        <v>0.15000000000000002</v>
      </c>
      <c r="J1134">
        <v>4760</v>
      </c>
    </row>
    <row r="1135" spans="1:10" x14ac:dyDescent="0.25">
      <c r="A1135" t="s">
        <v>1156</v>
      </c>
      <c r="B1135" s="2">
        <v>44975</v>
      </c>
      <c r="C1135" t="s">
        <v>14</v>
      </c>
      <c r="D1135" t="s">
        <v>2042</v>
      </c>
      <c r="E1135" t="s">
        <v>20</v>
      </c>
      <c r="F1135" t="s">
        <v>25</v>
      </c>
      <c r="G1135">
        <v>8</v>
      </c>
      <c r="H1135">
        <v>11100</v>
      </c>
      <c r="I1135" s="6">
        <v>0.2</v>
      </c>
      <c r="J1135">
        <v>8880</v>
      </c>
    </row>
    <row r="1136" spans="1:10" x14ac:dyDescent="0.25">
      <c r="A1136" t="s">
        <v>1157</v>
      </c>
      <c r="B1136" s="2">
        <v>44976</v>
      </c>
      <c r="C1136" t="s">
        <v>14</v>
      </c>
      <c r="D1136" t="s">
        <v>2043</v>
      </c>
      <c r="E1136" t="s">
        <v>21</v>
      </c>
      <c r="F1136" t="s">
        <v>25</v>
      </c>
      <c r="G1136">
        <v>8</v>
      </c>
      <c r="H1136">
        <v>7100</v>
      </c>
      <c r="I1136" s="6">
        <v>0.25</v>
      </c>
      <c r="J1136">
        <v>5325</v>
      </c>
    </row>
    <row r="1137" spans="1:10" x14ac:dyDescent="0.25">
      <c r="A1137" t="s">
        <v>1158</v>
      </c>
      <c r="B1137" s="2">
        <v>44977</v>
      </c>
      <c r="C1137" t="s">
        <v>14</v>
      </c>
      <c r="D1137" t="s">
        <v>2044</v>
      </c>
      <c r="E1137" t="s">
        <v>22</v>
      </c>
      <c r="F1137" t="s">
        <v>25</v>
      </c>
      <c r="G1137">
        <v>10</v>
      </c>
      <c r="H1137">
        <v>7900</v>
      </c>
      <c r="I1137" s="6">
        <v>0.05</v>
      </c>
      <c r="J1137">
        <v>7505</v>
      </c>
    </row>
    <row r="1138" spans="1:10" x14ac:dyDescent="0.25">
      <c r="A1138" t="s">
        <v>1159</v>
      </c>
      <c r="B1138" s="2">
        <v>44978</v>
      </c>
      <c r="C1138" t="s">
        <v>14</v>
      </c>
      <c r="D1138" t="s">
        <v>2045</v>
      </c>
      <c r="E1138" t="s">
        <v>19</v>
      </c>
      <c r="F1138" t="s">
        <v>25</v>
      </c>
      <c r="G1138">
        <v>1</v>
      </c>
      <c r="H1138">
        <v>4100</v>
      </c>
      <c r="I1138" s="6">
        <v>0.1</v>
      </c>
      <c r="J1138">
        <v>3690</v>
      </c>
    </row>
    <row r="1139" spans="1:10" x14ac:dyDescent="0.25">
      <c r="A1139" t="s">
        <v>1160</v>
      </c>
      <c r="B1139" s="2">
        <v>44979</v>
      </c>
      <c r="C1139" t="s">
        <v>14</v>
      </c>
      <c r="D1139" t="s">
        <v>2046</v>
      </c>
      <c r="E1139" t="s">
        <v>20</v>
      </c>
      <c r="F1139" t="s">
        <v>25</v>
      </c>
      <c r="G1139">
        <v>3</v>
      </c>
      <c r="H1139">
        <v>7500</v>
      </c>
      <c r="I1139" s="6">
        <v>0.15000000000000002</v>
      </c>
      <c r="J1139">
        <v>6375</v>
      </c>
    </row>
    <row r="1140" spans="1:10" x14ac:dyDescent="0.25">
      <c r="A1140" t="s">
        <v>1161</v>
      </c>
      <c r="B1140" s="2">
        <v>44980</v>
      </c>
      <c r="C1140" t="s">
        <v>14</v>
      </c>
      <c r="D1140" t="s">
        <v>2047</v>
      </c>
      <c r="E1140" t="s">
        <v>21</v>
      </c>
      <c r="F1140" t="s">
        <v>25</v>
      </c>
      <c r="G1140">
        <v>7</v>
      </c>
      <c r="H1140">
        <v>11800</v>
      </c>
      <c r="I1140" s="6">
        <v>0.2</v>
      </c>
      <c r="J1140">
        <v>9440</v>
      </c>
    </row>
    <row r="1141" spans="1:10" x14ac:dyDescent="0.25">
      <c r="A1141" t="s">
        <v>1162</v>
      </c>
      <c r="B1141" s="2">
        <v>44981</v>
      </c>
      <c r="C1141" t="s">
        <v>14</v>
      </c>
      <c r="D1141" t="s">
        <v>2048</v>
      </c>
      <c r="E1141" t="s">
        <v>22</v>
      </c>
      <c r="F1141" t="s">
        <v>25</v>
      </c>
      <c r="G1141">
        <v>6</v>
      </c>
      <c r="H1141">
        <v>5400</v>
      </c>
      <c r="I1141" s="6">
        <v>0.25</v>
      </c>
      <c r="J1141">
        <v>4050</v>
      </c>
    </row>
    <row r="1142" spans="1:10" x14ac:dyDescent="0.25">
      <c r="A1142" t="s">
        <v>1163</v>
      </c>
      <c r="B1142" s="2">
        <v>44982</v>
      </c>
      <c r="C1142" t="s">
        <v>12</v>
      </c>
      <c r="D1142" t="s">
        <v>15</v>
      </c>
      <c r="E1142" t="s">
        <v>19</v>
      </c>
      <c r="F1142" t="s">
        <v>23</v>
      </c>
      <c r="G1142">
        <v>1</v>
      </c>
      <c r="H1142">
        <v>8400</v>
      </c>
      <c r="I1142" s="6">
        <v>0.05</v>
      </c>
      <c r="J1142">
        <v>7980</v>
      </c>
    </row>
    <row r="1143" spans="1:10" x14ac:dyDescent="0.25">
      <c r="A1143" t="s">
        <v>1164</v>
      </c>
      <c r="B1143" s="2">
        <v>44983</v>
      </c>
      <c r="C1143" t="s">
        <v>12</v>
      </c>
      <c r="D1143" t="s">
        <v>17</v>
      </c>
      <c r="E1143" t="s">
        <v>20</v>
      </c>
      <c r="F1143" t="s">
        <v>23</v>
      </c>
      <c r="G1143">
        <v>10</v>
      </c>
      <c r="H1143">
        <v>11400</v>
      </c>
      <c r="I1143" s="6">
        <v>0.1</v>
      </c>
      <c r="J1143">
        <v>10260</v>
      </c>
    </row>
    <row r="1144" spans="1:10" x14ac:dyDescent="0.25">
      <c r="A1144" t="s">
        <v>1165</v>
      </c>
      <c r="B1144" s="2">
        <v>44984</v>
      </c>
      <c r="C1144" t="s">
        <v>12</v>
      </c>
      <c r="D1144" t="s">
        <v>2023</v>
      </c>
      <c r="E1144" t="s">
        <v>21</v>
      </c>
      <c r="F1144" t="s">
        <v>23</v>
      </c>
      <c r="G1144">
        <v>4</v>
      </c>
      <c r="H1144">
        <v>14000</v>
      </c>
      <c r="I1144" s="6">
        <v>0.15000000000000002</v>
      </c>
      <c r="J1144">
        <v>11900</v>
      </c>
    </row>
    <row r="1145" spans="1:10" x14ac:dyDescent="0.25">
      <c r="A1145" t="s">
        <v>1166</v>
      </c>
      <c r="B1145" s="2">
        <v>44985</v>
      </c>
      <c r="C1145" t="s">
        <v>12</v>
      </c>
      <c r="D1145" t="s">
        <v>18</v>
      </c>
      <c r="E1145" t="s">
        <v>22</v>
      </c>
      <c r="F1145" t="s">
        <v>23</v>
      </c>
      <c r="G1145">
        <v>1</v>
      </c>
      <c r="H1145">
        <v>14000</v>
      </c>
      <c r="I1145" s="6">
        <v>0.2</v>
      </c>
      <c r="J1145">
        <v>11200</v>
      </c>
    </row>
    <row r="1146" spans="1:10" x14ac:dyDescent="0.25">
      <c r="A1146" t="s">
        <v>1167</v>
      </c>
      <c r="B1146" s="2">
        <v>44986</v>
      </c>
      <c r="C1146" t="s">
        <v>12</v>
      </c>
      <c r="D1146" t="s">
        <v>2024</v>
      </c>
      <c r="E1146" t="s">
        <v>19</v>
      </c>
      <c r="F1146" t="s">
        <v>23</v>
      </c>
      <c r="G1146">
        <v>7</v>
      </c>
      <c r="H1146">
        <v>10900</v>
      </c>
      <c r="I1146" s="6">
        <v>0.25</v>
      </c>
      <c r="J1146">
        <v>8175</v>
      </c>
    </row>
    <row r="1147" spans="1:10" x14ac:dyDescent="0.25">
      <c r="A1147" t="s">
        <v>1168</v>
      </c>
      <c r="B1147" s="2">
        <v>44987</v>
      </c>
      <c r="C1147" t="s">
        <v>12</v>
      </c>
      <c r="D1147" t="s">
        <v>2025</v>
      </c>
      <c r="E1147" t="s">
        <v>20</v>
      </c>
      <c r="F1147" t="s">
        <v>23</v>
      </c>
      <c r="G1147">
        <v>9</v>
      </c>
      <c r="H1147">
        <v>4200</v>
      </c>
      <c r="I1147" s="6">
        <v>0.05</v>
      </c>
      <c r="J1147">
        <v>3990</v>
      </c>
    </row>
    <row r="1148" spans="1:10" x14ac:dyDescent="0.25">
      <c r="A1148" t="s">
        <v>1169</v>
      </c>
      <c r="B1148" s="2">
        <v>44988</v>
      </c>
      <c r="C1148" t="s">
        <v>12</v>
      </c>
      <c r="D1148" t="s">
        <v>2026</v>
      </c>
      <c r="E1148" t="s">
        <v>21</v>
      </c>
      <c r="F1148" t="s">
        <v>23</v>
      </c>
      <c r="G1148">
        <v>7</v>
      </c>
      <c r="H1148">
        <v>9000</v>
      </c>
      <c r="I1148" s="6">
        <v>0.1</v>
      </c>
      <c r="J1148">
        <v>8100</v>
      </c>
    </row>
    <row r="1149" spans="1:10" x14ac:dyDescent="0.25">
      <c r="A1149" t="s">
        <v>1170</v>
      </c>
      <c r="B1149" s="2">
        <v>44989</v>
      </c>
      <c r="C1149" t="s">
        <v>12</v>
      </c>
      <c r="D1149" t="s">
        <v>2027</v>
      </c>
      <c r="E1149" t="s">
        <v>22</v>
      </c>
      <c r="F1149" t="s">
        <v>23</v>
      </c>
      <c r="G1149">
        <v>7</v>
      </c>
      <c r="H1149">
        <v>9000</v>
      </c>
      <c r="I1149" s="6">
        <v>0.15000000000000002</v>
      </c>
      <c r="J1149">
        <v>7650</v>
      </c>
    </row>
    <row r="1150" spans="1:10" x14ac:dyDescent="0.25">
      <c r="A1150" t="s">
        <v>1171</v>
      </c>
      <c r="B1150" s="2">
        <v>44990</v>
      </c>
      <c r="C1150" t="s">
        <v>12</v>
      </c>
      <c r="D1150" t="s">
        <v>2028</v>
      </c>
      <c r="E1150" t="s">
        <v>19</v>
      </c>
      <c r="F1150" t="s">
        <v>23</v>
      </c>
      <c r="G1150">
        <v>5</v>
      </c>
      <c r="H1150">
        <v>10100</v>
      </c>
      <c r="I1150" s="6">
        <v>0.2</v>
      </c>
      <c r="J1150">
        <v>8080</v>
      </c>
    </row>
    <row r="1151" spans="1:10" x14ac:dyDescent="0.25">
      <c r="A1151" t="s">
        <v>1172</v>
      </c>
      <c r="B1151" s="2">
        <v>44991</v>
      </c>
      <c r="C1151" t="s">
        <v>12</v>
      </c>
      <c r="D1151" t="s">
        <v>2029</v>
      </c>
      <c r="E1151" t="s">
        <v>20</v>
      </c>
      <c r="F1151" t="s">
        <v>23</v>
      </c>
      <c r="G1151">
        <v>4</v>
      </c>
      <c r="H1151">
        <v>15000</v>
      </c>
      <c r="I1151" s="6">
        <v>0.25</v>
      </c>
      <c r="J1151">
        <v>11250</v>
      </c>
    </row>
    <row r="1152" spans="1:10" x14ac:dyDescent="0.25">
      <c r="A1152" t="s">
        <v>1173</v>
      </c>
      <c r="B1152" s="2">
        <v>44992</v>
      </c>
      <c r="C1152" t="s">
        <v>13</v>
      </c>
      <c r="D1152" t="s">
        <v>16</v>
      </c>
      <c r="E1152" t="s">
        <v>21</v>
      </c>
      <c r="F1152" t="s">
        <v>24</v>
      </c>
      <c r="G1152">
        <v>2</v>
      </c>
      <c r="H1152">
        <v>14500</v>
      </c>
      <c r="I1152" s="6">
        <v>0.05</v>
      </c>
      <c r="J1152">
        <v>13775</v>
      </c>
    </row>
    <row r="1153" spans="1:10" x14ac:dyDescent="0.25">
      <c r="A1153" t="s">
        <v>1174</v>
      </c>
      <c r="B1153" s="2">
        <v>44993</v>
      </c>
      <c r="C1153" t="s">
        <v>13</v>
      </c>
      <c r="D1153" t="s">
        <v>2030</v>
      </c>
      <c r="E1153" t="s">
        <v>22</v>
      </c>
      <c r="F1153" t="s">
        <v>24</v>
      </c>
      <c r="G1153">
        <v>2</v>
      </c>
      <c r="H1153">
        <v>5600</v>
      </c>
      <c r="I1153" s="6">
        <v>0.1</v>
      </c>
      <c r="J1153">
        <v>5040</v>
      </c>
    </row>
    <row r="1154" spans="1:10" x14ac:dyDescent="0.25">
      <c r="A1154" t="s">
        <v>1175</v>
      </c>
      <c r="B1154" s="2">
        <v>44994</v>
      </c>
      <c r="C1154" t="s">
        <v>13</v>
      </c>
      <c r="D1154" t="s">
        <v>2031</v>
      </c>
      <c r="E1154" t="s">
        <v>19</v>
      </c>
      <c r="F1154" t="s">
        <v>24</v>
      </c>
      <c r="G1154">
        <v>10</v>
      </c>
      <c r="H1154">
        <v>6800</v>
      </c>
      <c r="I1154" s="6">
        <v>0.15000000000000002</v>
      </c>
      <c r="J1154">
        <v>5780</v>
      </c>
    </row>
    <row r="1155" spans="1:10" x14ac:dyDescent="0.25">
      <c r="A1155" t="s">
        <v>1176</v>
      </c>
      <c r="B1155" s="2">
        <v>44995</v>
      </c>
      <c r="C1155" t="s">
        <v>13</v>
      </c>
      <c r="D1155" t="s">
        <v>2032</v>
      </c>
      <c r="E1155" t="s">
        <v>20</v>
      </c>
      <c r="F1155" t="s">
        <v>24</v>
      </c>
      <c r="G1155">
        <v>1</v>
      </c>
      <c r="H1155">
        <v>7500</v>
      </c>
      <c r="I1155" s="6">
        <v>0.2</v>
      </c>
      <c r="J1155">
        <v>6000</v>
      </c>
    </row>
    <row r="1156" spans="1:10" x14ac:dyDescent="0.25">
      <c r="A1156" t="s">
        <v>1177</v>
      </c>
      <c r="B1156" s="2">
        <v>44996</v>
      </c>
      <c r="C1156" t="s">
        <v>13</v>
      </c>
      <c r="D1156" t="s">
        <v>2033</v>
      </c>
      <c r="E1156" t="s">
        <v>21</v>
      </c>
      <c r="F1156" t="s">
        <v>24</v>
      </c>
      <c r="G1156">
        <v>6</v>
      </c>
      <c r="H1156">
        <v>4600</v>
      </c>
      <c r="I1156" s="6">
        <v>0.25</v>
      </c>
      <c r="J1156">
        <v>3450</v>
      </c>
    </row>
    <row r="1157" spans="1:10" x14ac:dyDescent="0.25">
      <c r="A1157" t="s">
        <v>1178</v>
      </c>
      <c r="B1157" s="2">
        <v>44997</v>
      </c>
      <c r="C1157" t="s">
        <v>13</v>
      </c>
      <c r="D1157" t="s">
        <v>2034</v>
      </c>
      <c r="E1157" t="s">
        <v>22</v>
      </c>
      <c r="F1157" t="s">
        <v>24</v>
      </c>
      <c r="G1157">
        <v>9</v>
      </c>
      <c r="H1157">
        <v>4600</v>
      </c>
      <c r="I1157" s="6">
        <v>0.05</v>
      </c>
      <c r="J1157">
        <v>4370</v>
      </c>
    </row>
    <row r="1158" spans="1:10" x14ac:dyDescent="0.25">
      <c r="A1158" t="s">
        <v>1179</v>
      </c>
      <c r="B1158" s="2">
        <v>44998</v>
      </c>
      <c r="C1158" t="s">
        <v>13</v>
      </c>
      <c r="D1158" t="s">
        <v>2035</v>
      </c>
      <c r="E1158" t="s">
        <v>19</v>
      </c>
      <c r="F1158" t="s">
        <v>24</v>
      </c>
      <c r="G1158">
        <v>9</v>
      </c>
      <c r="H1158">
        <v>13500</v>
      </c>
      <c r="I1158" s="6">
        <v>0.1</v>
      </c>
      <c r="J1158">
        <v>12150</v>
      </c>
    </row>
    <row r="1159" spans="1:10" x14ac:dyDescent="0.25">
      <c r="A1159" t="s">
        <v>1180</v>
      </c>
      <c r="B1159" s="2">
        <v>44999</v>
      </c>
      <c r="C1159" t="s">
        <v>13</v>
      </c>
      <c r="D1159" t="s">
        <v>2036</v>
      </c>
      <c r="E1159" t="s">
        <v>20</v>
      </c>
      <c r="F1159" t="s">
        <v>24</v>
      </c>
      <c r="G1159">
        <v>7</v>
      </c>
      <c r="H1159">
        <v>12900</v>
      </c>
      <c r="I1159" s="6">
        <v>0.15000000000000002</v>
      </c>
      <c r="J1159">
        <v>10965</v>
      </c>
    </row>
    <row r="1160" spans="1:10" x14ac:dyDescent="0.25">
      <c r="A1160" t="s">
        <v>1181</v>
      </c>
      <c r="B1160" s="2">
        <v>45000</v>
      </c>
      <c r="C1160" t="s">
        <v>13</v>
      </c>
      <c r="D1160" t="s">
        <v>2037</v>
      </c>
      <c r="E1160" t="s">
        <v>21</v>
      </c>
      <c r="F1160" t="s">
        <v>24</v>
      </c>
      <c r="G1160">
        <v>4</v>
      </c>
      <c r="H1160">
        <v>10300</v>
      </c>
      <c r="I1160" s="6">
        <v>0.2</v>
      </c>
      <c r="J1160">
        <v>8240</v>
      </c>
    </row>
    <row r="1161" spans="1:10" x14ac:dyDescent="0.25">
      <c r="A1161" t="s">
        <v>1182</v>
      </c>
      <c r="B1161" s="2">
        <v>45001</v>
      </c>
      <c r="C1161" t="s">
        <v>13</v>
      </c>
      <c r="D1161" t="s">
        <v>2038</v>
      </c>
      <c r="E1161" t="s">
        <v>22</v>
      </c>
      <c r="F1161" t="s">
        <v>24</v>
      </c>
      <c r="G1161">
        <v>3</v>
      </c>
      <c r="H1161">
        <v>13400</v>
      </c>
      <c r="I1161" s="6">
        <v>0.25</v>
      </c>
      <c r="J1161">
        <v>10050</v>
      </c>
    </row>
    <row r="1162" spans="1:10" x14ac:dyDescent="0.25">
      <c r="A1162" t="s">
        <v>1183</v>
      </c>
      <c r="B1162" s="2">
        <v>45002</v>
      </c>
      <c r="C1162" t="s">
        <v>14</v>
      </c>
      <c r="D1162" t="s">
        <v>2039</v>
      </c>
      <c r="E1162" t="s">
        <v>19</v>
      </c>
      <c r="F1162" t="s">
        <v>25</v>
      </c>
      <c r="G1162">
        <v>7</v>
      </c>
      <c r="H1162">
        <v>6600</v>
      </c>
      <c r="I1162" s="6">
        <v>0.05</v>
      </c>
      <c r="J1162">
        <v>6270</v>
      </c>
    </row>
    <row r="1163" spans="1:10" x14ac:dyDescent="0.25">
      <c r="A1163" t="s">
        <v>1184</v>
      </c>
      <c r="B1163" s="2">
        <v>45003</v>
      </c>
      <c r="C1163" t="s">
        <v>14</v>
      </c>
      <c r="D1163" t="s">
        <v>2040</v>
      </c>
      <c r="E1163" t="s">
        <v>20</v>
      </c>
      <c r="F1163" t="s">
        <v>25</v>
      </c>
      <c r="G1163">
        <v>7</v>
      </c>
      <c r="H1163">
        <v>14800</v>
      </c>
      <c r="I1163" s="6">
        <v>0.1</v>
      </c>
      <c r="J1163">
        <v>13320</v>
      </c>
    </row>
    <row r="1164" spans="1:10" x14ac:dyDescent="0.25">
      <c r="A1164" t="s">
        <v>1185</v>
      </c>
      <c r="B1164" s="2">
        <v>45004</v>
      </c>
      <c r="C1164" t="s">
        <v>14</v>
      </c>
      <c r="D1164" t="s">
        <v>2041</v>
      </c>
      <c r="E1164" t="s">
        <v>21</v>
      </c>
      <c r="F1164" t="s">
        <v>25</v>
      </c>
      <c r="G1164">
        <v>9</v>
      </c>
      <c r="H1164">
        <v>5500</v>
      </c>
      <c r="I1164" s="6">
        <v>0.15000000000000002</v>
      </c>
      <c r="J1164">
        <v>4675</v>
      </c>
    </row>
    <row r="1165" spans="1:10" x14ac:dyDescent="0.25">
      <c r="A1165" t="s">
        <v>1186</v>
      </c>
      <c r="B1165" s="2">
        <v>45005</v>
      </c>
      <c r="C1165" t="s">
        <v>14</v>
      </c>
      <c r="D1165" t="s">
        <v>2042</v>
      </c>
      <c r="E1165" t="s">
        <v>22</v>
      </c>
      <c r="F1165" t="s">
        <v>25</v>
      </c>
      <c r="G1165">
        <v>7</v>
      </c>
      <c r="H1165">
        <v>4300</v>
      </c>
      <c r="I1165" s="6">
        <v>0.2</v>
      </c>
      <c r="J1165">
        <v>3440</v>
      </c>
    </row>
    <row r="1166" spans="1:10" x14ac:dyDescent="0.25">
      <c r="A1166" t="s">
        <v>1187</v>
      </c>
      <c r="B1166" s="2">
        <v>45006</v>
      </c>
      <c r="C1166" t="s">
        <v>14</v>
      </c>
      <c r="D1166" t="s">
        <v>2043</v>
      </c>
      <c r="E1166" t="s">
        <v>19</v>
      </c>
      <c r="F1166" t="s">
        <v>25</v>
      </c>
      <c r="G1166">
        <v>1</v>
      </c>
      <c r="H1166">
        <v>9300</v>
      </c>
      <c r="I1166" s="6">
        <v>0.25</v>
      </c>
      <c r="J1166">
        <v>6975</v>
      </c>
    </row>
    <row r="1167" spans="1:10" x14ac:dyDescent="0.25">
      <c r="A1167" t="s">
        <v>1188</v>
      </c>
      <c r="B1167" s="2">
        <v>45007</v>
      </c>
      <c r="C1167" t="s">
        <v>14</v>
      </c>
      <c r="D1167" t="s">
        <v>2044</v>
      </c>
      <c r="E1167" t="s">
        <v>20</v>
      </c>
      <c r="F1167" t="s">
        <v>25</v>
      </c>
      <c r="G1167">
        <v>2</v>
      </c>
      <c r="H1167">
        <v>14700</v>
      </c>
      <c r="I1167" s="6">
        <v>0.05</v>
      </c>
      <c r="J1167">
        <v>13965</v>
      </c>
    </row>
    <row r="1168" spans="1:10" x14ac:dyDescent="0.25">
      <c r="A1168" t="s">
        <v>1189</v>
      </c>
      <c r="B1168" s="2">
        <v>45008</v>
      </c>
      <c r="C1168" t="s">
        <v>14</v>
      </c>
      <c r="D1168" t="s">
        <v>2045</v>
      </c>
      <c r="E1168" t="s">
        <v>21</v>
      </c>
      <c r="F1168" t="s">
        <v>25</v>
      </c>
      <c r="G1168">
        <v>5</v>
      </c>
      <c r="H1168">
        <v>5200</v>
      </c>
      <c r="I1168" s="6">
        <v>0.1</v>
      </c>
      <c r="J1168">
        <v>4680</v>
      </c>
    </row>
    <row r="1169" spans="1:10" x14ac:dyDescent="0.25">
      <c r="A1169" t="s">
        <v>1190</v>
      </c>
      <c r="B1169" s="2">
        <v>45009</v>
      </c>
      <c r="C1169" t="s">
        <v>14</v>
      </c>
      <c r="D1169" t="s">
        <v>2046</v>
      </c>
      <c r="E1169" t="s">
        <v>22</v>
      </c>
      <c r="F1169" t="s">
        <v>25</v>
      </c>
      <c r="G1169">
        <v>9</v>
      </c>
      <c r="H1169">
        <v>8400</v>
      </c>
      <c r="I1169" s="6">
        <v>0.15000000000000002</v>
      </c>
      <c r="J1169">
        <v>7140</v>
      </c>
    </row>
    <row r="1170" spans="1:10" x14ac:dyDescent="0.25">
      <c r="A1170" t="s">
        <v>1191</v>
      </c>
      <c r="B1170" s="2">
        <v>45010</v>
      </c>
      <c r="C1170" t="s">
        <v>14</v>
      </c>
      <c r="D1170" t="s">
        <v>2047</v>
      </c>
      <c r="E1170" t="s">
        <v>19</v>
      </c>
      <c r="F1170" t="s">
        <v>25</v>
      </c>
      <c r="G1170">
        <v>10</v>
      </c>
      <c r="H1170">
        <v>7600</v>
      </c>
      <c r="I1170" s="6">
        <v>0.2</v>
      </c>
      <c r="J1170">
        <v>6080</v>
      </c>
    </row>
    <row r="1171" spans="1:10" x14ac:dyDescent="0.25">
      <c r="A1171" t="s">
        <v>1192</v>
      </c>
      <c r="B1171" s="2">
        <v>45011</v>
      </c>
      <c r="C1171" t="s">
        <v>14</v>
      </c>
      <c r="D1171" t="s">
        <v>2048</v>
      </c>
      <c r="E1171" t="s">
        <v>20</v>
      </c>
      <c r="F1171" t="s">
        <v>25</v>
      </c>
      <c r="G1171">
        <v>2</v>
      </c>
      <c r="H1171">
        <v>13400</v>
      </c>
      <c r="I1171" s="6">
        <v>0.25</v>
      </c>
      <c r="J1171">
        <v>10050</v>
      </c>
    </row>
    <row r="1172" spans="1:10" x14ac:dyDescent="0.25">
      <c r="A1172" t="s">
        <v>1193</v>
      </c>
      <c r="B1172" s="2">
        <v>45012</v>
      </c>
      <c r="C1172" t="s">
        <v>12</v>
      </c>
      <c r="D1172" t="s">
        <v>15</v>
      </c>
      <c r="E1172" t="s">
        <v>21</v>
      </c>
      <c r="F1172" t="s">
        <v>23</v>
      </c>
      <c r="G1172">
        <v>1</v>
      </c>
      <c r="H1172">
        <v>6800</v>
      </c>
      <c r="I1172" s="6">
        <v>0.05</v>
      </c>
      <c r="J1172">
        <v>6460</v>
      </c>
    </row>
    <row r="1173" spans="1:10" x14ac:dyDescent="0.25">
      <c r="A1173" t="s">
        <v>1194</v>
      </c>
      <c r="B1173" s="2">
        <v>45013</v>
      </c>
      <c r="C1173" t="s">
        <v>12</v>
      </c>
      <c r="D1173" t="s">
        <v>17</v>
      </c>
      <c r="E1173" t="s">
        <v>22</v>
      </c>
      <c r="F1173" t="s">
        <v>23</v>
      </c>
      <c r="G1173">
        <v>1</v>
      </c>
      <c r="H1173">
        <v>12100</v>
      </c>
      <c r="I1173" s="6">
        <v>0.1</v>
      </c>
      <c r="J1173">
        <v>10890</v>
      </c>
    </row>
    <row r="1174" spans="1:10" x14ac:dyDescent="0.25">
      <c r="A1174" t="s">
        <v>1195</v>
      </c>
      <c r="B1174" s="2">
        <v>45014</v>
      </c>
      <c r="C1174" t="s">
        <v>12</v>
      </c>
      <c r="D1174" t="s">
        <v>2023</v>
      </c>
      <c r="E1174" t="s">
        <v>19</v>
      </c>
      <c r="F1174" t="s">
        <v>23</v>
      </c>
      <c r="G1174">
        <v>3</v>
      </c>
      <c r="H1174">
        <v>11000</v>
      </c>
      <c r="I1174" s="6">
        <v>0.15000000000000002</v>
      </c>
      <c r="J1174">
        <v>9350</v>
      </c>
    </row>
    <row r="1175" spans="1:10" x14ac:dyDescent="0.25">
      <c r="A1175" t="s">
        <v>1196</v>
      </c>
      <c r="B1175" s="2">
        <v>45015</v>
      </c>
      <c r="C1175" t="s">
        <v>12</v>
      </c>
      <c r="D1175" t="s">
        <v>18</v>
      </c>
      <c r="E1175" t="s">
        <v>20</v>
      </c>
      <c r="F1175" t="s">
        <v>23</v>
      </c>
      <c r="G1175">
        <v>1</v>
      </c>
      <c r="H1175">
        <v>13100</v>
      </c>
      <c r="I1175" s="6">
        <v>0.2</v>
      </c>
      <c r="J1175">
        <v>10480</v>
      </c>
    </row>
    <row r="1176" spans="1:10" x14ac:dyDescent="0.25">
      <c r="A1176" t="s">
        <v>1197</v>
      </c>
      <c r="B1176" s="2">
        <v>45016</v>
      </c>
      <c r="C1176" t="s">
        <v>12</v>
      </c>
      <c r="D1176" t="s">
        <v>2024</v>
      </c>
      <c r="E1176" t="s">
        <v>21</v>
      </c>
      <c r="F1176" t="s">
        <v>23</v>
      </c>
      <c r="G1176">
        <v>5</v>
      </c>
      <c r="H1176">
        <v>11100</v>
      </c>
      <c r="I1176" s="6">
        <v>0.25</v>
      </c>
      <c r="J1176">
        <v>8325</v>
      </c>
    </row>
    <row r="1177" spans="1:10" x14ac:dyDescent="0.25">
      <c r="A1177" t="s">
        <v>1198</v>
      </c>
      <c r="B1177" s="2">
        <v>45017</v>
      </c>
      <c r="C1177" t="s">
        <v>12</v>
      </c>
      <c r="D1177" t="s">
        <v>2025</v>
      </c>
      <c r="E1177" t="s">
        <v>22</v>
      </c>
      <c r="F1177" t="s">
        <v>23</v>
      </c>
      <c r="G1177">
        <v>10</v>
      </c>
      <c r="H1177">
        <v>6800</v>
      </c>
      <c r="I1177" s="6">
        <v>0.05</v>
      </c>
      <c r="J1177">
        <v>6460</v>
      </c>
    </row>
    <row r="1178" spans="1:10" x14ac:dyDescent="0.25">
      <c r="A1178" t="s">
        <v>1199</v>
      </c>
      <c r="B1178" s="2">
        <v>45018</v>
      </c>
      <c r="C1178" t="s">
        <v>12</v>
      </c>
      <c r="D1178" t="s">
        <v>2026</v>
      </c>
      <c r="E1178" t="s">
        <v>19</v>
      </c>
      <c r="F1178" t="s">
        <v>23</v>
      </c>
      <c r="G1178">
        <v>7</v>
      </c>
      <c r="H1178">
        <v>6200</v>
      </c>
      <c r="I1178" s="6">
        <v>0.1</v>
      </c>
      <c r="J1178">
        <v>5580</v>
      </c>
    </row>
    <row r="1179" spans="1:10" x14ac:dyDescent="0.25">
      <c r="A1179" t="s">
        <v>1200</v>
      </c>
      <c r="B1179" s="2">
        <v>45019</v>
      </c>
      <c r="C1179" t="s">
        <v>12</v>
      </c>
      <c r="D1179" t="s">
        <v>2027</v>
      </c>
      <c r="E1179" t="s">
        <v>20</v>
      </c>
      <c r="F1179" t="s">
        <v>23</v>
      </c>
      <c r="G1179">
        <v>8</v>
      </c>
      <c r="H1179">
        <v>11400</v>
      </c>
      <c r="I1179" s="6">
        <v>0.15000000000000002</v>
      </c>
      <c r="J1179">
        <v>9690</v>
      </c>
    </row>
    <row r="1180" spans="1:10" x14ac:dyDescent="0.25">
      <c r="A1180" t="s">
        <v>1201</v>
      </c>
      <c r="B1180" s="2">
        <v>45020</v>
      </c>
      <c r="C1180" t="s">
        <v>12</v>
      </c>
      <c r="D1180" t="s">
        <v>2028</v>
      </c>
      <c r="E1180" t="s">
        <v>21</v>
      </c>
      <c r="F1180" t="s">
        <v>23</v>
      </c>
      <c r="G1180">
        <v>10</v>
      </c>
      <c r="H1180">
        <v>14400</v>
      </c>
      <c r="I1180" s="6">
        <v>0.2</v>
      </c>
      <c r="J1180">
        <v>11520</v>
      </c>
    </row>
    <row r="1181" spans="1:10" x14ac:dyDescent="0.25">
      <c r="A1181" t="s">
        <v>1202</v>
      </c>
      <c r="B1181" s="2">
        <v>45021</v>
      </c>
      <c r="C1181" t="s">
        <v>12</v>
      </c>
      <c r="D1181" t="s">
        <v>2029</v>
      </c>
      <c r="E1181" t="s">
        <v>22</v>
      </c>
      <c r="F1181" t="s">
        <v>23</v>
      </c>
      <c r="G1181">
        <v>6</v>
      </c>
      <c r="H1181">
        <v>14900</v>
      </c>
      <c r="I1181" s="6">
        <v>0.25</v>
      </c>
      <c r="J1181">
        <v>11175</v>
      </c>
    </row>
    <row r="1182" spans="1:10" x14ac:dyDescent="0.25">
      <c r="A1182" t="s">
        <v>1203</v>
      </c>
      <c r="B1182" s="2">
        <v>45022</v>
      </c>
      <c r="C1182" t="s">
        <v>13</v>
      </c>
      <c r="D1182" t="s">
        <v>16</v>
      </c>
      <c r="E1182" t="s">
        <v>19</v>
      </c>
      <c r="F1182" t="s">
        <v>24</v>
      </c>
      <c r="G1182">
        <v>1</v>
      </c>
      <c r="H1182">
        <v>14300</v>
      </c>
      <c r="I1182" s="6">
        <v>0.05</v>
      </c>
      <c r="J1182">
        <v>13585</v>
      </c>
    </row>
    <row r="1183" spans="1:10" x14ac:dyDescent="0.25">
      <c r="A1183" t="s">
        <v>1204</v>
      </c>
      <c r="B1183" s="2">
        <v>45023</v>
      </c>
      <c r="C1183" t="s">
        <v>13</v>
      </c>
      <c r="D1183" t="s">
        <v>2030</v>
      </c>
      <c r="E1183" t="s">
        <v>20</v>
      </c>
      <c r="F1183" t="s">
        <v>24</v>
      </c>
      <c r="G1183">
        <v>4</v>
      </c>
      <c r="H1183">
        <v>11900</v>
      </c>
      <c r="I1183" s="6">
        <v>0.1</v>
      </c>
      <c r="J1183">
        <v>10710</v>
      </c>
    </row>
    <row r="1184" spans="1:10" x14ac:dyDescent="0.25">
      <c r="A1184" t="s">
        <v>1205</v>
      </c>
      <c r="B1184" s="2">
        <v>45024</v>
      </c>
      <c r="C1184" t="s">
        <v>13</v>
      </c>
      <c r="D1184" t="s">
        <v>2031</v>
      </c>
      <c r="E1184" t="s">
        <v>21</v>
      </c>
      <c r="F1184" t="s">
        <v>24</v>
      </c>
      <c r="G1184">
        <v>7</v>
      </c>
      <c r="H1184">
        <v>5000</v>
      </c>
      <c r="I1184" s="6">
        <v>0.15000000000000002</v>
      </c>
      <c r="J1184">
        <v>4250</v>
      </c>
    </row>
    <row r="1185" spans="1:10" x14ac:dyDescent="0.25">
      <c r="A1185" t="s">
        <v>1206</v>
      </c>
      <c r="B1185" s="2">
        <v>45025</v>
      </c>
      <c r="C1185" t="s">
        <v>13</v>
      </c>
      <c r="D1185" t="s">
        <v>2032</v>
      </c>
      <c r="E1185" t="s">
        <v>22</v>
      </c>
      <c r="F1185" t="s">
        <v>24</v>
      </c>
      <c r="G1185">
        <v>10</v>
      </c>
      <c r="H1185">
        <v>9200</v>
      </c>
      <c r="I1185" s="6">
        <v>0.2</v>
      </c>
      <c r="J1185">
        <v>7360</v>
      </c>
    </row>
    <row r="1186" spans="1:10" x14ac:dyDescent="0.25">
      <c r="A1186" t="s">
        <v>1207</v>
      </c>
      <c r="B1186" s="2">
        <v>45026</v>
      </c>
      <c r="C1186" t="s">
        <v>13</v>
      </c>
      <c r="D1186" t="s">
        <v>2033</v>
      </c>
      <c r="E1186" t="s">
        <v>19</v>
      </c>
      <c r="F1186" t="s">
        <v>24</v>
      </c>
      <c r="G1186">
        <v>6</v>
      </c>
      <c r="H1186">
        <v>7100</v>
      </c>
      <c r="I1186" s="6">
        <v>0.25</v>
      </c>
      <c r="J1186">
        <v>5325</v>
      </c>
    </row>
    <row r="1187" spans="1:10" x14ac:dyDescent="0.25">
      <c r="A1187" t="s">
        <v>1208</v>
      </c>
      <c r="B1187" s="2">
        <v>45027</v>
      </c>
      <c r="C1187" t="s">
        <v>13</v>
      </c>
      <c r="D1187" t="s">
        <v>2034</v>
      </c>
      <c r="E1187" t="s">
        <v>20</v>
      </c>
      <c r="F1187" t="s">
        <v>24</v>
      </c>
      <c r="G1187">
        <v>2</v>
      </c>
      <c r="H1187">
        <v>12700</v>
      </c>
      <c r="I1187" s="6">
        <v>0.05</v>
      </c>
      <c r="J1187">
        <v>12065</v>
      </c>
    </row>
    <row r="1188" spans="1:10" x14ac:dyDescent="0.25">
      <c r="A1188" t="s">
        <v>1209</v>
      </c>
      <c r="B1188" s="2">
        <v>45028</v>
      </c>
      <c r="C1188" t="s">
        <v>13</v>
      </c>
      <c r="D1188" t="s">
        <v>2035</v>
      </c>
      <c r="E1188" t="s">
        <v>21</v>
      </c>
      <c r="F1188" t="s">
        <v>24</v>
      </c>
      <c r="G1188">
        <v>1</v>
      </c>
      <c r="H1188">
        <v>13000</v>
      </c>
      <c r="I1188" s="6">
        <v>0.1</v>
      </c>
      <c r="J1188">
        <v>11700</v>
      </c>
    </row>
    <row r="1189" spans="1:10" x14ac:dyDescent="0.25">
      <c r="A1189" t="s">
        <v>1210</v>
      </c>
      <c r="B1189" s="2">
        <v>45029</v>
      </c>
      <c r="C1189" t="s">
        <v>13</v>
      </c>
      <c r="D1189" t="s">
        <v>2036</v>
      </c>
      <c r="E1189" t="s">
        <v>22</v>
      </c>
      <c r="F1189" t="s">
        <v>24</v>
      </c>
      <c r="G1189">
        <v>8</v>
      </c>
      <c r="H1189">
        <v>5900</v>
      </c>
      <c r="I1189" s="6">
        <v>0.15000000000000002</v>
      </c>
      <c r="J1189">
        <v>5015</v>
      </c>
    </row>
    <row r="1190" spans="1:10" x14ac:dyDescent="0.25">
      <c r="A1190" t="s">
        <v>1211</v>
      </c>
      <c r="B1190" s="2">
        <v>45030</v>
      </c>
      <c r="C1190" t="s">
        <v>13</v>
      </c>
      <c r="D1190" t="s">
        <v>2037</v>
      </c>
      <c r="E1190" t="s">
        <v>19</v>
      </c>
      <c r="F1190" t="s">
        <v>24</v>
      </c>
      <c r="G1190">
        <v>5</v>
      </c>
      <c r="H1190">
        <v>6000</v>
      </c>
      <c r="I1190" s="6">
        <v>0.2</v>
      </c>
      <c r="J1190">
        <v>4800</v>
      </c>
    </row>
    <row r="1191" spans="1:10" x14ac:dyDescent="0.25">
      <c r="A1191" t="s">
        <v>1212</v>
      </c>
      <c r="B1191" s="2">
        <v>45031</v>
      </c>
      <c r="C1191" t="s">
        <v>13</v>
      </c>
      <c r="D1191" t="s">
        <v>2038</v>
      </c>
      <c r="E1191" t="s">
        <v>20</v>
      </c>
      <c r="F1191" t="s">
        <v>24</v>
      </c>
      <c r="G1191">
        <v>8</v>
      </c>
      <c r="H1191">
        <v>13900</v>
      </c>
      <c r="I1191" s="6">
        <v>0.25</v>
      </c>
      <c r="J1191">
        <v>10425</v>
      </c>
    </row>
    <row r="1192" spans="1:10" x14ac:dyDescent="0.25">
      <c r="A1192" t="s">
        <v>1213</v>
      </c>
      <c r="B1192" s="2">
        <v>45032</v>
      </c>
      <c r="C1192" t="s">
        <v>14</v>
      </c>
      <c r="D1192" t="s">
        <v>2039</v>
      </c>
      <c r="E1192" t="s">
        <v>21</v>
      </c>
      <c r="F1192" t="s">
        <v>25</v>
      </c>
      <c r="G1192">
        <v>6</v>
      </c>
      <c r="H1192">
        <v>4000</v>
      </c>
      <c r="I1192" s="6">
        <v>0.05</v>
      </c>
      <c r="J1192">
        <v>3800</v>
      </c>
    </row>
    <row r="1193" spans="1:10" x14ac:dyDescent="0.25">
      <c r="A1193" t="s">
        <v>1214</v>
      </c>
      <c r="B1193" s="2">
        <v>45033</v>
      </c>
      <c r="C1193" t="s">
        <v>14</v>
      </c>
      <c r="D1193" t="s">
        <v>2040</v>
      </c>
      <c r="E1193" t="s">
        <v>22</v>
      </c>
      <c r="F1193" t="s">
        <v>25</v>
      </c>
      <c r="G1193">
        <v>9</v>
      </c>
      <c r="H1193">
        <v>6100</v>
      </c>
      <c r="I1193" s="6">
        <v>0.1</v>
      </c>
      <c r="J1193">
        <v>5490</v>
      </c>
    </row>
    <row r="1194" spans="1:10" x14ac:dyDescent="0.25">
      <c r="A1194" t="s">
        <v>1215</v>
      </c>
      <c r="B1194" s="2">
        <v>45034</v>
      </c>
      <c r="C1194" t="s">
        <v>14</v>
      </c>
      <c r="D1194" t="s">
        <v>2041</v>
      </c>
      <c r="E1194" t="s">
        <v>19</v>
      </c>
      <c r="F1194" t="s">
        <v>25</v>
      </c>
      <c r="G1194">
        <v>2</v>
      </c>
      <c r="H1194">
        <v>6200</v>
      </c>
      <c r="I1194" s="6">
        <v>0.15000000000000002</v>
      </c>
      <c r="J1194">
        <v>5270</v>
      </c>
    </row>
    <row r="1195" spans="1:10" x14ac:dyDescent="0.25">
      <c r="A1195" t="s">
        <v>1216</v>
      </c>
      <c r="B1195" s="2">
        <v>45035</v>
      </c>
      <c r="C1195" t="s">
        <v>14</v>
      </c>
      <c r="D1195" t="s">
        <v>2042</v>
      </c>
      <c r="E1195" t="s">
        <v>20</v>
      </c>
      <c r="F1195" t="s">
        <v>25</v>
      </c>
      <c r="G1195">
        <v>7</v>
      </c>
      <c r="H1195">
        <v>8900</v>
      </c>
      <c r="I1195" s="6">
        <v>0.2</v>
      </c>
      <c r="J1195">
        <v>7120</v>
      </c>
    </row>
    <row r="1196" spans="1:10" x14ac:dyDescent="0.25">
      <c r="A1196" t="s">
        <v>1217</v>
      </c>
      <c r="B1196" s="2">
        <v>45036</v>
      </c>
      <c r="C1196" t="s">
        <v>14</v>
      </c>
      <c r="D1196" t="s">
        <v>2043</v>
      </c>
      <c r="E1196" t="s">
        <v>21</v>
      </c>
      <c r="F1196" t="s">
        <v>25</v>
      </c>
      <c r="G1196">
        <v>6</v>
      </c>
      <c r="H1196">
        <v>8100</v>
      </c>
      <c r="I1196" s="6">
        <v>0.25</v>
      </c>
      <c r="J1196">
        <v>6075</v>
      </c>
    </row>
    <row r="1197" spans="1:10" x14ac:dyDescent="0.25">
      <c r="A1197" t="s">
        <v>1218</v>
      </c>
      <c r="B1197" s="2">
        <v>45037</v>
      </c>
      <c r="C1197" t="s">
        <v>14</v>
      </c>
      <c r="D1197" t="s">
        <v>2044</v>
      </c>
      <c r="E1197" t="s">
        <v>22</v>
      </c>
      <c r="F1197" t="s">
        <v>25</v>
      </c>
      <c r="G1197">
        <v>2</v>
      </c>
      <c r="H1197">
        <v>14600</v>
      </c>
      <c r="I1197" s="6">
        <v>0.05</v>
      </c>
      <c r="J1197">
        <v>13870</v>
      </c>
    </row>
    <row r="1198" spans="1:10" x14ac:dyDescent="0.25">
      <c r="A1198" t="s">
        <v>1219</v>
      </c>
      <c r="B1198" s="2">
        <v>45038</v>
      </c>
      <c r="C1198" t="s">
        <v>14</v>
      </c>
      <c r="D1198" t="s">
        <v>2045</v>
      </c>
      <c r="E1198" t="s">
        <v>19</v>
      </c>
      <c r="F1198" t="s">
        <v>25</v>
      </c>
      <c r="G1198">
        <v>5</v>
      </c>
      <c r="H1198">
        <v>9900</v>
      </c>
      <c r="I1198" s="6">
        <v>0.1</v>
      </c>
      <c r="J1198">
        <v>8910</v>
      </c>
    </row>
    <row r="1199" spans="1:10" x14ac:dyDescent="0.25">
      <c r="A1199" t="s">
        <v>1220</v>
      </c>
      <c r="B1199" s="2">
        <v>45039</v>
      </c>
      <c r="C1199" t="s">
        <v>14</v>
      </c>
      <c r="D1199" t="s">
        <v>2046</v>
      </c>
      <c r="E1199" t="s">
        <v>20</v>
      </c>
      <c r="F1199" t="s">
        <v>25</v>
      </c>
      <c r="G1199">
        <v>6</v>
      </c>
      <c r="H1199">
        <v>5500</v>
      </c>
      <c r="I1199" s="6">
        <v>0.15000000000000002</v>
      </c>
      <c r="J1199">
        <v>4675</v>
      </c>
    </row>
    <row r="1200" spans="1:10" x14ac:dyDescent="0.25">
      <c r="A1200" t="s">
        <v>1221</v>
      </c>
      <c r="B1200" s="2">
        <v>45040</v>
      </c>
      <c r="C1200" t="s">
        <v>14</v>
      </c>
      <c r="D1200" t="s">
        <v>2047</v>
      </c>
      <c r="E1200" t="s">
        <v>21</v>
      </c>
      <c r="F1200" t="s">
        <v>25</v>
      </c>
      <c r="G1200">
        <v>7</v>
      </c>
      <c r="H1200">
        <v>11400</v>
      </c>
      <c r="I1200" s="6">
        <v>0.2</v>
      </c>
      <c r="J1200">
        <v>9120</v>
      </c>
    </row>
    <row r="1201" spans="1:10" x14ac:dyDescent="0.25">
      <c r="A1201" t="s">
        <v>1222</v>
      </c>
      <c r="B1201" s="2">
        <v>45041</v>
      </c>
      <c r="C1201" t="s">
        <v>14</v>
      </c>
      <c r="D1201" t="s">
        <v>2048</v>
      </c>
      <c r="E1201" t="s">
        <v>22</v>
      </c>
      <c r="F1201" t="s">
        <v>25</v>
      </c>
      <c r="G1201">
        <v>2</v>
      </c>
      <c r="H1201">
        <v>7600</v>
      </c>
      <c r="I1201" s="6">
        <v>0.25</v>
      </c>
      <c r="J1201">
        <v>5700</v>
      </c>
    </row>
    <row r="1202" spans="1:10" x14ac:dyDescent="0.25">
      <c r="A1202" t="s">
        <v>1223</v>
      </c>
      <c r="B1202" s="2">
        <v>45042</v>
      </c>
      <c r="C1202" t="s">
        <v>12</v>
      </c>
      <c r="D1202" t="s">
        <v>15</v>
      </c>
      <c r="E1202" t="s">
        <v>19</v>
      </c>
      <c r="F1202" t="s">
        <v>23</v>
      </c>
      <c r="G1202">
        <v>1</v>
      </c>
      <c r="H1202">
        <v>11300</v>
      </c>
      <c r="I1202" s="6">
        <v>0.05</v>
      </c>
      <c r="J1202">
        <v>10735</v>
      </c>
    </row>
    <row r="1203" spans="1:10" x14ac:dyDescent="0.25">
      <c r="A1203" t="s">
        <v>1224</v>
      </c>
      <c r="B1203" s="2">
        <v>45043</v>
      </c>
      <c r="C1203" t="s">
        <v>12</v>
      </c>
      <c r="D1203" t="s">
        <v>17</v>
      </c>
      <c r="E1203" t="s">
        <v>20</v>
      </c>
      <c r="F1203" t="s">
        <v>23</v>
      </c>
      <c r="G1203">
        <v>8</v>
      </c>
      <c r="H1203">
        <v>11200</v>
      </c>
      <c r="I1203" s="6">
        <v>0.1</v>
      </c>
      <c r="J1203">
        <v>10080</v>
      </c>
    </row>
    <row r="1204" spans="1:10" x14ac:dyDescent="0.25">
      <c r="A1204" t="s">
        <v>1225</v>
      </c>
      <c r="B1204" s="2">
        <v>45044</v>
      </c>
      <c r="C1204" t="s">
        <v>12</v>
      </c>
      <c r="D1204" t="s">
        <v>2023</v>
      </c>
      <c r="E1204" t="s">
        <v>21</v>
      </c>
      <c r="F1204" t="s">
        <v>23</v>
      </c>
      <c r="G1204">
        <v>9</v>
      </c>
      <c r="H1204">
        <v>9000</v>
      </c>
      <c r="I1204" s="6">
        <v>0.15000000000000002</v>
      </c>
      <c r="J1204">
        <v>7650</v>
      </c>
    </row>
    <row r="1205" spans="1:10" x14ac:dyDescent="0.25">
      <c r="A1205" t="s">
        <v>1226</v>
      </c>
      <c r="B1205" s="2">
        <v>45045</v>
      </c>
      <c r="C1205" t="s">
        <v>12</v>
      </c>
      <c r="D1205" t="s">
        <v>18</v>
      </c>
      <c r="E1205" t="s">
        <v>22</v>
      </c>
      <c r="F1205" t="s">
        <v>23</v>
      </c>
      <c r="G1205">
        <v>2</v>
      </c>
      <c r="H1205">
        <v>14400</v>
      </c>
      <c r="I1205" s="6">
        <v>0.2</v>
      </c>
      <c r="J1205">
        <v>11520</v>
      </c>
    </row>
    <row r="1206" spans="1:10" x14ac:dyDescent="0.25">
      <c r="A1206" t="s">
        <v>1227</v>
      </c>
      <c r="B1206" s="2">
        <v>45046</v>
      </c>
      <c r="C1206" t="s">
        <v>12</v>
      </c>
      <c r="D1206" t="s">
        <v>2024</v>
      </c>
      <c r="E1206" t="s">
        <v>19</v>
      </c>
      <c r="F1206" t="s">
        <v>23</v>
      </c>
      <c r="G1206">
        <v>8</v>
      </c>
      <c r="H1206">
        <v>10700</v>
      </c>
      <c r="I1206" s="6">
        <v>0.25</v>
      </c>
      <c r="J1206">
        <v>8025</v>
      </c>
    </row>
    <row r="1207" spans="1:10" x14ac:dyDescent="0.25">
      <c r="A1207" t="s">
        <v>1228</v>
      </c>
      <c r="B1207" s="2">
        <v>45047</v>
      </c>
      <c r="C1207" t="s">
        <v>12</v>
      </c>
      <c r="D1207" t="s">
        <v>2025</v>
      </c>
      <c r="E1207" t="s">
        <v>20</v>
      </c>
      <c r="F1207" t="s">
        <v>23</v>
      </c>
      <c r="G1207">
        <v>5</v>
      </c>
      <c r="H1207">
        <v>7100</v>
      </c>
      <c r="I1207" s="6">
        <v>0.05</v>
      </c>
      <c r="J1207">
        <v>6745</v>
      </c>
    </row>
    <row r="1208" spans="1:10" x14ac:dyDescent="0.25">
      <c r="A1208" t="s">
        <v>1229</v>
      </c>
      <c r="B1208" s="2">
        <v>45048</v>
      </c>
      <c r="C1208" t="s">
        <v>12</v>
      </c>
      <c r="D1208" t="s">
        <v>2026</v>
      </c>
      <c r="E1208" t="s">
        <v>21</v>
      </c>
      <c r="F1208" t="s">
        <v>23</v>
      </c>
      <c r="G1208">
        <v>8</v>
      </c>
      <c r="H1208">
        <v>14800</v>
      </c>
      <c r="I1208" s="6">
        <v>0.1</v>
      </c>
      <c r="J1208">
        <v>13320</v>
      </c>
    </row>
    <row r="1209" spans="1:10" x14ac:dyDescent="0.25">
      <c r="A1209" t="s">
        <v>1230</v>
      </c>
      <c r="B1209" s="2">
        <v>45049</v>
      </c>
      <c r="C1209" t="s">
        <v>12</v>
      </c>
      <c r="D1209" t="s">
        <v>2027</v>
      </c>
      <c r="E1209" t="s">
        <v>22</v>
      </c>
      <c r="F1209" t="s">
        <v>23</v>
      </c>
      <c r="G1209">
        <v>10</v>
      </c>
      <c r="H1209">
        <v>7200</v>
      </c>
      <c r="I1209" s="6">
        <v>0.15000000000000002</v>
      </c>
      <c r="J1209">
        <v>6120</v>
      </c>
    </row>
    <row r="1210" spans="1:10" x14ac:dyDescent="0.25">
      <c r="A1210" t="s">
        <v>1231</v>
      </c>
      <c r="B1210" s="2">
        <v>45050</v>
      </c>
      <c r="C1210" t="s">
        <v>12</v>
      </c>
      <c r="D1210" t="s">
        <v>2028</v>
      </c>
      <c r="E1210" t="s">
        <v>19</v>
      </c>
      <c r="F1210" t="s">
        <v>23</v>
      </c>
      <c r="G1210">
        <v>3</v>
      </c>
      <c r="H1210">
        <v>14500</v>
      </c>
      <c r="I1210" s="6">
        <v>0.2</v>
      </c>
      <c r="J1210">
        <v>11600</v>
      </c>
    </row>
    <row r="1211" spans="1:10" x14ac:dyDescent="0.25">
      <c r="A1211" t="s">
        <v>1232</v>
      </c>
      <c r="B1211" s="2">
        <v>45051</v>
      </c>
      <c r="C1211" t="s">
        <v>12</v>
      </c>
      <c r="D1211" t="s">
        <v>2029</v>
      </c>
      <c r="E1211" t="s">
        <v>20</v>
      </c>
      <c r="F1211" t="s">
        <v>23</v>
      </c>
      <c r="G1211">
        <v>6</v>
      </c>
      <c r="H1211">
        <v>5100</v>
      </c>
      <c r="I1211" s="6">
        <v>0.25</v>
      </c>
      <c r="J1211">
        <v>3825</v>
      </c>
    </row>
    <row r="1212" spans="1:10" x14ac:dyDescent="0.25">
      <c r="A1212" t="s">
        <v>1233</v>
      </c>
      <c r="B1212" s="2">
        <v>45052</v>
      </c>
      <c r="C1212" t="s">
        <v>13</v>
      </c>
      <c r="D1212" t="s">
        <v>16</v>
      </c>
      <c r="E1212" t="s">
        <v>21</v>
      </c>
      <c r="F1212" t="s">
        <v>24</v>
      </c>
      <c r="G1212">
        <v>10</v>
      </c>
      <c r="H1212">
        <v>4200</v>
      </c>
      <c r="I1212" s="6">
        <v>0.05</v>
      </c>
      <c r="J1212">
        <v>3990</v>
      </c>
    </row>
    <row r="1213" spans="1:10" x14ac:dyDescent="0.25">
      <c r="A1213" t="s">
        <v>1234</v>
      </c>
      <c r="B1213" s="2">
        <v>45053</v>
      </c>
      <c r="C1213" t="s">
        <v>13</v>
      </c>
      <c r="D1213" t="s">
        <v>2030</v>
      </c>
      <c r="E1213" t="s">
        <v>22</v>
      </c>
      <c r="F1213" t="s">
        <v>24</v>
      </c>
      <c r="G1213">
        <v>8</v>
      </c>
      <c r="H1213">
        <v>4900</v>
      </c>
      <c r="I1213" s="6">
        <v>0.1</v>
      </c>
      <c r="J1213">
        <v>4410</v>
      </c>
    </row>
    <row r="1214" spans="1:10" x14ac:dyDescent="0.25">
      <c r="A1214" t="s">
        <v>1235</v>
      </c>
      <c r="B1214" s="2">
        <v>45054</v>
      </c>
      <c r="C1214" t="s">
        <v>13</v>
      </c>
      <c r="D1214" t="s">
        <v>2031</v>
      </c>
      <c r="E1214" t="s">
        <v>19</v>
      </c>
      <c r="F1214" t="s">
        <v>24</v>
      </c>
      <c r="G1214">
        <v>4</v>
      </c>
      <c r="H1214">
        <v>8000</v>
      </c>
      <c r="I1214" s="6">
        <v>0.15000000000000002</v>
      </c>
      <c r="J1214">
        <v>6800</v>
      </c>
    </row>
    <row r="1215" spans="1:10" x14ac:dyDescent="0.25">
      <c r="A1215" t="s">
        <v>1236</v>
      </c>
      <c r="B1215" s="2">
        <v>45055</v>
      </c>
      <c r="C1215" t="s">
        <v>13</v>
      </c>
      <c r="D1215" t="s">
        <v>2032</v>
      </c>
      <c r="E1215" t="s">
        <v>20</v>
      </c>
      <c r="F1215" t="s">
        <v>24</v>
      </c>
      <c r="G1215">
        <v>9</v>
      </c>
      <c r="H1215">
        <v>9900</v>
      </c>
      <c r="I1215" s="6">
        <v>0.2</v>
      </c>
      <c r="J1215">
        <v>7920</v>
      </c>
    </row>
    <row r="1216" spans="1:10" x14ac:dyDescent="0.25">
      <c r="A1216" t="s">
        <v>1237</v>
      </c>
      <c r="B1216" s="2">
        <v>45056</v>
      </c>
      <c r="C1216" t="s">
        <v>13</v>
      </c>
      <c r="D1216" t="s">
        <v>2033</v>
      </c>
      <c r="E1216" t="s">
        <v>21</v>
      </c>
      <c r="F1216" t="s">
        <v>24</v>
      </c>
      <c r="G1216">
        <v>8</v>
      </c>
      <c r="H1216">
        <v>8600</v>
      </c>
      <c r="I1216" s="6">
        <v>0.25</v>
      </c>
      <c r="J1216">
        <v>6450</v>
      </c>
    </row>
    <row r="1217" spans="1:10" x14ac:dyDescent="0.25">
      <c r="A1217" t="s">
        <v>1238</v>
      </c>
      <c r="B1217" s="2">
        <v>45057</v>
      </c>
      <c r="C1217" t="s">
        <v>13</v>
      </c>
      <c r="D1217" t="s">
        <v>2034</v>
      </c>
      <c r="E1217" t="s">
        <v>22</v>
      </c>
      <c r="F1217" t="s">
        <v>24</v>
      </c>
      <c r="G1217">
        <v>3</v>
      </c>
      <c r="H1217">
        <v>6200</v>
      </c>
      <c r="I1217" s="6">
        <v>0.05</v>
      </c>
      <c r="J1217">
        <v>5890</v>
      </c>
    </row>
    <row r="1218" spans="1:10" x14ac:dyDescent="0.25">
      <c r="A1218" t="s">
        <v>1239</v>
      </c>
      <c r="B1218" s="2">
        <v>45058</v>
      </c>
      <c r="C1218" t="s">
        <v>13</v>
      </c>
      <c r="D1218" t="s">
        <v>2035</v>
      </c>
      <c r="E1218" t="s">
        <v>19</v>
      </c>
      <c r="F1218" t="s">
        <v>24</v>
      </c>
      <c r="G1218">
        <v>1</v>
      </c>
      <c r="H1218">
        <v>4100</v>
      </c>
      <c r="I1218" s="6">
        <v>0.1</v>
      </c>
      <c r="J1218">
        <v>3690</v>
      </c>
    </row>
    <row r="1219" spans="1:10" x14ac:dyDescent="0.25">
      <c r="A1219" t="s">
        <v>1240</v>
      </c>
      <c r="B1219" s="2">
        <v>45059</v>
      </c>
      <c r="C1219" t="s">
        <v>13</v>
      </c>
      <c r="D1219" t="s">
        <v>2036</v>
      </c>
      <c r="E1219" t="s">
        <v>20</v>
      </c>
      <c r="F1219" t="s">
        <v>24</v>
      </c>
      <c r="G1219">
        <v>7</v>
      </c>
      <c r="H1219">
        <v>4200</v>
      </c>
      <c r="I1219" s="6">
        <v>0.15000000000000002</v>
      </c>
      <c r="J1219">
        <v>3570</v>
      </c>
    </row>
    <row r="1220" spans="1:10" x14ac:dyDescent="0.25">
      <c r="A1220" t="s">
        <v>1241</v>
      </c>
      <c r="B1220" s="2">
        <v>45060</v>
      </c>
      <c r="C1220" t="s">
        <v>13</v>
      </c>
      <c r="D1220" t="s">
        <v>2037</v>
      </c>
      <c r="E1220" t="s">
        <v>21</v>
      </c>
      <c r="F1220" t="s">
        <v>24</v>
      </c>
      <c r="G1220">
        <v>10</v>
      </c>
      <c r="H1220">
        <v>10700</v>
      </c>
      <c r="I1220" s="6">
        <v>0.2</v>
      </c>
      <c r="J1220">
        <v>8560</v>
      </c>
    </row>
    <row r="1221" spans="1:10" x14ac:dyDescent="0.25">
      <c r="A1221" t="s">
        <v>1242</v>
      </c>
      <c r="B1221" s="2">
        <v>45061</v>
      </c>
      <c r="C1221" t="s">
        <v>13</v>
      </c>
      <c r="D1221" t="s">
        <v>2038</v>
      </c>
      <c r="E1221" t="s">
        <v>22</v>
      </c>
      <c r="F1221" t="s">
        <v>24</v>
      </c>
      <c r="G1221">
        <v>4</v>
      </c>
      <c r="H1221">
        <v>8500</v>
      </c>
      <c r="I1221" s="6">
        <v>0.25</v>
      </c>
      <c r="J1221">
        <v>6375</v>
      </c>
    </row>
    <row r="1222" spans="1:10" x14ac:dyDescent="0.25">
      <c r="A1222" t="s">
        <v>1243</v>
      </c>
      <c r="B1222" s="2">
        <v>45062</v>
      </c>
      <c r="C1222" t="s">
        <v>14</v>
      </c>
      <c r="D1222" t="s">
        <v>2039</v>
      </c>
      <c r="E1222" t="s">
        <v>19</v>
      </c>
      <c r="F1222" t="s">
        <v>25</v>
      </c>
      <c r="G1222">
        <v>8</v>
      </c>
      <c r="H1222">
        <v>11000</v>
      </c>
      <c r="I1222" s="6">
        <v>0.05</v>
      </c>
      <c r="J1222">
        <v>10450</v>
      </c>
    </row>
    <row r="1223" spans="1:10" x14ac:dyDescent="0.25">
      <c r="A1223" t="s">
        <v>1244</v>
      </c>
      <c r="B1223" s="2">
        <v>45063</v>
      </c>
      <c r="C1223" t="s">
        <v>14</v>
      </c>
      <c r="D1223" t="s">
        <v>2040</v>
      </c>
      <c r="E1223" t="s">
        <v>20</v>
      </c>
      <c r="F1223" t="s">
        <v>25</v>
      </c>
      <c r="G1223">
        <v>9</v>
      </c>
      <c r="H1223">
        <v>6100</v>
      </c>
      <c r="I1223" s="6">
        <v>0.1</v>
      </c>
      <c r="J1223">
        <v>5490</v>
      </c>
    </row>
    <row r="1224" spans="1:10" x14ac:dyDescent="0.25">
      <c r="A1224" t="s">
        <v>1245</v>
      </c>
      <c r="B1224" s="2">
        <v>45064</v>
      </c>
      <c r="C1224" t="s">
        <v>14</v>
      </c>
      <c r="D1224" t="s">
        <v>2041</v>
      </c>
      <c r="E1224" t="s">
        <v>21</v>
      </c>
      <c r="F1224" t="s">
        <v>25</v>
      </c>
      <c r="G1224">
        <v>2</v>
      </c>
      <c r="H1224">
        <v>5900</v>
      </c>
      <c r="I1224" s="6">
        <v>0.15000000000000002</v>
      </c>
      <c r="J1224">
        <v>5015</v>
      </c>
    </row>
    <row r="1225" spans="1:10" x14ac:dyDescent="0.25">
      <c r="A1225" t="s">
        <v>1246</v>
      </c>
      <c r="B1225" s="2">
        <v>45065</v>
      </c>
      <c r="C1225" t="s">
        <v>14</v>
      </c>
      <c r="D1225" t="s">
        <v>2042</v>
      </c>
      <c r="E1225" t="s">
        <v>22</v>
      </c>
      <c r="F1225" t="s">
        <v>25</v>
      </c>
      <c r="G1225">
        <v>5</v>
      </c>
      <c r="H1225">
        <v>5800</v>
      </c>
      <c r="I1225" s="6">
        <v>0.2</v>
      </c>
      <c r="J1225">
        <v>4640</v>
      </c>
    </row>
    <row r="1226" spans="1:10" x14ac:dyDescent="0.25">
      <c r="A1226" t="s">
        <v>1247</v>
      </c>
      <c r="B1226" s="2">
        <v>45066</v>
      </c>
      <c r="C1226" t="s">
        <v>14</v>
      </c>
      <c r="D1226" t="s">
        <v>2043</v>
      </c>
      <c r="E1226" t="s">
        <v>19</v>
      </c>
      <c r="F1226" t="s">
        <v>25</v>
      </c>
      <c r="G1226">
        <v>2</v>
      </c>
      <c r="H1226">
        <v>14700</v>
      </c>
      <c r="I1226" s="6">
        <v>0.25</v>
      </c>
      <c r="J1226">
        <v>11025</v>
      </c>
    </row>
    <row r="1227" spans="1:10" x14ac:dyDescent="0.25">
      <c r="A1227" t="s">
        <v>1248</v>
      </c>
      <c r="B1227" s="2">
        <v>45067</v>
      </c>
      <c r="C1227" t="s">
        <v>14</v>
      </c>
      <c r="D1227" t="s">
        <v>2044</v>
      </c>
      <c r="E1227" t="s">
        <v>20</v>
      </c>
      <c r="F1227" t="s">
        <v>25</v>
      </c>
      <c r="G1227">
        <v>8</v>
      </c>
      <c r="H1227">
        <v>9800</v>
      </c>
      <c r="I1227" s="6">
        <v>0.05</v>
      </c>
      <c r="J1227">
        <v>9310</v>
      </c>
    </row>
    <row r="1228" spans="1:10" x14ac:dyDescent="0.25">
      <c r="A1228" t="s">
        <v>1249</v>
      </c>
      <c r="B1228" s="2">
        <v>45068</v>
      </c>
      <c r="C1228" t="s">
        <v>14</v>
      </c>
      <c r="D1228" t="s">
        <v>2045</v>
      </c>
      <c r="E1228" t="s">
        <v>21</v>
      </c>
      <c r="F1228" t="s">
        <v>25</v>
      </c>
      <c r="G1228">
        <v>9</v>
      </c>
      <c r="H1228">
        <v>5500</v>
      </c>
      <c r="I1228" s="6">
        <v>0.1</v>
      </c>
      <c r="J1228">
        <v>4950</v>
      </c>
    </row>
    <row r="1229" spans="1:10" x14ac:dyDescent="0.25">
      <c r="A1229" t="s">
        <v>1250</v>
      </c>
      <c r="B1229" s="2">
        <v>45069</v>
      </c>
      <c r="C1229" t="s">
        <v>14</v>
      </c>
      <c r="D1229" t="s">
        <v>2046</v>
      </c>
      <c r="E1229" t="s">
        <v>22</v>
      </c>
      <c r="F1229" t="s">
        <v>25</v>
      </c>
      <c r="G1229">
        <v>4</v>
      </c>
      <c r="H1229">
        <v>6200</v>
      </c>
      <c r="I1229" s="6">
        <v>0.15000000000000002</v>
      </c>
      <c r="J1229">
        <v>5270</v>
      </c>
    </row>
    <row r="1230" spans="1:10" x14ac:dyDescent="0.25">
      <c r="A1230" t="s">
        <v>1251</v>
      </c>
      <c r="B1230" s="2">
        <v>45070</v>
      </c>
      <c r="C1230" t="s">
        <v>14</v>
      </c>
      <c r="D1230" t="s">
        <v>2047</v>
      </c>
      <c r="E1230" t="s">
        <v>19</v>
      </c>
      <c r="F1230" t="s">
        <v>25</v>
      </c>
      <c r="G1230">
        <v>4</v>
      </c>
      <c r="H1230">
        <v>11500</v>
      </c>
      <c r="I1230" s="6">
        <v>0.2</v>
      </c>
      <c r="J1230">
        <v>9200</v>
      </c>
    </row>
    <row r="1231" spans="1:10" x14ac:dyDescent="0.25">
      <c r="A1231" t="s">
        <v>1252</v>
      </c>
      <c r="B1231" s="2">
        <v>45071</v>
      </c>
      <c r="C1231" t="s">
        <v>14</v>
      </c>
      <c r="D1231" t="s">
        <v>2048</v>
      </c>
      <c r="E1231" t="s">
        <v>20</v>
      </c>
      <c r="F1231" t="s">
        <v>25</v>
      </c>
      <c r="G1231">
        <v>6</v>
      </c>
      <c r="H1231">
        <v>13600</v>
      </c>
      <c r="I1231" s="6">
        <v>0.25</v>
      </c>
      <c r="J1231">
        <v>10200</v>
      </c>
    </row>
    <row r="1232" spans="1:10" x14ac:dyDescent="0.25">
      <c r="A1232" t="s">
        <v>1253</v>
      </c>
      <c r="B1232" s="2">
        <v>45072</v>
      </c>
      <c r="C1232" t="s">
        <v>12</v>
      </c>
      <c r="D1232" t="s">
        <v>15</v>
      </c>
      <c r="E1232" t="s">
        <v>21</v>
      </c>
      <c r="F1232" t="s">
        <v>23</v>
      </c>
      <c r="G1232">
        <v>3</v>
      </c>
      <c r="H1232">
        <v>9800</v>
      </c>
      <c r="I1232" s="6">
        <v>0.05</v>
      </c>
      <c r="J1232">
        <v>9310</v>
      </c>
    </row>
    <row r="1233" spans="1:10" x14ac:dyDescent="0.25">
      <c r="A1233" t="s">
        <v>1254</v>
      </c>
      <c r="B1233" s="2">
        <v>45073</v>
      </c>
      <c r="C1233" t="s">
        <v>12</v>
      </c>
      <c r="D1233" t="s">
        <v>17</v>
      </c>
      <c r="E1233" t="s">
        <v>22</v>
      </c>
      <c r="F1233" t="s">
        <v>23</v>
      </c>
      <c r="G1233">
        <v>3</v>
      </c>
      <c r="H1233">
        <v>11100</v>
      </c>
      <c r="I1233" s="6">
        <v>0.1</v>
      </c>
      <c r="J1233">
        <v>9990</v>
      </c>
    </row>
    <row r="1234" spans="1:10" x14ac:dyDescent="0.25">
      <c r="A1234" t="s">
        <v>1255</v>
      </c>
      <c r="B1234" s="2">
        <v>45074</v>
      </c>
      <c r="C1234" t="s">
        <v>12</v>
      </c>
      <c r="D1234" t="s">
        <v>2023</v>
      </c>
      <c r="E1234" t="s">
        <v>19</v>
      </c>
      <c r="F1234" t="s">
        <v>23</v>
      </c>
      <c r="G1234">
        <v>4</v>
      </c>
      <c r="H1234">
        <v>12400</v>
      </c>
      <c r="I1234" s="6">
        <v>0.15000000000000002</v>
      </c>
      <c r="J1234">
        <v>10540</v>
      </c>
    </row>
    <row r="1235" spans="1:10" x14ac:dyDescent="0.25">
      <c r="A1235" t="s">
        <v>1256</v>
      </c>
      <c r="B1235" s="2">
        <v>45075</v>
      </c>
      <c r="C1235" t="s">
        <v>12</v>
      </c>
      <c r="D1235" t="s">
        <v>18</v>
      </c>
      <c r="E1235" t="s">
        <v>20</v>
      </c>
      <c r="F1235" t="s">
        <v>23</v>
      </c>
      <c r="G1235">
        <v>4</v>
      </c>
      <c r="H1235">
        <v>5400</v>
      </c>
      <c r="I1235" s="6">
        <v>0.2</v>
      </c>
      <c r="J1235">
        <v>4320</v>
      </c>
    </row>
    <row r="1236" spans="1:10" x14ac:dyDescent="0.25">
      <c r="A1236" t="s">
        <v>1257</v>
      </c>
      <c r="B1236" s="2">
        <v>45076</v>
      </c>
      <c r="C1236" t="s">
        <v>12</v>
      </c>
      <c r="D1236" t="s">
        <v>2024</v>
      </c>
      <c r="E1236" t="s">
        <v>21</v>
      </c>
      <c r="F1236" t="s">
        <v>23</v>
      </c>
      <c r="G1236">
        <v>5</v>
      </c>
      <c r="H1236">
        <v>9800</v>
      </c>
      <c r="I1236" s="6">
        <v>0.25</v>
      </c>
      <c r="J1236">
        <v>7350</v>
      </c>
    </row>
    <row r="1237" spans="1:10" x14ac:dyDescent="0.25">
      <c r="A1237" t="s">
        <v>1258</v>
      </c>
      <c r="B1237" s="2">
        <v>45077</v>
      </c>
      <c r="C1237" t="s">
        <v>12</v>
      </c>
      <c r="D1237" t="s">
        <v>2025</v>
      </c>
      <c r="E1237" t="s">
        <v>22</v>
      </c>
      <c r="F1237" t="s">
        <v>23</v>
      </c>
      <c r="G1237">
        <v>3</v>
      </c>
      <c r="H1237">
        <v>4600</v>
      </c>
      <c r="I1237" s="6">
        <v>0.05</v>
      </c>
      <c r="J1237">
        <v>4370</v>
      </c>
    </row>
    <row r="1238" spans="1:10" x14ac:dyDescent="0.25">
      <c r="A1238" t="s">
        <v>1259</v>
      </c>
      <c r="B1238" s="2">
        <v>45078</v>
      </c>
      <c r="C1238" t="s">
        <v>12</v>
      </c>
      <c r="D1238" t="s">
        <v>2026</v>
      </c>
      <c r="E1238" t="s">
        <v>19</v>
      </c>
      <c r="F1238" t="s">
        <v>23</v>
      </c>
      <c r="G1238">
        <v>7</v>
      </c>
      <c r="H1238">
        <v>4100</v>
      </c>
      <c r="I1238" s="6">
        <v>0.1</v>
      </c>
      <c r="J1238">
        <v>3690</v>
      </c>
    </row>
    <row r="1239" spans="1:10" x14ac:dyDescent="0.25">
      <c r="A1239" t="s">
        <v>1260</v>
      </c>
      <c r="B1239" s="2">
        <v>45079</v>
      </c>
      <c r="C1239" t="s">
        <v>12</v>
      </c>
      <c r="D1239" t="s">
        <v>2027</v>
      </c>
      <c r="E1239" t="s">
        <v>20</v>
      </c>
      <c r="F1239" t="s">
        <v>23</v>
      </c>
      <c r="G1239">
        <v>1</v>
      </c>
      <c r="H1239">
        <v>5100</v>
      </c>
      <c r="I1239" s="6">
        <v>0.15000000000000002</v>
      </c>
      <c r="J1239">
        <v>4335</v>
      </c>
    </row>
    <row r="1240" spans="1:10" x14ac:dyDescent="0.25">
      <c r="A1240" t="s">
        <v>1261</v>
      </c>
      <c r="B1240" s="2">
        <v>45080</v>
      </c>
      <c r="C1240" t="s">
        <v>12</v>
      </c>
      <c r="D1240" t="s">
        <v>2028</v>
      </c>
      <c r="E1240" t="s">
        <v>21</v>
      </c>
      <c r="F1240" t="s">
        <v>23</v>
      </c>
      <c r="G1240">
        <v>9</v>
      </c>
      <c r="H1240">
        <v>4900</v>
      </c>
      <c r="I1240" s="6">
        <v>0.2</v>
      </c>
      <c r="J1240">
        <v>3920</v>
      </c>
    </row>
    <row r="1241" spans="1:10" x14ac:dyDescent="0.25">
      <c r="A1241" t="s">
        <v>1262</v>
      </c>
      <c r="B1241" s="2">
        <v>45081</v>
      </c>
      <c r="C1241" t="s">
        <v>12</v>
      </c>
      <c r="D1241" t="s">
        <v>2029</v>
      </c>
      <c r="E1241" t="s">
        <v>22</v>
      </c>
      <c r="F1241" t="s">
        <v>23</v>
      </c>
      <c r="G1241">
        <v>4</v>
      </c>
      <c r="H1241">
        <v>8200</v>
      </c>
      <c r="I1241" s="6">
        <v>0.25</v>
      </c>
      <c r="J1241">
        <v>6150</v>
      </c>
    </row>
    <row r="1242" spans="1:10" x14ac:dyDescent="0.25">
      <c r="A1242" t="s">
        <v>1263</v>
      </c>
      <c r="B1242" s="2">
        <v>45082</v>
      </c>
      <c r="C1242" t="s">
        <v>13</v>
      </c>
      <c r="D1242" t="s">
        <v>16</v>
      </c>
      <c r="E1242" t="s">
        <v>19</v>
      </c>
      <c r="F1242" t="s">
        <v>24</v>
      </c>
      <c r="G1242">
        <v>3</v>
      </c>
      <c r="H1242">
        <v>5400</v>
      </c>
      <c r="I1242" s="6">
        <v>0.05</v>
      </c>
      <c r="J1242">
        <v>5130</v>
      </c>
    </row>
    <row r="1243" spans="1:10" x14ac:dyDescent="0.25">
      <c r="A1243" t="s">
        <v>1264</v>
      </c>
      <c r="B1243" s="2">
        <v>45083</v>
      </c>
      <c r="C1243" t="s">
        <v>13</v>
      </c>
      <c r="D1243" t="s">
        <v>2030</v>
      </c>
      <c r="E1243" t="s">
        <v>20</v>
      </c>
      <c r="F1243" t="s">
        <v>24</v>
      </c>
      <c r="G1243">
        <v>2</v>
      </c>
      <c r="H1243">
        <v>4300</v>
      </c>
      <c r="I1243" s="6">
        <v>0.1</v>
      </c>
      <c r="J1243">
        <v>3870</v>
      </c>
    </row>
    <row r="1244" spans="1:10" x14ac:dyDescent="0.25">
      <c r="A1244" t="s">
        <v>1265</v>
      </c>
      <c r="B1244" s="2">
        <v>45084</v>
      </c>
      <c r="C1244" t="s">
        <v>13</v>
      </c>
      <c r="D1244" t="s">
        <v>2031</v>
      </c>
      <c r="E1244" t="s">
        <v>21</v>
      </c>
      <c r="F1244" t="s">
        <v>24</v>
      </c>
      <c r="G1244">
        <v>10</v>
      </c>
      <c r="H1244">
        <v>8400</v>
      </c>
      <c r="I1244" s="6">
        <v>0.15000000000000002</v>
      </c>
      <c r="J1244">
        <v>7140</v>
      </c>
    </row>
    <row r="1245" spans="1:10" x14ac:dyDescent="0.25">
      <c r="A1245" t="s">
        <v>1266</v>
      </c>
      <c r="B1245" s="2">
        <v>45085</v>
      </c>
      <c r="C1245" t="s">
        <v>13</v>
      </c>
      <c r="D1245" t="s">
        <v>2032</v>
      </c>
      <c r="E1245" t="s">
        <v>22</v>
      </c>
      <c r="F1245" t="s">
        <v>24</v>
      </c>
      <c r="G1245">
        <v>3</v>
      </c>
      <c r="H1245">
        <v>7200</v>
      </c>
      <c r="I1245" s="6">
        <v>0.2</v>
      </c>
      <c r="J1245">
        <v>5760</v>
      </c>
    </row>
    <row r="1246" spans="1:10" x14ac:dyDescent="0.25">
      <c r="A1246" t="s">
        <v>1267</v>
      </c>
      <c r="B1246" s="2">
        <v>45086</v>
      </c>
      <c r="C1246" t="s">
        <v>13</v>
      </c>
      <c r="D1246" t="s">
        <v>2033</v>
      </c>
      <c r="E1246" t="s">
        <v>19</v>
      </c>
      <c r="F1246" t="s">
        <v>24</v>
      </c>
      <c r="G1246">
        <v>3</v>
      </c>
      <c r="H1246">
        <v>6600</v>
      </c>
      <c r="I1246" s="6">
        <v>0.25</v>
      </c>
      <c r="J1246">
        <v>4950</v>
      </c>
    </row>
    <row r="1247" spans="1:10" x14ac:dyDescent="0.25">
      <c r="A1247" t="s">
        <v>1268</v>
      </c>
      <c r="B1247" s="2">
        <v>45087</v>
      </c>
      <c r="C1247" t="s">
        <v>13</v>
      </c>
      <c r="D1247" t="s">
        <v>2034</v>
      </c>
      <c r="E1247" t="s">
        <v>20</v>
      </c>
      <c r="F1247" t="s">
        <v>24</v>
      </c>
      <c r="G1247">
        <v>6</v>
      </c>
      <c r="H1247">
        <v>7500</v>
      </c>
      <c r="I1247" s="6">
        <v>0.05</v>
      </c>
      <c r="J1247">
        <v>7125</v>
      </c>
    </row>
    <row r="1248" spans="1:10" x14ac:dyDescent="0.25">
      <c r="A1248" t="s">
        <v>1269</v>
      </c>
      <c r="B1248" s="2">
        <v>45088</v>
      </c>
      <c r="C1248" t="s">
        <v>13</v>
      </c>
      <c r="D1248" t="s">
        <v>2035</v>
      </c>
      <c r="E1248" t="s">
        <v>21</v>
      </c>
      <c r="F1248" t="s">
        <v>24</v>
      </c>
      <c r="G1248">
        <v>4</v>
      </c>
      <c r="H1248">
        <v>11800</v>
      </c>
      <c r="I1248" s="6">
        <v>0.1</v>
      </c>
      <c r="J1248">
        <v>10620</v>
      </c>
    </row>
    <row r="1249" spans="1:10" x14ac:dyDescent="0.25">
      <c r="A1249" t="s">
        <v>1270</v>
      </c>
      <c r="B1249" s="2">
        <v>45089</v>
      </c>
      <c r="C1249" t="s">
        <v>13</v>
      </c>
      <c r="D1249" t="s">
        <v>2036</v>
      </c>
      <c r="E1249" t="s">
        <v>22</v>
      </c>
      <c r="F1249" t="s">
        <v>24</v>
      </c>
      <c r="G1249">
        <v>4</v>
      </c>
      <c r="H1249">
        <v>8800</v>
      </c>
      <c r="I1249" s="6">
        <v>0.15000000000000002</v>
      </c>
      <c r="J1249">
        <v>7480</v>
      </c>
    </row>
    <row r="1250" spans="1:10" x14ac:dyDescent="0.25">
      <c r="A1250" t="s">
        <v>1271</v>
      </c>
      <c r="B1250" s="2">
        <v>45090</v>
      </c>
      <c r="C1250" t="s">
        <v>13</v>
      </c>
      <c r="D1250" t="s">
        <v>2037</v>
      </c>
      <c r="E1250" t="s">
        <v>19</v>
      </c>
      <c r="F1250" t="s">
        <v>24</v>
      </c>
      <c r="G1250">
        <v>9</v>
      </c>
      <c r="H1250">
        <v>14100</v>
      </c>
      <c r="I1250" s="6">
        <v>0.2</v>
      </c>
      <c r="J1250">
        <v>11280</v>
      </c>
    </row>
    <row r="1251" spans="1:10" x14ac:dyDescent="0.25">
      <c r="A1251" t="s">
        <v>1272</v>
      </c>
      <c r="B1251" s="2">
        <v>45091</v>
      </c>
      <c r="C1251" t="s">
        <v>13</v>
      </c>
      <c r="D1251" t="s">
        <v>2038</v>
      </c>
      <c r="E1251" t="s">
        <v>20</v>
      </c>
      <c r="F1251" t="s">
        <v>24</v>
      </c>
      <c r="G1251">
        <v>6</v>
      </c>
      <c r="H1251">
        <v>14100</v>
      </c>
      <c r="I1251" s="6">
        <v>0.25</v>
      </c>
      <c r="J1251">
        <v>10575</v>
      </c>
    </row>
    <row r="1252" spans="1:10" x14ac:dyDescent="0.25">
      <c r="A1252" t="s">
        <v>1273</v>
      </c>
      <c r="B1252" s="2">
        <v>45092</v>
      </c>
      <c r="C1252" t="s">
        <v>14</v>
      </c>
      <c r="D1252" t="s">
        <v>2039</v>
      </c>
      <c r="E1252" t="s">
        <v>21</v>
      </c>
      <c r="F1252" t="s">
        <v>25</v>
      </c>
      <c r="G1252">
        <v>5</v>
      </c>
      <c r="H1252">
        <v>14600</v>
      </c>
      <c r="I1252" s="6">
        <v>0.05</v>
      </c>
      <c r="J1252">
        <v>13870</v>
      </c>
    </row>
    <row r="1253" spans="1:10" x14ac:dyDescent="0.25">
      <c r="A1253" t="s">
        <v>1274</v>
      </c>
      <c r="B1253" s="2">
        <v>45093</v>
      </c>
      <c r="C1253" t="s">
        <v>14</v>
      </c>
      <c r="D1253" t="s">
        <v>2040</v>
      </c>
      <c r="E1253" t="s">
        <v>22</v>
      </c>
      <c r="F1253" t="s">
        <v>25</v>
      </c>
      <c r="G1253">
        <v>1</v>
      </c>
      <c r="H1253">
        <v>4800</v>
      </c>
      <c r="I1253" s="6">
        <v>0.1</v>
      </c>
      <c r="J1253">
        <v>4320</v>
      </c>
    </row>
    <row r="1254" spans="1:10" x14ac:dyDescent="0.25">
      <c r="A1254" t="s">
        <v>1275</v>
      </c>
      <c r="B1254" s="2">
        <v>45094</v>
      </c>
      <c r="C1254" t="s">
        <v>14</v>
      </c>
      <c r="D1254" t="s">
        <v>2041</v>
      </c>
      <c r="E1254" t="s">
        <v>19</v>
      </c>
      <c r="F1254" t="s">
        <v>25</v>
      </c>
      <c r="G1254">
        <v>9</v>
      </c>
      <c r="H1254">
        <v>10600</v>
      </c>
      <c r="I1254" s="6">
        <v>0.15000000000000002</v>
      </c>
      <c r="J1254">
        <v>9010</v>
      </c>
    </row>
    <row r="1255" spans="1:10" x14ac:dyDescent="0.25">
      <c r="A1255" t="s">
        <v>1276</v>
      </c>
      <c r="B1255" s="2">
        <v>45095</v>
      </c>
      <c r="C1255" t="s">
        <v>14</v>
      </c>
      <c r="D1255" t="s">
        <v>2042</v>
      </c>
      <c r="E1255" t="s">
        <v>20</v>
      </c>
      <c r="F1255" t="s">
        <v>25</v>
      </c>
      <c r="G1255">
        <v>9</v>
      </c>
      <c r="H1255">
        <v>5500</v>
      </c>
      <c r="I1255" s="6">
        <v>0.2</v>
      </c>
      <c r="J1255">
        <v>4400</v>
      </c>
    </row>
    <row r="1256" spans="1:10" x14ac:dyDescent="0.25">
      <c r="A1256" t="s">
        <v>1277</v>
      </c>
      <c r="B1256" s="2">
        <v>45096</v>
      </c>
      <c r="C1256" t="s">
        <v>14</v>
      </c>
      <c r="D1256" t="s">
        <v>2043</v>
      </c>
      <c r="E1256" t="s">
        <v>21</v>
      </c>
      <c r="F1256" t="s">
        <v>25</v>
      </c>
      <c r="G1256">
        <v>4</v>
      </c>
      <c r="H1256">
        <v>7000</v>
      </c>
      <c r="I1256" s="6">
        <v>0.25</v>
      </c>
      <c r="J1256">
        <v>5250</v>
      </c>
    </row>
    <row r="1257" spans="1:10" x14ac:dyDescent="0.25">
      <c r="A1257" t="s">
        <v>1278</v>
      </c>
      <c r="B1257" s="2">
        <v>45097</v>
      </c>
      <c r="C1257" t="s">
        <v>14</v>
      </c>
      <c r="D1257" t="s">
        <v>2044</v>
      </c>
      <c r="E1257" t="s">
        <v>22</v>
      </c>
      <c r="F1257" t="s">
        <v>25</v>
      </c>
      <c r="G1257">
        <v>5</v>
      </c>
      <c r="H1257">
        <v>10700</v>
      </c>
      <c r="I1257" s="6">
        <v>0.05</v>
      </c>
      <c r="J1257">
        <v>10165</v>
      </c>
    </row>
    <row r="1258" spans="1:10" x14ac:dyDescent="0.25">
      <c r="A1258" t="s">
        <v>1279</v>
      </c>
      <c r="B1258" s="2">
        <v>45098</v>
      </c>
      <c r="C1258" t="s">
        <v>14</v>
      </c>
      <c r="D1258" t="s">
        <v>2045</v>
      </c>
      <c r="E1258" t="s">
        <v>19</v>
      </c>
      <c r="F1258" t="s">
        <v>25</v>
      </c>
      <c r="G1258">
        <v>2</v>
      </c>
      <c r="H1258">
        <v>7900</v>
      </c>
      <c r="I1258" s="6">
        <v>0.1</v>
      </c>
      <c r="J1258">
        <v>7110</v>
      </c>
    </row>
    <row r="1259" spans="1:10" x14ac:dyDescent="0.25">
      <c r="A1259" t="s">
        <v>1280</v>
      </c>
      <c r="B1259" s="2">
        <v>45099</v>
      </c>
      <c r="C1259" t="s">
        <v>14</v>
      </c>
      <c r="D1259" t="s">
        <v>2046</v>
      </c>
      <c r="E1259" t="s">
        <v>20</v>
      </c>
      <c r="F1259" t="s">
        <v>25</v>
      </c>
      <c r="G1259">
        <v>8</v>
      </c>
      <c r="H1259">
        <v>11000</v>
      </c>
      <c r="I1259" s="6">
        <v>0.15000000000000002</v>
      </c>
      <c r="J1259">
        <v>9350</v>
      </c>
    </row>
    <row r="1260" spans="1:10" x14ac:dyDescent="0.25">
      <c r="A1260" t="s">
        <v>1281</v>
      </c>
      <c r="B1260" s="2">
        <v>45100</v>
      </c>
      <c r="C1260" t="s">
        <v>14</v>
      </c>
      <c r="D1260" t="s">
        <v>2047</v>
      </c>
      <c r="E1260" t="s">
        <v>21</v>
      </c>
      <c r="F1260" t="s">
        <v>25</v>
      </c>
      <c r="G1260">
        <v>8</v>
      </c>
      <c r="H1260">
        <v>11200</v>
      </c>
      <c r="I1260" s="6">
        <v>0.2</v>
      </c>
      <c r="J1260">
        <v>8960</v>
      </c>
    </row>
    <row r="1261" spans="1:10" x14ac:dyDescent="0.25">
      <c r="A1261" t="s">
        <v>1282</v>
      </c>
      <c r="B1261" s="2">
        <v>45101</v>
      </c>
      <c r="C1261" t="s">
        <v>14</v>
      </c>
      <c r="D1261" t="s">
        <v>2048</v>
      </c>
      <c r="E1261" t="s">
        <v>22</v>
      </c>
      <c r="F1261" t="s">
        <v>25</v>
      </c>
      <c r="G1261">
        <v>4</v>
      </c>
      <c r="H1261">
        <v>14200</v>
      </c>
      <c r="I1261" s="6">
        <v>0.25</v>
      </c>
      <c r="J1261">
        <v>10650</v>
      </c>
    </row>
    <row r="1262" spans="1:10" x14ac:dyDescent="0.25">
      <c r="A1262" t="s">
        <v>1283</v>
      </c>
      <c r="B1262" s="2">
        <v>45102</v>
      </c>
      <c r="C1262" t="s">
        <v>12</v>
      </c>
      <c r="D1262" t="s">
        <v>15</v>
      </c>
      <c r="E1262" t="s">
        <v>19</v>
      </c>
      <c r="F1262" t="s">
        <v>23</v>
      </c>
      <c r="G1262">
        <v>10</v>
      </c>
      <c r="H1262">
        <v>8300</v>
      </c>
      <c r="I1262" s="6">
        <v>0.05</v>
      </c>
      <c r="J1262">
        <v>7885</v>
      </c>
    </row>
    <row r="1263" spans="1:10" x14ac:dyDescent="0.25">
      <c r="A1263" t="s">
        <v>1284</v>
      </c>
      <c r="B1263" s="2">
        <v>45103</v>
      </c>
      <c r="C1263" t="s">
        <v>12</v>
      </c>
      <c r="D1263" t="s">
        <v>17</v>
      </c>
      <c r="E1263" t="s">
        <v>20</v>
      </c>
      <c r="F1263" t="s">
        <v>23</v>
      </c>
      <c r="G1263">
        <v>7</v>
      </c>
      <c r="H1263">
        <v>11400</v>
      </c>
      <c r="I1263" s="6">
        <v>0.1</v>
      </c>
      <c r="J1263">
        <v>10260</v>
      </c>
    </row>
    <row r="1264" spans="1:10" x14ac:dyDescent="0.25">
      <c r="A1264" t="s">
        <v>1285</v>
      </c>
      <c r="B1264" s="2">
        <v>45104</v>
      </c>
      <c r="C1264" t="s">
        <v>12</v>
      </c>
      <c r="D1264" t="s">
        <v>2023</v>
      </c>
      <c r="E1264" t="s">
        <v>21</v>
      </c>
      <c r="F1264" t="s">
        <v>23</v>
      </c>
      <c r="G1264">
        <v>1</v>
      </c>
      <c r="H1264">
        <v>13400</v>
      </c>
      <c r="I1264" s="6">
        <v>0.15000000000000002</v>
      </c>
      <c r="J1264">
        <v>11390</v>
      </c>
    </row>
    <row r="1265" spans="1:10" x14ac:dyDescent="0.25">
      <c r="A1265" t="s">
        <v>1286</v>
      </c>
      <c r="B1265" s="2">
        <v>45105</v>
      </c>
      <c r="C1265" t="s">
        <v>12</v>
      </c>
      <c r="D1265" t="s">
        <v>18</v>
      </c>
      <c r="E1265" t="s">
        <v>22</v>
      </c>
      <c r="F1265" t="s">
        <v>23</v>
      </c>
      <c r="G1265">
        <v>3</v>
      </c>
      <c r="H1265">
        <v>5800</v>
      </c>
      <c r="I1265" s="6">
        <v>0.2</v>
      </c>
      <c r="J1265">
        <v>4640</v>
      </c>
    </row>
    <row r="1266" spans="1:10" x14ac:dyDescent="0.25">
      <c r="A1266" t="s">
        <v>1287</v>
      </c>
      <c r="B1266" s="2">
        <v>45106</v>
      </c>
      <c r="C1266" t="s">
        <v>12</v>
      </c>
      <c r="D1266" t="s">
        <v>2024</v>
      </c>
      <c r="E1266" t="s">
        <v>19</v>
      </c>
      <c r="F1266" t="s">
        <v>23</v>
      </c>
      <c r="G1266">
        <v>8</v>
      </c>
      <c r="H1266">
        <v>11000</v>
      </c>
      <c r="I1266" s="6">
        <v>0.25</v>
      </c>
      <c r="J1266">
        <v>8250</v>
      </c>
    </row>
    <row r="1267" spans="1:10" x14ac:dyDescent="0.25">
      <c r="A1267" t="s">
        <v>1288</v>
      </c>
      <c r="B1267" s="2">
        <v>45107</v>
      </c>
      <c r="C1267" t="s">
        <v>12</v>
      </c>
      <c r="D1267" t="s">
        <v>2025</v>
      </c>
      <c r="E1267" t="s">
        <v>20</v>
      </c>
      <c r="F1267" t="s">
        <v>23</v>
      </c>
      <c r="G1267">
        <v>1</v>
      </c>
      <c r="H1267">
        <v>14200</v>
      </c>
      <c r="I1267" s="6">
        <v>0.05</v>
      </c>
      <c r="J1267">
        <v>13490</v>
      </c>
    </row>
    <row r="1268" spans="1:10" x14ac:dyDescent="0.25">
      <c r="A1268" t="s">
        <v>1289</v>
      </c>
      <c r="B1268" s="2">
        <v>45108</v>
      </c>
      <c r="C1268" t="s">
        <v>12</v>
      </c>
      <c r="D1268" t="s">
        <v>2026</v>
      </c>
      <c r="E1268" t="s">
        <v>21</v>
      </c>
      <c r="F1268" t="s">
        <v>23</v>
      </c>
      <c r="G1268">
        <v>2</v>
      </c>
      <c r="H1268">
        <v>5500</v>
      </c>
      <c r="I1268" s="6">
        <v>0.1</v>
      </c>
      <c r="J1268">
        <v>4950</v>
      </c>
    </row>
    <row r="1269" spans="1:10" x14ac:dyDescent="0.25">
      <c r="A1269" t="s">
        <v>1290</v>
      </c>
      <c r="B1269" s="2">
        <v>45109</v>
      </c>
      <c r="C1269" t="s">
        <v>12</v>
      </c>
      <c r="D1269" t="s">
        <v>2027</v>
      </c>
      <c r="E1269" t="s">
        <v>22</v>
      </c>
      <c r="F1269" t="s">
        <v>23</v>
      </c>
      <c r="G1269">
        <v>1</v>
      </c>
      <c r="H1269">
        <v>10400</v>
      </c>
      <c r="I1269" s="6">
        <v>0.15000000000000002</v>
      </c>
      <c r="J1269">
        <v>8840</v>
      </c>
    </row>
    <row r="1270" spans="1:10" x14ac:dyDescent="0.25">
      <c r="A1270" t="s">
        <v>1291</v>
      </c>
      <c r="B1270" s="2">
        <v>45110</v>
      </c>
      <c r="C1270" t="s">
        <v>12</v>
      </c>
      <c r="D1270" t="s">
        <v>2028</v>
      </c>
      <c r="E1270" t="s">
        <v>19</v>
      </c>
      <c r="F1270" t="s">
        <v>23</v>
      </c>
      <c r="G1270">
        <v>2</v>
      </c>
      <c r="H1270">
        <v>6400</v>
      </c>
      <c r="I1270" s="6">
        <v>0.2</v>
      </c>
      <c r="J1270">
        <v>5120</v>
      </c>
    </row>
    <row r="1271" spans="1:10" x14ac:dyDescent="0.25">
      <c r="A1271" t="s">
        <v>1292</v>
      </c>
      <c r="B1271" s="2">
        <v>45111</v>
      </c>
      <c r="C1271" t="s">
        <v>12</v>
      </c>
      <c r="D1271" t="s">
        <v>2029</v>
      </c>
      <c r="E1271" t="s">
        <v>20</v>
      </c>
      <c r="F1271" t="s">
        <v>23</v>
      </c>
      <c r="G1271">
        <v>9</v>
      </c>
      <c r="H1271">
        <v>12300</v>
      </c>
      <c r="I1271" s="6">
        <v>0.25</v>
      </c>
      <c r="J1271">
        <v>9225</v>
      </c>
    </row>
    <row r="1272" spans="1:10" x14ac:dyDescent="0.25">
      <c r="A1272" t="s">
        <v>1293</v>
      </c>
      <c r="B1272" s="2">
        <v>45112</v>
      </c>
      <c r="C1272" t="s">
        <v>13</v>
      </c>
      <c r="D1272" t="s">
        <v>16</v>
      </c>
      <c r="E1272" t="s">
        <v>21</v>
      </c>
      <c r="F1272" t="s">
        <v>24</v>
      </c>
      <c r="G1272">
        <v>3</v>
      </c>
      <c r="H1272">
        <v>10300</v>
      </c>
      <c r="I1272" s="6">
        <v>0.05</v>
      </c>
      <c r="J1272">
        <v>9785</v>
      </c>
    </row>
    <row r="1273" spans="1:10" x14ac:dyDescent="0.25">
      <c r="A1273" t="s">
        <v>1294</v>
      </c>
      <c r="B1273" s="2">
        <v>45113</v>
      </c>
      <c r="C1273" t="s">
        <v>13</v>
      </c>
      <c r="D1273" t="s">
        <v>2030</v>
      </c>
      <c r="E1273" t="s">
        <v>22</v>
      </c>
      <c r="F1273" t="s">
        <v>24</v>
      </c>
      <c r="G1273">
        <v>8</v>
      </c>
      <c r="H1273">
        <v>9500</v>
      </c>
      <c r="I1273" s="6">
        <v>0.1</v>
      </c>
      <c r="J1273">
        <v>8550</v>
      </c>
    </row>
    <row r="1274" spans="1:10" x14ac:dyDescent="0.25">
      <c r="A1274" t="s">
        <v>1295</v>
      </c>
      <c r="B1274" s="2">
        <v>45114</v>
      </c>
      <c r="C1274" t="s">
        <v>13</v>
      </c>
      <c r="D1274" t="s">
        <v>2031</v>
      </c>
      <c r="E1274" t="s">
        <v>19</v>
      </c>
      <c r="F1274" t="s">
        <v>24</v>
      </c>
      <c r="G1274">
        <v>8</v>
      </c>
      <c r="H1274">
        <v>14500</v>
      </c>
      <c r="I1274" s="6">
        <v>0.15000000000000002</v>
      </c>
      <c r="J1274">
        <v>12325</v>
      </c>
    </row>
    <row r="1275" spans="1:10" x14ac:dyDescent="0.25">
      <c r="A1275" t="s">
        <v>1296</v>
      </c>
      <c r="B1275" s="2">
        <v>45115</v>
      </c>
      <c r="C1275" t="s">
        <v>13</v>
      </c>
      <c r="D1275" t="s">
        <v>2032</v>
      </c>
      <c r="E1275" t="s">
        <v>20</v>
      </c>
      <c r="F1275" t="s">
        <v>24</v>
      </c>
      <c r="G1275">
        <v>1</v>
      </c>
      <c r="H1275">
        <v>14500</v>
      </c>
      <c r="I1275" s="6">
        <v>0.2</v>
      </c>
      <c r="J1275">
        <v>11600</v>
      </c>
    </row>
    <row r="1276" spans="1:10" x14ac:dyDescent="0.25">
      <c r="A1276" t="s">
        <v>1297</v>
      </c>
      <c r="B1276" s="2">
        <v>45116</v>
      </c>
      <c r="C1276" t="s">
        <v>13</v>
      </c>
      <c r="D1276" t="s">
        <v>2033</v>
      </c>
      <c r="E1276" t="s">
        <v>21</v>
      </c>
      <c r="F1276" t="s">
        <v>24</v>
      </c>
      <c r="G1276">
        <v>2</v>
      </c>
      <c r="H1276">
        <v>10200</v>
      </c>
      <c r="I1276" s="6">
        <v>0.25</v>
      </c>
      <c r="J1276">
        <v>7650</v>
      </c>
    </row>
    <row r="1277" spans="1:10" x14ac:dyDescent="0.25">
      <c r="A1277" t="s">
        <v>1298</v>
      </c>
      <c r="B1277" s="2">
        <v>45117</v>
      </c>
      <c r="C1277" t="s">
        <v>13</v>
      </c>
      <c r="D1277" t="s">
        <v>2034</v>
      </c>
      <c r="E1277" t="s">
        <v>22</v>
      </c>
      <c r="F1277" t="s">
        <v>24</v>
      </c>
      <c r="G1277">
        <v>10</v>
      </c>
      <c r="H1277">
        <v>12200</v>
      </c>
      <c r="I1277" s="6">
        <v>0.05</v>
      </c>
      <c r="J1277">
        <v>11590</v>
      </c>
    </row>
    <row r="1278" spans="1:10" x14ac:dyDescent="0.25">
      <c r="A1278" t="s">
        <v>1299</v>
      </c>
      <c r="B1278" s="2">
        <v>45118</v>
      </c>
      <c r="C1278" t="s">
        <v>13</v>
      </c>
      <c r="D1278" t="s">
        <v>2035</v>
      </c>
      <c r="E1278" t="s">
        <v>19</v>
      </c>
      <c r="F1278" t="s">
        <v>24</v>
      </c>
      <c r="G1278">
        <v>2</v>
      </c>
      <c r="H1278">
        <v>5800</v>
      </c>
      <c r="I1278" s="6">
        <v>0.1</v>
      </c>
      <c r="J1278">
        <v>5220</v>
      </c>
    </row>
    <row r="1279" spans="1:10" x14ac:dyDescent="0.25">
      <c r="A1279" t="s">
        <v>1300</v>
      </c>
      <c r="B1279" s="2">
        <v>45119</v>
      </c>
      <c r="C1279" t="s">
        <v>13</v>
      </c>
      <c r="D1279" t="s">
        <v>2036</v>
      </c>
      <c r="E1279" t="s">
        <v>20</v>
      </c>
      <c r="F1279" t="s">
        <v>24</v>
      </c>
      <c r="G1279">
        <v>6</v>
      </c>
      <c r="H1279">
        <v>6300</v>
      </c>
      <c r="I1279" s="6">
        <v>0.15000000000000002</v>
      </c>
      <c r="J1279">
        <v>5355</v>
      </c>
    </row>
    <row r="1280" spans="1:10" x14ac:dyDescent="0.25">
      <c r="A1280" t="s">
        <v>1301</v>
      </c>
      <c r="B1280" s="2">
        <v>45120</v>
      </c>
      <c r="C1280" t="s">
        <v>13</v>
      </c>
      <c r="D1280" t="s">
        <v>2037</v>
      </c>
      <c r="E1280" t="s">
        <v>21</v>
      </c>
      <c r="F1280" t="s">
        <v>24</v>
      </c>
      <c r="G1280">
        <v>3</v>
      </c>
      <c r="H1280">
        <v>14300</v>
      </c>
      <c r="I1280" s="6">
        <v>0.2</v>
      </c>
      <c r="J1280">
        <v>11440</v>
      </c>
    </row>
    <row r="1281" spans="1:10" x14ac:dyDescent="0.25">
      <c r="A1281" t="s">
        <v>1302</v>
      </c>
      <c r="B1281" s="2">
        <v>45121</v>
      </c>
      <c r="C1281" t="s">
        <v>13</v>
      </c>
      <c r="D1281" t="s">
        <v>2038</v>
      </c>
      <c r="E1281" t="s">
        <v>22</v>
      </c>
      <c r="F1281" t="s">
        <v>24</v>
      </c>
      <c r="G1281">
        <v>9</v>
      </c>
      <c r="H1281">
        <v>6500</v>
      </c>
      <c r="I1281" s="6">
        <v>0.25</v>
      </c>
      <c r="J1281">
        <v>4875</v>
      </c>
    </row>
    <row r="1282" spans="1:10" x14ac:dyDescent="0.25">
      <c r="A1282" t="s">
        <v>1303</v>
      </c>
      <c r="B1282" s="2">
        <v>45122</v>
      </c>
      <c r="C1282" t="s">
        <v>14</v>
      </c>
      <c r="D1282" t="s">
        <v>2039</v>
      </c>
      <c r="E1282" t="s">
        <v>19</v>
      </c>
      <c r="F1282" t="s">
        <v>25</v>
      </c>
      <c r="G1282">
        <v>2</v>
      </c>
      <c r="H1282">
        <v>10300</v>
      </c>
      <c r="I1282" s="6">
        <v>0.05</v>
      </c>
      <c r="J1282">
        <v>9785</v>
      </c>
    </row>
    <row r="1283" spans="1:10" x14ac:dyDescent="0.25">
      <c r="A1283" t="s">
        <v>1304</v>
      </c>
      <c r="B1283" s="2">
        <v>45123</v>
      </c>
      <c r="C1283" t="s">
        <v>14</v>
      </c>
      <c r="D1283" t="s">
        <v>2040</v>
      </c>
      <c r="E1283" t="s">
        <v>20</v>
      </c>
      <c r="F1283" t="s">
        <v>25</v>
      </c>
      <c r="G1283">
        <v>7</v>
      </c>
      <c r="H1283">
        <v>7200</v>
      </c>
      <c r="I1283" s="6">
        <v>0.1</v>
      </c>
      <c r="J1283">
        <v>6480</v>
      </c>
    </row>
    <row r="1284" spans="1:10" x14ac:dyDescent="0.25">
      <c r="A1284" t="s">
        <v>1305</v>
      </c>
      <c r="B1284" s="2">
        <v>45124</v>
      </c>
      <c r="C1284" t="s">
        <v>14</v>
      </c>
      <c r="D1284" t="s">
        <v>2041</v>
      </c>
      <c r="E1284" t="s">
        <v>21</v>
      </c>
      <c r="F1284" t="s">
        <v>25</v>
      </c>
      <c r="G1284">
        <v>6</v>
      </c>
      <c r="H1284">
        <v>13400</v>
      </c>
      <c r="I1284" s="6">
        <v>0.15000000000000002</v>
      </c>
      <c r="J1284">
        <v>11390</v>
      </c>
    </row>
    <row r="1285" spans="1:10" x14ac:dyDescent="0.25">
      <c r="A1285" t="s">
        <v>1306</v>
      </c>
      <c r="B1285" s="2">
        <v>45125</v>
      </c>
      <c r="C1285" t="s">
        <v>14</v>
      </c>
      <c r="D1285" t="s">
        <v>2042</v>
      </c>
      <c r="E1285" t="s">
        <v>22</v>
      </c>
      <c r="F1285" t="s">
        <v>25</v>
      </c>
      <c r="G1285">
        <v>3</v>
      </c>
      <c r="H1285">
        <v>9200</v>
      </c>
      <c r="I1285" s="6">
        <v>0.2</v>
      </c>
      <c r="J1285">
        <v>7360</v>
      </c>
    </row>
    <row r="1286" spans="1:10" x14ac:dyDescent="0.25">
      <c r="A1286" t="s">
        <v>1307</v>
      </c>
      <c r="B1286" s="2">
        <v>45126</v>
      </c>
      <c r="C1286" t="s">
        <v>14</v>
      </c>
      <c r="D1286" t="s">
        <v>2043</v>
      </c>
      <c r="E1286" t="s">
        <v>19</v>
      </c>
      <c r="F1286" t="s">
        <v>25</v>
      </c>
      <c r="G1286">
        <v>10</v>
      </c>
      <c r="H1286">
        <v>8800</v>
      </c>
      <c r="I1286" s="6">
        <v>0.25</v>
      </c>
      <c r="J1286">
        <v>6600</v>
      </c>
    </row>
    <row r="1287" spans="1:10" x14ac:dyDescent="0.25">
      <c r="A1287" t="s">
        <v>1308</v>
      </c>
      <c r="B1287" s="2">
        <v>45127</v>
      </c>
      <c r="C1287" t="s">
        <v>14</v>
      </c>
      <c r="D1287" t="s">
        <v>2044</v>
      </c>
      <c r="E1287" t="s">
        <v>20</v>
      </c>
      <c r="F1287" t="s">
        <v>25</v>
      </c>
      <c r="G1287">
        <v>3</v>
      </c>
      <c r="H1287">
        <v>13000</v>
      </c>
      <c r="I1287" s="6">
        <v>0.05</v>
      </c>
      <c r="J1287">
        <v>12350</v>
      </c>
    </row>
    <row r="1288" spans="1:10" x14ac:dyDescent="0.25">
      <c r="A1288" t="s">
        <v>1309</v>
      </c>
      <c r="B1288" s="2">
        <v>45128</v>
      </c>
      <c r="C1288" t="s">
        <v>14</v>
      </c>
      <c r="D1288" t="s">
        <v>2045</v>
      </c>
      <c r="E1288" t="s">
        <v>21</v>
      </c>
      <c r="F1288" t="s">
        <v>25</v>
      </c>
      <c r="G1288">
        <v>8</v>
      </c>
      <c r="H1288">
        <v>4500</v>
      </c>
      <c r="I1288" s="6">
        <v>0.1</v>
      </c>
      <c r="J1288">
        <v>4050</v>
      </c>
    </row>
    <row r="1289" spans="1:10" x14ac:dyDescent="0.25">
      <c r="A1289" t="s">
        <v>1310</v>
      </c>
      <c r="B1289" s="2">
        <v>45129</v>
      </c>
      <c r="C1289" t="s">
        <v>14</v>
      </c>
      <c r="D1289" t="s">
        <v>2046</v>
      </c>
      <c r="E1289" t="s">
        <v>22</v>
      </c>
      <c r="F1289" t="s">
        <v>25</v>
      </c>
      <c r="G1289">
        <v>8</v>
      </c>
      <c r="H1289">
        <v>10600</v>
      </c>
      <c r="I1289" s="6">
        <v>0.15000000000000002</v>
      </c>
      <c r="J1289">
        <v>9010</v>
      </c>
    </row>
    <row r="1290" spans="1:10" x14ac:dyDescent="0.25">
      <c r="A1290" t="s">
        <v>1311</v>
      </c>
      <c r="B1290" s="2">
        <v>45130</v>
      </c>
      <c r="C1290" t="s">
        <v>14</v>
      </c>
      <c r="D1290" t="s">
        <v>2047</v>
      </c>
      <c r="E1290" t="s">
        <v>19</v>
      </c>
      <c r="F1290" t="s">
        <v>25</v>
      </c>
      <c r="G1290">
        <v>5</v>
      </c>
      <c r="H1290">
        <v>4000</v>
      </c>
      <c r="I1290" s="6">
        <v>0.2</v>
      </c>
      <c r="J1290">
        <v>3200</v>
      </c>
    </row>
    <row r="1291" spans="1:10" x14ac:dyDescent="0.25">
      <c r="A1291" t="s">
        <v>1312</v>
      </c>
      <c r="B1291" s="2">
        <v>45131</v>
      </c>
      <c r="C1291" t="s">
        <v>14</v>
      </c>
      <c r="D1291" t="s">
        <v>2048</v>
      </c>
      <c r="E1291" t="s">
        <v>20</v>
      </c>
      <c r="F1291" t="s">
        <v>25</v>
      </c>
      <c r="G1291">
        <v>9</v>
      </c>
      <c r="H1291">
        <v>8000</v>
      </c>
      <c r="I1291" s="6">
        <v>0.25</v>
      </c>
      <c r="J1291">
        <v>6000</v>
      </c>
    </row>
    <row r="1292" spans="1:10" x14ac:dyDescent="0.25">
      <c r="A1292" t="s">
        <v>1313</v>
      </c>
      <c r="B1292" s="2">
        <v>45132</v>
      </c>
      <c r="C1292" t="s">
        <v>12</v>
      </c>
      <c r="D1292" t="s">
        <v>15</v>
      </c>
      <c r="E1292" t="s">
        <v>21</v>
      </c>
      <c r="F1292" t="s">
        <v>23</v>
      </c>
      <c r="G1292">
        <v>1</v>
      </c>
      <c r="H1292">
        <v>7600</v>
      </c>
      <c r="I1292" s="6">
        <v>0.05</v>
      </c>
      <c r="J1292">
        <v>7220</v>
      </c>
    </row>
    <row r="1293" spans="1:10" x14ac:dyDescent="0.25">
      <c r="A1293" t="s">
        <v>1314</v>
      </c>
      <c r="B1293" s="2">
        <v>45133</v>
      </c>
      <c r="C1293" t="s">
        <v>12</v>
      </c>
      <c r="D1293" t="s">
        <v>17</v>
      </c>
      <c r="E1293" t="s">
        <v>22</v>
      </c>
      <c r="F1293" t="s">
        <v>23</v>
      </c>
      <c r="G1293">
        <v>7</v>
      </c>
      <c r="H1293">
        <v>8800</v>
      </c>
      <c r="I1293" s="6">
        <v>0.1</v>
      </c>
      <c r="J1293">
        <v>7920</v>
      </c>
    </row>
    <row r="1294" spans="1:10" x14ac:dyDescent="0.25">
      <c r="A1294" t="s">
        <v>1315</v>
      </c>
      <c r="B1294" s="2">
        <v>45134</v>
      </c>
      <c r="C1294" t="s">
        <v>12</v>
      </c>
      <c r="D1294" t="s">
        <v>2023</v>
      </c>
      <c r="E1294" t="s">
        <v>19</v>
      </c>
      <c r="F1294" t="s">
        <v>23</v>
      </c>
      <c r="G1294">
        <v>2</v>
      </c>
      <c r="H1294">
        <v>10500</v>
      </c>
      <c r="I1294" s="6">
        <v>0.15000000000000002</v>
      </c>
      <c r="J1294">
        <v>8925</v>
      </c>
    </row>
    <row r="1295" spans="1:10" x14ac:dyDescent="0.25">
      <c r="A1295" t="s">
        <v>1316</v>
      </c>
      <c r="B1295" s="2">
        <v>45135</v>
      </c>
      <c r="C1295" t="s">
        <v>12</v>
      </c>
      <c r="D1295" t="s">
        <v>18</v>
      </c>
      <c r="E1295" t="s">
        <v>20</v>
      </c>
      <c r="F1295" t="s">
        <v>23</v>
      </c>
      <c r="G1295">
        <v>10</v>
      </c>
      <c r="H1295">
        <v>6500</v>
      </c>
      <c r="I1295" s="6">
        <v>0.2</v>
      </c>
      <c r="J1295">
        <v>5200</v>
      </c>
    </row>
    <row r="1296" spans="1:10" x14ac:dyDescent="0.25">
      <c r="A1296" t="s">
        <v>1317</v>
      </c>
      <c r="B1296" s="2">
        <v>45136</v>
      </c>
      <c r="C1296" t="s">
        <v>12</v>
      </c>
      <c r="D1296" t="s">
        <v>2024</v>
      </c>
      <c r="E1296" t="s">
        <v>21</v>
      </c>
      <c r="F1296" t="s">
        <v>23</v>
      </c>
      <c r="G1296">
        <v>2</v>
      </c>
      <c r="H1296">
        <v>9500</v>
      </c>
      <c r="I1296" s="6">
        <v>0.25</v>
      </c>
      <c r="J1296">
        <v>7125</v>
      </c>
    </row>
    <row r="1297" spans="1:10" x14ac:dyDescent="0.25">
      <c r="A1297" t="s">
        <v>1318</v>
      </c>
      <c r="B1297" s="2">
        <v>45137</v>
      </c>
      <c r="C1297" t="s">
        <v>12</v>
      </c>
      <c r="D1297" t="s">
        <v>2025</v>
      </c>
      <c r="E1297" t="s">
        <v>22</v>
      </c>
      <c r="F1297" t="s">
        <v>23</v>
      </c>
      <c r="G1297">
        <v>8</v>
      </c>
      <c r="H1297">
        <v>7500</v>
      </c>
      <c r="I1297" s="6">
        <v>0.05</v>
      </c>
      <c r="J1297">
        <v>7125</v>
      </c>
    </row>
    <row r="1298" spans="1:10" x14ac:dyDescent="0.25">
      <c r="A1298" t="s">
        <v>1319</v>
      </c>
      <c r="B1298" s="2">
        <v>45138</v>
      </c>
      <c r="C1298" t="s">
        <v>12</v>
      </c>
      <c r="D1298" t="s">
        <v>2026</v>
      </c>
      <c r="E1298" t="s">
        <v>19</v>
      </c>
      <c r="F1298" t="s">
        <v>23</v>
      </c>
      <c r="G1298">
        <v>10</v>
      </c>
      <c r="H1298">
        <v>14800</v>
      </c>
      <c r="I1298" s="6">
        <v>0.1</v>
      </c>
      <c r="J1298">
        <v>13320</v>
      </c>
    </row>
    <row r="1299" spans="1:10" x14ac:dyDescent="0.25">
      <c r="A1299" t="s">
        <v>1320</v>
      </c>
      <c r="B1299" s="2">
        <v>45139</v>
      </c>
      <c r="C1299" t="s">
        <v>12</v>
      </c>
      <c r="D1299" t="s">
        <v>2027</v>
      </c>
      <c r="E1299" t="s">
        <v>20</v>
      </c>
      <c r="F1299" t="s">
        <v>23</v>
      </c>
      <c r="G1299">
        <v>10</v>
      </c>
      <c r="H1299">
        <v>4800</v>
      </c>
      <c r="I1299" s="6">
        <v>0.15000000000000002</v>
      </c>
      <c r="J1299">
        <v>4080</v>
      </c>
    </row>
    <row r="1300" spans="1:10" x14ac:dyDescent="0.25">
      <c r="A1300" t="s">
        <v>1321</v>
      </c>
      <c r="B1300" s="2">
        <v>45140</v>
      </c>
      <c r="C1300" t="s">
        <v>12</v>
      </c>
      <c r="D1300" t="s">
        <v>2028</v>
      </c>
      <c r="E1300" t="s">
        <v>21</v>
      </c>
      <c r="F1300" t="s">
        <v>23</v>
      </c>
      <c r="G1300">
        <v>8</v>
      </c>
      <c r="H1300">
        <v>11600</v>
      </c>
      <c r="I1300" s="6">
        <v>0.2</v>
      </c>
      <c r="J1300">
        <v>9280</v>
      </c>
    </row>
    <row r="1301" spans="1:10" x14ac:dyDescent="0.25">
      <c r="A1301" t="s">
        <v>1322</v>
      </c>
      <c r="B1301" s="2">
        <v>45141</v>
      </c>
      <c r="C1301" t="s">
        <v>12</v>
      </c>
      <c r="D1301" t="s">
        <v>2029</v>
      </c>
      <c r="E1301" t="s">
        <v>22</v>
      </c>
      <c r="F1301" t="s">
        <v>23</v>
      </c>
      <c r="G1301">
        <v>2</v>
      </c>
      <c r="H1301">
        <v>9700</v>
      </c>
      <c r="I1301" s="6">
        <v>0.25</v>
      </c>
      <c r="J1301">
        <v>7275</v>
      </c>
    </row>
    <row r="1302" spans="1:10" x14ac:dyDescent="0.25">
      <c r="A1302" t="s">
        <v>1323</v>
      </c>
      <c r="B1302" s="2">
        <v>45142</v>
      </c>
      <c r="C1302" t="s">
        <v>13</v>
      </c>
      <c r="D1302" t="s">
        <v>16</v>
      </c>
      <c r="E1302" t="s">
        <v>19</v>
      </c>
      <c r="F1302" t="s">
        <v>24</v>
      </c>
      <c r="G1302">
        <v>9</v>
      </c>
      <c r="H1302">
        <v>7200</v>
      </c>
      <c r="I1302" s="6">
        <v>0.05</v>
      </c>
      <c r="J1302">
        <v>6840</v>
      </c>
    </row>
    <row r="1303" spans="1:10" x14ac:dyDescent="0.25">
      <c r="A1303" t="s">
        <v>1324</v>
      </c>
      <c r="B1303" s="2">
        <v>45143</v>
      </c>
      <c r="C1303" t="s">
        <v>13</v>
      </c>
      <c r="D1303" t="s">
        <v>2030</v>
      </c>
      <c r="E1303" t="s">
        <v>20</v>
      </c>
      <c r="F1303" t="s">
        <v>24</v>
      </c>
      <c r="G1303">
        <v>5</v>
      </c>
      <c r="H1303">
        <v>5900</v>
      </c>
      <c r="I1303" s="6">
        <v>0.1</v>
      </c>
      <c r="J1303">
        <v>5310</v>
      </c>
    </row>
    <row r="1304" spans="1:10" x14ac:dyDescent="0.25">
      <c r="A1304" t="s">
        <v>1325</v>
      </c>
      <c r="B1304" s="2">
        <v>45144</v>
      </c>
      <c r="C1304" t="s">
        <v>13</v>
      </c>
      <c r="D1304" t="s">
        <v>2031</v>
      </c>
      <c r="E1304" t="s">
        <v>21</v>
      </c>
      <c r="F1304" t="s">
        <v>24</v>
      </c>
      <c r="G1304">
        <v>3</v>
      </c>
      <c r="H1304">
        <v>12500</v>
      </c>
      <c r="I1304" s="6">
        <v>0.15000000000000002</v>
      </c>
      <c r="J1304">
        <v>10625</v>
      </c>
    </row>
    <row r="1305" spans="1:10" x14ac:dyDescent="0.25">
      <c r="A1305" t="s">
        <v>1326</v>
      </c>
      <c r="B1305" s="2">
        <v>45145</v>
      </c>
      <c r="C1305" t="s">
        <v>13</v>
      </c>
      <c r="D1305" t="s">
        <v>2032</v>
      </c>
      <c r="E1305" t="s">
        <v>22</v>
      </c>
      <c r="F1305" t="s">
        <v>24</v>
      </c>
      <c r="G1305">
        <v>10</v>
      </c>
      <c r="H1305">
        <v>14100</v>
      </c>
      <c r="I1305" s="6">
        <v>0.2</v>
      </c>
      <c r="J1305">
        <v>11280</v>
      </c>
    </row>
    <row r="1306" spans="1:10" x14ac:dyDescent="0.25">
      <c r="A1306" t="s">
        <v>1327</v>
      </c>
      <c r="B1306" s="2">
        <v>45146</v>
      </c>
      <c r="C1306" t="s">
        <v>13</v>
      </c>
      <c r="D1306" t="s">
        <v>2033</v>
      </c>
      <c r="E1306" t="s">
        <v>19</v>
      </c>
      <c r="F1306" t="s">
        <v>24</v>
      </c>
      <c r="G1306">
        <v>6</v>
      </c>
      <c r="H1306">
        <v>4400</v>
      </c>
      <c r="I1306" s="6">
        <v>0.25</v>
      </c>
      <c r="J1306">
        <v>3300</v>
      </c>
    </row>
    <row r="1307" spans="1:10" x14ac:dyDescent="0.25">
      <c r="A1307" t="s">
        <v>1328</v>
      </c>
      <c r="B1307" s="2">
        <v>45147</v>
      </c>
      <c r="C1307" t="s">
        <v>13</v>
      </c>
      <c r="D1307" t="s">
        <v>2034</v>
      </c>
      <c r="E1307" t="s">
        <v>20</v>
      </c>
      <c r="F1307" t="s">
        <v>24</v>
      </c>
      <c r="G1307">
        <v>4</v>
      </c>
      <c r="H1307">
        <v>12900</v>
      </c>
      <c r="I1307" s="6">
        <v>0.05</v>
      </c>
      <c r="J1307">
        <v>12255</v>
      </c>
    </row>
    <row r="1308" spans="1:10" x14ac:dyDescent="0.25">
      <c r="A1308" t="s">
        <v>1329</v>
      </c>
      <c r="B1308" s="2">
        <v>45148</v>
      </c>
      <c r="C1308" t="s">
        <v>13</v>
      </c>
      <c r="D1308" t="s">
        <v>2035</v>
      </c>
      <c r="E1308" t="s">
        <v>21</v>
      </c>
      <c r="F1308" t="s">
        <v>24</v>
      </c>
      <c r="G1308">
        <v>10</v>
      </c>
      <c r="H1308">
        <v>6900</v>
      </c>
      <c r="I1308" s="6">
        <v>0.1</v>
      </c>
      <c r="J1308">
        <v>6210</v>
      </c>
    </row>
    <row r="1309" spans="1:10" x14ac:dyDescent="0.25">
      <c r="A1309" t="s">
        <v>1330</v>
      </c>
      <c r="B1309" s="2">
        <v>45149</v>
      </c>
      <c r="C1309" t="s">
        <v>13</v>
      </c>
      <c r="D1309" t="s">
        <v>2036</v>
      </c>
      <c r="E1309" t="s">
        <v>22</v>
      </c>
      <c r="F1309" t="s">
        <v>24</v>
      </c>
      <c r="G1309">
        <v>6</v>
      </c>
      <c r="H1309">
        <v>10700</v>
      </c>
      <c r="I1309" s="6">
        <v>0.15000000000000002</v>
      </c>
      <c r="J1309">
        <v>9095</v>
      </c>
    </row>
    <row r="1310" spans="1:10" x14ac:dyDescent="0.25">
      <c r="A1310" t="s">
        <v>1331</v>
      </c>
      <c r="B1310" s="2">
        <v>45150</v>
      </c>
      <c r="C1310" t="s">
        <v>13</v>
      </c>
      <c r="D1310" t="s">
        <v>2037</v>
      </c>
      <c r="E1310" t="s">
        <v>19</v>
      </c>
      <c r="F1310" t="s">
        <v>24</v>
      </c>
      <c r="G1310">
        <v>1</v>
      </c>
      <c r="H1310">
        <v>5200</v>
      </c>
      <c r="I1310" s="6">
        <v>0.2</v>
      </c>
      <c r="J1310">
        <v>4160</v>
      </c>
    </row>
    <row r="1311" spans="1:10" x14ac:dyDescent="0.25">
      <c r="A1311" t="s">
        <v>1332</v>
      </c>
      <c r="B1311" s="2">
        <v>45151</v>
      </c>
      <c r="C1311" t="s">
        <v>13</v>
      </c>
      <c r="D1311" t="s">
        <v>2038</v>
      </c>
      <c r="E1311" t="s">
        <v>20</v>
      </c>
      <c r="F1311" t="s">
        <v>24</v>
      </c>
      <c r="G1311">
        <v>10</v>
      </c>
      <c r="H1311">
        <v>7200</v>
      </c>
      <c r="I1311" s="6">
        <v>0.25</v>
      </c>
      <c r="J1311">
        <v>5400</v>
      </c>
    </row>
    <row r="1312" spans="1:10" x14ac:dyDescent="0.25">
      <c r="A1312" t="s">
        <v>1333</v>
      </c>
      <c r="B1312" s="2">
        <v>45152</v>
      </c>
      <c r="C1312" t="s">
        <v>14</v>
      </c>
      <c r="D1312" t="s">
        <v>2039</v>
      </c>
      <c r="E1312" t="s">
        <v>21</v>
      </c>
      <c r="F1312" t="s">
        <v>25</v>
      </c>
      <c r="G1312">
        <v>3</v>
      </c>
      <c r="H1312">
        <v>14600</v>
      </c>
      <c r="I1312" s="6">
        <v>0.05</v>
      </c>
      <c r="J1312">
        <v>13870</v>
      </c>
    </row>
    <row r="1313" spans="1:10" x14ac:dyDescent="0.25">
      <c r="A1313" t="s">
        <v>1334</v>
      </c>
      <c r="B1313" s="2">
        <v>45153</v>
      </c>
      <c r="C1313" t="s">
        <v>14</v>
      </c>
      <c r="D1313" t="s">
        <v>2040</v>
      </c>
      <c r="E1313" t="s">
        <v>22</v>
      </c>
      <c r="F1313" t="s">
        <v>25</v>
      </c>
      <c r="G1313">
        <v>10</v>
      </c>
      <c r="H1313">
        <v>10700</v>
      </c>
      <c r="I1313" s="6">
        <v>0.1</v>
      </c>
      <c r="J1313">
        <v>9630</v>
      </c>
    </row>
    <row r="1314" spans="1:10" x14ac:dyDescent="0.25">
      <c r="A1314" t="s">
        <v>1335</v>
      </c>
      <c r="B1314" s="2">
        <v>45154</v>
      </c>
      <c r="C1314" t="s">
        <v>14</v>
      </c>
      <c r="D1314" t="s">
        <v>2041</v>
      </c>
      <c r="E1314" t="s">
        <v>19</v>
      </c>
      <c r="F1314" t="s">
        <v>25</v>
      </c>
      <c r="G1314">
        <v>2</v>
      </c>
      <c r="H1314">
        <v>13000</v>
      </c>
      <c r="I1314" s="6">
        <v>0.15000000000000002</v>
      </c>
      <c r="J1314">
        <v>11050</v>
      </c>
    </row>
    <row r="1315" spans="1:10" x14ac:dyDescent="0.25">
      <c r="A1315" t="s">
        <v>1336</v>
      </c>
      <c r="B1315" s="2">
        <v>45155</v>
      </c>
      <c r="C1315" t="s">
        <v>14</v>
      </c>
      <c r="D1315" t="s">
        <v>2042</v>
      </c>
      <c r="E1315" t="s">
        <v>20</v>
      </c>
      <c r="F1315" t="s">
        <v>25</v>
      </c>
      <c r="G1315">
        <v>10</v>
      </c>
      <c r="H1315">
        <v>12900</v>
      </c>
      <c r="I1315" s="6">
        <v>0.2</v>
      </c>
      <c r="J1315">
        <v>10320</v>
      </c>
    </row>
    <row r="1316" spans="1:10" x14ac:dyDescent="0.25">
      <c r="A1316" t="s">
        <v>1337</v>
      </c>
      <c r="B1316" s="2">
        <v>45156</v>
      </c>
      <c r="C1316" t="s">
        <v>14</v>
      </c>
      <c r="D1316" t="s">
        <v>2043</v>
      </c>
      <c r="E1316" t="s">
        <v>21</v>
      </c>
      <c r="F1316" t="s">
        <v>25</v>
      </c>
      <c r="G1316">
        <v>8</v>
      </c>
      <c r="H1316">
        <v>5800</v>
      </c>
      <c r="I1316" s="6">
        <v>0.25</v>
      </c>
      <c r="J1316">
        <v>4350</v>
      </c>
    </row>
    <row r="1317" spans="1:10" x14ac:dyDescent="0.25">
      <c r="A1317" t="s">
        <v>1338</v>
      </c>
      <c r="B1317" s="2">
        <v>45157</v>
      </c>
      <c r="C1317" t="s">
        <v>14</v>
      </c>
      <c r="D1317" t="s">
        <v>2044</v>
      </c>
      <c r="E1317" t="s">
        <v>22</v>
      </c>
      <c r="F1317" t="s">
        <v>25</v>
      </c>
      <c r="G1317">
        <v>5</v>
      </c>
      <c r="H1317">
        <v>9200</v>
      </c>
      <c r="I1317" s="6">
        <v>0.05</v>
      </c>
      <c r="J1317">
        <v>8740</v>
      </c>
    </row>
    <row r="1318" spans="1:10" x14ac:dyDescent="0.25">
      <c r="A1318" t="s">
        <v>1339</v>
      </c>
      <c r="B1318" s="2">
        <v>45158</v>
      </c>
      <c r="C1318" t="s">
        <v>14</v>
      </c>
      <c r="D1318" t="s">
        <v>2045</v>
      </c>
      <c r="E1318" t="s">
        <v>19</v>
      </c>
      <c r="F1318" t="s">
        <v>25</v>
      </c>
      <c r="G1318">
        <v>2</v>
      </c>
      <c r="H1318">
        <v>12600</v>
      </c>
      <c r="I1318" s="6">
        <v>0.1</v>
      </c>
      <c r="J1318">
        <v>11340</v>
      </c>
    </row>
    <row r="1319" spans="1:10" x14ac:dyDescent="0.25">
      <c r="A1319" t="s">
        <v>1340</v>
      </c>
      <c r="B1319" s="2">
        <v>45159</v>
      </c>
      <c r="C1319" t="s">
        <v>14</v>
      </c>
      <c r="D1319" t="s">
        <v>2046</v>
      </c>
      <c r="E1319" t="s">
        <v>20</v>
      </c>
      <c r="F1319" t="s">
        <v>25</v>
      </c>
      <c r="G1319">
        <v>8</v>
      </c>
      <c r="H1319">
        <v>10000</v>
      </c>
      <c r="I1319" s="6">
        <v>0.15000000000000002</v>
      </c>
      <c r="J1319">
        <v>8500</v>
      </c>
    </row>
    <row r="1320" spans="1:10" x14ac:dyDescent="0.25">
      <c r="A1320" t="s">
        <v>1341</v>
      </c>
      <c r="B1320" s="2">
        <v>45160</v>
      </c>
      <c r="C1320" t="s">
        <v>14</v>
      </c>
      <c r="D1320" t="s">
        <v>2047</v>
      </c>
      <c r="E1320" t="s">
        <v>21</v>
      </c>
      <c r="F1320" t="s">
        <v>25</v>
      </c>
      <c r="G1320">
        <v>4</v>
      </c>
      <c r="H1320">
        <v>13200</v>
      </c>
      <c r="I1320" s="6">
        <v>0.2</v>
      </c>
      <c r="J1320">
        <v>10560</v>
      </c>
    </row>
    <row r="1321" spans="1:10" x14ac:dyDescent="0.25">
      <c r="A1321" t="s">
        <v>1342</v>
      </c>
      <c r="B1321" s="2">
        <v>45161</v>
      </c>
      <c r="C1321" t="s">
        <v>14</v>
      </c>
      <c r="D1321" t="s">
        <v>2048</v>
      </c>
      <c r="E1321" t="s">
        <v>22</v>
      </c>
      <c r="F1321" t="s">
        <v>25</v>
      </c>
      <c r="G1321">
        <v>3</v>
      </c>
      <c r="H1321">
        <v>14700</v>
      </c>
      <c r="I1321" s="6">
        <v>0.25</v>
      </c>
      <c r="J1321">
        <v>11025</v>
      </c>
    </row>
    <row r="1322" spans="1:10" x14ac:dyDescent="0.25">
      <c r="A1322" t="s">
        <v>1343</v>
      </c>
      <c r="B1322" s="2">
        <v>45162</v>
      </c>
      <c r="C1322" t="s">
        <v>12</v>
      </c>
      <c r="D1322" t="s">
        <v>15</v>
      </c>
      <c r="E1322" t="s">
        <v>19</v>
      </c>
      <c r="F1322" t="s">
        <v>23</v>
      </c>
      <c r="G1322">
        <v>10</v>
      </c>
      <c r="H1322">
        <v>14800</v>
      </c>
      <c r="I1322" s="6">
        <v>0.05</v>
      </c>
      <c r="J1322">
        <v>14060</v>
      </c>
    </row>
    <row r="1323" spans="1:10" x14ac:dyDescent="0.25">
      <c r="A1323" t="s">
        <v>1344</v>
      </c>
      <c r="B1323" s="2">
        <v>45163</v>
      </c>
      <c r="C1323" t="s">
        <v>12</v>
      </c>
      <c r="D1323" t="s">
        <v>17</v>
      </c>
      <c r="E1323" t="s">
        <v>20</v>
      </c>
      <c r="F1323" t="s">
        <v>23</v>
      </c>
      <c r="G1323">
        <v>9</v>
      </c>
      <c r="H1323">
        <v>13500</v>
      </c>
      <c r="I1323" s="6">
        <v>0.1</v>
      </c>
      <c r="J1323">
        <v>12150</v>
      </c>
    </row>
    <row r="1324" spans="1:10" x14ac:dyDescent="0.25">
      <c r="A1324" t="s">
        <v>1345</v>
      </c>
      <c r="B1324" s="2">
        <v>45164</v>
      </c>
      <c r="C1324" t="s">
        <v>12</v>
      </c>
      <c r="D1324" t="s">
        <v>2023</v>
      </c>
      <c r="E1324" t="s">
        <v>21</v>
      </c>
      <c r="F1324" t="s">
        <v>23</v>
      </c>
      <c r="G1324">
        <v>3</v>
      </c>
      <c r="H1324">
        <v>13300</v>
      </c>
      <c r="I1324" s="6">
        <v>0.15000000000000002</v>
      </c>
      <c r="J1324">
        <v>11305</v>
      </c>
    </row>
    <row r="1325" spans="1:10" x14ac:dyDescent="0.25">
      <c r="A1325" t="s">
        <v>1346</v>
      </c>
      <c r="B1325" s="2">
        <v>45165</v>
      </c>
      <c r="C1325" t="s">
        <v>12</v>
      </c>
      <c r="D1325" t="s">
        <v>18</v>
      </c>
      <c r="E1325" t="s">
        <v>22</v>
      </c>
      <c r="F1325" t="s">
        <v>23</v>
      </c>
      <c r="G1325">
        <v>9</v>
      </c>
      <c r="H1325">
        <v>14100</v>
      </c>
      <c r="I1325" s="6">
        <v>0.2</v>
      </c>
      <c r="J1325">
        <v>11280</v>
      </c>
    </row>
    <row r="1326" spans="1:10" x14ac:dyDescent="0.25">
      <c r="A1326" t="s">
        <v>1347</v>
      </c>
      <c r="B1326" s="2">
        <v>45166</v>
      </c>
      <c r="C1326" t="s">
        <v>12</v>
      </c>
      <c r="D1326" t="s">
        <v>2024</v>
      </c>
      <c r="E1326" t="s">
        <v>19</v>
      </c>
      <c r="F1326" t="s">
        <v>23</v>
      </c>
      <c r="G1326">
        <v>3</v>
      </c>
      <c r="H1326">
        <v>7400</v>
      </c>
      <c r="I1326" s="6">
        <v>0.25</v>
      </c>
      <c r="J1326">
        <v>5550</v>
      </c>
    </row>
    <row r="1327" spans="1:10" x14ac:dyDescent="0.25">
      <c r="A1327" t="s">
        <v>1348</v>
      </c>
      <c r="B1327" s="2">
        <v>45167</v>
      </c>
      <c r="C1327" t="s">
        <v>12</v>
      </c>
      <c r="D1327" t="s">
        <v>2025</v>
      </c>
      <c r="E1327" t="s">
        <v>20</v>
      </c>
      <c r="F1327" t="s">
        <v>23</v>
      </c>
      <c r="G1327">
        <v>4</v>
      </c>
      <c r="H1327">
        <v>8500</v>
      </c>
      <c r="I1327" s="6">
        <v>0.05</v>
      </c>
      <c r="J1327">
        <v>8075</v>
      </c>
    </row>
    <row r="1328" spans="1:10" x14ac:dyDescent="0.25">
      <c r="A1328" t="s">
        <v>1349</v>
      </c>
      <c r="B1328" s="2">
        <v>45168</v>
      </c>
      <c r="C1328" t="s">
        <v>12</v>
      </c>
      <c r="D1328" t="s">
        <v>2026</v>
      </c>
      <c r="E1328" t="s">
        <v>21</v>
      </c>
      <c r="F1328" t="s">
        <v>23</v>
      </c>
      <c r="G1328">
        <v>9</v>
      </c>
      <c r="H1328">
        <v>10700</v>
      </c>
      <c r="I1328" s="6">
        <v>0.1</v>
      </c>
      <c r="J1328">
        <v>9630</v>
      </c>
    </row>
    <row r="1329" spans="1:10" x14ac:dyDescent="0.25">
      <c r="A1329" t="s">
        <v>1350</v>
      </c>
      <c r="B1329" s="2">
        <v>45169</v>
      </c>
      <c r="C1329" t="s">
        <v>12</v>
      </c>
      <c r="D1329" t="s">
        <v>2027</v>
      </c>
      <c r="E1329" t="s">
        <v>22</v>
      </c>
      <c r="F1329" t="s">
        <v>23</v>
      </c>
      <c r="G1329">
        <v>4</v>
      </c>
      <c r="H1329">
        <v>10100</v>
      </c>
      <c r="I1329" s="6">
        <v>0.15000000000000002</v>
      </c>
      <c r="J1329">
        <v>8585</v>
      </c>
    </row>
    <row r="1330" spans="1:10" x14ac:dyDescent="0.25">
      <c r="A1330" t="s">
        <v>1351</v>
      </c>
      <c r="B1330" s="2">
        <v>45170</v>
      </c>
      <c r="C1330" t="s">
        <v>12</v>
      </c>
      <c r="D1330" t="s">
        <v>2028</v>
      </c>
      <c r="E1330" t="s">
        <v>19</v>
      </c>
      <c r="F1330" t="s">
        <v>23</v>
      </c>
      <c r="G1330">
        <v>1</v>
      </c>
      <c r="H1330">
        <v>5500</v>
      </c>
      <c r="I1330" s="6">
        <v>0.2</v>
      </c>
      <c r="J1330">
        <v>4400</v>
      </c>
    </row>
    <row r="1331" spans="1:10" x14ac:dyDescent="0.25">
      <c r="A1331" t="s">
        <v>1352</v>
      </c>
      <c r="B1331" s="2">
        <v>45171</v>
      </c>
      <c r="C1331" t="s">
        <v>12</v>
      </c>
      <c r="D1331" t="s">
        <v>2029</v>
      </c>
      <c r="E1331" t="s">
        <v>20</v>
      </c>
      <c r="F1331" t="s">
        <v>23</v>
      </c>
      <c r="G1331">
        <v>8</v>
      </c>
      <c r="H1331">
        <v>9100</v>
      </c>
      <c r="I1331" s="6">
        <v>0.25</v>
      </c>
      <c r="J1331">
        <v>6825</v>
      </c>
    </row>
    <row r="1332" spans="1:10" x14ac:dyDescent="0.25">
      <c r="A1332" t="s">
        <v>1353</v>
      </c>
      <c r="B1332" s="2">
        <v>45172</v>
      </c>
      <c r="C1332" t="s">
        <v>13</v>
      </c>
      <c r="D1332" t="s">
        <v>16</v>
      </c>
      <c r="E1332" t="s">
        <v>21</v>
      </c>
      <c r="F1332" t="s">
        <v>24</v>
      </c>
      <c r="G1332">
        <v>2</v>
      </c>
      <c r="H1332">
        <v>5700</v>
      </c>
      <c r="I1332" s="6">
        <v>0.05</v>
      </c>
      <c r="J1332">
        <v>5415</v>
      </c>
    </row>
    <row r="1333" spans="1:10" x14ac:dyDescent="0.25">
      <c r="A1333" t="s">
        <v>1354</v>
      </c>
      <c r="B1333" s="2">
        <v>45173</v>
      </c>
      <c r="C1333" t="s">
        <v>13</v>
      </c>
      <c r="D1333" t="s">
        <v>2030</v>
      </c>
      <c r="E1333" t="s">
        <v>22</v>
      </c>
      <c r="F1333" t="s">
        <v>24</v>
      </c>
      <c r="G1333">
        <v>7</v>
      </c>
      <c r="H1333">
        <v>5200</v>
      </c>
      <c r="I1333" s="6">
        <v>0.1</v>
      </c>
      <c r="J1333">
        <v>4680</v>
      </c>
    </row>
    <row r="1334" spans="1:10" x14ac:dyDescent="0.25">
      <c r="A1334" t="s">
        <v>1355</v>
      </c>
      <c r="B1334" s="2">
        <v>45174</v>
      </c>
      <c r="C1334" t="s">
        <v>13</v>
      </c>
      <c r="D1334" t="s">
        <v>2031</v>
      </c>
      <c r="E1334" t="s">
        <v>19</v>
      </c>
      <c r="F1334" t="s">
        <v>24</v>
      </c>
      <c r="G1334">
        <v>8</v>
      </c>
      <c r="H1334">
        <v>4800</v>
      </c>
      <c r="I1334" s="6">
        <v>0.15000000000000002</v>
      </c>
      <c r="J1334">
        <v>4080</v>
      </c>
    </row>
    <row r="1335" spans="1:10" x14ac:dyDescent="0.25">
      <c r="A1335" t="s">
        <v>1356</v>
      </c>
      <c r="B1335" s="2">
        <v>45175</v>
      </c>
      <c r="C1335" t="s">
        <v>13</v>
      </c>
      <c r="D1335" t="s">
        <v>2032</v>
      </c>
      <c r="E1335" t="s">
        <v>20</v>
      </c>
      <c r="F1335" t="s">
        <v>24</v>
      </c>
      <c r="G1335">
        <v>10</v>
      </c>
      <c r="H1335">
        <v>12200</v>
      </c>
      <c r="I1335" s="6">
        <v>0.2</v>
      </c>
      <c r="J1335">
        <v>9760</v>
      </c>
    </row>
    <row r="1336" spans="1:10" x14ac:dyDescent="0.25">
      <c r="A1336" t="s">
        <v>1357</v>
      </c>
      <c r="B1336" s="2">
        <v>45176</v>
      </c>
      <c r="C1336" t="s">
        <v>13</v>
      </c>
      <c r="D1336" t="s">
        <v>2033</v>
      </c>
      <c r="E1336" t="s">
        <v>21</v>
      </c>
      <c r="F1336" t="s">
        <v>24</v>
      </c>
      <c r="G1336">
        <v>10</v>
      </c>
      <c r="H1336">
        <v>12300</v>
      </c>
      <c r="I1336" s="6">
        <v>0.25</v>
      </c>
      <c r="J1336">
        <v>9225</v>
      </c>
    </row>
    <row r="1337" spans="1:10" x14ac:dyDescent="0.25">
      <c r="A1337" t="s">
        <v>1358</v>
      </c>
      <c r="B1337" s="2">
        <v>45177</v>
      </c>
      <c r="C1337" t="s">
        <v>13</v>
      </c>
      <c r="D1337" t="s">
        <v>2034</v>
      </c>
      <c r="E1337" t="s">
        <v>22</v>
      </c>
      <c r="F1337" t="s">
        <v>24</v>
      </c>
      <c r="G1337">
        <v>8</v>
      </c>
      <c r="H1337">
        <v>10500</v>
      </c>
      <c r="I1337" s="6">
        <v>0.05</v>
      </c>
      <c r="J1337">
        <v>9975</v>
      </c>
    </row>
    <row r="1338" spans="1:10" x14ac:dyDescent="0.25">
      <c r="A1338" t="s">
        <v>1359</v>
      </c>
      <c r="B1338" s="2">
        <v>45178</v>
      </c>
      <c r="C1338" t="s">
        <v>13</v>
      </c>
      <c r="D1338" t="s">
        <v>2035</v>
      </c>
      <c r="E1338" t="s">
        <v>19</v>
      </c>
      <c r="F1338" t="s">
        <v>24</v>
      </c>
      <c r="G1338">
        <v>8</v>
      </c>
      <c r="H1338">
        <v>10000</v>
      </c>
      <c r="I1338" s="6">
        <v>0.1</v>
      </c>
      <c r="J1338">
        <v>9000</v>
      </c>
    </row>
    <row r="1339" spans="1:10" x14ac:dyDescent="0.25">
      <c r="A1339" t="s">
        <v>1360</v>
      </c>
      <c r="B1339" s="2">
        <v>45179</v>
      </c>
      <c r="C1339" t="s">
        <v>13</v>
      </c>
      <c r="D1339" t="s">
        <v>2036</v>
      </c>
      <c r="E1339" t="s">
        <v>20</v>
      </c>
      <c r="F1339" t="s">
        <v>24</v>
      </c>
      <c r="G1339">
        <v>8</v>
      </c>
      <c r="H1339">
        <v>9600</v>
      </c>
      <c r="I1339" s="6">
        <v>0.15000000000000002</v>
      </c>
      <c r="J1339">
        <v>8160</v>
      </c>
    </row>
    <row r="1340" spans="1:10" x14ac:dyDescent="0.25">
      <c r="A1340" t="s">
        <v>1361</v>
      </c>
      <c r="B1340" s="2">
        <v>45180</v>
      </c>
      <c r="C1340" t="s">
        <v>13</v>
      </c>
      <c r="D1340" t="s">
        <v>2037</v>
      </c>
      <c r="E1340" t="s">
        <v>21</v>
      </c>
      <c r="F1340" t="s">
        <v>24</v>
      </c>
      <c r="G1340">
        <v>3</v>
      </c>
      <c r="H1340">
        <v>4600</v>
      </c>
      <c r="I1340" s="6">
        <v>0.2</v>
      </c>
      <c r="J1340">
        <v>3680</v>
      </c>
    </row>
    <row r="1341" spans="1:10" x14ac:dyDescent="0.25">
      <c r="A1341" t="s">
        <v>1362</v>
      </c>
      <c r="B1341" s="2">
        <v>45181</v>
      </c>
      <c r="C1341" t="s">
        <v>13</v>
      </c>
      <c r="D1341" t="s">
        <v>2038</v>
      </c>
      <c r="E1341" t="s">
        <v>22</v>
      </c>
      <c r="F1341" t="s">
        <v>24</v>
      </c>
      <c r="G1341">
        <v>1</v>
      </c>
      <c r="H1341">
        <v>7900</v>
      </c>
      <c r="I1341" s="6">
        <v>0.25</v>
      </c>
      <c r="J1341">
        <v>5925</v>
      </c>
    </row>
    <row r="1342" spans="1:10" x14ac:dyDescent="0.25">
      <c r="A1342" t="s">
        <v>1363</v>
      </c>
      <c r="B1342" s="2">
        <v>45182</v>
      </c>
      <c r="C1342" t="s">
        <v>14</v>
      </c>
      <c r="D1342" t="s">
        <v>2039</v>
      </c>
      <c r="E1342" t="s">
        <v>19</v>
      </c>
      <c r="F1342" t="s">
        <v>25</v>
      </c>
      <c r="G1342">
        <v>1</v>
      </c>
      <c r="H1342">
        <v>15000</v>
      </c>
      <c r="I1342" s="6">
        <v>0.05</v>
      </c>
      <c r="J1342">
        <v>14250</v>
      </c>
    </row>
    <row r="1343" spans="1:10" x14ac:dyDescent="0.25">
      <c r="A1343" t="s">
        <v>1364</v>
      </c>
      <c r="B1343" s="2">
        <v>45183</v>
      </c>
      <c r="C1343" t="s">
        <v>14</v>
      </c>
      <c r="D1343" t="s">
        <v>2040</v>
      </c>
      <c r="E1343" t="s">
        <v>20</v>
      </c>
      <c r="F1343" t="s">
        <v>25</v>
      </c>
      <c r="G1343">
        <v>6</v>
      </c>
      <c r="H1343">
        <v>5900</v>
      </c>
      <c r="I1343" s="6">
        <v>0.1</v>
      </c>
      <c r="J1343">
        <v>5310</v>
      </c>
    </row>
    <row r="1344" spans="1:10" x14ac:dyDescent="0.25">
      <c r="A1344" t="s">
        <v>1365</v>
      </c>
      <c r="B1344" s="2">
        <v>45184</v>
      </c>
      <c r="C1344" t="s">
        <v>14</v>
      </c>
      <c r="D1344" t="s">
        <v>2041</v>
      </c>
      <c r="E1344" t="s">
        <v>21</v>
      </c>
      <c r="F1344" t="s">
        <v>25</v>
      </c>
      <c r="G1344">
        <v>1</v>
      </c>
      <c r="H1344">
        <v>14200</v>
      </c>
      <c r="I1344" s="6">
        <v>0.15000000000000002</v>
      </c>
      <c r="J1344">
        <v>12070</v>
      </c>
    </row>
    <row r="1345" spans="1:10" x14ac:dyDescent="0.25">
      <c r="A1345" t="s">
        <v>1366</v>
      </c>
      <c r="B1345" s="2">
        <v>45185</v>
      </c>
      <c r="C1345" t="s">
        <v>14</v>
      </c>
      <c r="D1345" t="s">
        <v>2042</v>
      </c>
      <c r="E1345" t="s">
        <v>22</v>
      </c>
      <c r="F1345" t="s">
        <v>25</v>
      </c>
      <c r="G1345">
        <v>3</v>
      </c>
      <c r="H1345">
        <v>9200</v>
      </c>
      <c r="I1345" s="6">
        <v>0.2</v>
      </c>
      <c r="J1345">
        <v>7360</v>
      </c>
    </row>
    <row r="1346" spans="1:10" x14ac:dyDescent="0.25">
      <c r="A1346" t="s">
        <v>1367</v>
      </c>
      <c r="B1346" s="2">
        <v>45186</v>
      </c>
      <c r="C1346" t="s">
        <v>14</v>
      </c>
      <c r="D1346" t="s">
        <v>2043</v>
      </c>
      <c r="E1346" t="s">
        <v>19</v>
      </c>
      <c r="F1346" t="s">
        <v>25</v>
      </c>
      <c r="G1346">
        <v>10</v>
      </c>
      <c r="H1346">
        <v>10700</v>
      </c>
      <c r="I1346" s="6">
        <v>0.25</v>
      </c>
      <c r="J1346">
        <v>8025</v>
      </c>
    </row>
    <row r="1347" spans="1:10" x14ac:dyDescent="0.25">
      <c r="A1347" t="s">
        <v>1368</v>
      </c>
      <c r="B1347" s="2">
        <v>45187</v>
      </c>
      <c r="C1347" t="s">
        <v>14</v>
      </c>
      <c r="D1347" t="s">
        <v>2044</v>
      </c>
      <c r="E1347" t="s">
        <v>20</v>
      </c>
      <c r="F1347" t="s">
        <v>25</v>
      </c>
      <c r="G1347">
        <v>6</v>
      </c>
      <c r="H1347">
        <v>9500</v>
      </c>
      <c r="I1347" s="6">
        <v>0.05</v>
      </c>
      <c r="J1347">
        <v>9025</v>
      </c>
    </row>
    <row r="1348" spans="1:10" x14ac:dyDescent="0.25">
      <c r="A1348" t="s">
        <v>1369</v>
      </c>
      <c r="B1348" s="2">
        <v>45188</v>
      </c>
      <c r="C1348" t="s">
        <v>14</v>
      </c>
      <c r="D1348" t="s">
        <v>2045</v>
      </c>
      <c r="E1348" t="s">
        <v>21</v>
      </c>
      <c r="F1348" t="s">
        <v>25</v>
      </c>
      <c r="G1348">
        <v>6</v>
      </c>
      <c r="H1348">
        <v>7300</v>
      </c>
      <c r="I1348" s="6">
        <v>0.1</v>
      </c>
      <c r="J1348">
        <v>6570</v>
      </c>
    </row>
    <row r="1349" spans="1:10" x14ac:dyDescent="0.25">
      <c r="A1349" t="s">
        <v>1370</v>
      </c>
      <c r="B1349" s="2">
        <v>45189</v>
      </c>
      <c r="C1349" t="s">
        <v>14</v>
      </c>
      <c r="D1349" t="s">
        <v>2046</v>
      </c>
      <c r="E1349" t="s">
        <v>22</v>
      </c>
      <c r="F1349" t="s">
        <v>25</v>
      </c>
      <c r="G1349">
        <v>2</v>
      </c>
      <c r="H1349">
        <v>4600</v>
      </c>
      <c r="I1349" s="6">
        <v>0.15000000000000002</v>
      </c>
      <c r="J1349">
        <v>3910</v>
      </c>
    </row>
    <row r="1350" spans="1:10" x14ac:dyDescent="0.25">
      <c r="A1350" t="s">
        <v>1371</v>
      </c>
      <c r="B1350" s="2">
        <v>45190</v>
      </c>
      <c r="C1350" t="s">
        <v>14</v>
      </c>
      <c r="D1350" t="s">
        <v>2047</v>
      </c>
      <c r="E1350" t="s">
        <v>19</v>
      </c>
      <c r="F1350" t="s">
        <v>25</v>
      </c>
      <c r="G1350">
        <v>8</v>
      </c>
      <c r="H1350">
        <v>12700</v>
      </c>
      <c r="I1350" s="6">
        <v>0.2</v>
      </c>
      <c r="J1350">
        <v>10160</v>
      </c>
    </row>
    <row r="1351" spans="1:10" x14ac:dyDescent="0.25">
      <c r="A1351" t="s">
        <v>1372</v>
      </c>
      <c r="B1351" s="2">
        <v>45191</v>
      </c>
      <c r="C1351" t="s">
        <v>14</v>
      </c>
      <c r="D1351" t="s">
        <v>2048</v>
      </c>
      <c r="E1351" t="s">
        <v>20</v>
      </c>
      <c r="F1351" t="s">
        <v>25</v>
      </c>
      <c r="G1351">
        <v>7</v>
      </c>
      <c r="H1351">
        <v>6900</v>
      </c>
      <c r="I1351" s="6">
        <v>0.25</v>
      </c>
      <c r="J1351">
        <v>5175</v>
      </c>
    </row>
    <row r="1352" spans="1:10" x14ac:dyDescent="0.25">
      <c r="A1352" t="s">
        <v>1373</v>
      </c>
      <c r="B1352" s="2">
        <v>45192</v>
      </c>
      <c r="C1352" t="s">
        <v>12</v>
      </c>
      <c r="D1352" t="s">
        <v>15</v>
      </c>
      <c r="E1352" t="s">
        <v>21</v>
      </c>
      <c r="F1352" t="s">
        <v>23</v>
      </c>
      <c r="G1352">
        <v>1</v>
      </c>
      <c r="H1352">
        <v>9000</v>
      </c>
      <c r="I1352" s="6">
        <v>0.05</v>
      </c>
      <c r="J1352">
        <v>8550</v>
      </c>
    </row>
    <row r="1353" spans="1:10" x14ac:dyDescent="0.25">
      <c r="A1353" t="s">
        <v>1374</v>
      </c>
      <c r="B1353" s="2">
        <v>45193</v>
      </c>
      <c r="C1353" t="s">
        <v>12</v>
      </c>
      <c r="D1353" t="s">
        <v>17</v>
      </c>
      <c r="E1353" t="s">
        <v>22</v>
      </c>
      <c r="F1353" t="s">
        <v>23</v>
      </c>
      <c r="G1353">
        <v>8</v>
      </c>
      <c r="H1353">
        <v>10100</v>
      </c>
      <c r="I1353" s="6">
        <v>0.1</v>
      </c>
      <c r="J1353">
        <v>9090</v>
      </c>
    </row>
    <row r="1354" spans="1:10" x14ac:dyDescent="0.25">
      <c r="A1354" t="s">
        <v>1375</v>
      </c>
      <c r="B1354" s="2">
        <v>45194</v>
      </c>
      <c r="C1354" t="s">
        <v>12</v>
      </c>
      <c r="D1354" t="s">
        <v>2023</v>
      </c>
      <c r="E1354" t="s">
        <v>19</v>
      </c>
      <c r="F1354" t="s">
        <v>23</v>
      </c>
      <c r="G1354">
        <v>7</v>
      </c>
      <c r="H1354">
        <v>9900</v>
      </c>
      <c r="I1354" s="6">
        <v>0.15000000000000002</v>
      </c>
      <c r="J1354">
        <v>8415</v>
      </c>
    </row>
    <row r="1355" spans="1:10" x14ac:dyDescent="0.25">
      <c r="A1355" t="s">
        <v>1376</v>
      </c>
      <c r="B1355" s="2">
        <v>45195</v>
      </c>
      <c r="C1355" t="s">
        <v>12</v>
      </c>
      <c r="D1355" t="s">
        <v>18</v>
      </c>
      <c r="E1355" t="s">
        <v>20</v>
      </c>
      <c r="F1355" t="s">
        <v>23</v>
      </c>
      <c r="G1355">
        <v>5</v>
      </c>
      <c r="H1355">
        <v>13000</v>
      </c>
      <c r="I1355" s="6">
        <v>0.2</v>
      </c>
      <c r="J1355">
        <v>10400</v>
      </c>
    </row>
    <row r="1356" spans="1:10" x14ac:dyDescent="0.25">
      <c r="A1356" t="s">
        <v>1377</v>
      </c>
      <c r="B1356" s="2">
        <v>45196</v>
      </c>
      <c r="C1356" t="s">
        <v>12</v>
      </c>
      <c r="D1356" t="s">
        <v>2024</v>
      </c>
      <c r="E1356" t="s">
        <v>21</v>
      </c>
      <c r="F1356" t="s">
        <v>23</v>
      </c>
      <c r="G1356">
        <v>8</v>
      </c>
      <c r="H1356">
        <v>10100</v>
      </c>
      <c r="I1356" s="6">
        <v>0.25</v>
      </c>
      <c r="J1356">
        <v>7575</v>
      </c>
    </row>
    <row r="1357" spans="1:10" x14ac:dyDescent="0.25">
      <c r="A1357" t="s">
        <v>1378</v>
      </c>
      <c r="B1357" s="2">
        <v>45197</v>
      </c>
      <c r="C1357" t="s">
        <v>12</v>
      </c>
      <c r="D1357" t="s">
        <v>2025</v>
      </c>
      <c r="E1357" t="s">
        <v>22</v>
      </c>
      <c r="F1357" t="s">
        <v>23</v>
      </c>
      <c r="G1357">
        <v>5</v>
      </c>
      <c r="H1357">
        <v>13500</v>
      </c>
      <c r="I1357" s="6">
        <v>0.05</v>
      </c>
      <c r="J1357">
        <v>12825</v>
      </c>
    </row>
    <row r="1358" spans="1:10" x14ac:dyDescent="0.25">
      <c r="A1358" t="s">
        <v>1379</v>
      </c>
      <c r="B1358" s="2">
        <v>45198</v>
      </c>
      <c r="C1358" t="s">
        <v>12</v>
      </c>
      <c r="D1358" t="s">
        <v>2026</v>
      </c>
      <c r="E1358" t="s">
        <v>19</v>
      </c>
      <c r="F1358" t="s">
        <v>23</v>
      </c>
      <c r="G1358">
        <v>3</v>
      </c>
      <c r="H1358">
        <v>12700</v>
      </c>
      <c r="I1358" s="6">
        <v>0.1</v>
      </c>
      <c r="J1358">
        <v>11430</v>
      </c>
    </row>
    <row r="1359" spans="1:10" x14ac:dyDescent="0.25">
      <c r="A1359" t="s">
        <v>1380</v>
      </c>
      <c r="B1359" s="2">
        <v>45199</v>
      </c>
      <c r="C1359" t="s">
        <v>12</v>
      </c>
      <c r="D1359" t="s">
        <v>2027</v>
      </c>
      <c r="E1359" t="s">
        <v>20</v>
      </c>
      <c r="F1359" t="s">
        <v>23</v>
      </c>
      <c r="G1359">
        <v>8</v>
      </c>
      <c r="H1359">
        <v>10300</v>
      </c>
      <c r="I1359" s="6">
        <v>0.15000000000000002</v>
      </c>
      <c r="J1359">
        <v>8755</v>
      </c>
    </row>
    <row r="1360" spans="1:10" x14ac:dyDescent="0.25">
      <c r="A1360" t="s">
        <v>1381</v>
      </c>
      <c r="B1360" s="2">
        <v>45200</v>
      </c>
      <c r="C1360" t="s">
        <v>12</v>
      </c>
      <c r="D1360" t="s">
        <v>2028</v>
      </c>
      <c r="E1360" t="s">
        <v>21</v>
      </c>
      <c r="F1360" t="s">
        <v>23</v>
      </c>
      <c r="G1360">
        <v>4</v>
      </c>
      <c r="H1360">
        <v>12100</v>
      </c>
      <c r="I1360" s="6">
        <v>0.2</v>
      </c>
      <c r="J1360">
        <v>9680</v>
      </c>
    </row>
    <row r="1361" spans="1:10" x14ac:dyDescent="0.25">
      <c r="A1361" t="s">
        <v>1382</v>
      </c>
      <c r="B1361" s="2">
        <v>45201</v>
      </c>
      <c r="C1361" t="s">
        <v>12</v>
      </c>
      <c r="D1361" t="s">
        <v>2029</v>
      </c>
      <c r="E1361" t="s">
        <v>22</v>
      </c>
      <c r="F1361" t="s">
        <v>23</v>
      </c>
      <c r="G1361">
        <v>9</v>
      </c>
      <c r="H1361">
        <v>11700</v>
      </c>
      <c r="I1361" s="6">
        <v>0.25</v>
      </c>
      <c r="J1361">
        <v>8775</v>
      </c>
    </row>
    <row r="1362" spans="1:10" x14ac:dyDescent="0.25">
      <c r="A1362" t="s">
        <v>1383</v>
      </c>
      <c r="B1362" s="2">
        <v>45202</v>
      </c>
      <c r="C1362" t="s">
        <v>13</v>
      </c>
      <c r="D1362" t="s">
        <v>16</v>
      </c>
      <c r="E1362" t="s">
        <v>19</v>
      </c>
      <c r="F1362" t="s">
        <v>24</v>
      </c>
      <c r="G1362">
        <v>6</v>
      </c>
      <c r="H1362">
        <v>7500</v>
      </c>
      <c r="I1362" s="6">
        <v>0.05</v>
      </c>
      <c r="J1362">
        <v>7125</v>
      </c>
    </row>
    <row r="1363" spans="1:10" x14ac:dyDescent="0.25">
      <c r="A1363" t="s">
        <v>1384</v>
      </c>
      <c r="B1363" s="2">
        <v>45203</v>
      </c>
      <c r="C1363" t="s">
        <v>13</v>
      </c>
      <c r="D1363" t="s">
        <v>2030</v>
      </c>
      <c r="E1363" t="s">
        <v>20</v>
      </c>
      <c r="F1363" t="s">
        <v>24</v>
      </c>
      <c r="G1363">
        <v>8</v>
      </c>
      <c r="H1363">
        <v>14600</v>
      </c>
      <c r="I1363" s="6">
        <v>0.1</v>
      </c>
      <c r="J1363">
        <v>13140</v>
      </c>
    </row>
    <row r="1364" spans="1:10" x14ac:dyDescent="0.25">
      <c r="A1364" t="s">
        <v>1385</v>
      </c>
      <c r="B1364" s="2">
        <v>45204</v>
      </c>
      <c r="C1364" t="s">
        <v>13</v>
      </c>
      <c r="D1364" t="s">
        <v>2031</v>
      </c>
      <c r="E1364" t="s">
        <v>21</v>
      </c>
      <c r="F1364" t="s">
        <v>24</v>
      </c>
      <c r="G1364">
        <v>1</v>
      </c>
      <c r="H1364">
        <v>4200</v>
      </c>
      <c r="I1364" s="6">
        <v>0.15000000000000002</v>
      </c>
      <c r="J1364">
        <v>3570</v>
      </c>
    </row>
    <row r="1365" spans="1:10" x14ac:dyDescent="0.25">
      <c r="A1365" t="s">
        <v>1386</v>
      </c>
      <c r="B1365" s="2">
        <v>45205</v>
      </c>
      <c r="C1365" t="s">
        <v>13</v>
      </c>
      <c r="D1365" t="s">
        <v>2032</v>
      </c>
      <c r="E1365" t="s">
        <v>22</v>
      </c>
      <c r="F1365" t="s">
        <v>24</v>
      </c>
      <c r="G1365">
        <v>4</v>
      </c>
      <c r="H1365">
        <v>12300</v>
      </c>
      <c r="I1365" s="6">
        <v>0.2</v>
      </c>
      <c r="J1365">
        <v>9840</v>
      </c>
    </row>
    <row r="1366" spans="1:10" x14ac:dyDescent="0.25">
      <c r="A1366" t="s">
        <v>1387</v>
      </c>
      <c r="B1366" s="2">
        <v>45206</v>
      </c>
      <c r="C1366" t="s">
        <v>13</v>
      </c>
      <c r="D1366" t="s">
        <v>2033</v>
      </c>
      <c r="E1366" t="s">
        <v>19</v>
      </c>
      <c r="F1366" t="s">
        <v>24</v>
      </c>
      <c r="G1366">
        <v>7</v>
      </c>
      <c r="H1366">
        <v>5600</v>
      </c>
      <c r="I1366" s="6">
        <v>0.25</v>
      </c>
      <c r="J1366">
        <v>4200</v>
      </c>
    </row>
    <row r="1367" spans="1:10" x14ac:dyDescent="0.25">
      <c r="A1367" t="s">
        <v>1388</v>
      </c>
      <c r="B1367" s="2">
        <v>45207</v>
      </c>
      <c r="C1367" t="s">
        <v>13</v>
      </c>
      <c r="D1367" t="s">
        <v>2034</v>
      </c>
      <c r="E1367" t="s">
        <v>20</v>
      </c>
      <c r="F1367" t="s">
        <v>24</v>
      </c>
      <c r="G1367">
        <v>6</v>
      </c>
      <c r="H1367">
        <v>14200</v>
      </c>
      <c r="I1367" s="6">
        <v>0.05</v>
      </c>
      <c r="J1367">
        <v>13490</v>
      </c>
    </row>
    <row r="1368" spans="1:10" x14ac:dyDescent="0.25">
      <c r="A1368" t="s">
        <v>1389</v>
      </c>
      <c r="B1368" s="2">
        <v>45208</v>
      </c>
      <c r="C1368" t="s">
        <v>13</v>
      </c>
      <c r="D1368" t="s">
        <v>2035</v>
      </c>
      <c r="E1368" t="s">
        <v>21</v>
      </c>
      <c r="F1368" t="s">
        <v>24</v>
      </c>
      <c r="G1368">
        <v>6</v>
      </c>
      <c r="H1368">
        <v>13400</v>
      </c>
      <c r="I1368" s="6">
        <v>0.1</v>
      </c>
      <c r="J1368">
        <v>12060</v>
      </c>
    </row>
    <row r="1369" spans="1:10" x14ac:dyDescent="0.25">
      <c r="A1369" t="s">
        <v>1390</v>
      </c>
      <c r="B1369" s="2">
        <v>45209</v>
      </c>
      <c r="C1369" t="s">
        <v>13</v>
      </c>
      <c r="D1369" t="s">
        <v>2036</v>
      </c>
      <c r="E1369" t="s">
        <v>22</v>
      </c>
      <c r="F1369" t="s">
        <v>24</v>
      </c>
      <c r="G1369">
        <v>8</v>
      </c>
      <c r="H1369">
        <v>14700</v>
      </c>
      <c r="I1369" s="6">
        <v>0.15000000000000002</v>
      </c>
      <c r="J1369">
        <v>12495</v>
      </c>
    </row>
    <row r="1370" spans="1:10" x14ac:dyDescent="0.25">
      <c r="A1370" t="s">
        <v>1391</v>
      </c>
      <c r="B1370" s="2">
        <v>45210</v>
      </c>
      <c r="C1370" t="s">
        <v>13</v>
      </c>
      <c r="D1370" t="s">
        <v>2037</v>
      </c>
      <c r="E1370" t="s">
        <v>19</v>
      </c>
      <c r="F1370" t="s">
        <v>24</v>
      </c>
      <c r="G1370">
        <v>6</v>
      </c>
      <c r="H1370">
        <v>7600</v>
      </c>
      <c r="I1370" s="6">
        <v>0.2</v>
      </c>
      <c r="J1370">
        <v>6080</v>
      </c>
    </row>
    <row r="1371" spans="1:10" x14ac:dyDescent="0.25">
      <c r="A1371" t="s">
        <v>1392</v>
      </c>
      <c r="B1371" s="2">
        <v>45211</v>
      </c>
      <c r="C1371" t="s">
        <v>13</v>
      </c>
      <c r="D1371" t="s">
        <v>2038</v>
      </c>
      <c r="E1371" t="s">
        <v>20</v>
      </c>
      <c r="F1371" t="s">
        <v>24</v>
      </c>
      <c r="G1371">
        <v>10</v>
      </c>
      <c r="H1371">
        <v>12200</v>
      </c>
      <c r="I1371" s="6">
        <v>0.25</v>
      </c>
      <c r="J1371">
        <v>9150</v>
      </c>
    </row>
    <row r="1372" spans="1:10" x14ac:dyDescent="0.25">
      <c r="A1372" t="s">
        <v>1393</v>
      </c>
      <c r="B1372" s="2">
        <v>45212</v>
      </c>
      <c r="C1372" t="s">
        <v>14</v>
      </c>
      <c r="D1372" t="s">
        <v>2039</v>
      </c>
      <c r="E1372" t="s">
        <v>21</v>
      </c>
      <c r="F1372" t="s">
        <v>25</v>
      </c>
      <c r="G1372">
        <v>3</v>
      </c>
      <c r="H1372">
        <v>8300</v>
      </c>
      <c r="I1372" s="6">
        <v>0.05</v>
      </c>
      <c r="J1372">
        <v>7885</v>
      </c>
    </row>
    <row r="1373" spans="1:10" x14ac:dyDescent="0.25">
      <c r="A1373" t="s">
        <v>1394</v>
      </c>
      <c r="B1373" s="2">
        <v>45213</v>
      </c>
      <c r="C1373" t="s">
        <v>14</v>
      </c>
      <c r="D1373" t="s">
        <v>2040</v>
      </c>
      <c r="E1373" t="s">
        <v>22</v>
      </c>
      <c r="F1373" t="s">
        <v>25</v>
      </c>
      <c r="G1373">
        <v>4</v>
      </c>
      <c r="H1373">
        <v>9800</v>
      </c>
      <c r="I1373" s="6">
        <v>0.1</v>
      </c>
      <c r="J1373">
        <v>8820</v>
      </c>
    </row>
    <row r="1374" spans="1:10" x14ac:dyDescent="0.25">
      <c r="A1374" t="s">
        <v>1395</v>
      </c>
      <c r="B1374" s="2">
        <v>45214</v>
      </c>
      <c r="C1374" t="s">
        <v>14</v>
      </c>
      <c r="D1374" t="s">
        <v>2041</v>
      </c>
      <c r="E1374" t="s">
        <v>19</v>
      </c>
      <c r="F1374" t="s">
        <v>25</v>
      </c>
      <c r="G1374">
        <v>4</v>
      </c>
      <c r="H1374">
        <v>10300</v>
      </c>
      <c r="I1374" s="6">
        <v>0.15000000000000002</v>
      </c>
      <c r="J1374">
        <v>8755</v>
      </c>
    </row>
    <row r="1375" spans="1:10" x14ac:dyDescent="0.25">
      <c r="A1375" t="s">
        <v>1396</v>
      </c>
      <c r="B1375" s="2">
        <v>45215</v>
      </c>
      <c r="C1375" t="s">
        <v>14</v>
      </c>
      <c r="D1375" t="s">
        <v>2042</v>
      </c>
      <c r="E1375" t="s">
        <v>20</v>
      </c>
      <c r="F1375" t="s">
        <v>25</v>
      </c>
      <c r="G1375">
        <v>7</v>
      </c>
      <c r="H1375">
        <v>7400</v>
      </c>
      <c r="I1375" s="6">
        <v>0.2</v>
      </c>
      <c r="J1375">
        <v>5920</v>
      </c>
    </row>
    <row r="1376" spans="1:10" x14ac:dyDescent="0.25">
      <c r="A1376" t="s">
        <v>1397</v>
      </c>
      <c r="B1376" s="2">
        <v>45216</v>
      </c>
      <c r="C1376" t="s">
        <v>14</v>
      </c>
      <c r="D1376" t="s">
        <v>2043</v>
      </c>
      <c r="E1376" t="s">
        <v>21</v>
      </c>
      <c r="F1376" t="s">
        <v>25</v>
      </c>
      <c r="G1376">
        <v>8</v>
      </c>
      <c r="H1376">
        <v>6200</v>
      </c>
      <c r="I1376" s="6">
        <v>0.25</v>
      </c>
      <c r="J1376">
        <v>4650</v>
      </c>
    </row>
    <row r="1377" spans="1:10" x14ac:dyDescent="0.25">
      <c r="A1377" t="s">
        <v>1398</v>
      </c>
      <c r="B1377" s="2">
        <v>45217</v>
      </c>
      <c r="C1377" t="s">
        <v>14</v>
      </c>
      <c r="D1377" t="s">
        <v>2044</v>
      </c>
      <c r="E1377" t="s">
        <v>22</v>
      </c>
      <c r="F1377" t="s">
        <v>25</v>
      </c>
      <c r="G1377">
        <v>2</v>
      </c>
      <c r="H1377">
        <v>8800</v>
      </c>
      <c r="I1377" s="6">
        <v>0.05</v>
      </c>
      <c r="J1377">
        <v>8360</v>
      </c>
    </row>
    <row r="1378" spans="1:10" x14ac:dyDescent="0.25">
      <c r="A1378" t="s">
        <v>1399</v>
      </c>
      <c r="B1378" s="2">
        <v>45218</v>
      </c>
      <c r="C1378" t="s">
        <v>14</v>
      </c>
      <c r="D1378" t="s">
        <v>2045</v>
      </c>
      <c r="E1378" t="s">
        <v>19</v>
      </c>
      <c r="F1378" t="s">
        <v>25</v>
      </c>
      <c r="G1378">
        <v>5</v>
      </c>
      <c r="H1378">
        <v>7300</v>
      </c>
      <c r="I1378" s="6">
        <v>0.1</v>
      </c>
      <c r="J1378">
        <v>6570</v>
      </c>
    </row>
    <row r="1379" spans="1:10" x14ac:dyDescent="0.25">
      <c r="A1379" t="s">
        <v>1400</v>
      </c>
      <c r="B1379" s="2">
        <v>45219</v>
      </c>
      <c r="C1379" t="s">
        <v>14</v>
      </c>
      <c r="D1379" t="s">
        <v>2046</v>
      </c>
      <c r="E1379" t="s">
        <v>20</v>
      </c>
      <c r="F1379" t="s">
        <v>25</v>
      </c>
      <c r="G1379">
        <v>1</v>
      </c>
      <c r="H1379">
        <v>12600</v>
      </c>
      <c r="I1379" s="6">
        <v>0.15000000000000002</v>
      </c>
      <c r="J1379">
        <v>10710</v>
      </c>
    </row>
    <row r="1380" spans="1:10" x14ac:dyDescent="0.25">
      <c r="A1380" t="s">
        <v>1401</v>
      </c>
      <c r="B1380" s="2">
        <v>45220</v>
      </c>
      <c r="C1380" t="s">
        <v>14</v>
      </c>
      <c r="D1380" t="s">
        <v>2047</v>
      </c>
      <c r="E1380" t="s">
        <v>21</v>
      </c>
      <c r="F1380" t="s">
        <v>25</v>
      </c>
      <c r="G1380">
        <v>1</v>
      </c>
      <c r="H1380">
        <v>11000</v>
      </c>
      <c r="I1380" s="6">
        <v>0.2</v>
      </c>
      <c r="J1380">
        <v>8800</v>
      </c>
    </row>
    <row r="1381" spans="1:10" x14ac:dyDescent="0.25">
      <c r="A1381" t="s">
        <v>1402</v>
      </c>
      <c r="B1381" s="2">
        <v>45221</v>
      </c>
      <c r="C1381" t="s">
        <v>14</v>
      </c>
      <c r="D1381" t="s">
        <v>2048</v>
      </c>
      <c r="E1381" t="s">
        <v>22</v>
      </c>
      <c r="F1381" t="s">
        <v>25</v>
      </c>
      <c r="G1381">
        <v>4</v>
      </c>
      <c r="H1381">
        <v>11200</v>
      </c>
      <c r="I1381" s="6">
        <v>0.25</v>
      </c>
      <c r="J1381">
        <v>8400</v>
      </c>
    </row>
    <row r="1382" spans="1:10" x14ac:dyDescent="0.25">
      <c r="A1382" t="s">
        <v>1403</v>
      </c>
      <c r="B1382" s="2">
        <v>45222</v>
      </c>
      <c r="C1382" t="s">
        <v>12</v>
      </c>
      <c r="D1382" t="s">
        <v>15</v>
      </c>
      <c r="E1382" t="s">
        <v>19</v>
      </c>
      <c r="F1382" t="s">
        <v>23</v>
      </c>
      <c r="G1382">
        <v>2</v>
      </c>
      <c r="H1382">
        <v>4400</v>
      </c>
      <c r="I1382" s="6">
        <v>0.05</v>
      </c>
      <c r="J1382">
        <v>4180</v>
      </c>
    </row>
    <row r="1383" spans="1:10" x14ac:dyDescent="0.25">
      <c r="A1383" t="s">
        <v>1404</v>
      </c>
      <c r="B1383" s="2">
        <v>45223</v>
      </c>
      <c r="C1383" t="s">
        <v>12</v>
      </c>
      <c r="D1383" t="s">
        <v>17</v>
      </c>
      <c r="E1383" t="s">
        <v>20</v>
      </c>
      <c r="F1383" t="s">
        <v>23</v>
      </c>
      <c r="G1383">
        <v>1</v>
      </c>
      <c r="H1383">
        <v>4800</v>
      </c>
      <c r="I1383" s="6">
        <v>0.1</v>
      </c>
      <c r="J1383">
        <v>4320</v>
      </c>
    </row>
    <row r="1384" spans="1:10" x14ac:dyDescent="0.25">
      <c r="A1384" t="s">
        <v>1405</v>
      </c>
      <c r="B1384" s="2">
        <v>45224</v>
      </c>
      <c r="C1384" t="s">
        <v>12</v>
      </c>
      <c r="D1384" t="s">
        <v>2023</v>
      </c>
      <c r="E1384" t="s">
        <v>21</v>
      </c>
      <c r="F1384" t="s">
        <v>23</v>
      </c>
      <c r="G1384">
        <v>7</v>
      </c>
      <c r="H1384">
        <v>11700</v>
      </c>
      <c r="I1384" s="6">
        <v>0.15000000000000002</v>
      </c>
      <c r="J1384">
        <v>9945</v>
      </c>
    </row>
    <row r="1385" spans="1:10" x14ac:dyDescent="0.25">
      <c r="A1385" t="s">
        <v>1406</v>
      </c>
      <c r="B1385" s="2">
        <v>45225</v>
      </c>
      <c r="C1385" t="s">
        <v>12</v>
      </c>
      <c r="D1385" t="s">
        <v>18</v>
      </c>
      <c r="E1385" t="s">
        <v>22</v>
      </c>
      <c r="F1385" t="s">
        <v>23</v>
      </c>
      <c r="G1385">
        <v>4</v>
      </c>
      <c r="H1385">
        <v>6400</v>
      </c>
      <c r="I1385" s="6">
        <v>0.2</v>
      </c>
      <c r="J1385">
        <v>5120</v>
      </c>
    </row>
    <row r="1386" spans="1:10" x14ac:dyDescent="0.25">
      <c r="A1386" t="s">
        <v>1407</v>
      </c>
      <c r="B1386" s="2">
        <v>45226</v>
      </c>
      <c r="C1386" t="s">
        <v>12</v>
      </c>
      <c r="D1386" t="s">
        <v>2024</v>
      </c>
      <c r="E1386" t="s">
        <v>19</v>
      </c>
      <c r="F1386" t="s">
        <v>23</v>
      </c>
      <c r="G1386">
        <v>4</v>
      </c>
      <c r="H1386">
        <v>8000</v>
      </c>
      <c r="I1386" s="6">
        <v>0.25</v>
      </c>
      <c r="J1386">
        <v>6000</v>
      </c>
    </row>
    <row r="1387" spans="1:10" x14ac:dyDescent="0.25">
      <c r="A1387" t="s">
        <v>1408</v>
      </c>
      <c r="B1387" s="2">
        <v>45227</v>
      </c>
      <c r="C1387" t="s">
        <v>12</v>
      </c>
      <c r="D1387" t="s">
        <v>2025</v>
      </c>
      <c r="E1387" t="s">
        <v>20</v>
      </c>
      <c r="F1387" t="s">
        <v>23</v>
      </c>
      <c r="G1387">
        <v>10</v>
      </c>
      <c r="H1387">
        <v>8100</v>
      </c>
      <c r="I1387" s="6">
        <v>0.05</v>
      </c>
      <c r="J1387">
        <v>7695</v>
      </c>
    </row>
    <row r="1388" spans="1:10" x14ac:dyDescent="0.25">
      <c r="A1388" t="s">
        <v>1409</v>
      </c>
      <c r="B1388" s="2">
        <v>45228</v>
      </c>
      <c r="C1388" t="s">
        <v>12</v>
      </c>
      <c r="D1388" t="s">
        <v>2026</v>
      </c>
      <c r="E1388" t="s">
        <v>21</v>
      </c>
      <c r="F1388" t="s">
        <v>23</v>
      </c>
      <c r="G1388">
        <v>9</v>
      </c>
      <c r="H1388">
        <v>12700</v>
      </c>
      <c r="I1388" s="6">
        <v>0.1</v>
      </c>
      <c r="J1388">
        <v>11430</v>
      </c>
    </row>
    <row r="1389" spans="1:10" x14ac:dyDescent="0.25">
      <c r="A1389" t="s">
        <v>1410</v>
      </c>
      <c r="B1389" s="2">
        <v>45229</v>
      </c>
      <c r="C1389" t="s">
        <v>12</v>
      </c>
      <c r="D1389" t="s">
        <v>2027</v>
      </c>
      <c r="E1389" t="s">
        <v>22</v>
      </c>
      <c r="F1389" t="s">
        <v>23</v>
      </c>
      <c r="G1389">
        <v>7</v>
      </c>
      <c r="H1389">
        <v>5200</v>
      </c>
      <c r="I1389" s="6">
        <v>0.15000000000000002</v>
      </c>
      <c r="J1389">
        <v>4420</v>
      </c>
    </row>
    <row r="1390" spans="1:10" x14ac:dyDescent="0.25">
      <c r="A1390" t="s">
        <v>1411</v>
      </c>
      <c r="B1390" s="2">
        <v>45230</v>
      </c>
      <c r="C1390" t="s">
        <v>12</v>
      </c>
      <c r="D1390" t="s">
        <v>2028</v>
      </c>
      <c r="E1390" t="s">
        <v>19</v>
      </c>
      <c r="F1390" t="s">
        <v>23</v>
      </c>
      <c r="G1390">
        <v>1</v>
      </c>
      <c r="H1390">
        <v>11400</v>
      </c>
      <c r="I1390" s="6">
        <v>0.2</v>
      </c>
      <c r="J1390">
        <v>9120</v>
      </c>
    </row>
    <row r="1391" spans="1:10" x14ac:dyDescent="0.25">
      <c r="A1391" t="s">
        <v>1412</v>
      </c>
      <c r="B1391" s="2">
        <v>45231</v>
      </c>
      <c r="C1391" t="s">
        <v>12</v>
      </c>
      <c r="D1391" t="s">
        <v>2029</v>
      </c>
      <c r="E1391" t="s">
        <v>20</v>
      </c>
      <c r="F1391" t="s">
        <v>23</v>
      </c>
      <c r="G1391">
        <v>5</v>
      </c>
      <c r="H1391">
        <v>7000</v>
      </c>
      <c r="I1391" s="6">
        <v>0.25</v>
      </c>
      <c r="J1391">
        <v>5250</v>
      </c>
    </row>
    <row r="1392" spans="1:10" x14ac:dyDescent="0.25">
      <c r="A1392" t="s">
        <v>1413</v>
      </c>
      <c r="B1392" s="2">
        <v>45232</v>
      </c>
      <c r="C1392" t="s">
        <v>13</v>
      </c>
      <c r="D1392" t="s">
        <v>16</v>
      </c>
      <c r="E1392" t="s">
        <v>21</v>
      </c>
      <c r="F1392" t="s">
        <v>24</v>
      </c>
      <c r="G1392">
        <v>10</v>
      </c>
      <c r="H1392">
        <v>10000</v>
      </c>
      <c r="I1392" s="6">
        <v>0.05</v>
      </c>
      <c r="J1392">
        <v>9500</v>
      </c>
    </row>
    <row r="1393" spans="1:10" x14ac:dyDescent="0.25">
      <c r="A1393" t="s">
        <v>1414</v>
      </c>
      <c r="B1393" s="2">
        <v>45233</v>
      </c>
      <c r="C1393" t="s">
        <v>13</v>
      </c>
      <c r="D1393" t="s">
        <v>2030</v>
      </c>
      <c r="E1393" t="s">
        <v>22</v>
      </c>
      <c r="F1393" t="s">
        <v>24</v>
      </c>
      <c r="G1393">
        <v>7</v>
      </c>
      <c r="H1393">
        <v>4700</v>
      </c>
      <c r="I1393" s="6">
        <v>0.1</v>
      </c>
      <c r="J1393">
        <v>4230</v>
      </c>
    </row>
    <row r="1394" spans="1:10" x14ac:dyDescent="0.25">
      <c r="A1394" t="s">
        <v>1415</v>
      </c>
      <c r="B1394" s="2">
        <v>45234</v>
      </c>
      <c r="C1394" t="s">
        <v>13</v>
      </c>
      <c r="D1394" t="s">
        <v>2031</v>
      </c>
      <c r="E1394" t="s">
        <v>19</v>
      </c>
      <c r="F1394" t="s">
        <v>24</v>
      </c>
      <c r="G1394">
        <v>1</v>
      </c>
      <c r="H1394">
        <v>13300</v>
      </c>
      <c r="I1394" s="6">
        <v>0.15000000000000002</v>
      </c>
      <c r="J1394">
        <v>11305</v>
      </c>
    </row>
    <row r="1395" spans="1:10" x14ac:dyDescent="0.25">
      <c r="A1395" t="s">
        <v>1416</v>
      </c>
      <c r="B1395" s="2">
        <v>45235</v>
      </c>
      <c r="C1395" t="s">
        <v>13</v>
      </c>
      <c r="D1395" t="s">
        <v>2032</v>
      </c>
      <c r="E1395" t="s">
        <v>20</v>
      </c>
      <c r="F1395" t="s">
        <v>24</v>
      </c>
      <c r="G1395">
        <v>9</v>
      </c>
      <c r="H1395">
        <v>13400</v>
      </c>
      <c r="I1395" s="6">
        <v>0.2</v>
      </c>
      <c r="J1395">
        <v>10720</v>
      </c>
    </row>
    <row r="1396" spans="1:10" x14ac:dyDescent="0.25">
      <c r="A1396" t="s">
        <v>1417</v>
      </c>
      <c r="B1396" s="2">
        <v>45236</v>
      </c>
      <c r="C1396" t="s">
        <v>13</v>
      </c>
      <c r="D1396" t="s">
        <v>2033</v>
      </c>
      <c r="E1396" t="s">
        <v>21</v>
      </c>
      <c r="F1396" t="s">
        <v>24</v>
      </c>
      <c r="G1396">
        <v>8</v>
      </c>
      <c r="H1396">
        <v>11200</v>
      </c>
      <c r="I1396" s="6">
        <v>0.25</v>
      </c>
      <c r="J1396">
        <v>8400</v>
      </c>
    </row>
    <row r="1397" spans="1:10" x14ac:dyDescent="0.25">
      <c r="A1397" t="s">
        <v>1418</v>
      </c>
      <c r="B1397" s="2">
        <v>45237</v>
      </c>
      <c r="C1397" t="s">
        <v>13</v>
      </c>
      <c r="D1397" t="s">
        <v>2034</v>
      </c>
      <c r="E1397" t="s">
        <v>22</v>
      </c>
      <c r="F1397" t="s">
        <v>24</v>
      </c>
      <c r="G1397">
        <v>3</v>
      </c>
      <c r="H1397">
        <v>13200</v>
      </c>
      <c r="I1397" s="6">
        <v>0.05</v>
      </c>
      <c r="J1397">
        <v>12540</v>
      </c>
    </row>
    <row r="1398" spans="1:10" x14ac:dyDescent="0.25">
      <c r="A1398" t="s">
        <v>1419</v>
      </c>
      <c r="B1398" s="2">
        <v>45238</v>
      </c>
      <c r="C1398" t="s">
        <v>13</v>
      </c>
      <c r="D1398" t="s">
        <v>2035</v>
      </c>
      <c r="E1398" t="s">
        <v>19</v>
      </c>
      <c r="F1398" t="s">
        <v>24</v>
      </c>
      <c r="G1398">
        <v>7</v>
      </c>
      <c r="H1398">
        <v>9400</v>
      </c>
      <c r="I1398" s="6">
        <v>0.1</v>
      </c>
      <c r="J1398">
        <v>8460</v>
      </c>
    </row>
    <row r="1399" spans="1:10" x14ac:dyDescent="0.25">
      <c r="A1399" t="s">
        <v>1420</v>
      </c>
      <c r="B1399" s="2">
        <v>45239</v>
      </c>
      <c r="C1399" t="s">
        <v>13</v>
      </c>
      <c r="D1399" t="s">
        <v>2036</v>
      </c>
      <c r="E1399" t="s">
        <v>20</v>
      </c>
      <c r="F1399" t="s">
        <v>24</v>
      </c>
      <c r="G1399">
        <v>1</v>
      </c>
      <c r="H1399">
        <v>8600</v>
      </c>
      <c r="I1399" s="6">
        <v>0.15000000000000002</v>
      </c>
      <c r="J1399">
        <v>7310</v>
      </c>
    </row>
    <row r="1400" spans="1:10" x14ac:dyDescent="0.25">
      <c r="A1400" t="s">
        <v>1421</v>
      </c>
      <c r="B1400" s="2">
        <v>45240</v>
      </c>
      <c r="C1400" t="s">
        <v>13</v>
      </c>
      <c r="D1400" t="s">
        <v>2037</v>
      </c>
      <c r="E1400" t="s">
        <v>21</v>
      </c>
      <c r="F1400" t="s">
        <v>24</v>
      </c>
      <c r="G1400">
        <v>2</v>
      </c>
      <c r="H1400">
        <v>13000</v>
      </c>
      <c r="I1400" s="6">
        <v>0.2</v>
      </c>
      <c r="J1400">
        <v>10400</v>
      </c>
    </row>
    <row r="1401" spans="1:10" x14ac:dyDescent="0.25">
      <c r="A1401" t="s">
        <v>1422</v>
      </c>
      <c r="B1401" s="2">
        <v>45241</v>
      </c>
      <c r="C1401" t="s">
        <v>13</v>
      </c>
      <c r="D1401" t="s">
        <v>2038</v>
      </c>
      <c r="E1401" t="s">
        <v>22</v>
      </c>
      <c r="F1401" t="s">
        <v>24</v>
      </c>
      <c r="G1401">
        <v>4</v>
      </c>
      <c r="H1401">
        <v>8500</v>
      </c>
      <c r="I1401" s="6">
        <v>0.25</v>
      </c>
      <c r="J1401">
        <v>6375</v>
      </c>
    </row>
    <row r="1402" spans="1:10" x14ac:dyDescent="0.25">
      <c r="A1402" t="s">
        <v>1423</v>
      </c>
      <c r="B1402" s="2">
        <v>45242</v>
      </c>
      <c r="C1402" t="s">
        <v>14</v>
      </c>
      <c r="D1402" t="s">
        <v>2039</v>
      </c>
      <c r="E1402" t="s">
        <v>19</v>
      </c>
      <c r="F1402" t="s">
        <v>25</v>
      </c>
      <c r="G1402">
        <v>6</v>
      </c>
      <c r="H1402">
        <v>11400</v>
      </c>
      <c r="I1402" s="6">
        <v>0.05</v>
      </c>
      <c r="J1402">
        <v>10830</v>
      </c>
    </row>
    <row r="1403" spans="1:10" x14ac:dyDescent="0.25">
      <c r="A1403" t="s">
        <v>1424</v>
      </c>
      <c r="B1403" s="2">
        <v>45243</v>
      </c>
      <c r="C1403" t="s">
        <v>14</v>
      </c>
      <c r="D1403" t="s">
        <v>2040</v>
      </c>
      <c r="E1403" t="s">
        <v>20</v>
      </c>
      <c r="F1403" t="s">
        <v>25</v>
      </c>
      <c r="G1403">
        <v>2</v>
      </c>
      <c r="H1403">
        <v>5500</v>
      </c>
      <c r="I1403" s="6">
        <v>0.1</v>
      </c>
      <c r="J1403">
        <v>4950</v>
      </c>
    </row>
    <row r="1404" spans="1:10" x14ac:dyDescent="0.25">
      <c r="A1404" t="s">
        <v>1425</v>
      </c>
      <c r="B1404" s="2">
        <v>45244</v>
      </c>
      <c r="C1404" t="s">
        <v>14</v>
      </c>
      <c r="D1404" t="s">
        <v>2041</v>
      </c>
      <c r="E1404" t="s">
        <v>21</v>
      </c>
      <c r="F1404" t="s">
        <v>25</v>
      </c>
      <c r="G1404">
        <v>4</v>
      </c>
      <c r="H1404">
        <v>5000</v>
      </c>
      <c r="I1404" s="6">
        <v>0.15000000000000002</v>
      </c>
      <c r="J1404">
        <v>4250</v>
      </c>
    </row>
    <row r="1405" spans="1:10" x14ac:dyDescent="0.25">
      <c r="A1405" t="s">
        <v>1426</v>
      </c>
      <c r="B1405" s="2">
        <v>45245</v>
      </c>
      <c r="C1405" t="s">
        <v>14</v>
      </c>
      <c r="D1405" t="s">
        <v>2042</v>
      </c>
      <c r="E1405" t="s">
        <v>22</v>
      </c>
      <c r="F1405" t="s">
        <v>25</v>
      </c>
      <c r="G1405">
        <v>4</v>
      </c>
      <c r="H1405">
        <v>14900</v>
      </c>
      <c r="I1405" s="6">
        <v>0.2</v>
      </c>
      <c r="J1405">
        <v>11920</v>
      </c>
    </row>
    <row r="1406" spans="1:10" x14ac:dyDescent="0.25">
      <c r="A1406" t="s">
        <v>1427</v>
      </c>
      <c r="B1406" s="2">
        <v>45246</v>
      </c>
      <c r="C1406" t="s">
        <v>14</v>
      </c>
      <c r="D1406" t="s">
        <v>2043</v>
      </c>
      <c r="E1406" t="s">
        <v>19</v>
      </c>
      <c r="F1406" t="s">
        <v>25</v>
      </c>
      <c r="G1406">
        <v>9</v>
      </c>
      <c r="H1406">
        <v>4500</v>
      </c>
      <c r="I1406" s="6">
        <v>0.25</v>
      </c>
      <c r="J1406">
        <v>3375</v>
      </c>
    </row>
    <row r="1407" spans="1:10" x14ac:dyDescent="0.25">
      <c r="A1407" t="s">
        <v>1428</v>
      </c>
      <c r="B1407" s="2">
        <v>45247</v>
      </c>
      <c r="C1407" t="s">
        <v>14</v>
      </c>
      <c r="D1407" t="s">
        <v>2044</v>
      </c>
      <c r="E1407" t="s">
        <v>20</v>
      </c>
      <c r="F1407" t="s">
        <v>25</v>
      </c>
      <c r="G1407">
        <v>9</v>
      </c>
      <c r="H1407">
        <v>14500</v>
      </c>
      <c r="I1407" s="6">
        <v>0.05</v>
      </c>
      <c r="J1407">
        <v>13775</v>
      </c>
    </row>
    <row r="1408" spans="1:10" x14ac:dyDescent="0.25">
      <c r="A1408" t="s">
        <v>1429</v>
      </c>
      <c r="B1408" s="2">
        <v>45248</v>
      </c>
      <c r="C1408" t="s">
        <v>14</v>
      </c>
      <c r="D1408" t="s">
        <v>2045</v>
      </c>
      <c r="E1408" t="s">
        <v>21</v>
      </c>
      <c r="F1408" t="s">
        <v>25</v>
      </c>
      <c r="G1408">
        <v>7</v>
      </c>
      <c r="H1408">
        <v>4300</v>
      </c>
      <c r="I1408" s="6">
        <v>0.1</v>
      </c>
      <c r="J1408">
        <v>3870</v>
      </c>
    </row>
    <row r="1409" spans="1:10" x14ac:dyDescent="0.25">
      <c r="A1409" t="s">
        <v>1430</v>
      </c>
      <c r="B1409" s="2">
        <v>45249</v>
      </c>
      <c r="C1409" t="s">
        <v>14</v>
      </c>
      <c r="D1409" t="s">
        <v>2046</v>
      </c>
      <c r="E1409" t="s">
        <v>22</v>
      </c>
      <c r="F1409" t="s">
        <v>25</v>
      </c>
      <c r="G1409">
        <v>6</v>
      </c>
      <c r="H1409">
        <v>10700</v>
      </c>
      <c r="I1409" s="6">
        <v>0.15000000000000002</v>
      </c>
      <c r="J1409">
        <v>9095</v>
      </c>
    </row>
    <row r="1410" spans="1:10" x14ac:dyDescent="0.25">
      <c r="A1410" t="s">
        <v>1431</v>
      </c>
      <c r="B1410" s="2">
        <v>45250</v>
      </c>
      <c r="C1410" t="s">
        <v>14</v>
      </c>
      <c r="D1410" t="s">
        <v>2047</v>
      </c>
      <c r="E1410" t="s">
        <v>19</v>
      </c>
      <c r="F1410" t="s">
        <v>25</v>
      </c>
      <c r="G1410">
        <v>3</v>
      </c>
      <c r="H1410">
        <v>8600</v>
      </c>
      <c r="I1410" s="6">
        <v>0.2</v>
      </c>
      <c r="J1410">
        <v>6880</v>
      </c>
    </row>
    <row r="1411" spans="1:10" x14ac:dyDescent="0.25">
      <c r="A1411" t="s">
        <v>1432</v>
      </c>
      <c r="B1411" s="2">
        <v>45251</v>
      </c>
      <c r="C1411" t="s">
        <v>14</v>
      </c>
      <c r="D1411" t="s">
        <v>2048</v>
      </c>
      <c r="E1411" t="s">
        <v>20</v>
      </c>
      <c r="F1411" t="s">
        <v>25</v>
      </c>
      <c r="G1411">
        <v>6</v>
      </c>
      <c r="H1411">
        <v>13700</v>
      </c>
      <c r="I1411" s="6">
        <v>0.25</v>
      </c>
      <c r="J1411">
        <v>10275</v>
      </c>
    </row>
    <row r="1412" spans="1:10" x14ac:dyDescent="0.25">
      <c r="A1412" t="s">
        <v>1433</v>
      </c>
      <c r="B1412" s="2">
        <v>45252</v>
      </c>
      <c r="C1412" t="s">
        <v>12</v>
      </c>
      <c r="D1412" t="s">
        <v>15</v>
      </c>
      <c r="E1412" t="s">
        <v>21</v>
      </c>
      <c r="F1412" t="s">
        <v>23</v>
      </c>
      <c r="G1412">
        <v>1</v>
      </c>
      <c r="H1412">
        <v>10100</v>
      </c>
      <c r="I1412" s="6">
        <v>0.05</v>
      </c>
      <c r="J1412">
        <v>9595</v>
      </c>
    </row>
    <row r="1413" spans="1:10" x14ac:dyDescent="0.25">
      <c r="A1413" t="s">
        <v>1434</v>
      </c>
      <c r="B1413" s="2">
        <v>45253</v>
      </c>
      <c r="C1413" t="s">
        <v>12</v>
      </c>
      <c r="D1413" t="s">
        <v>17</v>
      </c>
      <c r="E1413" t="s">
        <v>22</v>
      </c>
      <c r="F1413" t="s">
        <v>23</v>
      </c>
      <c r="G1413">
        <v>3</v>
      </c>
      <c r="H1413">
        <v>5400</v>
      </c>
      <c r="I1413" s="6">
        <v>0.1</v>
      </c>
      <c r="J1413">
        <v>4860</v>
      </c>
    </row>
    <row r="1414" spans="1:10" x14ac:dyDescent="0.25">
      <c r="A1414" t="s">
        <v>1435</v>
      </c>
      <c r="B1414" s="2">
        <v>45254</v>
      </c>
      <c r="C1414" t="s">
        <v>12</v>
      </c>
      <c r="D1414" t="s">
        <v>2023</v>
      </c>
      <c r="E1414" t="s">
        <v>19</v>
      </c>
      <c r="F1414" t="s">
        <v>23</v>
      </c>
      <c r="G1414">
        <v>5</v>
      </c>
      <c r="H1414">
        <v>12300</v>
      </c>
      <c r="I1414" s="6">
        <v>0.15000000000000002</v>
      </c>
      <c r="J1414">
        <v>10455</v>
      </c>
    </row>
    <row r="1415" spans="1:10" x14ac:dyDescent="0.25">
      <c r="A1415" t="s">
        <v>1436</v>
      </c>
      <c r="B1415" s="2">
        <v>45255</v>
      </c>
      <c r="C1415" t="s">
        <v>12</v>
      </c>
      <c r="D1415" t="s">
        <v>18</v>
      </c>
      <c r="E1415" t="s">
        <v>20</v>
      </c>
      <c r="F1415" t="s">
        <v>23</v>
      </c>
      <c r="G1415">
        <v>6</v>
      </c>
      <c r="H1415">
        <v>6400</v>
      </c>
      <c r="I1415" s="6">
        <v>0.2</v>
      </c>
      <c r="J1415">
        <v>5120</v>
      </c>
    </row>
    <row r="1416" spans="1:10" x14ac:dyDescent="0.25">
      <c r="A1416" t="s">
        <v>1437</v>
      </c>
      <c r="B1416" s="2">
        <v>45256</v>
      </c>
      <c r="C1416" t="s">
        <v>12</v>
      </c>
      <c r="D1416" t="s">
        <v>2024</v>
      </c>
      <c r="E1416" t="s">
        <v>21</v>
      </c>
      <c r="F1416" t="s">
        <v>23</v>
      </c>
      <c r="G1416">
        <v>1</v>
      </c>
      <c r="H1416">
        <v>8500</v>
      </c>
      <c r="I1416" s="6">
        <v>0.25</v>
      </c>
      <c r="J1416">
        <v>6375</v>
      </c>
    </row>
    <row r="1417" spans="1:10" x14ac:dyDescent="0.25">
      <c r="A1417" t="s">
        <v>1438</v>
      </c>
      <c r="B1417" s="2">
        <v>45257</v>
      </c>
      <c r="C1417" t="s">
        <v>12</v>
      </c>
      <c r="D1417" t="s">
        <v>2025</v>
      </c>
      <c r="E1417" t="s">
        <v>22</v>
      </c>
      <c r="F1417" t="s">
        <v>23</v>
      </c>
      <c r="G1417">
        <v>6</v>
      </c>
      <c r="H1417">
        <v>9900</v>
      </c>
      <c r="I1417" s="6">
        <v>0.05</v>
      </c>
      <c r="J1417">
        <v>9405</v>
      </c>
    </row>
    <row r="1418" spans="1:10" x14ac:dyDescent="0.25">
      <c r="A1418" t="s">
        <v>1439</v>
      </c>
      <c r="B1418" s="2">
        <v>45258</v>
      </c>
      <c r="C1418" t="s">
        <v>12</v>
      </c>
      <c r="D1418" t="s">
        <v>2026</v>
      </c>
      <c r="E1418" t="s">
        <v>19</v>
      </c>
      <c r="F1418" t="s">
        <v>23</v>
      </c>
      <c r="G1418">
        <v>10</v>
      </c>
      <c r="H1418">
        <v>11900</v>
      </c>
      <c r="I1418" s="6">
        <v>0.1</v>
      </c>
      <c r="J1418">
        <v>10710</v>
      </c>
    </row>
    <row r="1419" spans="1:10" x14ac:dyDescent="0.25">
      <c r="A1419" t="s">
        <v>1440</v>
      </c>
      <c r="B1419" s="2">
        <v>45259</v>
      </c>
      <c r="C1419" t="s">
        <v>12</v>
      </c>
      <c r="D1419" t="s">
        <v>2027</v>
      </c>
      <c r="E1419" t="s">
        <v>20</v>
      </c>
      <c r="F1419" t="s">
        <v>23</v>
      </c>
      <c r="G1419">
        <v>9</v>
      </c>
      <c r="H1419">
        <v>7900</v>
      </c>
      <c r="I1419" s="6">
        <v>0.15000000000000002</v>
      </c>
      <c r="J1419">
        <v>6715</v>
      </c>
    </row>
    <row r="1420" spans="1:10" x14ac:dyDescent="0.25">
      <c r="A1420" t="s">
        <v>1441</v>
      </c>
      <c r="B1420" s="2">
        <v>45260</v>
      </c>
      <c r="C1420" t="s">
        <v>12</v>
      </c>
      <c r="D1420" t="s">
        <v>2028</v>
      </c>
      <c r="E1420" t="s">
        <v>21</v>
      </c>
      <c r="F1420" t="s">
        <v>23</v>
      </c>
      <c r="G1420">
        <v>8</v>
      </c>
      <c r="H1420">
        <v>6800</v>
      </c>
      <c r="I1420" s="6">
        <v>0.2</v>
      </c>
      <c r="J1420">
        <v>5440</v>
      </c>
    </row>
    <row r="1421" spans="1:10" x14ac:dyDescent="0.25">
      <c r="A1421" t="s">
        <v>1442</v>
      </c>
      <c r="B1421" s="2">
        <v>45261</v>
      </c>
      <c r="C1421" t="s">
        <v>12</v>
      </c>
      <c r="D1421" t="s">
        <v>2029</v>
      </c>
      <c r="E1421" t="s">
        <v>22</v>
      </c>
      <c r="F1421" t="s">
        <v>23</v>
      </c>
      <c r="G1421">
        <v>10</v>
      </c>
      <c r="H1421">
        <v>13400</v>
      </c>
      <c r="I1421" s="6">
        <v>0.25</v>
      </c>
      <c r="J1421">
        <v>10050</v>
      </c>
    </row>
    <row r="1422" spans="1:10" x14ac:dyDescent="0.25">
      <c r="A1422" t="s">
        <v>1443</v>
      </c>
      <c r="B1422" s="2">
        <v>45262</v>
      </c>
      <c r="C1422" t="s">
        <v>13</v>
      </c>
      <c r="D1422" t="s">
        <v>16</v>
      </c>
      <c r="E1422" t="s">
        <v>19</v>
      </c>
      <c r="F1422" t="s">
        <v>24</v>
      </c>
      <c r="G1422">
        <v>4</v>
      </c>
      <c r="H1422">
        <v>4400</v>
      </c>
      <c r="I1422" s="6">
        <v>0.05</v>
      </c>
      <c r="J1422">
        <v>4180</v>
      </c>
    </row>
    <row r="1423" spans="1:10" x14ac:dyDescent="0.25">
      <c r="A1423" t="s">
        <v>1444</v>
      </c>
      <c r="B1423" s="2">
        <v>45263</v>
      </c>
      <c r="C1423" t="s">
        <v>13</v>
      </c>
      <c r="D1423" t="s">
        <v>2030</v>
      </c>
      <c r="E1423" t="s">
        <v>20</v>
      </c>
      <c r="F1423" t="s">
        <v>24</v>
      </c>
      <c r="G1423">
        <v>6</v>
      </c>
      <c r="H1423">
        <v>6900</v>
      </c>
      <c r="I1423" s="6">
        <v>0.1</v>
      </c>
      <c r="J1423">
        <v>6210</v>
      </c>
    </row>
    <row r="1424" spans="1:10" x14ac:dyDescent="0.25">
      <c r="A1424" t="s">
        <v>1445</v>
      </c>
      <c r="B1424" s="2">
        <v>45264</v>
      </c>
      <c r="C1424" t="s">
        <v>13</v>
      </c>
      <c r="D1424" t="s">
        <v>2031</v>
      </c>
      <c r="E1424" t="s">
        <v>21</v>
      </c>
      <c r="F1424" t="s">
        <v>24</v>
      </c>
      <c r="G1424">
        <v>9</v>
      </c>
      <c r="H1424">
        <v>13000</v>
      </c>
      <c r="I1424" s="6">
        <v>0.15000000000000002</v>
      </c>
      <c r="J1424">
        <v>11050</v>
      </c>
    </row>
    <row r="1425" spans="1:10" x14ac:dyDescent="0.25">
      <c r="A1425" t="s">
        <v>1446</v>
      </c>
      <c r="B1425" s="2">
        <v>45265</v>
      </c>
      <c r="C1425" t="s">
        <v>13</v>
      </c>
      <c r="D1425" t="s">
        <v>2032</v>
      </c>
      <c r="E1425" t="s">
        <v>22</v>
      </c>
      <c r="F1425" t="s">
        <v>24</v>
      </c>
      <c r="G1425">
        <v>2</v>
      </c>
      <c r="H1425">
        <v>6000</v>
      </c>
      <c r="I1425" s="6">
        <v>0.2</v>
      </c>
      <c r="J1425">
        <v>4800</v>
      </c>
    </row>
    <row r="1426" spans="1:10" x14ac:dyDescent="0.25">
      <c r="A1426" t="s">
        <v>1447</v>
      </c>
      <c r="B1426" s="2">
        <v>45266</v>
      </c>
      <c r="C1426" t="s">
        <v>13</v>
      </c>
      <c r="D1426" t="s">
        <v>2033</v>
      </c>
      <c r="E1426" t="s">
        <v>19</v>
      </c>
      <c r="F1426" t="s">
        <v>24</v>
      </c>
      <c r="G1426">
        <v>5</v>
      </c>
      <c r="H1426">
        <v>4800</v>
      </c>
      <c r="I1426" s="6">
        <v>0.25</v>
      </c>
      <c r="J1426">
        <v>3600</v>
      </c>
    </row>
    <row r="1427" spans="1:10" x14ac:dyDescent="0.25">
      <c r="A1427" t="s">
        <v>1448</v>
      </c>
      <c r="B1427" s="2">
        <v>45267</v>
      </c>
      <c r="C1427" t="s">
        <v>13</v>
      </c>
      <c r="D1427" t="s">
        <v>2034</v>
      </c>
      <c r="E1427" t="s">
        <v>20</v>
      </c>
      <c r="F1427" t="s">
        <v>24</v>
      </c>
      <c r="G1427">
        <v>6</v>
      </c>
      <c r="H1427">
        <v>10200</v>
      </c>
      <c r="I1427" s="6">
        <v>0.05</v>
      </c>
      <c r="J1427">
        <v>9690</v>
      </c>
    </row>
    <row r="1428" spans="1:10" x14ac:dyDescent="0.25">
      <c r="A1428" t="s">
        <v>1449</v>
      </c>
      <c r="B1428" s="2">
        <v>45268</v>
      </c>
      <c r="C1428" t="s">
        <v>13</v>
      </c>
      <c r="D1428" t="s">
        <v>2035</v>
      </c>
      <c r="E1428" t="s">
        <v>21</v>
      </c>
      <c r="F1428" t="s">
        <v>24</v>
      </c>
      <c r="G1428">
        <v>2</v>
      </c>
      <c r="H1428">
        <v>5600</v>
      </c>
      <c r="I1428" s="6">
        <v>0.1</v>
      </c>
      <c r="J1428">
        <v>5040</v>
      </c>
    </row>
    <row r="1429" spans="1:10" x14ac:dyDescent="0.25">
      <c r="A1429" t="s">
        <v>1450</v>
      </c>
      <c r="B1429" s="2">
        <v>45269</v>
      </c>
      <c r="C1429" t="s">
        <v>13</v>
      </c>
      <c r="D1429" t="s">
        <v>2036</v>
      </c>
      <c r="E1429" t="s">
        <v>22</v>
      </c>
      <c r="F1429" t="s">
        <v>24</v>
      </c>
      <c r="G1429">
        <v>8</v>
      </c>
      <c r="H1429">
        <v>8000</v>
      </c>
      <c r="I1429" s="6">
        <v>0.15000000000000002</v>
      </c>
      <c r="J1429">
        <v>6800</v>
      </c>
    </row>
    <row r="1430" spans="1:10" x14ac:dyDescent="0.25">
      <c r="A1430" t="s">
        <v>1451</v>
      </c>
      <c r="B1430" s="2">
        <v>45270</v>
      </c>
      <c r="C1430" t="s">
        <v>13</v>
      </c>
      <c r="D1430" t="s">
        <v>2037</v>
      </c>
      <c r="E1430" t="s">
        <v>19</v>
      </c>
      <c r="F1430" t="s">
        <v>24</v>
      </c>
      <c r="G1430">
        <v>3</v>
      </c>
      <c r="H1430">
        <v>6000</v>
      </c>
      <c r="I1430" s="6">
        <v>0.2</v>
      </c>
      <c r="J1430">
        <v>4800</v>
      </c>
    </row>
    <row r="1431" spans="1:10" x14ac:dyDescent="0.25">
      <c r="A1431" t="s">
        <v>1452</v>
      </c>
      <c r="B1431" s="2">
        <v>45271</v>
      </c>
      <c r="C1431" t="s">
        <v>13</v>
      </c>
      <c r="D1431" t="s">
        <v>2038</v>
      </c>
      <c r="E1431" t="s">
        <v>20</v>
      </c>
      <c r="F1431" t="s">
        <v>24</v>
      </c>
      <c r="G1431">
        <v>10</v>
      </c>
      <c r="H1431">
        <v>14800</v>
      </c>
      <c r="I1431" s="6">
        <v>0.25</v>
      </c>
      <c r="J1431">
        <v>11100</v>
      </c>
    </row>
    <row r="1432" spans="1:10" x14ac:dyDescent="0.25">
      <c r="A1432" t="s">
        <v>1453</v>
      </c>
      <c r="B1432" s="2">
        <v>45272</v>
      </c>
      <c r="C1432" t="s">
        <v>14</v>
      </c>
      <c r="D1432" t="s">
        <v>2039</v>
      </c>
      <c r="E1432" t="s">
        <v>21</v>
      </c>
      <c r="F1432" t="s">
        <v>25</v>
      </c>
      <c r="G1432">
        <v>2</v>
      </c>
      <c r="H1432">
        <v>11100</v>
      </c>
      <c r="I1432" s="6">
        <v>0.05</v>
      </c>
      <c r="J1432">
        <v>10545</v>
      </c>
    </row>
    <row r="1433" spans="1:10" x14ac:dyDescent="0.25">
      <c r="A1433" t="s">
        <v>1454</v>
      </c>
      <c r="B1433" s="2">
        <v>45273</v>
      </c>
      <c r="C1433" t="s">
        <v>14</v>
      </c>
      <c r="D1433" t="s">
        <v>2040</v>
      </c>
      <c r="E1433" t="s">
        <v>22</v>
      </c>
      <c r="F1433" t="s">
        <v>25</v>
      </c>
      <c r="G1433">
        <v>7</v>
      </c>
      <c r="H1433">
        <v>14500</v>
      </c>
      <c r="I1433" s="6">
        <v>0.1</v>
      </c>
      <c r="J1433">
        <v>13050</v>
      </c>
    </row>
    <row r="1434" spans="1:10" x14ac:dyDescent="0.25">
      <c r="A1434" t="s">
        <v>1455</v>
      </c>
      <c r="B1434" s="2">
        <v>45274</v>
      </c>
      <c r="C1434" t="s">
        <v>14</v>
      </c>
      <c r="D1434" t="s">
        <v>2041</v>
      </c>
      <c r="E1434" t="s">
        <v>19</v>
      </c>
      <c r="F1434" t="s">
        <v>25</v>
      </c>
      <c r="G1434">
        <v>8</v>
      </c>
      <c r="H1434">
        <v>13600</v>
      </c>
      <c r="I1434" s="6">
        <v>0.15000000000000002</v>
      </c>
      <c r="J1434">
        <v>11560</v>
      </c>
    </row>
    <row r="1435" spans="1:10" x14ac:dyDescent="0.25">
      <c r="A1435" t="s">
        <v>1456</v>
      </c>
      <c r="B1435" s="2">
        <v>45275</v>
      </c>
      <c r="C1435" t="s">
        <v>14</v>
      </c>
      <c r="D1435" t="s">
        <v>2042</v>
      </c>
      <c r="E1435" t="s">
        <v>20</v>
      </c>
      <c r="F1435" t="s">
        <v>25</v>
      </c>
      <c r="G1435">
        <v>6</v>
      </c>
      <c r="H1435">
        <v>5400</v>
      </c>
      <c r="I1435" s="6">
        <v>0.2</v>
      </c>
      <c r="J1435">
        <v>4320</v>
      </c>
    </row>
    <row r="1436" spans="1:10" x14ac:dyDescent="0.25">
      <c r="A1436" t="s">
        <v>1457</v>
      </c>
      <c r="B1436" s="2">
        <v>45276</v>
      </c>
      <c r="C1436" t="s">
        <v>14</v>
      </c>
      <c r="D1436" t="s">
        <v>2043</v>
      </c>
      <c r="E1436" t="s">
        <v>21</v>
      </c>
      <c r="F1436" t="s">
        <v>25</v>
      </c>
      <c r="G1436">
        <v>5</v>
      </c>
      <c r="H1436">
        <v>7100</v>
      </c>
      <c r="I1436" s="6">
        <v>0.25</v>
      </c>
      <c r="J1436">
        <v>5325</v>
      </c>
    </row>
    <row r="1437" spans="1:10" x14ac:dyDescent="0.25">
      <c r="A1437" t="s">
        <v>1458</v>
      </c>
      <c r="B1437" s="2">
        <v>45277</v>
      </c>
      <c r="C1437" t="s">
        <v>14</v>
      </c>
      <c r="D1437" t="s">
        <v>2044</v>
      </c>
      <c r="E1437" t="s">
        <v>22</v>
      </c>
      <c r="F1437" t="s">
        <v>25</v>
      </c>
      <c r="G1437">
        <v>6</v>
      </c>
      <c r="H1437">
        <v>4600</v>
      </c>
      <c r="I1437" s="6">
        <v>0.05</v>
      </c>
      <c r="J1437">
        <v>4370</v>
      </c>
    </row>
    <row r="1438" spans="1:10" x14ac:dyDescent="0.25">
      <c r="A1438" t="s">
        <v>1459</v>
      </c>
      <c r="B1438" s="2">
        <v>45278</v>
      </c>
      <c r="C1438" t="s">
        <v>14</v>
      </c>
      <c r="D1438" t="s">
        <v>2045</v>
      </c>
      <c r="E1438" t="s">
        <v>19</v>
      </c>
      <c r="F1438" t="s">
        <v>25</v>
      </c>
      <c r="G1438">
        <v>4</v>
      </c>
      <c r="H1438">
        <v>11300</v>
      </c>
      <c r="I1438" s="6">
        <v>0.1</v>
      </c>
      <c r="J1438">
        <v>10170</v>
      </c>
    </row>
    <row r="1439" spans="1:10" x14ac:dyDescent="0.25">
      <c r="A1439" t="s">
        <v>1460</v>
      </c>
      <c r="B1439" s="2">
        <v>45279</v>
      </c>
      <c r="C1439" t="s">
        <v>14</v>
      </c>
      <c r="D1439" t="s">
        <v>2046</v>
      </c>
      <c r="E1439" t="s">
        <v>20</v>
      </c>
      <c r="F1439" t="s">
        <v>25</v>
      </c>
      <c r="G1439">
        <v>2</v>
      </c>
      <c r="H1439">
        <v>13300</v>
      </c>
      <c r="I1439" s="6">
        <v>0.15000000000000002</v>
      </c>
      <c r="J1439">
        <v>11305</v>
      </c>
    </row>
    <row r="1440" spans="1:10" x14ac:dyDescent="0.25">
      <c r="A1440" t="s">
        <v>1461</v>
      </c>
      <c r="B1440" s="2">
        <v>45280</v>
      </c>
      <c r="C1440" t="s">
        <v>14</v>
      </c>
      <c r="D1440" t="s">
        <v>2047</v>
      </c>
      <c r="E1440" t="s">
        <v>21</v>
      </c>
      <c r="F1440" t="s">
        <v>25</v>
      </c>
      <c r="G1440">
        <v>5</v>
      </c>
      <c r="H1440">
        <v>14900</v>
      </c>
      <c r="I1440" s="6">
        <v>0.2</v>
      </c>
      <c r="J1440">
        <v>11920</v>
      </c>
    </row>
    <row r="1441" spans="1:10" x14ac:dyDescent="0.25">
      <c r="A1441" t="s">
        <v>1462</v>
      </c>
      <c r="B1441" s="2">
        <v>45281</v>
      </c>
      <c r="C1441" t="s">
        <v>14</v>
      </c>
      <c r="D1441" t="s">
        <v>2048</v>
      </c>
      <c r="E1441" t="s">
        <v>22</v>
      </c>
      <c r="F1441" t="s">
        <v>25</v>
      </c>
      <c r="G1441">
        <v>10</v>
      </c>
      <c r="H1441">
        <v>14600</v>
      </c>
      <c r="I1441" s="6">
        <v>0.25</v>
      </c>
      <c r="J1441">
        <v>10950</v>
      </c>
    </row>
    <row r="1442" spans="1:10" x14ac:dyDescent="0.25">
      <c r="A1442" t="s">
        <v>1463</v>
      </c>
      <c r="B1442" s="2">
        <v>45282</v>
      </c>
      <c r="C1442" t="s">
        <v>12</v>
      </c>
      <c r="D1442" t="s">
        <v>15</v>
      </c>
      <c r="E1442" t="s">
        <v>19</v>
      </c>
      <c r="F1442" t="s">
        <v>23</v>
      </c>
      <c r="G1442">
        <v>8</v>
      </c>
      <c r="H1442">
        <v>10100</v>
      </c>
      <c r="I1442" s="6">
        <v>0.05</v>
      </c>
      <c r="J1442">
        <v>9595</v>
      </c>
    </row>
    <row r="1443" spans="1:10" x14ac:dyDescent="0.25">
      <c r="A1443" t="s">
        <v>1464</v>
      </c>
      <c r="B1443" s="2">
        <v>45283</v>
      </c>
      <c r="C1443" t="s">
        <v>12</v>
      </c>
      <c r="D1443" t="s">
        <v>17</v>
      </c>
      <c r="E1443" t="s">
        <v>20</v>
      </c>
      <c r="F1443" t="s">
        <v>23</v>
      </c>
      <c r="G1443">
        <v>10</v>
      </c>
      <c r="H1443">
        <v>7500</v>
      </c>
      <c r="I1443" s="6">
        <v>0.1</v>
      </c>
      <c r="J1443">
        <v>6750</v>
      </c>
    </row>
    <row r="1444" spans="1:10" x14ac:dyDescent="0.25">
      <c r="A1444" t="s">
        <v>1465</v>
      </c>
      <c r="B1444" s="2">
        <v>45284</v>
      </c>
      <c r="C1444" t="s">
        <v>12</v>
      </c>
      <c r="D1444" t="s">
        <v>2023</v>
      </c>
      <c r="E1444" t="s">
        <v>21</v>
      </c>
      <c r="F1444" t="s">
        <v>23</v>
      </c>
      <c r="G1444">
        <v>4</v>
      </c>
      <c r="H1444">
        <v>9900</v>
      </c>
      <c r="I1444" s="6">
        <v>0.15000000000000002</v>
      </c>
      <c r="J1444">
        <v>8415</v>
      </c>
    </row>
    <row r="1445" spans="1:10" x14ac:dyDescent="0.25">
      <c r="A1445" t="s">
        <v>1466</v>
      </c>
      <c r="B1445" s="2">
        <v>45285</v>
      </c>
      <c r="C1445" t="s">
        <v>12</v>
      </c>
      <c r="D1445" t="s">
        <v>18</v>
      </c>
      <c r="E1445" t="s">
        <v>22</v>
      </c>
      <c r="F1445" t="s">
        <v>23</v>
      </c>
      <c r="G1445">
        <v>7</v>
      </c>
      <c r="H1445">
        <v>7200</v>
      </c>
      <c r="I1445" s="6">
        <v>0.2</v>
      </c>
      <c r="J1445">
        <v>5760</v>
      </c>
    </row>
    <row r="1446" spans="1:10" x14ac:dyDescent="0.25">
      <c r="A1446" t="s">
        <v>1467</v>
      </c>
      <c r="B1446" s="2">
        <v>45286</v>
      </c>
      <c r="C1446" t="s">
        <v>12</v>
      </c>
      <c r="D1446" t="s">
        <v>2024</v>
      </c>
      <c r="E1446" t="s">
        <v>19</v>
      </c>
      <c r="F1446" t="s">
        <v>23</v>
      </c>
      <c r="G1446">
        <v>9</v>
      </c>
      <c r="H1446">
        <v>15000</v>
      </c>
      <c r="I1446" s="6">
        <v>0.25</v>
      </c>
      <c r="J1446">
        <v>11250</v>
      </c>
    </row>
    <row r="1447" spans="1:10" x14ac:dyDescent="0.25">
      <c r="A1447" t="s">
        <v>1468</v>
      </c>
      <c r="B1447" s="2">
        <v>45287</v>
      </c>
      <c r="C1447" t="s">
        <v>12</v>
      </c>
      <c r="D1447" t="s">
        <v>2025</v>
      </c>
      <c r="E1447" t="s">
        <v>20</v>
      </c>
      <c r="F1447" t="s">
        <v>23</v>
      </c>
      <c r="G1447">
        <v>9</v>
      </c>
      <c r="H1447">
        <v>6900</v>
      </c>
      <c r="I1447" s="6">
        <v>0.05</v>
      </c>
      <c r="J1447">
        <v>6555</v>
      </c>
    </row>
    <row r="1448" spans="1:10" x14ac:dyDescent="0.25">
      <c r="A1448" t="s">
        <v>1469</v>
      </c>
      <c r="B1448" s="2">
        <v>45288</v>
      </c>
      <c r="C1448" t="s">
        <v>12</v>
      </c>
      <c r="D1448" t="s">
        <v>2026</v>
      </c>
      <c r="E1448" t="s">
        <v>21</v>
      </c>
      <c r="F1448" t="s">
        <v>23</v>
      </c>
      <c r="G1448">
        <v>7</v>
      </c>
      <c r="H1448">
        <v>12400</v>
      </c>
      <c r="I1448" s="6">
        <v>0.1</v>
      </c>
      <c r="J1448">
        <v>11160</v>
      </c>
    </row>
    <row r="1449" spans="1:10" x14ac:dyDescent="0.25">
      <c r="A1449" t="s">
        <v>1470</v>
      </c>
      <c r="B1449" s="2">
        <v>45289</v>
      </c>
      <c r="C1449" t="s">
        <v>12</v>
      </c>
      <c r="D1449" t="s">
        <v>2027</v>
      </c>
      <c r="E1449" t="s">
        <v>22</v>
      </c>
      <c r="F1449" t="s">
        <v>23</v>
      </c>
      <c r="G1449">
        <v>9</v>
      </c>
      <c r="H1449">
        <v>5000</v>
      </c>
      <c r="I1449" s="6">
        <v>0.15000000000000002</v>
      </c>
      <c r="J1449">
        <v>4250</v>
      </c>
    </row>
    <row r="1450" spans="1:10" x14ac:dyDescent="0.25">
      <c r="A1450" t="s">
        <v>1471</v>
      </c>
      <c r="B1450" s="2">
        <v>45290</v>
      </c>
      <c r="C1450" t="s">
        <v>12</v>
      </c>
      <c r="D1450" t="s">
        <v>2028</v>
      </c>
      <c r="E1450" t="s">
        <v>19</v>
      </c>
      <c r="F1450" t="s">
        <v>23</v>
      </c>
      <c r="G1450">
        <v>4</v>
      </c>
      <c r="H1450">
        <v>5800</v>
      </c>
      <c r="I1450" s="6">
        <v>0.2</v>
      </c>
      <c r="J1450">
        <v>4640</v>
      </c>
    </row>
    <row r="1451" spans="1:10" x14ac:dyDescent="0.25">
      <c r="A1451" t="s">
        <v>1472</v>
      </c>
      <c r="B1451" s="2">
        <v>45291</v>
      </c>
      <c r="C1451" t="s">
        <v>12</v>
      </c>
      <c r="D1451" t="s">
        <v>2029</v>
      </c>
      <c r="E1451" t="s">
        <v>20</v>
      </c>
      <c r="F1451" t="s">
        <v>23</v>
      </c>
      <c r="G1451">
        <v>4</v>
      </c>
      <c r="H1451">
        <v>13800</v>
      </c>
      <c r="I1451" s="6">
        <v>0.25</v>
      </c>
      <c r="J1451">
        <v>10350</v>
      </c>
    </row>
    <row r="1452" spans="1:10" x14ac:dyDescent="0.25">
      <c r="A1452" t="s">
        <v>1473</v>
      </c>
      <c r="B1452" s="2">
        <v>45292</v>
      </c>
      <c r="C1452" t="s">
        <v>13</v>
      </c>
      <c r="D1452" t="s">
        <v>16</v>
      </c>
      <c r="E1452" t="s">
        <v>21</v>
      </c>
      <c r="F1452" t="s">
        <v>24</v>
      </c>
      <c r="G1452">
        <v>7</v>
      </c>
      <c r="H1452">
        <v>6100</v>
      </c>
      <c r="I1452" s="6">
        <v>0.05</v>
      </c>
      <c r="J1452">
        <v>5795</v>
      </c>
    </row>
    <row r="1453" spans="1:10" x14ac:dyDescent="0.25">
      <c r="A1453" t="s">
        <v>1474</v>
      </c>
      <c r="B1453" s="2">
        <v>45293</v>
      </c>
      <c r="C1453" t="s">
        <v>13</v>
      </c>
      <c r="D1453" t="s">
        <v>2030</v>
      </c>
      <c r="E1453" t="s">
        <v>22</v>
      </c>
      <c r="F1453" t="s">
        <v>24</v>
      </c>
      <c r="G1453">
        <v>1</v>
      </c>
      <c r="H1453">
        <v>13300</v>
      </c>
      <c r="I1453" s="6">
        <v>0.1</v>
      </c>
      <c r="J1453">
        <v>11970</v>
      </c>
    </row>
    <row r="1454" spans="1:10" x14ac:dyDescent="0.25">
      <c r="A1454" t="s">
        <v>1475</v>
      </c>
      <c r="B1454" s="2">
        <v>45294</v>
      </c>
      <c r="C1454" t="s">
        <v>13</v>
      </c>
      <c r="D1454" t="s">
        <v>2031</v>
      </c>
      <c r="E1454" t="s">
        <v>19</v>
      </c>
      <c r="F1454" t="s">
        <v>24</v>
      </c>
      <c r="G1454">
        <v>5</v>
      </c>
      <c r="H1454">
        <v>4100</v>
      </c>
      <c r="I1454" s="6">
        <v>0.15000000000000002</v>
      </c>
      <c r="J1454">
        <v>3485</v>
      </c>
    </row>
    <row r="1455" spans="1:10" x14ac:dyDescent="0.25">
      <c r="A1455" t="s">
        <v>1476</v>
      </c>
      <c r="B1455" s="2">
        <v>45295</v>
      </c>
      <c r="C1455" t="s">
        <v>13</v>
      </c>
      <c r="D1455" t="s">
        <v>2032</v>
      </c>
      <c r="E1455" t="s">
        <v>20</v>
      </c>
      <c r="F1455" t="s">
        <v>24</v>
      </c>
      <c r="G1455">
        <v>4</v>
      </c>
      <c r="H1455">
        <v>6700</v>
      </c>
      <c r="I1455" s="6">
        <v>0.2</v>
      </c>
      <c r="J1455">
        <v>5360</v>
      </c>
    </row>
    <row r="1456" spans="1:10" x14ac:dyDescent="0.25">
      <c r="A1456" t="s">
        <v>1477</v>
      </c>
      <c r="B1456" s="2">
        <v>45296</v>
      </c>
      <c r="C1456" t="s">
        <v>13</v>
      </c>
      <c r="D1456" t="s">
        <v>2033</v>
      </c>
      <c r="E1456" t="s">
        <v>21</v>
      </c>
      <c r="F1456" t="s">
        <v>24</v>
      </c>
      <c r="G1456">
        <v>10</v>
      </c>
      <c r="H1456">
        <v>14800</v>
      </c>
      <c r="I1456" s="6">
        <v>0.25</v>
      </c>
      <c r="J1456">
        <v>11100</v>
      </c>
    </row>
    <row r="1457" spans="1:10" x14ac:dyDescent="0.25">
      <c r="A1457" t="s">
        <v>1478</v>
      </c>
      <c r="B1457" s="2">
        <v>45297</v>
      </c>
      <c r="C1457" t="s">
        <v>13</v>
      </c>
      <c r="D1457" t="s">
        <v>2034</v>
      </c>
      <c r="E1457" t="s">
        <v>22</v>
      </c>
      <c r="F1457" t="s">
        <v>24</v>
      </c>
      <c r="G1457">
        <v>3</v>
      </c>
      <c r="H1457">
        <v>5800</v>
      </c>
      <c r="I1457" s="6">
        <v>0.05</v>
      </c>
      <c r="J1457">
        <v>5510</v>
      </c>
    </row>
    <row r="1458" spans="1:10" x14ac:dyDescent="0.25">
      <c r="A1458" t="s">
        <v>1479</v>
      </c>
      <c r="B1458" s="2">
        <v>45298</v>
      </c>
      <c r="C1458" t="s">
        <v>13</v>
      </c>
      <c r="D1458" t="s">
        <v>2035</v>
      </c>
      <c r="E1458" t="s">
        <v>19</v>
      </c>
      <c r="F1458" t="s">
        <v>24</v>
      </c>
      <c r="G1458">
        <v>9</v>
      </c>
      <c r="H1458">
        <v>10700</v>
      </c>
      <c r="I1458" s="6">
        <v>0.1</v>
      </c>
      <c r="J1458">
        <v>9630</v>
      </c>
    </row>
    <row r="1459" spans="1:10" x14ac:dyDescent="0.25">
      <c r="A1459" t="s">
        <v>1480</v>
      </c>
      <c r="B1459" s="2">
        <v>45299</v>
      </c>
      <c r="C1459" t="s">
        <v>13</v>
      </c>
      <c r="D1459" t="s">
        <v>2036</v>
      </c>
      <c r="E1459" t="s">
        <v>20</v>
      </c>
      <c r="F1459" t="s">
        <v>24</v>
      </c>
      <c r="G1459">
        <v>1</v>
      </c>
      <c r="H1459">
        <v>10000</v>
      </c>
      <c r="I1459" s="6">
        <v>0.15000000000000002</v>
      </c>
      <c r="J1459">
        <v>8500</v>
      </c>
    </row>
    <row r="1460" spans="1:10" x14ac:dyDescent="0.25">
      <c r="A1460" t="s">
        <v>1481</v>
      </c>
      <c r="B1460" s="2">
        <v>45300</v>
      </c>
      <c r="C1460" t="s">
        <v>13</v>
      </c>
      <c r="D1460" t="s">
        <v>2037</v>
      </c>
      <c r="E1460" t="s">
        <v>21</v>
      </c>
      <c r="F1460" t="s">
        <v>24</v>
      </c>
      <c r="G1460">
        <v>1</v>
      </c>
      <c r="H1460">
        <v>6200</v>
      </c>
      <c r="I1460" s="6">
        <v>0.2</v>
      </c>
      <c r="J1460">
        <v>4960</v>
      </c>
    </row>
    <row r="1461" spans="1:10" x14ac:dyDescent="0.25">
      <c r="A1461" t="s">
        <v>1482</v>
      </c>
      <c r="B1461" s="2">
        <v>45301</v>
      </c>
      <c r="C1461" t="s">
        <v>13</v>
      </c>
      <c r="D1461" t="s">
        <v>2038</v>
      </c>
      <c r="E1461" t="s">
        <v>22</v>
      </c>
      <c r="F1461" t="s">
        <v>24</v>
      </c>
      <c r="G1461">
        <v>10</v>
      </c>
      <c r="H1461">
        <v>14800</v>
      </c>
      <c r="I1461" s="6">
        <v>0.25</v>
      </c>
      <c r="J1461">
        <v>11100</v>
      </c>
    </row>
    <row r="1462" spans="1:10" x14ac:dyDescent="0.25">
      <c r="A1462" t="s">
        <v>1483</v>
      </c>
      <c r="B1462" s="2">
        <v>45302</v>
      </c>
      <c r="C1462" t="s">
        <v>14</v>
      </c>
      <c r="D1462" t="s">
        <v>2039</v>
      </c>
      <c r="E1462" t="s">
        <v>19</v>
      </c>
      <c r="F1462" t="s">
        <v>25</v>
      </c>
      <c r="G1462">
        <v>5</v>
      </c>
      <c r="H1462">
        <v>12500</v>
      </c>
      <c r="I1462" s="6">
        <v>0.05</v>
      </c>
      <c r="J1462">
        <v>11875</v>
      </c>
    </row>
    <row r="1463" spans="1:10" x14ac:dyDescent="0.25">
      <c r="A1463" t="s">
        <v>1484</v>
      </c>
      <c r="B1463" s="2">
        <v>45303</v>
      </c>
      <c r="C1463" t="s">
        <v>14</v>
      </c>
      <c r="D1463" t="s">
        <v>2040</v>
      </c>
      <c r="E1463" t="s">
        <v>20</v>
      </c>
      <c r="F1463" t="s">
        <v>25</v>
      </c>
      <c r="G1463">
        <v>7</v>
      </c>
      <c r="H1463">
        <v>7000</v>
      </c>
      <c r="I1463" s="6">
        <v>0.1</v>
      </c>
      <c r="J1463">
        <v>6300</v>
      </c>
    </row>
    <row r="1464" spans="1:10" x14ac:dyDescent="0.25">
      <c r="A1464" t="s">
        <v>1485</v>
      </c>
      <c r="B1464" s="2">
        <v>45304</v>
      </c>
      <c r="C1464" t="s">
        <v>14</v>
      </c>
      <c r="D1464" t="s">
        <v>2041</v>
      </c>
      <c r="E1464" t="s">
        <v>21</v>
      </c>
      <c r="F1464" t="s">
        <v>25</v>
      </c>
      <c r="G1464">
        <v>8</v>
      </c>
      <c r="H1464">
        <v>7300</v>
      </c>
      <c r="I1464" s="6">
        <v>0.15000000000000002</v>
      </c>
      <c r="J1464">
        <v>6205</v>
      </c>
    </row>
    <row r="1465" spans="1:10" x14ac:dyDescent="0.25">
      <c r="A1465" t="s">
        <v>1486</v>
      </c>
      <c r="B1465" s="2">
        <v>45305</v>
      </c>
      <c r="C1465" t="s">
        <v>14</v>
      </c>
      <c r="D1465" t="s">
        <v>2042</v>
      </c>
      <c r="E1465" t="s">
        <v>22</v>
      </c>
      <c r="F1465" t="s">
        <v>25</v>
      </c>
      <c r="G1465">
        <v>3</v>
      </c>
      <c r="H1465">
        <v>9900</v>
      </c>
      <c r="I1465" s="6">
        <v>0.2</v>
      </c>
      <c r="J1465">
        <v>7920</v>
      </c>
    </row>
    <row r="1466" spans="1:10" x14ac:dyDescent="0.25">
      <c r="A1466" t="s">
        <v>1487</v>
      </c>
      <c r="B1466" s="2">
        <v>45306</v>
      </c>
      <c r="C1466" t="s">
        <v>14</v>
      </c>
      <c r="D1466" t="s">
        <v>2043</v>
      </c>
      <c r="E1466" t="s">
        <v>19</v>
      </c>
      <c r="F1466" t="s">
        <v>25</v>
      </c>
      <c r="G1466">
        <v>3</v>
      </c>
      <c r="H1466">
        <v>7800</v>
      </c>
      <c r="I1466" s="6">
        <v>0.25</v>
      </c>
      <c r="J1466">
        <v>5850</v>
      </c>
    </row>
    <row r="1467" spans="1:10" x14ac:dyDescent="0.25">
      <c r="A1467" t="s">
        <v>1488</v>
      </c>
      <c r="B1467" s="2">
        <v>45307</v>
      </c>
      <c r="C1467" t="s">
        <v>14</v>
      </c>
      <c r="D1467" t="s">
        <v>2044</v>
      </c>
      <c r="E1467" t="s">
        <v>20</v>
      </c>
      <c r="F1467" t="s">
        <v>25</v>
      </c>
      <c r="G1467">
        <v>10</v>
      </c>
      <c r="H1467">
        <v>8100</v>
      </c>
      <c r="I1467" s="6">
        <v>0.05</v>
      </c>
      <c r="J1467">
        <v>7695</v>
      </c>
    </row>
    <row r="1468" spans="1:10" x14ac:dyDescent="0.25">
      <c r="A1468" t="s">
        <v>1489</v>
      </c>
      <c r="B1468" s="2">
        <v>45308</v>
      </c>
      <c r="C1468" t="s">
        <v>14</v>
      </c>
      <c r="D1468" t="s">
        <v>2045</v>
      </c>
      <c r="E1468" t="s">
        <v>21</v>
      </c>
      <c r="F1468" t="s">
        <v>25</v>
      </c>
      <c r="G1468">
        <v>6</v>
      </c>
      <c r="H1468">
        <v>4500</v>
      </c>
      <c r="I1468" s="6">
        <v>0.1</v>
      </c>
      <c r="J1468">
        <v>4050</v>
      </c>
    </row>
    <row r="1469" spans="1:10" x14ac:dyDescent="0.25">
      <c r="A1469" t="s">
        <v>1490</v>
      </c>
      <c r="B1469" s="2">
        <v>45309</v>
      </c>
      <c r="C1469" t="s">
        <v>14</v>
      </c>
      <c r="D1469" t="s">
        <v>2046</v>
      </c>
      <c r="E1469" t="s">
        <v>22</v>
      </c>
      <c r="F1469" t="s">
        <v>25</v>
      </c>
      <c r="G1469">
        <v>3</v>
      </c>
      <c r="H1469">
        <v>8300</v>
      </c>
      <c r="I1469" s="6">
        <v>0.15000000000000002</v>
      </c>
      <c r="J1469">
        <v>7055</v>
      </c>
    </row>
    <row r="1470" spans="1:10" x14ac:dyDescent="0.25">
      <c r="A1470" t="s">
        <v>1491</v>
      </c>
      <c r="B1470" s="2">
        <v>45310</v>
      </c>
      <c r="C1470" t="s">
        <v>14</v>
      </c>
      <c r="D1470" t="s">
        <v>2047</v>
      </c>
      <c r="E1470" t="s">
        <v>19</v>
      </c>
      <c r="F1470" t="s">
        <v>25</v>
      </c>
      <c r="G1470">
        <v>8</v>
      </c>
      <c r="H1470">
        <v>7500</v>
      </c>
      <c r="I1470" s="6">
        <v>0.2</v>
      </c>
      <c r="J1470">
        <v>6000</v>
      </c>
    </row>
    <row r="1471" spans="1:10" x14ac:dyDescent="0.25">
      <c r="A1471" t="s">
        <v>1492</v>
      </c>
      <c r="B1471" s="2">
        <v>45311</v>
      </c>
      <c r="C1471" t="s">
        <v>14</v>
      </c>
      <c r="D1471" t="s">
        <v>2048</v>
      </c>
      <c r="E1471" t="s">
        <v>20</v>
      </c>
      <c r="F1471" t="s">
        <v>25</v>
      </c>
      <c r="G1471">
        <v>10</v>
      </c>
      <c r="H1471">
        <v>5800</v>
      </c>
      <c r="I1471" s="6">
        <v>0.25</v>
      </c>
      <c r="J1471">
        <v>4350</v>
      </c>
    </row>
    <row r="1472" spans="1:10" x14ac:dyDescent="0.25">
      <c r="A1472" t="s">
        <v>1493</v>
      </c>
      <c r="B1472" s="2">
        <v>45312</v>
      </c>
      <c r="C1472" t="s">
        <v>12</v>
      </c>
      <c r="D1472" t="s">
        <v>15</v>
      </c>
      <c r="E1472" t="s">
        <v>21</v>
      </c>
      <c r="F1472" t="s">
        <v>23</v>
      </c>
      <c r="G1472">
        <v>4</v>
      </c>
      <c r="H1472">
        <v>9900</v>
      </c>
      <c r="I1472" s="6">
        <v>0.05</v>
      </c>
      <c r="J1472">
        <v>9405</v>
      </c>
    </row>
    <row r="1473" spans="1:10" x14ac:dyDescent="0.25">
      <c r="A1473" t="s">
        <v>1494</v>
      </c>
      <c r="B1473" s="2">
        <v>45313</v>
      </c>
      <c r="C1473" t="s">
        <v>12</v>
      </c>
      <c r="D1473" t="s">
        <v>17</v>
      </c>
      <c r="E1473" t="s">
        <v>22</v>
      </c>
      <c r="F1473" t="s">
        <v>23</v>
      </c>
      <c r="G1473">
        <v>10</v>
      </c>
      <c r="H1473">
        <v>5500</v>
      </c>
      <c r="I1473" s="6">
        <v>0.1</v>
      </c>
      <c r="J1473">
        <v>4950</v>
      </c>
    </row>
    <row r="1474" spans="1:10" x14ac:dyDescent="0.25">
      <c r="A1474" t="s">
        <v>1495</v>
      </c>
      <c r="B1474" s="2">
        <v>45314</v>
      </c>
      <c r="C1474" t="s">
        <v>12</v>
      </c>
      <c r="D1474" t="s">
        <v>2023</v>
      </c>
      <c r="E1474" t="s">
        <v>19</v>
      </c>
      <c r="F1474" t="s">
        <v>23</v>
      </c>
      <c r="G1474">
        <v>1</v>
      </c>
      <c r="H1474">
        <v>5700</v>
      </c>
      <c r="I1474" s="6">
        <v>0.15000000000000002</v>
      </c>
      <c r="J1474">
        <v>4845</v>
      </c>
    </row>
    <row r="1475" spans="1:10" x14ac:dyDescent="0.25">
      <c r="A1475" t="s">
        <v>1496</v>
      </c>
      <c r="B1475" s="2">
        <v>45315</v>
      </c>
      <c r="C1475" t="s">
        <v>12</v>
      </c>
      <c r="D1475" t="s">
        <v>18</v>
      </c>
      <c r="E1475" t="s">
        <v>20</v>
      </c>
      <c r="F1475" t="s">
        <v>23</v>
      </c>
      <c r="G1475">
        <v>10</v>
      </c>
      <c r="H1475">
        <v>7200</v>
      </c>
      <c r="I1475" s="6">
        <v>0.2</v>
      </c>
      <c r="J1475">
        <v>5760</v>
      </c>
    </row>
    <row r="1476" spans="1:10" x14ac:dyDescent="0.25">
      <c r="A1476" t="s">
        <v>1497</v>
      </c>
      <c r="B1476" s="2">
        <v>45316</v>
      </c>
      <c r="C1476" t="s">
        <v>12</v>
      </c>
      <c r="D1476" t="s">
        <v>2024</v>
      </c>
      <c r="E1476" t="s">
        <v>21</v>
      </c>
      <c r="F1476" t="s">
        <v>23</v>
      </c>
      <c r="G1476">
        <v>6</v>
      </c>
      <c r="H1476">
        <v>10800</v>
      </c>
      <c r="I1476" s="6">
        <v>0.25</v>
      </c>
      <c r="J1476">
        <v>8100</v>
      </c>
    </row>
    <row r="1477" spans="1:10" x14ac:dyDescent="0.25">
      <c r="A1477" t="s">
        <v>1498</v>
      </c>
      <c r="B1477" s="2">
        <v>45317</v>
      </c>
      <c r="C1477" t="s">
        <v>12</v>
      </c>
      <c r="D1477" t="s">
        <v>2025</v>
      </c>
      <c r="E1477" t="s">
        <v>22</v>
      </c>
      <c r="F1477" t="s">
        <v>23</v>
      </c>
      <c r="G1477">
        <v>5</v>
      </c>
      <c r="H1477">
        <v>6800</v>
      </c>
      <c r="I1477" s="6">
        <v>0.05</v>
      </c>
      <c r="J1477">
        <v>6460</v>
      </c>
    </row>
    <row r="1478" spans="1:10" x14ac:dyDescent="0.25">
      <c r="A1478" t="s">
        <v>1499</v>
      </c>
      <c r="B1478" s="2">
        <v>45318</v>
      </c>
      <c r="C1478" t="s">
        <v>12</v>
      </c>
      <c r="D1478" t="s">
        <v>2026</v>
      </c>
      <c r="E1478" t="s">
        <v>19</v>
      </c>
      <c r="F1478" t="s">
        <v>23</v>
      </c>
      <c r="G1478">
        <v>5</v>
      </c>
      <c r="H1478">
        <v>14500</v>
      </c>
      <c r="I1478" s="6">
        <v>0.1</v>
      </c>
      <c r="J1478">
        <v>13050</v>
      </c>
    </row>
    <row r="1479" spans="1:10" x14ac:dyDescent="0.25">
      <c r="A1479" t="s">
        <v>1500</v>
      </c>
      <c r="B1479" s="2">
        <v>45319</v>
      </c>
      <c r="C1479" t="s">
        <v>12</v>
      </c>
      <c r="D1479" t="s">
        <v>2027</v>
      </c>
      <c r="E1479" t="s">
        <v>20</v>
      </c>
      <c r="F1479" t="s">
        <v>23</v>
      </c>
      <c r="G1479">
        <v>3</v>
      </c>
      <c r="H1479">
        <v>11300</v>
      </c>
      <c r="I1479" s="6">
        <v>0.15000000000000002</v>
      </c>
      <c r="J1479">
        <v>9605</v>
      </c>
    </row>
    <row r="1480" spans="1:10" x14ac:dyDescent="0.25">
      <c r="A1480" t="s">
        <v>1501</v>
      </c>
      <c r="B1480" s="2">
        <v>45320</v>
      </c>
      <c r="C1480" t="s">
        <v>12</v>
      </c>
      <c r="D1480" t="s">
        <v>2028</v>
      </c>
      <c r="E1480" t="s">
        <v>21</v>
      </c>
      <c r="F1480" t="s">
        <v>23</v>
      </c>
      <c r="G1480">
        <v>10</v>
      </c>
      <c r="H1480">
        <v>12600</v>
      </c>
      <c r="I1480" s="6">
        <v>0.2</v>
      </c>
      <c r="J1480">
        <v>10080</v>
      </c>
    </row>
    <row r="1481" spans="1:10" x14ac:dyDescent="0.25">
      <c r="A1481" t="s">
        <v>1502</v>
      </c>
      <c r="B1481" s="2">
        <v>45321</v>
      </c>
      <c r="C1481" t="s">
        <v>12</v>
      </c>
      <c r="D1481" t="s">
        <v>2029</v>
      </c>
      <c r="E1481" t="s">
        <v>22</v>
      </c>
      <c r="F1481" t="s">
        <v>23</v>
      </c>
      <c r="G1481">
        <v>7</v>
      </c>
      <c r="H1481">
        <v>11800</v>
      </c>
      <c r="I1481" s="6">
        <v>0.25</v>
      </c>
      <c r="J1481">
        <v>8850</v>
      </c>
    </row>
    <row r="1482" spans="1:10" x14ac:dyDescent="0.25">
      <c r="A1482" t="s">
        <v>1503</v>
      </c>
      <c r="B1482" s="2">
        <v>45322</v>
      </c>
      <c r="C1482" t="s">
        <v>13</v>
      </c>
      <c r="D1482" t="s">
        <v>16</v>
      </c>
      <c r="E1482" t="s">
        <v>19</v>
      </c>
      <c r="F1482" t="s">
        <v>24</v>
      </c>
      <c r="G1482">
        <v>8</v>
      </c>
      <c r="H1482">
        <v>13000</v>
      </c>
      <c r="I1482" s="6">
        <v>0.05</v>
      </c>
      <c r="J1482">
        <v>12350</v>
      </c>
    </row>
    <row r="1483" spans="1:10" x14ac:dyDescent="0.25">
      <c r="A1483" t="s">
        <v>1504</v>
      </c>
      <c r="B1483" s="2">
        <v>45323</v>
      </c>
      <c r="C1483" t="s">
        <v>13</v>
      </c>
      <c r="D1483" t="s">
        <v>2030</v>
      </c>
      <c r="E1483" t="s">
        <v>20</v>
      </c>
      <c r="F1483" t="s">
        <v>24</v>
      </c>
      <c r="G1483">
        <v>1</v>
      </c>
      <c r="H1483">
        <v>8600</v>
      </c>
      <c r="I1483" s="6">
        <v>0.1</v>
      </c>
      <c r="J1483">
        <v>7740</v>
      </c>
    </row>
    <row r="1484" spans="1:10" x14ac:dyDescent="0.25">
      <c r="A1484" t="s">
        <v>1505</v>
      </c>
      <c r="B1484" s="2">
        <v>45324</v>
      </c>
      <c r="C1484" t="s">
        <v>13</v>
      </c>
      <c r="D1484" t="s">
        <v>2031</v>
      </c>
      <c r="E1484" t="s">
        <v>21</v>
      </c>
      <c r="F1484" t="s">
        <v>24</v>
      </c>
      <c r="G1484">
        <v>3</v>
      </c>
      <c r="H1484">
        <v>12800</v>
      </c>
      <c r="I1484" s="6">
        <v>0.15000000000000002</v>
      </c>
      <c r="J1484">
        <v>10880</v>
      </c>
    </row>
    <row r="1485" spans="1:10" x14ac:dyDescent="0.25">
      <c r="A1485" t="s">
        <v>1506</v>
      </c>
      <c r="B1485" s="2">
        <v>45325</v>
      </c>
      <c r="C1485" t="s">
        <v>13</v>
      </c>
      <c r="D1485" t="s">
        <v>2032</v>
      </c>
      <c r="E1485" t="s">
        <v>22</v>
      </c>
      <c r="F1485" t="s">
        <v>24</v>
      </c>
      <c r="G1485">
        <v>1</v>
      </c>
      <c r="H1485">
        <v>11600</v>
      </c>
      <c r="I1485" s="6">
        <v>0.2</v>
      </c>
      <c r="J1485">
        <v>9280</v>
      </c>
    </row>
    <row r="1486" spans="1:10" x14ac:dyDescent="0.25">
      <c r="A1486" t="s">
        <v>1507</v>
      </c>
      <c r="B1486" s="2">
        <v>45326</v>
      </c>
      <c r="C1486" t="s">
        <v>13</v>
      </c>
      <c r="D1486" t="s">
        <v>2033</v>
      </c>
      <c r="E1486" t="s">
        <v>19</v>
      </c>
      <c r="F1486" t="s">
        <v>24</v>
      </c>
      <c r="G1486">
        <v>1</v>
      </c>
      <c r="H1486">
        <v>5200</v>
      </c>
      <c r="I1486" s="6">
        <v>0.25</v>
      </c>
      <c r="J1486">
        <v>3900</v>
      </c>
    </row>
    <row r="1487" spans="1:10" x14ac:dyDescent="0.25">
      <c r="A1487" t="s">
        <v>1508</v>
      </c>
      <c r="B1487" s="2">
        <v>45327</v>
      </c>
      <c r="C1487" t="s">
        <v>13</v>
      </c>
      <c r="D1487" t="s">
        <v>2034</v>
      </c>
      <c r="E1487" t="s">
        <v>20</v>
      </c>
      <c r="F1487" t="s">
        <v>24</v>
      </c>
      <c r="G1487">
        <v>9</v>
      </c>
      <c r="H1487">
        <v>6600</v>
      </c>
      <c r="I1487" s="6">
        <v>0.05</v>
      </c>
      <c r="J1487">
        <v>6270</v>
      </c>
    </row>
    <row r="1488" spans="1:10" x14ac:dyDescent="0.25">
      <c r="A1488" t="s">
        <v>1509</v>
      </c>
      <c r="B1488" s="2">
        <v>45328</v>
      </c>
      <c r="C1488" t="s">
        <v>13</v>
      </c>
      <c r="D1488" t="s">
        <v>2035</v>
      </c>
      <c r="E1488" t="s">
        <v>21</v>
      </c>
      <c r="F1488" t="s">
        <v>24</v>
      </c>
      <c r="G1488">
        <v>1</v>
      </c>
      <c r="H1488">
        <v>8600</v>
      </c>
      <c r="I1488" s="6">
        <v>0.1</v>
      </c>
      <c r="J1488">
        <v>7740</v>
      </c>
    </row>
    <row r="1489" spans="1:10" x14ac:dyDescent="0.25">
      <c r="A1489" t="s">
        <v>1510</v>
      </c>
      <c r="B1489" s="2">
        <v>45329</v>
      </c>
      <c r="C1489" t="s">
        <v>13</v>
      </c>
      <c r="D1489" t="s">
        <v>2036</v>
      </c>
      <c r="E1489" t="s">
        <v>22</v>
      </c>
      <c r="F1489" t="s">
        <v>24</v>
      </c>
      <c r="G1489">
        <v>1</v>
      </c>
      <c r="H1489">
        <v>8400</v>
      </c>
      <c r="I1489" s="6">
        <v>0.15000000000000002</v>
      </c>
      <c r="J1489">
        <v>7140</v>
      </c>
    </row>
    <row r="1490" spans="1:10" x14ac:dyDescent="0.25">
      <c r="A1490" t="s">
        <v>1511</v>
      </c>
      <c r="B1490" s="2">
        <v>45330</v>
      </c>
      <c r="C1490" t="s">
        <v>13</v>
      </c>
      <c r="D1490" t="s">
        <v>2037</v>
      </c>
      <c r="E1490" t="s">
        <v>19</v>
      </c>
      <c r="F1490" t="s">
        <v>24</v>
      </c>
      <c r="G1490">
        <v>2</v>
      </c>
      <c r="H1490">
        <v>10400</v>
      </c>
      <c r="I1490" s="6">
        <v>0.2</v>
      </c>
      <c r="J1490">
        <v>8320</v>
      </c>
    </row>
    <row r="1491" spans="1:10" x14ac:dyDescent="0.25">
      <c r="A1491" t="s">
        <v>1512</v>
      </c>
      <c r="B1491" s="2">
        <v>45331</v>
      </c>
      <c r="C1491" t="s">
        <v>13</v>
      </c>
      <c r="D1491" t="s">
        <v>2038</v>
      </c>
      <c r="E1491" t="s">
        <v>20</v>
      </c>
      <c r="F1491" t="s">
        <v>24</v>
      </c>
      <c r="G1491">
        <v>7</v>
      </c>
      <c r="H1491">
        <v>12200</v>
      </c>
      <c r="I1491" s="6">
        <v>0.25</v>
      </c>
      <c r="J1491">
        <v>9150</v>
      </c>
    </row>
    <row r="1492" spans="1:10" x14ac:dyDescent="0.25">
      <c r="A1492" t="s">
        <v>1513</v>
      </c>
      <c r="B1492" s="2">
        <v>45332</v>
      </c>
      <c r="C1492" t="s">
        <v>14</v>
      </c>
      <c r="D1492" t="s">
        <v>2039</v>
      </c>
      <c r="E1492" t="s">
        <v>21</v>
      </c>
      <c r="F1492" t="s">
        <v>25</v>
      </c>
      <c r="G1492">
        <v>2</v>
      </c>
      <c r="H1492">
        <v>7200</v>
      </c>
      <c r="I1492" s="6">
        <v>0.05</v>
      </c>
      <c r="J1492">
        <v>6840</v>
      </c>
    </row>
    <row r="1493" spans="1:10" x14ac:dyDescent="0.25">
      <c r="A1493" t="s">
        <v>1514</v>
      </c>
      <c r="B1493" s="2">
        <v>45333</v>
      </c>
      <c r="C1493" t="s">
        <v>14</v>
      </c>
      <c r="D1493" t="s">
        <v>2040</v>
      </c>
      <c r="E1493" t="s">
        <v>22</v>
      </c>
      <c r="F1493" t="s">
        <v>25</v>
      </c>
      <c r="G1493">
        <v>1</v>
      </c>
      <c r="H1493">
        <v>14400</v>
      </c>
      <c r="I1493" s="6">
        <v>0.1</v>
      </c>
      <c r="J1493">
        <v>12960</v>
      </c>
    </row>
    <row r="1494" spans="1:10" x14ac:dyDescent="0.25">
      <c r="A1494" t="s">
        <v>1515</v>
      </c>
      <c r="B1494" s="2">
        <v>45334</v>
      </c>
      <c r="C1494" t="s">
        <v>14</v>
      </c>
      <c r="D1494" t="s">
        <v>2041</v>
      </c>
      <c r="E1494" t="s">
        <v>19</v>
      </c>
      <c r="F1494" t="s">
        <v>25</v>
      </c>
      <c r="G1494">
        <v>3</v>
      </c>
      <c r="H1494">
        <v>14300</v>
      </c>
      <c r="I1494" s="6">
        <v>0.15000000000000002</v>
      </c>
      <c r="J1494">
        <v>12155</v>
      </c>
    </row>
    <row r="1495" spans="1:10" x14ac:dyDescent="0.25">
      <c r="A1495" t="s">
        <v>1516</v>
      </c>
      <c r="B1495" s="2">
        <v>45335</v>
      </c>
      <c r="C1495" t="s">
        <v>14</v>
      </c>
      <c r="D1495" t="s">
        <v>2042</v>
      </c>
      <c r="E1495" t="s">
        <v>20</v>
      </c>
      <c r="F1495" t="s">
        <v>25</v>
      </c>
      <c r="G1495">
        <v>9</v>
      </c>
      <c r="H1495">
        <v>7300</v>
      </c>
      <c r="I1495" s="6">
        <v>0.2</v>
      </c>
      <c r="J1495">
        <v>5840</v>
      </c>
    </row>
    <row r="1496" spans="1:10" x14ac:dyDescent="0.25">
      <c r="A1496" t="s">
        <v>1517</v>
      </c>
      <c r="B1496" s="2">
        <v>45336</v>
      </c>
      <c r="C1496" t="s">
        <v>14</v>
      </c>
      <c r="D1496" t="s">
        <v>2043</v>
      </c>
      <c r="E1496" t="s">
        <v>21</v>
      </c>
      <c r="F1496" t="s">
        <v>25</v>
      </c>
      <c r="G1496">
        <v>4</v>
      </c>
      <c r="H1496">
        <v>13500</v>
      </c>
      <c r="I1496" s="6">
        <v>0.25</v>
      </c>
      <c r="J1496">
        <v>10125</v>
      </c>
    </row>
    <row r="1497" spans="1:10" x14ac:dyDescent="0.25">
      <c r="A1497" t="s">
        <v>1518</v>
      </c>
      <c r="B1497" s="2">
        <v>45337</v>
      </c>
      <c r="C1497" t="s">
        <v>14</v>
      </c>
      <c r="D1497" t="s">
        <v>2044</v>
      </c>
      <c r="E1497" t="s">
        <v>22</v>
      </c>
      <c r="F1497" t="s">
        <v>25</v>
      </c>
      <c r="G1497">
        <v>2</v>
      </c>
      <c r="H1497">
        <v>9400</v>
      </c>
      <c r="I1497" s="6">
        <v>0.05</v>
      </c>
      <c r="J1497">
        <v>8930</v>
      </c>
    </row>
    <row r="1498" spans="1:10" x14ac:dyDescent="0.25">
      <c r="A1498" t="s">
        <v>1519</v>
      </c>
      <c r="B1498" s="2">
        <v>45338</v>
      </c>
      <c r="C1498" t="s">
        <v>14</v>
      </c>
      <c r="D1498" t="s">
        <v>2045</v>
      </c>
      <c r="E1498" t="s">
        <v>19</v>
      </c>
      <c r="F1498" t="s">
        <v>25</v>
      </c>
      <c r="G1498">
        <v>8</v>
      </c>
      <c r="H1498">
        <v>10800</v>
      </c>
      <c r="I1498" s="6">
        <v>0.1</v>
      </c>
      <c r="J1498">
        <v>9720</v>
      </c>
    </row>
    <row r="1499" spans="1:10" x14ac:dyDescent="0.25">
      <c r="A1499" t="s">
        <v>1520</v>
      </c>
      <c r="B1499" s="2">
        <v>45339</v>
      </c>
      <c r="C1499" t="s">
        <v>14</v>
      </c>
      <c r="D1499" t="s">
        <v>2046</v>
      </c>
      <c r="E1499" t="s">
        <v>20</v>
      </c>
      <c r="F1499" t="s">
        <v>25</v>
      </c>
      <c r="G1499">
        <v>1</v>
      </c>
      <c r="H1499">
        <v>7200</v>
      </c>
      <c r="I1499" s="6">
        <v>0.15000000000000002</v>
      </c>
      <c r="J1499">
        <v>6120</v>
      </c>
    </row>
    <row r="1500" spans="1:10" x14ac:dyDescent="0.25">
      <c r="A1500" t="s">
        <v>1521</v>
      </c>
      <c r="B1500" s="2">
        <v>45340</v>
      </c>
      <c r="C1500" t="s">
        <v>14</v>
      </c>
      <c r="D1500" t="s">
        <v>2047</v>
      </c>
      <c r="E1500" t="s">
        <v>21</v>
      </c>
      <c r="F1500" t="s">
        <v>25</v>
      </c>
      <c r="G1500">
        <v>6</v>
      </c>
      <c r="H1500">
        <v>11100</v>
      </c>
      <c r="I1500" s="6">
        <v>0.2</v>
      </c>
      <c r="J1500">
        <v>8880</v>
      </c>
    </row>
    <row r="1501" spans="1:10" x14ac:dyDescent="0.25">
      <c r="A1501" t="s">
        <v>1522</v>
      </c>
      <c r="B1501" s="2">
        <v>45341</v>
      </c>
      <c r="C1501" t="s">
        <v>14</v>
      </c>
      <c r="D1501" t="s">
        <v>2048</v>
      </c>
      <c r="E1501" t="s">
        <v>22</v>
      </c>
      <c r="F1501" t="s">
        <v>25</v>
      </c>
      <c r="G1501">
        <v>9</v>
      </c>
      <c r="H1501">
        <v>7900</v>
      </c>
      <c r="I1501" s="6">
        <v>0.25</v>
      </c>
      <c r="J1501">
        <v>5925</v>
      </c>
    </row>
    <row r="1502" spans="1:10" x14ac:dyDescent="0.25">
      <c r="A1502" t="s">
        <v>1523</v>
      </c>
      <c r="B1502" s="2">
        <v>45342</v>
      </c>
      <c r="C1502" t="s">
        <v>12</v>
      </c>
      <c r="D1502" t="s">
        <v>15</v>
      </c>
      <c r="E1502" t="s">
        <v>19</v>
      </c>
      <c r="F1502" t="s">
        <v>23</v>
      </c>
      <c r="G1502">
        <v>4</v>
      </c>
      <c r="H1502">
        <v>6600</v>
      </c>
      <c r="I1502" s="6">
        <v>0.05</v>
      </c>
      <c r="J1502">
        <v>6270</v>
      </c>
    </row>
    <row r="1503" spans="1:10" x14ac:dyDescent="0.25">
      <c r="A1503" t="s">
        <v>1524</v>
      </c>
      <c r="B1503" s="2">
        <v>45343</v>
      </c>
      <c r="C1503" t="s">
        <v>12</v>
      </c>
      <c r="D1503" t="s">
        <v>17</v>
      </c>
      <c r="E1503" t="s">
        <v>20</v>
      </c>
      <c r="F1503" t="s">
        <v>23</v>
      </c>
      <c r="G1503">
        <v>9</v>
      </c>
      <c r="H1503">
        <v>13400</v>
      </c>
      <c r="I1503" s="6">
        <v>0.1</v>
      </c>
      <c r="J1503">
        <v>12060</v>
      </c>
    </row>
    <row r="1504" spans="1:10" x14ac:dyDescent="0.25">
      <c r="A1504" t="s">
        <v>1525</v>
      </c>
      <c r="B1504" s="2">
        <v>45344</v>
      </c>
      <c r="C1504" t="s">
        <v>12</v>
      </c>
      <c r="D1504" t="s">
        <v>2023</v>
      </c>
      <c r="E1504" t="s">
        <v>21</v>
      </c>
      <c r="F1504" t="s">
        <v>23</v>
      </c>
      <c r="G1504">
        <v>7</v>
      </c>
      <c r="H1504">
        <v>5800</v>
      </c>
      <c r="I1504" s="6">
        <v>0.15000000000000002</v>
      </c>
      <c r="J1504">
        <v>4930</v>
      </c>
    </row>
    <row r="1505" spans="1:10" x14ac:dyDescent="0.25">
      <c r="A1505" t="s">
        <v>1526</v>
      </c>
      <c r="B1505" s="2">
        <v>45345</v>
      </c>
      <c r="C1505" t="s">
        <v>12</v>
      </c>
      <c r="D1505" t="s">
        <v>18</v>
      </c>
      <c r="E1505" t="s">
        <v>22</v>
      </c>
      <c r="F1505" t="s">
        <v>23</v>
      </c>
      <c r="G1505">
        <v>5</v>
      </c>
      <c r="H1505">
        <v>10900</v>
      </c>
      <c r="I1505" s="6">
        <v>0.2</v>
      </c>
      <c r="J1505">
        <v>8720</v>
      </c>
    </row>
    <row r="1506" spans="1:10" x14ac:dyDescent="0.25">
      <c r="A1506" t="s">
        <v>1527</v>
      </c>
      <c r="B1506" s="2">
        <v>45346</v>
      </c>
      <c r="C1506" t="s">
        <v>12</v>
      </c>
      <c r="D1506" t="s">
        <v>2024</v>
      </c>
      <c r="E1506" t="s">
        <v>19</v>
      </c>
      <c r="F1506" t="s">
        <v>23</v>
      </c>
      <c r="G1506">
        <v>3</v>
      </c>
      <c r="H1506">
        <v>5300</v>
      </c>
      <c r="I1506" s="6">
        <v>0.25</v>
      </c>
      <c r="J1506">
        <v>3975</v>
      </c>
    </row>
    <row r="1507" spans="1:10" x14ac:dyDescent="0.25">
      <c r="A1507" t="s">
        <v>1528</v>
      </c>
      <c r="B1507" s="2">
        <v>45347</v>
      </c>
      <c r="C1507" t="s">
        <v>12</v>
      </c>
      <c r="D1507" t="s">
        <v>2025</v>
      </c>
      <c r="E1507" t="s">
        <v>20</v>
      </c>
      <c r="F1507" t="s">
        <v>23</v>
      </c>
      <c r="G1507">
        <v>9</v>
      </c>
      <c r="H1507">
        <v>5100</v>
      </c>
      <c r="I1507" s="6">
        <v>0.05</v>
      </c>
      <c r="J1507">
        <v>4845</v>
      </c>
    </row>
    <row r="1508" spans="1:10" x14ac:dyDescent="0.25">
      <c r="A1508" t="s">
        <v>1529</v>
      </c>
      <c r="B1508" s="2">
        <v>45348</v>
      </c>
      <c r="C1508" t="s">
        <v>12</v>
      </c>
      <c r="D1508" t="s">
        <v>2026</v>
      </c>
      <c r="E1508" t="s">
        <v>21</v>
      </c>
      <c r="F1508" t="s">
        <v>23</v>
      </c>
      <c r="G1508">
        <v>6</v>
      </c>
      <c r="H1508">
        <v>10200</v>
      </c>
      <c r="I1508" s="6">
        <v>0.1</v>
      </c>
      <c r="J1508">
        <v>9180</v>
      </c>
    </row>
    <row r="1509" spans="1:10" x14ac:dyDescent="0.25">
      <c r="A1509" t="s">
        <v>1530</v>
      </c>
      <c r="B1509" s="2">
        <v>45349</v>
      </c>
      <c r="C1509" t="s">
        <v>12</v>
      </c>
      <c r="D1509" t="s">
        <v>2027</v>
      </c>
      <c r="E1509" t="s">
        <v>22</v>
      </c>
      <c r="F1509" t="s">
        <v>23</v>
      </c>
      <c r="G1509">
        <v>7</v>
      </c>
      <c r="H1509">
        <v>11900</v>
      </c>
      <c r="I1509" s="6">
        <v>0.15000000000000002</v>
      </c>
      <c r="J1509">
        <v>10115</v>
      </c>
    </row>
    <row r="1510" spans="1:10" x14ac:dyDescent="0.25">
      <c r="A1510" t="s">
        <v>1531</v>
      </c>
      <c r="B1510" s="2">
        <v>45350</v>
      </c>
      <c r="C1510" t="s">
        <v>12</v>
      </c>
      <c r="D1510" t="s">
        <v>2028</v>
      </c>
      <c r="E1510" t="s">
        <v>19</v>
      </c>
      <c r="F1510" t="s">
        <v>23</v>
      </c>
      <c r="G1510">
        <v>5</v>
      </c>
      <c r="H1510">
        <v>12300</v>
      </c>
      <c r="I1510" s="6">
        <v>0.2</v>
      </c>
      <c r="J1510">
        <v>9840</v>
      </c>
    </row>
    <row r="1511" spans="1:10" x14ac:dyDescent="0.25">
      <c r="A1511" t="s">
        <v>1532</v>
      </c>
      <c r="B1511" s="2">
        <v>45351</v>
      </c>
      <c r="C1511" t="s">
        <v>12</v>
      </c>
      <c r="D1511" t="s">
        <v>2029</v>
      </c>
      <c r="E1511" t="s">
        <v>20</v>
      </c>
      <c r="F1511" t="s">
        <v>23</v>
      </c>
      <c r="G1511">
        <v>8</v>
      </c>
      <c r="H1511">
        <v>5600</v>
      </c>
      <c r="I1511" s="6">
        <v>0.25</v>
      </c>
      <c r="J1511">
        <v>4200</v>
      </c>
    </row>
    <row r="1512" spans="1:10" x14ac:dyDescent="0.25">
      <c r="A1512" t="s">
        <v>1533</v>
      </c>
      <c r="B1512" s="2">
        <v>45352</v>
      </c>
      <c r="C1512" t="s">
        <v>13</v>
      </c>
      <c r="D1512" t="s">
        <v>16</v>
      </c>
      <c r="E1512" t="s">
        <v>21</v>
      </c>
      <c r="F1512" t="s">
        <v>24</v>
      </c>
      <c r="G1512">
        <v>3</v>
      </c>
      <c r="H1512">
        <v>14700</v>
      </c>
      <c r="I1512" s="6">
        <v>0.05</v>
      </c>
      <c r="J1512">
        <v>13965</v>
      </c>
    </row>
    <row r="1513" spans="1:10" x14ac:dyDescent="0.25">
      <c r="A1513" t="s">
        <v>1534</v>
      </c>
      <c r="B1513" s="2">
        <v>45353</v>
      </c>
      <c r="C1513" t="s">
        <v>13</v>
      </c>
      <c r="D1513" t="s">
        <v>2030</v>
      </c>
      <c r="E1513" t="s">
        <v>22</v>
      </c>
      <c r="F1513" t="s">
        <v>24</v>
      </c>
      <c r="G1513">
        <v>10</v>
      </c>
      <c r="H1513">
        <v>4900</v>
      </c>
      <c r="I1513" s="6">
        <v>0.1</v>
      </c>
      <c r="J1513">
        <v>4410</v>
      </c>
    </row>
    <row r="1514" spans="1:10" x14ac:dyDescent="0.25">
      <c r="A1514" t="s">
        <v>1535</v>
      </c>
      <c r="B1514" s="2">
        <v>45354</v>
      </c>
      <c r="C1514" t="s">
        <v>13</v>
      </c>
      <c r="D1514" t="s">
        <v>2031</v>
      </c>
      <c r="E1514" t="s">
        <v>19</v>
      </c>
      <c r="F1514" t="s">
        <v>24</v>
      </c>
      <c r="G1514">
        <v>2</v>
      </c>
      <c r="H1514">
        <v>8500</v>
      </c>
      <c r="I1514" s="6">
        <v>0.15000000000000002</v>
      </c>
      <c r="J1514">
        <v>7225</v>
      </c>
    </row>
    <row r="1515" spans="1:10" x14ac:dyDescent="0.25">
      <c r="A1515" t="s">
        <v>1536</v>
      </c>
      <c r="B1515" s="2">
        <v>45355</v>
      </c>
      <c r="C1515" t="s">
        <v>13</v>
      </c>
      <c r="D1515" t="s">
        <v>2032</v>
      </c>
      <c r="E1515" t="s">
        <v>20</v>
      </c>
      <c r="F1515" t="s">
        <v>24</v>
      </c>
      <c r="G1515">
        <v>1</v>
      </c>
      <c r="H1515">
        <v>9200</v>
      </c>
      <c r="I1515" s="6">
        <v>0.2</v>
      </c>
      <c r="J1515">
        <v>7360</v>
      </c>
    </row>
    <row r="1516" spans="1:10" x14ac:dyDescent="0.25">
      <c r="A1516" t="s">
        <v>1537</v>
      </c>
      <c r="B1516" s="2">
        <v>45356</v>
      </c>
      <c r="C1516" t="s">
        <v>13</v>
      </c>
      <c r="D1516" t="s">
        <v>2033</v>
      </c>
      <c r="E1516" t="s">
        <v>21</v>
      </c>
      <c r="F1516" t="s">
        <v>24</v>
      </c>
      <c r="G1516">
        <v>1</v>
      </c>
      <c r="H1516">
        <v>13400</v>
      </c>
      <c r="I1516" s="6">
        <v>0.25</v>
      </c>
      <c r="J1516">
        <v>10050</v>
      </c>
    </row>
    <row r="1517" spans="1:10" x14ac:dyDescent="0.25">
      <c r="A1517" t="s">
        <v>1538</v>
      </c>
      <c r="B1517" s="2">
        <v>45357</v>
      </c>
      <c r="C1517" t="s">
        <v>13</v>
      </c>
      <c r="D1517" t="s">
        <v>2034</v>
      </c>
      <c r="E1517" t="s">
        <v>22</v>
      </c>
      <c r="F1517" t="s">
        <v>24</v>
      </c>
      <c r="G1517">
        <v>3</v>
      </c>
      <c r="H1517">
        <v>10800</v>
      </c>
      <c r="I1517" s="6">
        <v>0.05</v>
      </c>
      <c r="J1517">
        <v>10260</v>
      </c>
    </row>
    <row r="1518" spans="1:10" x14ac:dyDescent="0.25">
      <c r="A1518" t="s">
        <v>1539</v>
      </c>
      <c r="B1518" s="2">
        <v>45358</v>
      </c>
      <c r="C1518" t="s">
        <v>13</v>
      </c>
      <c r="D1518" t="s">
        <v>2035</v>
      </c>
      <c r="E1518" t="s">
        <v>19</v>
      </c>
      <c r="F1518" t="s">
        <v>24</v>
      </c>
      <c r="G1518">
        <v>5</v>
      </c>
      <c r="H1518">
        <v>12400</v>
      </c>
      <c r="I1518" s="6">
        <v>0.1</v>
      </c>
      <c r="J1518">
        <v>11160</v>
      </c>
    </row>
    <row r="1519" spans="1:10" x14ac:dyDescent="0.25">
      <c r="A1519" t="s">
        <v>1540</v>
      </c>
      <c r="B1519" s="2">
        <v>45359</v>
      </c>
      <c r="C1519" t="s">
        <v>13</v>
      </c>
      <c r="D1519" t="s">
        <v>2036</v>
      </c>
      <c r="E1519" t="s">
        <v>20</v>
      </c>
      <c r="F1519" t="s">
        <v>24</v>
      </c>
      <c r="G1519">
        <v>8</v>
      </c>
      <c r="H1519">
        <v>7800</v>
      </c>
      <c r="I1519" s="6">
        <v>0.15000000000000002</v>
      </c>
      <c r="J1519">
        <v>6630</v>
      </c>
    </row>
    <row r="1520" spans="1:10" x14ac:dyDescent="0.25">
      <c r="A1520" t="s">
        <v>1541</v>
      </c>
      <c r="B1520" s="2">
        <v>45360</v>
      </c>
      <c r="C1520" t="s">
        <v>13</v>
      </c>
      <c r="D1520" t="s">
        <v>2037</v>
      </c>
      <c r="E1520" t="s">
        <v>21</v>
      </c>
      <c r="F1520" t="s">
        <v>24</v>
      </c>
      <c r="G1520">
        <v>9</v>
      </c>
      <c r="H1520">
        <v>11300</v>
      </c>
      <c r="I1520" s="6">
        <v>0.2</v>
      </c>
      <c r="J1520">
        <v>9040</v>
      </c>
    </row>
    <row r="1521" spans="1:10" x14ac:dyDescent="0.25">
      <c r="A1521" t="s">
        <v>1542</v>
      </c>
      <c r="B1521" s="2">
        <v>45361</v>
      </c>
      <c r="C1521" t="s">
        <v>13</v>
      </c>
      <c r="D1521" t="s">
        <v>2038</v>
      </c>
      <c r="E1521" t="s">
        <v>22</v>
      </c>
      <c r="F1521" t="s">
        <v>24</v>
      </c>
      <c r="G1521">
        <v>3</v>
      </c>
      <c r="H1521">
        <v>6300</v>
      </c>
      <c r="I1521" s="6">
        <v>0.25</v>
      </c>
      <c r="J1521">
        <v>4725</v>
      </c>
    </row>
    <row r="1522" spans="1:10" x14ac:dyDescent="0.25">
      <c r="A1522" t="s">
        <v>1543</v>
      </c>
      <c r="B1522" s="2">
        <v>45362</v>
      </c>
      <c r="C1522" t="s">
        <v>14</v>
      </c>
      <c r="D1522" t="s">
        <v>2039</v>
      </c>
      <c r="E1522" t="s">
        <v>19</v>
      </c>
      <c r="F1522" t="s">
        <v>25</v>
      </c>
      <c r="G1522">
        <v>8</v>
      </c>
      <c r="H1522">
        <v>11500</v>
      </c>
      <c r="I1522" s="6">
        <v>0.05</v>
      </c>
      <c r="J1522">
        <v>10925</v>
      </c>
    </row>
    <row r="1523" spans="1:10" x14ac:dyDescent="0.25">
      <c r="A1523" t="s">
        <v>1544</v>
      </c>
      <c r="B1523" s="2">
        <v>45363</v>
      </c>
      <c r="C1523" t="s">
        <v>14</v>
      </c>
      <c r="D1523" t="s">
        <v>2040</v>
      </c>
      <c r="E1523" t="s">
        <v>20</v>
      </c>
      <c r="F1523" t="s">
        <v>25</v>
      </c>
      <c r="G1523">
        <v>2</v>
      </c>
      <c r="H1523">
        <v>14100</v>
      </c>
      <c r="I1523" s="6">
        <v>0.1</v>
      </c>
      <c r="J1523">
        <v>12690</v>
      </c>
    </row>
    <row r="1524" spans="1:10" x14ac:dyDescent="0.25">
      <c r="A1524" t="s">
        <v>1545</v>
      </c>
      <c r="B1524" s="2">
        <v>45364</v>
      </c>
      <c r="C1524" t="s">
        <v>14</v>
      </c>
      <c r="D1524" t="s">
        <v>2041</v>
      </c>
      <c r="E1524" t="s">
        <v>21</v>
      </c>
      <c r="F1524" t="s">
        <v>25</v>
      </c>
      <c r="G1524">
        <v>5</v>
      </c>
      <c r="H1524">
        <v>4500</v>
      </c>
      <c r="I1524" s="6">
        <v>0.15000000000000002</v>
      </c>
      <c r="J1524">
        <v>3825</v>
      </c>
    </row>
    <row r="1525" spans="1:10" x14ac:dyDescent="0.25">
      <c r="A1525" t="s">
        <v>1546</v>
      </c>
      <c r="B1525" s="2">
        <v>45365</v>
      </c>
      <c r="C1525" t="s">
        <v>14</v>
      </c>
      <c r="D1525" t="s">
        <v>2042</v>
      </c>
      <c r="E1525" t="s">
        <v>22</v>
      </c>
      <c r="F1525" t="s">
        <v>25</v>
      </c>
      <c r="G1525">
        <v>3</v>
      </c>
      <c r="H1525">
        <v>9500</v>
      </c>
      <c r="I1525" s="6">
        <v>0.2</v>
      </c>
      <c r="J1525">
        <v>7600</v>
      </c>
    </row>
    <row r="1526" spans="1:10" x14ac:dyDescent="0.25">
      <c r="A1526" t="s">
        <v>1547</v>
      </c>
      <c r="B1526" s="2">
        <v>45366</v>
      </c>
      <c r="C1526" t="s">
        <v>14</v>
      </c>
      <c r="D1526" t="s">
        <v>2043</v>
      </c>
      <c r="E1526" t="s">
        <v>19</v>
      </c>
      <c r="F1526" t="s">
        <v>25</v>
      </c>
      <c r="G1526">
        <v>3</v>
      </c>
      <c r="H1526">
        <v>15000</v>
      </c>
      <c r="I1526" s="6">
        <v>0.25</v>
      </c>
      <c r="J1526">
        <v>11250</v>
      </c>
    </row>
    <row r="1527" spans="1:10" x14ac:dyDescent="0.25">
      <c r="A1527" t="s">
        <v>1548</v>
      </c>
      <c r="B1527" s="2">
        <v>45367</v>
      </c>
      <c r="C1527" t="s">
        <v>14</v>
      </c>
      <c r="D1527" t="s">
        <v>2044</v>
      </c>
      <c r="E1527" t="s">
        <v>20</v>
      </c>
      <c r="F1527" t="s">
        <v>25</v>
      </c>
      <c r="G1527">
        <v>10</v>
      </c>
      <c r="H1527">
        <v>4500</v>
      </c>
      <c r="I1527" s="6">
        <v>0.05</v>
      </c>
      <c r="J1527">
        <v>4275</v>
      </c>
    </row>
    <row r="1528" spans="1:10" x14ac:dyDescent="0.25">
      <c r="A1528" t="s">
        <v>1549</v>
      </c>
      <c r="B1528" s="2">
        <v>45368</v>
      </c>
      <c r="C1528" t="s">
        <v>14</v>
      </c>
      <c r="D1528" t="s">
        <v>2045</v>
      </c>
      <c r="E1528" t="s">
        <v>21</v>
      </c>
      <c r="F1528" t="s">
        <v>25</v>
      </c>
      <c r="G1528">
        <v>5</v>
      </c>
      <c r="H1528">
        <v>14500</v>
      </c>
      <c r="I1528" s="6">
        <v>0.1</v>
      </c>
      <c r="J1528">
        <v>13050</v>
      </c>
    </row>
    <row r="1529" spans="1:10" x14ac:dyDescent="0.25">
      <c r="A1529" t="s">
        <v>1550</v>
      </c>
      <c r="B1529" s="2">
        <v>45369</v>
      </c>
      <c r="C1529" t="s">
        <v>14</v>
      </c>
      <c r="D1529" t="s">
        <v>2046</v>
      </c>
      <c r="E1529" t="s">
        <v>22</v>
      </c>
      <c r="F1529" t="s">
        <v>25</v>
      </c>
      <c r="G1529">
        <v>9</v>
      </c>
      <c r="H1529">
        <v>5800</v>
      </c>
      <c r="I1529" s="6">
        <v>0.15000000000000002</v>
      </c>
      <c r="J1529">
        <v>4930</v>
      </c>
    </row>
    <row r="1530" spans="1:10" x14ac:dyDescent="0.25">
      <c r="A1530" t="s">
        <v>1551</v>
      </c>
      <c r="B1530" s="2">
        <v>45370</v>
      </c>
      <c r="C1530" t="s">
        <v>14</v>
      </c>
      <c r="D1530" t="s">
        <v>2047</v>
      </c>
      <c r="E1530" t="s">
        <v>19</v>
      </c>
      <c r="F1530" t="s">
        <v>25</v>
      </c>
      <c r="G1530">
        <v>3</v>
      </c>
      <c r="H1530">
        <v>13900</v>
      </c>
      <c r="I1530" s="6">
        <v>0.2</v>
      </c>
      <c r="J1530">
        <v>11120</v>
      </c>
    </row>
    <row r="1531" spans="1:10" x14ac:dyDescent="0.25">
      <c r="A1531" t="s">
        <v>1552</v>
      </c>
      <c r="B1531" s="2">
        <v>45371</v>
      </c>
      <c r="C1531" t="s">
        <v>14</v>
      </c>
      <c r="D1531" t="s">
        <v>2048</v>
      </c>
      <c r="E1531" t="s">
        <v>20</v>
      </c>
      <c r="F1531" t="s">
        <v>25</v>
      </c>
      <c r="G1531">
        <v>9</v>
      </c>
      <c r="H1531">
        <v>7400</v>
      </c>
      <c r="I1531" s="6">
        <v>0.25</v>
      </c>
      <c r="J1531">
        <v>5550</v>
      </c>
    </row>
    <row r="1532" spans="1:10" x14ac:dyDescent="0.25">
      <c r="A1532" t="s">
        <v>1553</v>
      </c>
      <c r="B1532" s="2">
        <v>45372</v>
      </c>
      <c r="C1532" t="s">
        <v>12</v>
      </c>
      <c r="D1532" t="s">
        <v>15</v>
      </c>
      <c r="E1532" t="s">
        <v>21</v>
      </c>
      <c r="F1532" t="s">
        <v>23</v>
      </c>
      <c r="G1532">
        <v>1</v>
      </c>
      <c r="H1532">
        <v>5000</v>
      </c>
      <c r="I1532" s="6">
        <v>0.05</v>
      </c>
      <c r="J1532">
        <v>4750</v>
      </c>
    </row>
    <row r="1533" spans="1:10" x14ac:dyDescent="0.25">
      <c r="A1533" t="s">
        <v>1554</v>
      </c>
      <c r="B1533" s="2">
        <v>45373</v>
      </c>
      <c r="C1533" t="s">
        <v>12</v>
      </c>
      <c r="D1533" t="s">
        <v>17</v>
      </c>
      <c r="E1533" t="s">
        <v>22</v>
      </c>
      <c r="F1533" t="s">
        <v>23</v>
      </c>
      <c r="G1533">
        <v>7</v>
      </c>
      <c r="H1533">
        <v>11700</v>
      </c>
      <c r="I1533" s="6">
        <v>0.1</v>
      </c>
      <c r="J1533">
        <v>10530</v>
      </c>
    </row>
    <row r="1534" spans="1:10" x14ac:dyDescent="0.25">
      <c r="A1534" t="s">
        <v>1555</v>
      </c>
      <c r="B1534" s="2">
        <v>45374</v>
      </c>
      <c r="C1534" t="s">
        <v>12</v>
      </c>
      <c r="D1534" t="s">
        <v>2023</v>
      </c>
      <c r="E1534" t="s">
        <v>19</v>
      </c>
      <c r="F1534" t="s">
        <v>23</v>
      </c>
      <c r="G1534">
        <v>4</v>
      </c>
      <c r="H1534">
        <v>11600</v>
      </c>
      <c r="I1534" s="6">
        <v>0.15000000000000002</v>
      </c>
      <c r="J1534">
        <v>9860</v>
      </c>
    </row>
    <row r="1535" spans="1:10" x14ac:dyDescent="0.25">
      <c r="A1535" t="s">
        <v>1556</v>
      </c>
      <c r="B1535" s="2">
        <v>45375</v>
      </c>
      <c r="C1535" t="s">
        <v>12</v>
      </c>
      <c r="D1535" t="s">
        <v>18</v>
      </c>
      <c r="E1535" t="s">
        <v>20</v>
      </c>
      <c r="F1535" t="s">
        <v>23</v>
      </c>
      <c r="G1535">
        <v>9</v>
      </c>
      <c r="H1535">
        <v>13800</v>
      </c>
      <c r="I1535" s="6">
        <v>0.2</v>
      </c>
      <c r="J1535">
        <v>11040</v>
      </c>
    </row>
    <row r="1536" spans="1:10" x14ac:dyDescent="0.25">
      <c r="A1536" t="s">
        <v>1557</v>
      </c>
      <c r="B1536" s="2">
        <v>45376</v>
      </c>
      <c r="C1536" t="s">
        <v>12</v>
      </c>
      <c r="D1536" t="s">
        <v>2024</v>
      </c>
      <c r="E1536" t="s">
        <v>21</v>
      </c>
      <c r="F1536" t="s">
        <v>23</v>
      </c>
      <c r="G1536">
        <v>8</v>
      </c>
      <c r="H1536">
        <v>11200</v>
      </c>
      <c r="I1536" s="6">
        <v>0.25</v>
      </c>
      <c r="J1536">
        <v>8400</v>
      </c>
    </row>
    <row r="1537" spans="1:10" x14ac:dyDescent="0.25">
      <c r="A1537" t="s">
        <v>1558</v>
      </c>
      <c r="B1537" s="2">
        <v>45377</v>
      </c>
      <c r="C1537" t="s">
        <v>12</v>
      </c>
      <c r="D1537" t="s">
        <v>2025</v>
      </c>
      <c r="E1537" t="s">
        <v>22</v>
      </c>
      <c r="F1537" t="s">
        <v>23</v>
      </c>
      <c r="G1537">
        <v>7</v>
      </c>
      <c r="H1537">
        <v>14500</v>
      </c>
      <c r="I1537" s="6">
        <v>0.05</v>
      </c>
      <c r="J1537">
        <v>13775</v>
      </c>
    </row>
    <row r="1538" spans="1:10" x14ac:dyDescent="0.25">
      <c r="A1538" t="s">
        <v>1559</v>
      </c>
      <c r="B1538" s="2">
        <v>45378</v>
      </c>
      <c r="C1538" t="s">
        <v>12</v>
      </c>
      <c r="D1538" t="s">
        <v>2026</v>
      </c>
      <c r="E1538" t="s">
        <v>19</v>
      </c>
      <c r="F1538" t="s">
        <v>23</v>
      </c>
      <c r="G1538">
        <v>1</v>
      </c>
      <c r="H1538">
        <v>10600</v>
      </c>
      <c r="I1538" s="6">
        <v>0.1</v>
      </c>
      <c r="J1538">
        <v>9540</v>
      </c>
    </row>
    <row r="1539" spans="1:10" x14ac:dyDescent="0.25">
      <c r="A1539" t="s">
        <v>1560</v>
      </c>
      <c r="B1539" s="2">
        <v>45379</v>
      </c>
      <c r="C1539" t="s">
        <v>12</v>
      </c>
      <c r="D1539" t="s">
        <v>2027</v>
      </c>
      <c r="E1539" t="s">
        <v>20</v>
      </c>
      <c r="F1539" t="s">
        <v>23</v>
      </c>
      <c r="G1539">
        <v>2</v>
      </c>
      <c r="H1539">
        <v>7900</v>
      </c>
      <c r="I1539" s="6">
        <v>0.15000000000000002</v>
      </c>
      <c r="J1539">
        <v>6715</v>
      </c>
    </row>
    <row r="1540" spans="1:10" x14ac:dyDescent="0.25">
      <c r="A1540" t="s">
        <v>1561</v>
      </c>
      <c r="B1540" s="2">
        <v>45380</v>
      </c>
      <c r="C1540" t="s">
        <v>12</v>
      </c>
      <c r="D1540" t="s">
        <v>2028</v>
      </c>
      <c r="E1540" t="s">
        <v>21</v>
      </c>
      <c r="F1540" t="s">
        <v>23</v>
      </c>
      <c r="G1540">
        <v>2</v>
      </c>
      <c r="H1540">
        <v>8200</v>
      </c>
      <c r="I1540" s="6">
        <v>0.2</v>
      </c>
      <c r="J1540">
        <v>6560</v>
      </c>
    </row>
    <row r="1541" spans="1:10" x14ac:dyDescent="0.25">
      <c r="A1541" t="s">
        <v>1562</v>
      </c>
      <c r="B1541" s="2">
        <v>45381</v>
      </c>
      <c r="C1541" t="s">
        <v>12</v>
      </c>
      <c r="D1541" t="s">
        <v>2029</v>
      </c>
      <c r="E1541" t="s">
        <v>22</v>
      </c>
      <c r="F1541" t="s">
        <v>23</v>
      </c>
      <c r="G1541">
        <v>10</v>
      </c>
      <c r="H1541">
        <v>9200</v>
      </c>
      <c r="I1541" s="6">
        <v>0.25</v>
      </c>
      <c r="J1541">
        <v>6900</v>
      </c>
    </row>
    <row r="1542" spans="1:10" x14ac:dyDescent="0.25">
      <c r="A1542" t="s">
        <v>1563</v>
      </c>
      <c r="B1542" s="2">
        <v>45382</v>
      </c>
      <c r="C1542" t="s">
        <v>13</v>
      </c>
      <c r="D1542" t="s">
        <v>16</v>
      </c>
      <c r="E1542" t="s">
        <v>19</v>
      </c>
      <c r="F1542" t="s">
        <v>24</v>
      </c>
      <c r="G1542">
        <v>1</v>
      </c>
      <c r="H1542">
        <v>5500</v>
      </c>
      <c r="I1542" s="6">
        <v>0.05</v>
      </c>
      <c r="J1542">
        <v>5225</v>
      </c>
    </row>
    <row r="1543" spans="1:10" x14ac:dyDescent="0.25">
      <c r="A1543" t="s">
        <v>1564</v>
      </c>
      <c r="B1543" s="2">
        <v>45383</v>
      </c>
      <c r="C1543" t="s">
        <v>13</v>
      </c>
      <c r="D1543" t="s">
        <v>2030</v>
      </c>
      <c r="E1543" t="s">
        <v>20</v>
      </c>
      <c r="F1543" t="s">
        <v>24</v>
      </c>
      <c r="G1543">
        <v>2</v>
      </c>
      <c r="H1543">
        <v>8600</v>
      </c>
      <c r="I1543" s="6">
        <v>0.1</v>
      </c>
      <c r="J1543">
        <v>7740</v>
      </c>
    </row>
    <row r="1544" spans="1:10" x14ac:dyDescent="0.25">
      <c r="A1544" t="s">
        <v>1565</v>
      </c>
      <c r="B1544" s="2">
        <v>45384</v>
      </c>
      <c r="C1544" t="s">
        <v>13</v>
      </c>
      <c r="D1544" t="s">
        <v>2031</v>
      </c>
      <c r="E1544" t="s">
        <v>21</v>
      </c>
      <c r="F1544" t="s">
        <v>24</v>
      </c>
      <c r="G1544">
        <v>7</v>
      </c>
      <c r="H1544">
        <v>8200</v>
      </c>
      <c r="I1544" s="6">
        <v>0.15000000000000002</v>
      </c>
      <c r="J1544">
        <v>6970</v>
      </c>
    </row>
    <row r="1545" spans="1:10" x14ac:dyDescent="0.25">
      <c r="A1545" t="s">
        <v>1566</v>
      </c>
      <c r="B1545" s="2">
        <v>45385</v>
      </c>
      <c r="C1545" t="s">
        <v>13</v>
      </c>
      <c r="D1545" t="s">
        <v>2032</v>
      </c>
      <c r="E1545" t="s">
        <v>22</v>
      </c>
      <c r="F1545" t="s">
        <v>24</v>
      </c>
      <c r="G1545">
        <v>6</v>
      </c>
      <c r="H1545">
        <v>10800</v>
      </c>
      <c r="I1545" s="6">
        <v>0.2</v>
      </c>
      <c r="J1545">
        <v>8640</v>
      </c>
    </row>
    <row r="1546" spans="1:10" x14ac:dyDescent="0.25">
      <c r="A1546" t="s">
        <v>1567</v>
      </c>
      <c r="B1546" s="2">
        <v>45386</v>
      </c>
      <c r="C1546" t="s">
        <v>13</v>
      </c>
      <c r="D1546" t="s">
        <v>2033</v>
      </c>
      <c r="E1546" t="s">
        <v>19</v>
      </c>
      <c r="F1546" t="s">
        <v>24</v>
      </c>
      <c r="G1546">
        <v>3</v>
      </c>
      <c r="H1546">
        <v>9800</v>
      </c>
      <c r="I1546" s="6">
        <v>0.25</v>
      </c>
      <c r="J1546">
        <v>7350</v>
      </c>
    </row>
    <row r="1547" spans="1:10" x14ac:dyDescent="0.25">
      <c r="A1547" t="s">
        <v>1568</v>
      </c>
      <c r="B1547" s="2">
        <v>45387</v>
      </c>
      <c r="C1547" t="s">
        <v>13</v>
      </c>
      <c r="D1547" t="s">
        <v>2034</v>
      </c>
      <c r="E1547" t="s">
        <v>20</v>
      </c>
      <c r="F1547" t="s">
        <v>24</v>
      </c>
      <c r="G1547">
        <v>7</v>
      </c>
      <c r="H1547">
        <v>7100</v>
      </c>
      <c r="I1547" s="6">
        <v>0.05</v>
      </c>
      <c r="J1547">
        <v>6745</v>
      </c>
    </row>
    <row r="1548" spans="1:10" x14ac:dyDescent="0.25">
      <c r="A1548" t="s">
        <v>1569</v>
      </c>
      <c r="B1548" s="2">
        <v>45388</v>
      </c>
      <c r="C1548" t="s">
        <v>13</v>
      </c>
      <c r="D1548" t="s">
        <v>2035</v>
      </c>
      <c r="E1548" t="s">
        <v>21</v>
      </c>
      <c r="F1548" t="s">
        <v>24</v>
      </c>
      <c r="G1548">
        <v>10</v>
      </c>
      <c r="H1548">
        <v>14400</v>
      </c>
      <c r="I1548" s="6">
        <v>0.1</v>
      </c>
      <c r="J1548">
        <v>12960</v>
      </c>
    </row>
    <row r="1549" spans="1:10" x14ac:dyDescent="0.25">
      <c r="A1549" t="s">
        <v>1570</v>
      </c>
      <c r="B1549" s="2">
        <v>45389</v>
      </c>
      <c r="C1549" t="s">
        <v>13</v>
      </c>
      <c r="D1549" t="s">
        <v>2036</v>
      </c>
      <c r="E1549" t="s">
        <v>22</v>
      </c>
      <c r="F1549" t="s">
        <v>24</v>
      </c>
      <c r="G1549">
        <v>3</v>
      </c>
      <c r="H1549">
        <v>11400</v>
      </c>
      <c r="I1549" s="6">
        <v>0.15000000000000002</v>
      </c>
      <c r="J1549">
        <v>9690</v>
      </c>
    </row>
    <row r="1550" spans="1:10" x14ac:dyDescent="0.25">
      <c r="A1550" t="s">
        <v>1571</v>
      </c>
      <c r="B1550" s="2">
        <v>45390</v>
      </c>
      <c r="C1550" t="s">
        <v>13</v>
      </c>
      <c r="D1550" t="s">
        <v>2037</v>
      </c>
      <c r="E1550" t="s">
        <v>19</v>
      </c>
      <c r="F1550" t="s">
        <v>24</v>
      </c>
      <c r="G1550">
        <v>9</v>
      </c>
      <c r="H1550">
        <v>12600</v>
      </c>
      <c r="I1550" s="6">
        <v>0.2</v>
      </c>
      <c r="J1550">
        <v>10080</v>
      </c>
    </row>
    <row r="1551" spans="1:10" x14ac:dyDescent="0.25">
      <c r="A1551" t="s">
        <v>1572</v>
      </c>
      <c r="B1551" s="2">
        <v>45391</v>
      </c>
      <c r="C1551" t="s">
        <v>13</v>
      </c>
      <c r="D1551" t="s">
        <v>2038</v>
      </c>
      <c r="E1551" t="s">
        <v>20</v>
      </c>
      <c r="F1551" t="s">
        <v>24</v>
      </c>
      <c r="G1551">
        <v>2</v>
      </c>
      <c r="H1551">
        <v>10100</v>
      </c>
      <c r="I1551" s="6">
        <v>0.25</v>
      </c>
      <c r="J1551">
        <v>7575</v>
      </c>
    </row>
    <row r="1552" spans="1:10" x14ac:dyDescent="0.25">
      <c r="A1552" t="s">
        <v>1573</v>
      </c>
      <c r="B1552" s="2">
        <v>45392</v>
      </c>
      <c r="C1552" t="s">
        <v>14</v>
      </c>
      <c r="D1552" t="s">
        <v>2039</v>
      </c>
      <c r="E1552" t="s">
        <v>21</v>
      </c>
      <c r="F1552" t="s">
        <v>25</v>
      </c>
      <c r="G1552">
        <v>5</v>
      </c>
      <c r="H1552">
        <v>9900</v>
      </c>
      <c r="I1552" s="6">
        <v>0.05</v>
      </c>
      <c r="J1552">
        <v>9405</v>
      </c>
    </row>
    <row r="1553" spans="1:10" x14ac:dyDescent="0.25">
      <c r="A1553" t="s">
        <v>1574</v>
      </c>
      <c r="B1553" s="2">
        <v>45393</v>
      </c>
      <c r="C1553" t="s">
        <v>14</v>
      </c>
      <c r="D1553" t="s">
        <v>2040</v>
      </c>
      <c r="E1553" t="s">
        <v>22</v>
      </c>
      <c r="F1553" t="s">
        <v>25</v>
      </c>
      <c r="G1553">
        <v>8</v>
      </c>
      <c r="H1553">
        <v>14900</v>
      </c>
      <c r="I1553" s="6">
        <v>0.1</v>
      </c>
      <c r="J1553">
        <v>13410</v>
      </c>
    </row>
    <row r="1554" spans="1:10" x14ac:dyDescent="0.25">
      <c r="A1554" t="s">
        <v>1575</v>
      </c>
      <c r="B1554" s="2">
        <v>45394</v>
      </c>
      <c r="C1554" t="s">
        <v>14</v>
      </c>
      <c r="D1554" t="s">
        <v>2041</v>
      </c>
      <c r="E1554" t="s">
        <v>19</v>
      </c>
      <c r="F1554" t="s">
        <v>25</v>
      </c>
      <c r="G1554">
        <v>8</v>
      </c>
      <c r="H1554">
        <v>13700</v>
      </c>
      <c r="I1554" s="6">
        <v>0.15000000000000002</v>
      </c>
      <c r="J1554">
        <v>11645</v>
      </c>
    </row>
    <row r="1555" spans="1:10" x14ac:dyDescent="0.25">
      <c r="A1555" t="s">
        <v>1576</v>
      </c>
      <c r="B1555" s="2">
        <v>45395</v>
      </c>
      <c r="C1555" t="s">
        <v>14</v>
      </c>
      <c r="D1555" t="s">
        <v>2042</v>
      </c>
      <c r="E1555" t="s">
        <v>20</v>
      </c>
      <c r="F1555" t="s">
        <v>25</v>
      </c>
      <c r="G1555">
        <v>7</v>
      </c>
      <c r="H1555">
        <v>5300</v>
      </c>
      <c r="I1555" s="6">
        <v>0.2</v>
      </c>
      <c r="J1555">
        <v>4240</v>
      </c>
    </row>
    <row r="1556" spans="1:10" x14ac:dyDescent="0.25">
      <c r="A1556" t="s">
        <v>1577</v>
      </c>
      <c r="B1556" s="2">
        <v>45396</v>
      </c>
      <c r="C1556" t="s">
        <v>14</v>
      </c>
      <c r="D1556" t="s">
        <v>2043</v>
      </c>
      <c r="E1556" t="s">
        <v>21</v>
      </c>
      <c r="F1556" t="s">
        <v>25</v>
      </c>
      <c r="G1556">
        <v>4</v>
      </c>
      <c r="H1556">
        <v>12700</v>
      </c>
      <c r="I1556" s="6">
        <v>0.25</v>
      </c>
      <c r="J1556">
        <v>9525</v>
      </c>
    </row>
    <row r="1557" spans="1:10" x14ac:dyDescent="0.25">
      <c r="A1557" t="s">
        <v>1578</v>
      </c>
      <c r="B1557" s="2">
        <v>45397</v>
      </c>
      <c r="C1557" t="s">
        <v>14</v>
      </c>
      <c r="D1557" t="s">
        <v>2044</v>
      </c>
      <c r="E1557" t="s">
        <v>22</v>
      </c>
      <c r="F1557" t="s">
        <v>25</v>
      </c>
      <c r="G1557">
        <v>9</v>
      </c>
      <c r="H1557">
        <v>8900</v>
      </c>
      <c r="I1557" s="6">
        <v>0.05</v>
      </c>
      <c r="J1557">
        <v>8455</v>
      </c>
    </row>
    <row r="1558" spans="1:10" x14ac:dyDescent="0.25">
      <c r="A1558" t="s">
        <v>1579</v>
      </c>
      <c r="B1558" s="2">
        <v>45398</v>
      </c>
      <c r="C1558" t="s">
        <v>14</v>
      </c>
      <c r="D1558" t="s">
        <v>2045</v>
      </c>
      <c r="E1558" t="s">
        <v>19</v>
      </c>
      <c r="F1558" t="s">
        <v>25</v>
      </c>
      <c r="G1558">
        <v>3</v>
      </c>
      <c r="H1558">
        <v>4300</v>
      </c>
      <c r="I1558" s="6">
        <v>0.1</v>
      </c>
      <c r="J1558">
        <v>3870</v>
      </c>
    </row>
    <row r="1559" spans="1:10" x14ac:dyDescent="0.25">
      <c r="A1559" t="s">
        <v>1580</v>
      </c>
      <c r="B1559" s="2">
        <v>45399</v>
      </c>
      <c r="C1559" t="s">
        <v>14</v>
      </c>
      <c r="D1559" t="s">
        <v>2046</v>
      </c>
      <c r="E1559" t="s">
        <v>20</v>
      </c>
      <c r="F1559" t="s">
        <v>25</v>
      </c>
      <c r="G1559">
        <v>8</v>
      </c>
      <c r="H1559">
        <v>9200</v>
      </c>
      <c r="I1559" s="6">
        <v>0.15000000000000002</v>
      </c>
      <c r="J1559">
        <v>7820</v>
      </c>
    </row>
    <row r="1560" spans="1:10" x14ac:dyDescent="0.25">
      <c r="A1560" t="s">
        <v>1581</v>
      </c>
      <c r="B1560" s="2">
        <v>45400</v>
      </c>
      <c r="C1560" t="s">
        <v>14</v>
      </c>
      <c r="D1560" t="s">
        <v>2047</v>
      </c>
      <c r="E1560" t="s">
        <v>21</v>
      </c>
      <c r="F1560" t="s">
        <v>25</v>
      </c>
      <c r="G1560">
        <v>10</v>
      </c>
      <c r="H1560">
        <v>4300</v>
      </c>
      <c r="I1560" s="6">
        <v>0.2</v>
      </c>
      <c r="J1560">
        <v>3440</v>
      </c>
    </row>
    <row r="1561" spans="1:10" x14ac:dyDescent="0.25">
      <c r="A1561" t="s">
        <v>1582</v>
      </c>
      <c r="B1561" s="2">
        <v>45401</v>
      </c>
      <c r="C1561" t="s">
        <v>14</v>
      </c>
      <c r="D1561" t="s">
        <v>2048</v>
      </c>
      <c r="E1561" t="s">
        <v>22</v>
      </c>
      <c r="F1561" t="s">
        <v>25</v>
      </c>
      <c r="G1561">
        <v>6</v>
      </c>
      <c r="H1561">
        <v>8000</v>
      </c>
      <c r="I1561" s="6">
        <v>0.25</v>
      </c>
      <c r="J1561">
        <v>6000</v>
      </c>
    </row>
    <row r="1562" spans="1:10" x14ac:dyDescent="0.25">
      <c r="A1562" t="s">
        <v>1583</v>
      </c>
      <c r="B1562" s="2">
        <v>45402</v>
      </c>
      <c r="C1562" t="s">
        <v>12</v>
      </c>
      <c r="D1562" t="s">
        <v>15</v>
      </c>
      <c r="E1562" t="s">
        <v>19</v>
      </c>
      <c r="F1562" t="s">
        <v>23</v>
      </c>
      <c r="G1562">
        <v>1</v>
      </c>
      <c r="H1562">
        <v>6300</v>
      </c>
      <c r="I1562" s="6">
        <v>0.05</v>
      </c>
      <c r="J1562">
        <v>5985</v>
      </c>
    </row>
    <row r="1563" spans="1:10" x14ac:dyDescent="0.25">
      <c r="A1563" t="s">
        <v>1584</v>
      </c>
      <c r="B1563" s="2">
        <v>45403</v>
      </c>
      <c r="C1563" t="s">
        <v>12</v>
      </c>
      <c r="D1563" t="s">
        <v>17</v>
      </c>
      <c r="E1563" t="s">
        <v>20</v>
      </c>
      <c r="F1563" t="s">
        <v>23</v>
      </c>
      <c r="G1563">
        <v>8</v>
      </c>
      <c r="H1563">
        <v>8600</v>
      </c>
      <c r="I1563" s="6">
        <v>0.1</v>
      </c>
      <c r="J1563">
        <v>7740</v>
      </c>
    </row>
    <row r="1564" spans="1:10" x14ac:dyDescent="0.25">
      <c r="A1564" t="s">
        <v>1585</v>
      </c>
      <c r="B1564" s="2">
        <v>45404</v>
      </c>
      <c r="C1564" t="s">
        <v>12</v>
      </c>
      <c r="D1564" t="s">
        <v>2023</v>
      </c>
      <c r="E1564" t="s">
        <v>21</v>
      </c>
      <c r="F1564" t="s">
        <v>23</v>
      </c>
      <c r="G1564">
        <v>1</v>
      </c>
      <c r="H1564">
        <v>13100</v>
      </c>
      <c r="I1564" s="6">
        <v>0.15000000000000002</v>
      </c>
      <c r="J1564">
        <v>11135</v>
      </c>
    </row>
    <row r="1565" spans="1:10" x14ac:dyDescent="0.25">
      <c r="A1565" t="s">
        <v>1586</v>
      </c>
      <c r="B1565" s="2">
        <v>45405</v>
      </c>
      <c r="C1565" t="s">
        <v>12</v>
      </c>
      <c r="D1565" t="s">
        <v>18</v>
      </c>
      <c r="E1565" t="s">
        <v>22</v>
      </c>
      <c r="F1565" t="s">
        <v>23</v>
      </c>
      <c r="G1565">
        <v>9</v>
      </c>
      <c r="H1565">
        <v>10700</v>
      </c>
      <c r="I1565" s="6">
        <v>0.2</v>
      </c>
      <c r="J1565">
        <v>8560</v>
      </c>
    </row>
    <row r="1566" spans="1:10" x14ac:dyDescent="0.25">
      <c r="A1566" t="s">
        <v>1587</v>
      </c>
      <c r="B1566" s="2">
        <v>45406</v>
      </c>
      <c r="C1566" t="s">
        <v>12</v>
      </c>
      <c r="D1566" t="s">
        <v>2024</v>
      </c>
      <c r="E1566" t="s">
        <v>19</v>
      </c>
      <c r="F1566" t="s">
        <v>23</v>
      </c>
      <c r="G1566">
        <v>10</v>
      </c>
      <c r="H1566">
        <v>4100</v>
      </c>
      <c r="I1566" s="6">
        <v>0.25</v>
      </c>
      <c r="J1566">
        <v>3075</v>
      </c>
    </row>
    <row r="1567" spans="1:10" x14ac:dyDescent="0.25">
      <c r="A1567" t="s">
        <v>1588</v>
      </c>
      <c r="B1567" s="2">
        <v>45407</v>
      </c>
      <c r="C1567" t="s">
        <v>12</v>
      </c>
      <c r="D1567" t="s">
        <v>2025</v>
      </c>
      <c r="E1567" t="s">
        <v>20</v>
      </c>
      <c r="F1567" t="s">
        <v>23</v>
      </c>
      <c r="G1567">
        <v>1</v>
      </c>
      <c r="H1567">
        <v>14800</v>
      </c>
      <c r="I1567" s="6">
        <v>0.05</v>
      </c>
      <c r="J1567">
        <v>14060</v>
      </c>
    </row>
    <row r="1568" spans="1:10" x14ac:dyDescent="0.25">
      <c r="A1568" t="s">
        <v>1589</v>
      </c>
      <c r="B1568" s="2">
        <v>45408</v>
      </c>
      <c r="C1568" t="s">
        <v>12</v>
      </c>
      <c r="D1568" t="s">
        <v>2026</v>
      </c>
      <c r="E1568" t="s">
        <v>21</v>
      </c>
      <c r="F1568" t="s">
        <v>23</v>
      </c>
      <c r="G1568">
        <v>2</v>
      </c>
      <c r="H1568">
        <v>12900</v>
      </c>
      <c r="I1568" s="6">
        <v>0.1</v>
      </c>
      <c r="J1568">
        <v>11610</v>
      </c>
    </row>
    <row r="1569" spans="1:10" x14ac:dyDescent="0.25">
      <c r="A1569" t="s">
        <v>1590</v>
      </c>
      <c r="B1569" s="2">
        <v>45409</v>
      </c>
      <c r="C1569" t="s">
        <v>12</v>
      </c>
      <c r="D1569" t="s">
        <v>2027</v>
      </c>
      <c r="E1569" t="s">
        <v>22</v>
      </c>
      <c r="F1569" t="s">
        <v>23</v>
      </c>
      <c r="G1569">
        <v>2</v>
      </c>
      <c r="H1569">
        <v>10100</v>
      </c>
      <c r="I1569" s="6">
        <v>0.15000000000000002</v>
      </c>
      <c r="J1569">
        <v>8585</v>
      </c>
    </row>
    <row r="1570" spans="1:10" x14ac:dyDescent="0.25">
      <c r="A1570" t="s">
        <v>1591</v>
      </c>
      <c r="B1570" s="2">
        <v>45410</v>
      </c>
      <c r="C1570" t="s">
        <v>12</v>
      </c>
      <c r="D1570" t="s">
        <v>2028</v>
      </c>
      <c r="E1570" t="s">
        <v>19</v>
      </c>
      <c r="F1570" t="s">
        <v>23</v>
      </c>
      <c r="G1570">
        <v>4</v>
      </c>
      <c r="H1570">
        <v>9500</v>
      </c>
      <c r="I1570" s="6">
        <v>0.2</v>
      </c>
      <c r="J1570">
        <v>7600</v>
      </c>
    </row>
    <row r="1571" spans="1:10" x14ac:dyDescent="0.25">
      <c r="A1571" t="s">
        <v>1592</v>
      </c>
      <c r="B1571" s="2">
        <v>45411</v>
      </c>
      <c r="C1571" t="s">
        <v>12</v>
      </c>
      <c r="D1571" t="s">
        <v>2029</v>
      </c>
      <c r="E1571" t="s">
        <v>20</v>
      </c>
      <c r="F1571" t="s">
        <v>23</v>
      </c>
      <c r="G1571">
        <v>5</v>
      </c>
      <c r="H1571">
        <v>8200</v>
      </c>
      <c r="I1571" s="6">
        <v>0.25</v>
      </c>
      <c r="J1571">
        <v>6150</v>
      </c>
    </row>
    <row r="1572" spans="1:10" x14ac:dyDescent="0.25">
      <c r="A1572" t="s">
        <v>1593</v>
      </c>
      <c r="B1572" s="2">
        <v>45412</v>
      </c>
      <c r="C1572" t="s">
        <v>13</v>
      </c>
      <c r="D1572" t="s">
        <v>16</v>
      </c>
      <c r="E1572" t="s">
        <v>21</v>
      </c>
      <c r="F1572" t="s">
        <v>24</v>
      </c>
      <c r="G1572">
        <v>2</v>
      </c>
      <c r="H1572">
        <v>6600</v>
      </c>
      <c r="I1572" s="6">
        <v>0.05</v>
      </c>
      <c r="J1572">
        <v>6270</v>
      </c>
    </row>
    <row r="1573" spans="1:10" x14ac:dyDescent="0.25">
      <c r="A1573" t="s">
        <v>1594</v>
      </c>
      <c r="B1573" s="2">
        <v>45413</v>
      </c>
      <c r="C1573" t="s">
        <v>13</v>
      </c>
      <c r="D1573" t="s">
        <v>2030</v>
      </c>
      <c r="E1573" t="s">
        <v>22</v>
      </c>
      <c r="F1573" t="s">
        <v>24</v>
      </c>
      <c r="G1573">
        <v>9</v>
      </c>
      <c r="H1573">
        <v>13400</v>
      </c>
      <c r="I1573" s="6">
        <v>0.1</v>
      </c>
      <c r="J1573">
        <v>12060</v>
      </c>
    </row>
    <row r="1574" spans="1:10" x14ac:dyDescent="0.25">
      <c r="A1574" t="s">
        <v>1595</v>
      </c>
      <c r="B1574" s="2">
        <v>45414</v>
      </c>
      <c r="C1574" t="s">
        <v>13</v>
      </c>
      <c r="D1574" t="s">
        <v>2031</v>
      </c>
      <c r="E1574" t="s">
        <v>19</v>
      </c>
      <c r="F1574" t="s">
        <v>24</v>
      </c>
      <c r="G1574">
        <v>5</v>
      </c>
      <c r="H1574">
        <v>7500</v>
      </c>
      <c r="I1574" s="6">
        <v>0.15000000000000002</v>
      </c>
      <c r="J1574">
        <v>6375</v>
      </c>
    </row>
    <row r="1575" spans="1:10" x14ac:dyDescent="0.25">
      <c r="A1575" t="s">
        <v>1596</v>
      </c>
      <c r="B1575" s="2">
        <v>45415</v>
      </c>
      <c r="C1575" t="s">
        <v>13</v>
      </c>
      <c r="D1575" t="s">
        <v>2032</v>
      </c>
      <c r="E1575" t="s">
        <v>20</v>
      </c>
      <c r="F1575" t="s">
        <v>24</v>
      </c>
      <c r="G1575">
        <v>2</v>
      </c>
      <c r="H1575">
        <v>14300</v>
      </c>
      <c r="I1575" s="6">
        <v>0.2</v>
      </c>
      <c r="J1575">
        <v>11440</v>
      </c>
    </row>
    <row r="1576" spans="1:10" x14ac:dyDescent="0.25">
      <c r="A1576" t="s">
        <v>1597</v>
      </c>
      <c r="B1576" s="2">
        <v>45416</v>
      </c>
      <c r="C1576" t="s">
        <v>13</v>
      </c>
      <c r="D1576" t="s">
        <v>2033</v>
      </c>
      <c r="E1576" t="s">
        <v>21</v>
      </c>
      <c r="F1576" t="s">
        <v>24</v>
      </c>
      <c r="G1576">
        <v>5</v>
      </c>
      <c r="H1576">
        <v>10000</v>
      </c>
      <c r="I1576" s="6">
        <v>0.25</v>
      </c>
      <c r="J1576">
        <v>7500</v>
      </c>
    </row>
    <row r="1577" spans="1:10" x14ac:dyDescent="0.25">
      <c r="A1577" t="s">
        <v>1598</v>
      </c>
      <c r="B1577" s="2">
        <v>45417</v>
      </c>
      <c r="C1577" t="s">
        <v>13</v>
      </c>
      <c r="D1577" t="s">
        <v>2034</v>
      </c>
      <c r="E1577" t="s">
        <v>22</v>
      </c>
      <c r="F1577" t="s">
        <v>24</v>
      </c>
      <c r="G1577">
        <v>8</v>
      </c>
      <c r="H1577">
        <v>14500</v>
      </c>
      <c r="I1577" s="6">
        <v>0.05</v>
      </c>
      <c r="J1577">
        <v>13775</v>
      </c>
    </row>
    <row r="1578" spans="1:10" x14ac:dyDescent="0.25">
      <c r="A1578" t="s">
        <v>1599</v>
      </c>
      <c r="B1578" s="2">
        <v>45418</v>
      </c>
      <c r="C1578" t="s">
        <v>13</v>
      </c>
      <c r="D1578" t="s">
        <v>2035</v>
      </c>
      <c r="E1578" t="s">
        <v>19</v>
      </c>
      <c r="F1578" t="s">
        <v>24</v>
      </c>
      <c r="G1578">
        <v>8</v>
      </c>
      <c r="H1578">
        <v>13600</v>
      </c>
      <c r="I1578" s="6">
        <v>0.1</v>
      </c>
      <c r="J1578">
        <v>12240</v>
      </c>
    </row>
    <row r="1579" spans="1:10" x14ac:dyDescent="0.25">
      <c r="A1579" t="s">
        <v>1600</v>
      </c>
      <c r="B1579" s="2">
        <v>45419</v>
      </c>
      <c r="C1579" t="s">
        <v>13</v>
      </c>
      <c r="D1579" t="s">
        <v>2036</v>
      </c>
      <c r="E1579" t="s">
        <v>20</v>
      </c>
      <c r="F1579" t="s">
        <v>24</v>
      </c>
      <c r="G1579">
        <v>9</v>
      </c>
      <c r="H1579">
        <v>5000</v>
      </c>
      <c r="I1579" s="6">
        <v>0.15000000000000002</v>
      </c>
      <c r="J1579">
        <v>4250</v>
      </c>
    </row>
    <row r="1580" spans="1:10" x14ac:dyDescent="0.25">
      <c r="A1580" t="s">
        <v>1601</v>
      </c>
      <c r="B1580" s="2">
        <v>45420</v>
      </c>
      <c r="C1580" t="s">
        <v>13</v>
      </c>
      <c r="D1580" t="s">
        <v>2037</v>
      </c>
      <c r="E1580" t="s">
        <v>21</v>
      </c>
      <c r="F1580" t="s">
        <v>24</v>
      </c>
      <c r="G1580">
        <v>4</v>
      </c>
      <c r="H1580">
        <v>6200</v>
      </c>
      <c r="I1580" s="6">
        <v>0.2</v>
      </c>
      <c r="J1580">
        <v>4960</v>
      </c>
    </row>
    <row r="1581" spans="1:10" x14ac:dyDescent="0.25">
      <c r="A1581" t="s">
        <v>1602</v>
      </c>
      <c r="B1581" s="2">
        <v>45421</v>
      </c>
      <c r="C1581" t="s">
        <v>13</v>
      </c>
      <c r="D1581" t="s">
        <v>2038</v>
      </c>
      <c r="E1581" t="s">
        <v>22</v>
      </c>
      <c r="F1581" t="s">
        <v>24</v>
      </c>
      <c r="G1581">
        <v>3</v>
      </c>
      <c r="H1581">
        <v>5300</v>
      </c>
      <c r="I1581" s="6">
        <v>0.25</v>
      </c>
      <c r="J1581">
        <v>3975</v>
      </c>
    </row>
    <row r="1582" spans="1:10" x14ac:dyDescent="0.25">
      <c r="A1582" t="s">
        <v>1603</v>
      </c>
      <c r="B1582" s="2">
        <v>45422</v>
      </c>
      <c r="C1582" t="s">
        <v>14</v>
      </c>
      <c r="D1582" t="s">
        <v>2039</v>
      </c>
      <c r="E1582" t="s">
        <v>19</v>
      </c>
      <c r="F1582" t="s">
        <v>25</v>
      </c>
      <c r="G1582">
        <v>1</v>
      </c>
      <c r="H1582">
        <v>9600</v>
      </c>
      <c r="I1582" s="6">
        <v>0.05</v>
      </c>
      <c r="J1582">
        <v>9120</v>
      </c>
    </row>
    <row r="1583" spans="1:10" x14ac:dyDescent="0.25">
      <c r="A1583" t="s">
        <v>1604</v>
      </c>
      <c r="B1583" s="2">
        <v>45423</v>
      </c>
      <c r="C1583" t="s">
        <v>14</v>
      </c>
      <c r="D1583" t="s">
        <v>2040</v>
      </c>
      <c r="E1583" t="s">
        <v>20</v>
      </c>
      <c r="F1583" t="s">
        <v>25</v>
      </c>
      <c r="G1583">
        <v>4</v>
      </c>
      <c r="H1583">
        <v>10000</v>
      </c>
      <c r="I1583" s="6">
        <v>0.1</v>
      </c>
      <c r="J1583">
        <v>9000</v>
      </c>
    </row>
    <row r="1584" spans="1:10" x14ac:dyDescent="0.25">
      <c r="A1584" t="s">
        <v>1605</v>
      </c>
      <c r="B1584" s="2">
        <v>45424</v>
      </c>
      <c r="C1584" t="s">
        <v>14</v>
      </c>
      <c r="D1584" t="s">
        <v>2041</v>
      </c>
      <c r="E1584" t="s">
        <v>21</v>
      </c>
      <c r="F1584" t="s">
        <v>25</v>
      </c>
      <c r="G1584">
        <v>5</v>
      </c>
      <c r="H1584">
        <v>5900</v>
      </c>
      <c r="I1584" s="6">
        <v>0.15000000000000002</v>
      </c>
      <c r="J1584">
        <v>5015</v>
      </c>
    </row>
    <row r="1585" spans="1:10" x14ac:dyDescent="0.25">
      <c r="A1585" t="s">
        <v>1606</v>
      </c>
      <c r="B1585" s="2">
        <v>45425</v>
      </c>
      <c r="C1585" t="s">
        <v>14</v>
      </c>
      <c r="D1585" t="s">
        <v>2042</v>
      </c>
      <c r="E1585" t="s">
        <v>22</v>
      </c>
      <c r="F1585" t="s">
        <v>25</v>
      </c>
      <c r="G1585">
        <v>2</v>
      </c>
      <c r="H1585">
        <v>11900</v>
      </c>
      <c r="I1585" s="6">
        <v>0.2</v>
      </c>
      <c r="J1585">
        <v>9520</v>
      </c>
    </row>
    <row r="1586" spans="1:10" x14ac:dyDescent="0.25">
      <c r="A1586" t="s">
        <v>1607</v>
      </c>
      <c r="B1586" s="2">
        <v>45426</v>
      </c>
      <c r="C1586" t="s">
        <v>14</v>
      </c>
      <c r="D1586" t="s">
        <v>2043</v>
      </c>
      <c r="E1586" t="s">
        <v>19</v>
      </c>
      <c r="F1586" t="s">
        <v>25</v>
      </c>
      <c r="G1586">
        <v>2</v>
      </c>
      <c r="H1586">
        <v>9900</v>
      </c>
      <c r="I1586" s="6">
        <v>0.25</v>
      </c>
      <c r="J1586">
        <v>7425</v>
      </c>
    </row>
    <row r="1587" spans="1:10" x14ac:dyDescent="0.25">
      <c r="A1587" t="s">
        <v>1608</v>
      </c>
      <c r="B1587" s="2">
        <v>45427</v>
      </c>
      <c r="C1587" t="s">
        <v>14</v>
      </c>
      <c r="D1587" t="s">
        <v>2044</v>
      </c>
      <c r="E1587" t="s">
        <v>20</v>
      </c>
      <c r="F1587" t="s">
        <v>25</v>
      </c>
      <c r="G1587">
        <v>1</v>
      </c>
      <c r="H1587">
        <v>5500</v>
      </c>
      <c r="I1587" s="6">
        <v>0.05</v>
      </c>
      <c r="J1587">
        <v>5225</v>
      </c>
    </row>
    <row r="1588" spans="1:10" x14ac:dyDescent="0.25">
      <c r="A1588" t="s">
        <v>1609</v>
      </c>
      <c r="B1588" s="2">
        <v>45428</v>
      </c>
      <c r="C1588" t="s">
        <v>14</v>
      </c>
      <c r="D1588" t="s">
        <v>2045</v>
      </c>
      <c r="E1588" t="s">
        <v>21</v>
      </c>
      <c r="F1588" t="s">
        <v>25</v>
      </c>
      <c r="G1588">
        <v>3</v>
      </c>
      <c r="H1588">
        <v>11900</v>
      </c>
      <c r="I1588" s="6">
        <v>0.1</v>
      </c>
      <c r="J1588">
        <v>10710</v>
      </c>
    </row>
    <row r="1589" spans="1:10" x14ac:dyDescent="0.25">
      <c r="A1589" t="s">
        <v>1610</v>
      </c>
      <c r="B1589" s="2">
        <v>45429</v>
      </c>
      <c r="C1589" t="s">
        <v>14</v>
      </c>
      <c r="D1589" t="s">
        <v>2046</v>
      </c>
      <c r="E1589" t="s">
        <v>22</v>
      </c>
      <c r="F1589" t="s">
        <v>25</v>
      </c>
      <c r="G1589">
        <v>4</v>
      </c>
      <c r="H1589">
        <v>8100</v>
      </c>
      <c r="I1589" s="6">
        <v>0.15000000000000002</v>
      </c>
      <c r="J1589">
        <v>6885</v>
      </c>
    </row>
    <row r="1590" spans="1:10" x14ac:dyDescent="0.25">
      <c r="A1590" t="s">
        <v>1611</v>
      </c>
      <c r="B1590" s="2">
        <v>45430</v>
      </c>
      <c r="C1590" t="s">
        <v>14</v>
      </c>
      <c r="D1590" t="s">
        <v>2047</v>
      </c>
      <c r="E1590" t="s">
        <v>19</v>
      </c>
      <c r="F1590" t="s">
        <v>25</v>
      </c>
      <c r="G1590">
        <v>6</v>
      </c>
      <c r="H1590">
        <v>12400</v>
      </c>
      <c r="I1590" s="6">
        <v>0.2</v>
      </c>
      <c r="J1590">
        <v>9920</v>
      </c>
    </row>
    <row r="1591" spans="1:10" x14ac:dyDescent="0.25">
      <c r="A1591" t="s">
        <v>1612</v>
      </c>
      <c r="B1591" s="2">
        <v>45431</v>
      </c>
      <c r="C1591" t="s">
        <v>14</v>
      </c>
      <c r="D1591" t="s">
        <v>2048</v>
      </c>
      <c r="E1591" t="s">
        <v>20</v>
      </c>
      <c r="F1591" t="s">
        <v>25</v>
      </c>
      <c r="G1591">
        <v>10</v>
      </c>
      <c r="H1591">
        <v>10800</v>
      </c>
      <c r="I1591" s="6">
        <v>0.25</v>
      </c>
      <c r="J1591">
        <v>8100</v>
      </c>
    </row>
    <row r="1592" spans="1:10" x14ac:dyDescent="0.25">
      <c r="A1592" t="s">
        <v>1613</v>
      </c>
      <c r="B1592" s="2">
        <v>45432</v>
      </c>
      <c r="C1592" t="s">
        <v>12</v>
      </c>
      <c r="D1592" t="s">
        <v>15</v>
      </c>
      <c r="E1592" t="s">
        <v>21</v>
      </c>
      <c r="F1592" t="s">
        <v>23</v>
      </c>
      <c r="G1592">
        <v>8</v>
      </c>
      <c r="H1592">
        <v>4300</v>
      </c>
      <c r="I1592" s="6">
        <v>0.05</v>
      </c>
      <c r="J1592">
        <v>4085</v>
      </c>
    </row>
    <row r="1593" spans="1:10" x14ac:dyDescent="0.25">
      <c r="A1593" t="s">
        <v>1614</v>
      </c>
      <c r="B1593" s="2">
        <v>45433</v>
      </c>
      <c r="C1593" t="s">
        <v>12</v>
      </c>
      <c r="D1593" t="s">
        <v>17</v>
      </c>
      <c r="E1593" t="s">
        <v>22</v>
      </c>
      <c r="F1593" t="s">
        <v>23</v>
      </c>
      <c r="G1593">
        <v>4</v>
      </c>
      <c r="H1593">
        <v>8600</v>
      </c>
      <c r="I1593" s="6">
        <v>0.1</v>
      </c>
      <c r="J1593">
        <v>7740</v>
      </c>
    </row>
    <row r="1594" spans="1:10" x14ac:dyDescent="0.25">
      <c r="A1594" t="s">
        <v>1615</v>
      </c>
      <c r="B1594" s="2">
        <v>45434</v>
      </c>
      <c r="C1594" t="s">
        <v>12</v>
      </c>
      <c r="D1594" t="s">
        <v>2023</v>
      </c>
      <c r="E1594" t="s">
        <v>19</v>
      </c>
      <c r="F1594" t="s">
        <v>23</v>
      </c>
      <c r="G1594">
        <v>1</v>
      </c>
      <c r="H1594">
        <v>9200</v>
      </c>
      <c r="I1594" s="6">
        <v>0.15000000000000002</v>
      </c>
      <c r="J1594">
        <v>7820</v>
      </c>
    </row>
    <row r="1595" spans="1:10" x14ac:dyDescent="0.25">
      <c r="A1595" t="s">
        <v>1616</v>
      </c>
      <c r="B1595" s="2">
        <v>45435</v>
      </c>
      <c r="C1595" t="s">
        <v>12</v>
      </c>
      <c r="D1595" t="s">
        <v>18</v>
      </c>
      <c r="E1595" t="s">
        <v>20</v>
      </c>
      <c r="F1595" t="s">
        <v>23</v>
      </c>
      <c r="G1595">
        <v>1</v>
      </c>
      <c r="H1595">
        <v>9500</v>
      </c>
      <c r="I1595" s="6">
        <v>0.2</v>
      </c>
      <c r="J1595">
        <v>7600</v>
      </c>
    </row>
    <row r="1596" spans="1:10" x14ac:dyDescent="0.25">
      <c r="A1596" t="s">
        <v>1617</v>
      </c>
      <c r="B1596" s="2">
        <v>45436</v>
      </c>
      <c r="C1596" t="s">
        <v>12</v>
      </c>
      <c r="D1596" t="s">
        <v>2024</v>
      </c>
      <c r="E1596" t="s">
        <v>21</v>
      </c>
      <c r="F1596" t="s">
        <v>23</v>
      </c>
      <c r="G1596">
        <v>6</v>
      </c>
      <c r="H1596">
        <v>14400</v>
      </c>
      <c r="I1596" s="6">
        <v>0.25</v>
      </c>
      <c r="J1596">
        <v>10800</v>
      </c>
    </row>
    <row r="1597" spans="1:10" x14ac:dyDescent="0.25">
      <c r="A1597" t="s">
        <v>1618</v>
      </c>
      <c r="B1597" s="2">
        <v>45437</v>
      </c>
      <c r="C1597" t="s">
        <v>12</v>
      </c>
      <c r="D1597" t="s">
        <v>2025</v>
      </c>
      <c r="E1597" t="s">
        <v>22</v>
      </c>
      <c r="F1597" t="s">
        <v>23</v>
      </c>
      <c r="G1597">
        <v>5</v>
      </c>
      <c r="H1597">
        <v>13700</v>
      </c>
      <c r="I1597" s="6">
        <v>0.05</v>
      </c>
      <c r="J1597">
        <v>13015</v>
      </c>
    </row>
    <row r="1598" spans="1:10" x14ac:dyDescent="0.25">
      <c r="A1598" t="s">
        <v>1619</v>
      </c>
      <c r="B1598" s="2">
        <v>45438</v>
      </c>
      <c r="C1598" t="s">
        <v>12</v>
      </c>
      <c r="D1598" t="s">
        <v>2026</v>
      </c>
      <c r="E1598" t="s">
        <v>19</v>
      </c>
      <c r="F1598" t="s">
        <v>23</v>
      </c>
      <c r="G1598">
        <v>2</v>
      </c>
      <c r="H1598">
        <v>5500</v>
      </c>
      <c r="I1598" s="6">
        <v>0.1</v>
      </c>
      <c r="J1598">
        <v>4950</v>
      </c>
    </row>
    <row r="1599" spans="1:10" x14ac:dyDescent="0.25">
      <c r="A1599" t="s">
        <v>1620</v>
      </c>
      <c r="B1599" s="2">
        <v>45439</v>
      </c>
      <c r="C1599" t="s">
        <v>12</v>
      </c>
      <c r="D1599" t="s">
        <v>2027</v>
      </c>
      <c r="E1599" t="s">
        <v>20</v>
      </c>
      <c r="F1599" t="s">
        <v>23</v>
      </c>
      <c r="G1599">
        <v>4</v>
      </c>
      <c r="H1599">
        <v>10400</v>
      </c>
      <c r="I1599" s="6">
        <v>0.15000000000000002</v>
      </c>
      <c r="J1599">
        <v>8840</v>
      </c>
    </row>
    <row r="1600" spans="1:10" x14ac:dyDescent="0.25">
      <c r="A1600" t="s">
        <v>1621</v>
      </c>
      <c r="B1600" s="2">
        <v>45440</v>
      </c>
      <c r="C1600" t="s">
        <v>12</v>
      </c>
      <c r="D1600" t="s">
        <v>2028</v>
      </c>
      <c r="E1600" t="s">
        <v>21</v>
      </c>
      <c r="F1600" t="s">
        <v>23</v>
      </c>
      <c r="G1600">
        <v>9</v>
      </c>
      <c r="H1600">
        <v>11100</v>
      </c>
      <c r="I1600" s="6">
        <v>0.2</v>
      </c>
      <c r="J1600">
        <v>8880</v>
      </c>
    </row>
    <row r="1601" spans="1:10" x14ac:dyDescent="0.25">
      <c r="A1601" t="s">
        <v>1622</v>
      </c>
      <c r="B1601" s="2">
        <v>45441</v>
      </c>
      <c r="C1601" t="s">
        <v>12</v>
      </c>
      <c r="D1601" t="s">
        <v>2029</v>
      </c>
      <c r="E1601" t="s">
        <v>22</v>
      </c>
      <c r="F1601" t="s">
        <v>23</v>
      </c>
      <c r="G1601">
        <v>2</v>
      </c>
      <c r="H1601">
        <v>9400</v>
      </c>
      <c r="I1601" s="6">
        <v>0.25</v>
      </c>
      <c r="J1601">
        <v>7050</v>
      </c>
    </row>
    <row r="1602" spans="1:10" x14ac:dyDescent="0.25">
      <c r="A1602" t="s">
        <v>1623</v>
      </c>
      <c r="B1602" s="2">
        <v>45442</v>
      </c>
      <c r="C1602" t="s">
        <v>13</v>
      </c>
      <c r="D1602" t="s">
        <v>16</v>
      </c>
      <c r="E1602" t="s">
        <v>19</v>
      </c>
      <c r="F1602" t="s">
        <v>24</v>
      </c>
      <c r="G1602">
        <v>6</v>
      </c>
      <c r="H1602">
        <v>11300</v>
      </c>
      <c r="I1602" s="6">
        <v>0.05</v>
      </c>
      <c r="J1602">
        <v>10735</v>
      </c>
    </row>
    <row r="1603" spans="1:10" x14ac:dyDescent="0.25">
      <c r="A1603" t="s">
        <v>1624</v>
      </c>
      <c r="B1603" s="2">
        <v>45443</v>
      </c>
      <c r="C1603" t="s">
        <v>13</v>
      </c>
      <c r="D1603" t="s">
        <v>2030</v>
      </c>
      <c r="E1603" t="s">
        <v>20</v>
      </c>
      <c r="F1603" t="s">
        <v>24</v>
      </c>
      <c r="G1603">
        <v>4</v>
      </c>
      <c r="H1603">
        <v>11900</v>
      </c>
      <c r="I1603" s="6">
        <v>0.1</v>
      </c>
      <c r="J1603">
        <v>10710</v>
      </c>
    </row>
    <row r="1604" spans="1:10" x14ac:dyDescent="0.25">
      <c r="A1604" t="s">
        <v>1625</v>
      </c>
      <c r="B1604" s="2">
        <v>45444</v>
      </c>
      <c r="C1604" t="s">
        <v>13</v>
      </c>
      <c r="D1604" t="s">
        <v>2031</v>
      </c>
      <c r="E1604" t="s">
        <v>21</v>
      </c>
      <c r="F1604" t="s">
        <v>24</v>
      </c>
      <c r="G1604">
        <v>8</v>
      </c>
      <c r="H1604">
        <v>14400</v>
      </c>
      <c r="I1604" s="6">
        <v>0.15000000000000002</v>
      </c>
      <c r="J1604">
        <v>12240</v>
      </c>
    </row>
    <row r="1605" spans="1:10" x14ac:dyDescent="0.25">
      <c r="A1605" t="s">
        <v>1626</v>
      </c>
      <c r="B1605" s="2">
        <v>45445</v>
      </c>
      <c r="C1605" t="s">
        <v>13</v>
      </c>
      <c r="D1605" t="s">
        <v>2032</v>
      </c>
      <c r="E1605" t="s">
        <v>22</v>
      </c>
      <c r="F1605" t="s">
        <v>24</v>
      </c>
      <c r="G1605">
        <v>7</v>
      </c>
      <c r="H1605">
        <v>8000</v>
      </c>
      <c r="I1605" s="6">
        <v>0.2</v>
      </c>
      <c r="J1605">
        <v>6400</v>
      </c>
    </row>
    <row r="1606" spans="1:10" x14ac:dyDescent="0.25">
      <c r="A1606" t="s">
        <v>1627</v>
      </c>
      <c r="B1606" s="2">
        <v>45446</v>
      </c>
      <c r="C1606" t="s">
        <v>13</v>
      </c>
      <c r="D1606" t="s">
        <v>2033</v>
      </c>
      <c r="E1606" t="s">
        <v>19</v>
      </c>
      <c r="F1606" t="s">
        <v>24</v>
      </c>
      <c r="G1606">
        <v>5</v>
      </c>
      <c r="H1606">
        <v>13300</v>
      </c>
      <c r="I1606" s="6">
        <v>0.25</v>
      </c>
      <c r="J1606">
        <v>9975</v>
      </c>
    </row>
    <row r="1607" spans="1:10" x14ac:dyDescent="0.25">
      <c r="A1607" t="s">
        <v>1628</v>
      </c>
      <c r="B1607" s="2">
        <v>45447</v>
      </c>
      <c r="C1607" t="s">
        <v>13</v>
      </c>
      <c r="D1607" t="s">
        <v>2034</v>
      </c>
      <c r="E1607" t="s">
        <v>20</v>
      </c>
      <c r="F1607" t="s">
        <v>24</v>
      </c>
      <c r="G1607">
        <v>8</v>
      </c>
      <c r="H1607">
        <v>6400</v>
      </c>
      <c r="I1607" s="6">
        <v>0.05</v>
      </c>
      <c r="J1607">
        <v>6080</v>
      </c>
    </row>
    <row r="1608" spans="1:10" x14ac:dyDescent="0.25">
      <c r="A1608" t="s">
        <v>1629</v>
      </c>
      <c r="B1608" s="2">
        <v>45448</v>
      </c>
      <c r="C1608" t="s">
        <v>13</v>
      </c>
      <c r="D1608" t="s">
        <v>2035</v>
      </c>
      <c r="E1608" t="s">
        <v>21</v>
      </c>
      <c r="F1608" t="s">
        <v>24</v>
      </c>
      <c r="G1608">
        <v>9</v>
      </c>
      <c r="H1608">
        <v>10400</v>
      </c>
      <c r="I1608" s="6">
        <v>0.1</v>
      </c>
      <c r="J1608">
        <v>9360</v>
      </c>
    </row>
    <row r="1609" spans="1:10" x14ac:dyDescent="0.25">
      <c r="A1609" t="s">
        <v>1630</v>
      </c>
      <c r="B1609" s="2">
        <v>45449</v>
      </c>
      <c r="C1609" t="s">
        <v>13</v>
      </c>
      <c r="D1609" t="s">
        <v>2036</v>
      </c>
      <c r="E1609" t="s">
        <v>22</v>
      </c>
      <c r="F1609" t="s">
        <v>24</v>
      </c>
      <c r="G1609">
        <v>6</v>
      </c>
      <c r="H1609">
        <v>8200</v>
      </c>
      <c r="I1609" s="6">
        <v>0.15000000000000002</v>
      </c>
      <c r="J1609">
        <v>6970</v>
      </c>
    </row>
    <row r="1610" spans="1:10" x14ac:dyDescent="0.25">
      <c r="A1610" t="s">
        <v>1631</v>
      </c>
      <c r="B1610" s="2">
        <v>45450</v>
      </c>
      <c r="C1610" t="s">
        <v>13</v>
      </c>
      <c r="D1610" t="s">
        <v>2037</v>
      </c>
      <c r="E1610" t="s">
        <v>19</v>
      </c>
      <c r="F1610" t="s">
        <v>24</v>
      </c>
      <c r="G1610">
        <v>9</v>
      </c>
      <c r="H1610">
        <v>4900</v>
      </c>
      <c r="I1610" s="6">
        <v>0.2</v>
      </c>
      <c r="J1610">
        <v>3920</v>
      </c>
    </row>
    <row r="1611" spans="1:10" x14ac:dyDescent="0.25">
      <c r="A1611" t="s">
        <v>1632</v>
      </c>
      <c r="B1611" s="2">
        <v>45451</v>
      </c>
      <c r="C1611" t="s">
        <v>13</v>
      </c>
      <c r="D1611" t="s">
        <v>2038</v>
      </c>
      <c r="E1611" t="s">
        <v>20</v>
      </c>
      <c r="F1611" t="s">
        <v>24</v>
      </c>
      <c r="G1611">
        <v>9</v>
      </c>
      <c r="H1611">
        <v>14300</v>
      </c>
      <c r="I1611" s="6">
        <v>0.25</v>
      </c>
      <c r="J1611">
        <v>10725</v>
      </c>
    </row>
    <row r="1612" spans="1:10" x14ac:dyDescent="0.25">
      <c r="A1612" t="s">
        <v>1633</v>
      </c>
      <c r="B1612" s="2">
        <v>45452</v>
      </c>
      <c r="C1612" t="s">
        <v>14</v>
      </c>
      <c r="D1612" t="s">
        <v>2039</v>
      </c>
      <c r="E1612" t="s">
        <v>21</v>
      </c>
      <c r="F1612" t="s">
        <v>25</v>
      </c>
      <c r="G1612">
        <v>10</v>
      </c>
      <c r="H1612">
        <v>5900</v>
      </c>
      <c r="I1612" s="6">
        <v>0.05</v>
      </c>
      <c r="J1612">
        <v>5605</v>
      </c>
    </row>
    <row r="1613" spans="1:10" x14ac:dyDescent="0.25">
      <c r="A1613" t="s">
        <v>1634</v>
      </c>
      <c r="B1613" s="2">
        <v>45453</v>
      </c>
      <c r="C1613" t="s">
        <v>14</v>
      </c>
      <c r="D1613" t="s">
        <v>2040</v>
      </c>
      <c r="E1613" t="s">
        <v>22</v>
      </c>
      <c r="F1613" t="s">
        <v>25</v>
      </c>
      <c r="G1613">
        <v>9</v>
      </c>
      <c r="H1613">
        <v>9000</v>
      </c>
      <c r="I1613" s="6">
        <v>0.1</v>
      </c>
      <c r="J1613">
        <v>8100</v>
      </c>
    </row>
    <row r="1614" spans="1:10" x14ac:dyDescent="0.25">
      <c r="A1614" t="s">
        <v>1635</v>
      </c>
      <c r="B1614" s="2">
        <v>45454</v>
      </c>
      <c r="C1614" t="s">
        <v>14</v>
      </c>
      <c r="D1614" t="s">
        <v>2041</v>
      </c>
      <c r="E1614" t="s">
        <v>19</v>
      </c>
      <c r="F1614" t="s">
        <v>25</v>
      </c>
      <c r="G1614">
        <v>10</v>
      </c>
      <c r="H1614">
        <v>6400</v>
      </c>
      <c r="I1614" s="6">
        <v>0.15000000000000002</v>
      </c>
      <c r="J1614">
        <v>5440</v>
      </c>
    </row>
    <row r="1615" spans="1:10" x14ac:dyDescent="0.25">
      <c r="A1615" t="s">
        <v>1636</v>
      </c>
      <c r="B1615" s="2">
        <v>45455</v>
      </c>
      <c r="C1615" t="s">
        <v>14</v>
      </c>
      <c r="D1615" t="s">
        <v>2042</v>
      </c>
      <c r="E1615" t="s">
        <v>20</v>
      </c>
      <c r="F1615" t="s">
        <v>25</v>
      </c>
      <c r="G1615">
        <v>7</v>
      </c>
      <c r="H1615">
        <v>14400</v>
      </c>
      <c r="I1615" s="6">
        <v>0.2</v>
      </c>
      <c r="J1615">
        <v>11520</v>
      </c>
    </row>
    <row r="1616" spans="1:10" x14ac:dyDescent="0.25">
      <c r="A1616" t="s">
        <v>1637</v>
      </c>
      <c r="B1616" s="2">
        <v>45456</v>
      </c>
      <c r="C1616" t="s">
        <v>14</v>
      </c>
      <c r="D1616" t="s">
        <v>2043</v>
      </c>
      <c r="E1616" t="s">
        <v>21</v>
      </c>
      <c r="F1616" t="s">
        <v>25</v>
      </c>
      <c r="G1616">
        <v>4</v>
      </c>
      <c r="H1616">
        <v>7200</v>
      </c>
      <c r="I1616" s="6">
        <v>0.25</v>
      </c>
      <c r="J1616">
        <v>5400</v>
      </c>
    </row>
    <row r="1617" spans="1:10" x14ac:dyDescent="0.25">
      <c r="A1617" t="s">
        <v>1638</v>
      </c>
      <c r="B1617" s="2">
        <v>45457</v>
      </c>
      <c r="C1617" t="s">
        <v>14</v>
      </c>
      <c r="D1617" t="s">
        <v>2044</v>
      </c>
      <c r="E1617" t="s">
        <v>22</v>
      </c>
      <c r="F1617" t="s">
        <v>25</v>
      </c>
      <c r="G1617">
        <v>4</v>
      </c>
      <c r="H1617">
        <v>11800</v>
      </c>
      <c r="I1617" s="6">
        <v>0.05</v>
      </c>
      <c r="J1617">
        <v>11210</v>
      </c>
    </row>
    <row r="1618" spans="1:10" x14ac:dyDescent="0.25">
      <c r="A1618" t="s">
        <v>1639</v>
      </c>
      <c r="B1618" s="2">
        <v>45458</v>
      </c>
      <c r="C1618" t="s">
        <v>14</v>
      </c>
      <c r="D1618" t="s">
        <v>2045</v>
      </c>
      <c r="E1618" t="s">
        <v>19</v>
      </c>
      <c r="F1618" t="s">
        <v>25</v>
      </c>
      <c r="G1618">
        <v>6</v>
      </c>
      <c r="H1618">
        <v>14500</v>
      </c>
      <c r="I1618" s="6">
        <v>0.1</v>
      </c>
      <c r="J1618">
        <v>13050</v>
      </c>
    </row>
    <row r="1619" spans="1:10" x14ac:dyDescent="0.25">
      <c r="A1619" t="s">
        <v>1640</v>
      </c>
      <c r="B1619" s="2">
        <v>45459</v>
      </c>
      <c r="C1619" t="s">
        <v>14</v>
      </c>
      <c r="D1619" t="s">
        <v>2046</v>
      </c>
      <c r="E1619" t="s">
        <v>20</v>
      </c>
      <c r="F1619" t="s">
        <v>25</v>
      </c>
      <c r="G1619">
        <v>7</v>
      </c>
      <c r="H1619">
        <v>5600</v>
      </c>
      <c r="I1619" s="6">
        <v>0.15000000000000002</v>
      </c>
      <c r="J1619">
        <v>4760</v>
      </c>
    </row>
    <row r="1620" spans="1:10" x14ac:dyDescent="0.25">
      <c r="A1620" t="s">
        <v>1641</v>
      </c>
      <c r="B1620" s="2">
        <v>45460</v>
      </c>
      <c r="C1620" t="s">
        <v>14</v>
      </c>
      <c r="D1620" t="s">
        <v>2047</v>
      </c>
      <c r="E1620" t="s">
        <v>21</v>
      </c>
      <c r="F1620" t="s">
        <v>25</v>
      </c>
      <c r="G1620">
        <v>7</v>
      </c>
      <c r="H1620">
        <v>13100</v>
      </c>
      <c r="I1620" s="6">
        <v>0.2</v>
      </c>
      <c r="J1620">
        <v>10480</v>
      </c>
    </row>
    <row r="1621" spans="1:10" x14ac:dyDescent="0.25">
      <c r="A1621" t="s">
        <v>1642</v>
      </c>
      <c r="B1621" s="2">
        <v>45461</v>
      </c>
      <c r="C1621" t="s">
        <v>14</v>
      </c>
      <c r="D1621" t="s">
        <v>2048</v>
      </c>
      <c r="E1621" t="s">
        <v>22</v>
      </c>
      <c r="F1621" t="s">
        <v>25</v>
      </c>
      <c r="G1621">
        <v>5</v>
      </c>
      <c r="H1621">
        <v>9400</v>
      </c>
      <c r="I1621" s="6">
        <v>0.25</v>
      </c>
      <c r="J1621">
        <v>7050</v>
      </c>
    </row>
    <row r="1622" spans="1:10" x14ac:dyDescent="0.25">
      <c r="A1622" t="s">
        <v>1643</v>
      </c>
      <c r="B1622" s="2">
        <v>45462</v>
      </c>
      <c r="C1622" t="s">
        <v>12</v>
      </c>
      <c r="D1622" t="s">
        <v>15</v>
      </c>
      <c r="E1622" t="s">
        <v>19</v>
      </c>
      <c r="F1622" t="s">
        <v>23</v>
      </c>
      <c r="G1622">
        <v>9</v>
      </c>
      <c r="H1622">
        <v>7700</v>
      </c>
      <c r="I1622" s="6">
        <v>0.05</v>
      </c>
      <c r="J1622">
        <v>7315</v>
      </c>
    </row>
    <row r="1623" spans="1:10" x14ac:dyDescent="0.25">
      <c r="A1623" t="s">
        <v>1644</v>
      </c>
      <c r="B1623" s="2">
        <v>45463</v>
      </c>
      <c r="C1623" t="s">
        <v>12</v>
      </c>
      <c r="D1623" t="s">
        <v>17</v>
      </c>
      <c r="E1623" t="s">
        <v>20</v>
      </c>
      <c r="F1623" t="s">
        <v>23</v>
      </c>
      <c r="G1623">
        <v>8</v>
      </c>
      <c r="H1623">
        <v>6400</v>
      </c>
      <c r="I1623" s="6">
        <v>0.1</v>
      </c>
      <c r="J1623">
        <v>5760</v>
      </c>
    </row>
    <row r="1624" spans="1:10" x14ac:dyDescent="0.25">
      <c r="A1624" t="s">
        <v>1645</v>
      </c>
      <c r="B1624" s="2">
        <v>45464</v>
      </c>
      <c r="C1624" t="s">
        <v>12</v>
      </c>
      <c r="D1624" t="s">
        <v>2023</v>
      </c>
      <c r="E1624" t="s">
        <v>21</v>
      </c>
      <c r="F1624" t="s">
        <v>23</v>
      </c>
      <c r="G1624">
        <v>7</v>
      </c>
      <c r="H1624">
        <v>10900</v>
      </c>
      <c r="I1624" s="6">
        <v>0.15000000000000002</v>
      </c>
      <c r="J1624">
        <v>9265</v>
      </c>
    </row>
    <row r="1625" spans="1:10" x14ac:dyDescent="0.25">
      <c r="A1625" t="s">
        <v>1646</v>
      </c>
      <c r="B1625" s="2">
        <v>45465</v>
      </c>
      <c r="C1625" t="s">
        <v>12</v>
      </c>
      <c r="D1625" t="s">
        <v>18</v>
      </c>
      <c r="E1625" t="s">
        <v>22</v>
      </c>
      <c r="F1625" t="s">
        <v>23</v>
      </c>
      <c r="G1625">
        <v>3</v>
      </c>
      <c r="H1625">
        <v>9600</v>
      </c>
      <c r="I1625" s="6">
        <v>0.2</v>
      </c>
      <c r="J1625">
        <v>7680</v>
      </c>
    </row>
    <row r="1626" spans="1:10" x14ac:dyDescent="0.25">
      <c r="A1626" t="s">
        <v>1647</v>
      </c>
      <c r="B1626" s="2">
        <v>45466</v>
      </c>
      <c r="C1626" t="s">
        <v>12</v>
      </c>
      <c r="D1626" t="s">
        <v>2024</v>
      </c>
      <c r="E1626" t="s">
        <v>19</v>
      </c>
      <c r="F1626" t="s">
        <v>23</v>
      </c>
      <c r="G1626">
        <v>8</v>
      </c>
      <c r="H1626">
        <v>13300</v>
      </c>
      <c r="I1626" s="6">
        <v>0.25</v>
      </c>
      <c r="J1626">
        <v>9975</v>
      </c>
    </row>
    <row r="1627" spans="1:10" x14ac:dyDescent="0.25">
      <c r="A1627" t="s">
        <v>1648</v>
      </c>
      <c r="B1627" s="2">
        <v>45467</v>
      </c>
      <c r="C1627" t="s">
        <v>12</v>
      </c>
      <c r="D1627" t="s">
        <v>2025</v>
      </c>
      <c r="E1627" t="s">
        <v>20</v>
      </c>
      <c r="F1627" t="s">
        <v>23</v>
      </c>
      <c r="G1627">
        <v>6</v>
      </c>
      <c r="H1627">
        <v>5800</v>
      </c>
      <c r="I1627" s="6">
        <v>0.05</v>
      </c>
      <c r="J1627">
        <v>5510</v>
      </c>
    </row>
    <row r="1628" spans="1:10" x14ac:dyDescent="0.25">
      <c r="A1628" t="s">
        <v>1649</v>
      </c>
      <c r="B1628" s="2">
        <v>45468</v>
      </c>
      <c r="C1628" t="s">
        <v>12</v>
      </c>
      <c r="D1628" t="s">
        <v>2026</v>
      </c>
      <c r="E1628" t="s">
        <v>21</v>
      </c>
      <c r="F1628" t="s">
        <v>23</v>
      </c>
      <c r="G1628">
        <v>10</v>
      </c>
      <c r="H1628">
        <v>13100</v>
      </c>
      <c r="I1628" s="6">
        <v>0.1</v>
      </c>
      <c r="J1628">
        <v>11790</v>
      </c>
    </row>
    <row r="1629" spans="1:10" x14ac:dyDescent="0.25">
      <c r="A1629" t="s">
        <v>1650</v>
      </c>
      <c r="B1629" s="2">
        <v>45469</v>
      </c>
      <c r="C1629" t="s">
        <v>12</v>
      </c>
      <c r="D1629" t="s">
        <v>2027</v>
      </c>
      <c r="E1629" t="s">
        <v>22</v>
      </c>
      <c r="F1629" t="s">
        <v>23</v>
      </c>
      <c r="G1629">
        <v>5</v>
      </c>
      <c r="H1629">
        <v>6700</v>
      </c>
      <c r="I1629" s="6">
        <v>0.15000000000000002</v>
      </c>
      <c r="J1629">
        <v>5695</v>
      </c>
    </row>
    <row r="1630" spans="1:10" x14ac:dyDescent="0.25">
      <c r="A1630" t="s">
        <v>1651</v>
      </c>
      <c r="B1630" s="2">
        <v>45470</v>
      </c>
      <c r="C1630" t="s">
        <v>12</v>
      </c>
      <c r="D1630" t="s">
        <v>2028</v>
      </c>
      <c r="E1630" t="s">
        <v>19</v>
      </c>
      <c r="F1630" t="s">
        <v>23</v>
      </c>
      <c r="G1630">
        <v>8</v>
      </c>
      <c r="H1630">
        <v>8200</v>
      </c>
      <c r="I1630" s="6">
        <v>0.2</v>
      </c>
      <c r="J1630">
        <v>6560</v>
      </c>
    </row>
    <row r="1631" spans="1:10" x14ac:dyDescent="0.25">
      <c r="A1631" t="s">
        <v>1652</v>
      </c>
      <c r="B1631" s="2">
        <v>45471</v>
      </c>
      <c r="C1631" t="s">
        <v>12</v>
      </c>
      <c r="D1631" t="s">
        <v>2029</v>
      </c>
      <c r="E1631" t="s">
        <v>20</v>
      </c>
      <c r="F1631" t="s">
        <v>23</v>
      </c>
      <c r="G1631">
        <v>9</v>
      </c>
      <c r="H1631">
        <v>10700</v>
      </c>
      <c r="I1631" s="6">
        <v>0.25</v>
      </c>
      <c r="J1631">
        <v>8025</v>
      </c>
    </row>
    <row r="1632" spans="1:10" x14ac:dyDescent="0.25">
      <c r="A1632" t="s">
        <v>1653</v>
      </c>
      <c r="B1632" s="2">
        <v>45472</v>
      </c>
      <c r="C1632" t="s">
        <v>13</v>
      </c>
      <c r="D1632" t="s">
        <v>16</v>
      </c>
      <c r="E1632" t="s">
        <v>21</v>
      </c>
      <c r="F1632" t="s">
        <v>24</v>
      </c>
      <c r="G1632">
        <v>3</v>
      </c>
      <c r="H1632">
        <v>6300</v>
      </c>
      <c r="I1632" s="6">
        <v>0.05</v>
      </c>
      <c r="J1632">
        <v>5985</v>
      </c>
    </row>
    <row r="1633" spans="1:10" x14ac:dyDescent="0.25">
      <c r="A1633" t="s">
        <v>1654</v>
      </c>
      <c r="B1633" s="2">
        <v>45473</v>
      </c>
      <c r="C1633" t="s">
        <v>13</v>
      </c>
      <c r="D1633" t="s">
        <v>2030</v>
      </c>
      <c r="E1633" t="s">
        <v>22</v>
      </c>
      <c r="F1633" t="s">
        <v>24</v>
      </c>
      <c r="G1633">
        <v>2</v>
      </c>
      <c r="H1633">
        <v>14600</v>
      </c>
      <c r="I1633" s="6">
        <v>0.1</v>
      </c>
      <c r="J1633">
        <v>13140</v>
      </c>
    </row>
    <row r="1634" spans="1:10" x14ac:dyDescent="0.25">
      <c r="A1634" t="s">
        <v>1655</v>
      </c>
      <c r="B1634" s="2">
        <v>45474</v>
      </c>
      <c r="C1634" t="s">
        <v>13</v>
      </c>
      <c r="D1634" t="s">
        <v>2031</v>
      </c>
      <c r="E1634" t="s">
        <v>19</v>
      </c>
      <c r="F1634" t="s">
        <v>24</v>
      </c>
      <c r="G1634">
        <v>4</v>
      </c>
      <c r="H1634">
        <v>14800</v>
      </c>
      <c r="I1634" s="6">
        <v>0.15000000000000002</v>
      </c>
      <c r="J1634">
        <v>12580</v>
      </c>
    </row>
    <row r="1635" spans="1:10" x14ac:dyDescent="0.25">
      <c r="A1635" t="s">
        <v>1656</v>
      </c>
      <c r="B1635" s="2">
        <v>45475</v>
      </c>
      <c r="C1635" t="s">
        <v>13</v>
      </c>
      <c r="D1635" t="s">
        <v>2032</v>
      </c>
      <c r="E1635" t="s">
        <v>20</v>
      </c>
      <c r="F1635" t="s">
        <v>24</v>
      </c>
      <c r="G1635">
        <v>2</v>
      </c>
      <c r="H1635">
        <v>11700</v>
      </c>
      <c r="I1635" s="6">
        <v>0.2</v>
      </c>
      <c r="J1635">
        <v>9360</v>
      </c>
    </row>
    <row r="1636" spans="1:10" x14ac:dyDescent="0.25">
      <c r="A1636" t="s">
        <v>1657</v>
      </c>
      <c r="B1636" s="2">
        <v>45476</v>
      </c>
      <c r="C1636" t="s">
        <v>13</v>
      </c>
      <c r="D1636" t="s">
        <v>2033</v>
      </c>
      <c r="E1636" t="s">
        <v>21</v>
      </c>
      <c r="F1636" t="s">
        <v>24</v>
      </c>
      <c r="G1636">
        <v>7</v>
      </c>
      <c r="H1636">
        <v>8300</v>
      </c>
      <c r="I1636" s="6">
        <v>0.25</v>
      </c>
      <c r="J1636">
        <v>6225</v>
      </c>
    </row>
    <row r="1637" spans="1:10" x14ac:dyDescent="0.25">
      <c r="A1637" t="s">
        <v>1658</v>
      </c>
      <c r="B1637" s="2">
        <v>45477</v>
      </c>
      <c r="C1637" t="s">
        <v>13</v>
      </c>
      <c r="D1637" t="s">
        <v>2034</v>
      </c>
      <c r="E1637" t="s">
        <v>22</v>
      </c>
      <c r="F1637" t="s">
        <v>24</v>
      </c>
      <c r="G1637">
        <v>9</v>
      </c>
      <c r="H1637">
        <v>7600</v>
      </c>
      <c r="I1637" s="6">
        <v>0.05</v>
      </c>
      <c r="J1637">
        <v>7220</v>
      </c>
    </row>
    <row r="1638" spans="1:10" x14ac:dyDescent="0.25">
      <c r="A1638" t="s">
        <v>1659</v>
      </c>
      <c r="B1638" s="2">
        <v>45478</v>
      </c>
      <c r="C1638" t="s">
        <v>13</v>
      </c>
      <c r="D1638" t="s">
        <v>2035</v>
      </c>
      <c r="E1638" t="s">
        <v>19</v>
      </c>
      <c r="F1638" t="s">
        <v>24</v>
      </c>
      <c r="G1638">
        <v>4</v>
      </c>
      <c r="H1638">
        <v>6200</v>
      </c>
      <c r="I1638" s="6">
        <v>0.1</v>
      </c>
      <c r="J1638">
        <v>5580</v>
      </c>
    </row>
    <row r="1639" spans="1:10" x14ac:dyDescent="0.25">
      <c r="A1639" t="s">
        <v>1660</v>
      </c>
      <c r="B1639" s="2">
        <v>45479</v>
      </c>
      <c r="C1639" t="s">
        <v>13</v>
      </c>
      <c r="D1639" t="s">
        <v>2036</v>
      </c>
      <c r="E1639" t="s">
        <v>20</v>
      </c>
      <c r="F1639" t="s">
        <v>24</v>
      </c>
      <c r="G1639">
        <v>10</v>
      </c>
      <c r="H1639">
        <v>14100</v>
      </c>
      <c r="I1639" s="6">
        <v>0.15000000000000002</v>
      </c>
      <c r="J1639">
        <v>11985</v>
      </c>
    </row>
    <row r="1640" spans="1:10" x14ac:dyDescent="0.25">
      <c r="A1640" t="s">
        <v>1661</v>
      </c>
      <c r="B1640" s="2">
        <v>45480</v>
      </c>
      <c r="C1640" t="s">
        <v>13</v>
      </c>
      <c r="D1640" t="s">
        <v>2037</v>
      </c>
      <c r="E1640" t="s">
        <v>21</v>
      </c>
      <c r="F1640" t="s">
        <v>24</v>
      </c>
      <c r="G1640">
        <v>2</v>
      </c>
      <c r="H1640">
        <v>4100</v>
      </c>
      <c r="I1640" s="6">
        <v>0.2</v>
      </c>
      <c r="J1640">
        <v>3280</v>
      </c>
    </row>
    <row r="1641" spans="1:10" x14ac:dyDescent="0.25">
      <c r="A1641" t="s">
        <v>1662</v>
      </c>
      <c r="B1641" s="2">
        <v>45481</v>
      </c>
      <c r="C1641" t="s">
        <v>13</v>
      </c>
      <c r="D1641" t="s">
        <v>2038</v>
      </c>
      <c r="E1641" t="s">
        <v>22</v>
      </c>
      <c r="F1641" t="s">
        <v>24</v>
      </c>
      <c r="G1641">
        <v>5</v>
      </c>
      <c r="H1641">
        <v>10500</v>
      </c>
      <c r="I1641" s="6">
        <v>0.25</v>
      </c>
      <c r="J1641">
        <v>7875</v>
      </c>
    </row>
    <row r="1642" spans="1:10" x14ac:dyDescent="0.25">
      <c r="A1642" t="s">
        <v>1663</v>
      </c>
      <c r="B1642" s="2">
        <v>45482</v>
      </c>
      <c r="C1642" t="s">
        <v>14</v>
      </c>
      <c r="D1642" t="s">
        <v>2039</v>
      </c>
      <c r="E1642" t="s">
        <v>19</v>
      </c>
      <c r="F1642" t="s">
        <v>25</v>
      </c>
      <c r="G1642">
        <v>3</v>
      </c>
      <c r="H1642">
        <v>9300</v>
      </c>
      <c r="I1642" s="6">
        <v>0.05</v>
      </c>
      <c r="J1642">
        <v>8835</v>
      </c>
    </row>
    <row r="1643" spans="1:10" x14ac:dyDescent="0.25">
      <c r="A1643" t="s">
        <v>1664</v>
      </c>
      <c r="B1643" s="2">
        <v>45483</v>
      </c>
      <c r="C1643" t="s">
        <v>14</v>
      </c>
      <c r="D1643" t="s">
        <v>2040</v>
      </c>
      <c r="E1643" t="s">
        <v>20</v>
      </c>
      <c r="F1643" t="s">
        <v>25</v>
      </c>
      <c r="G1643">
        <v>1</v>
      </c>
      <c r="H1643">
        <v>7400</v>
      </c>
      <c r="I1643" s="6">
        <v>0.1</v>
      </c>
      <c r="J1643">
        <v>6660</v>
      </c>
    </row>
    <row r="1644" spans="1:10" x14ac:dyDescent="0.25">
      <c r="A1644" t="s">
        <v>1665</v>
      </c>
      <c r="B1644" s="2">
        <v>45484</v>
      </c>
      <c r="C1644" t="s">
        <v>14</v>
      </c>
      <c r="D1644" t="s">
        <v>2041</v>
      </c>
      <c r="E1644" t="s">
        <v>21</v>
      </c>
      <c r="F1644" t="s">
        <v>25</v>
      </c>
      <c r="G1644">
        <v>4</v>
      </c>
      <c r="H1644">
        <v>5900</v>
      </c>
      <c r="I1644" s="6">
        <v>0.15000000000000002</v>
      </c>
      <c r="J1644">
        <v>5015</v>
      </c>
    </row>
    <row r="1645" spans="1:10" x14ac:dyDescent="0.25">
      <c r="A1645" t="s">
        <v>1666</v>
      </c>
      <c r="B1645" s="2">
        <v>45485</v>
      </c>
      <c r="C1645" t="s">
        <v>14</v>
      </c>
      <c r="D1645" t="s">
        <v>2042</v>
      </c>
      <c r="E1645" t="s">
        <v>22</v>
      </c>
      <c r="F1645" t="s">
        <v>25</v>
      </c>
      <c r="G1645">
        <v>4</v>
      </c>
      <c r="H1645">
        <v>13900</v>
      </c>
      <c r="I1645" s="6">
        <v>0.2</v>
      </c>
      <c r="J1645">
        <v>11120</v>
      </c>
    </row>
    <row r="1646" spans="1:10" x14ac:dyDescent="0.25">
      <c r="A1646" t="s">
        <v>1667</v>
      </c>
      <c r="B1646" s="2">
        <v>45486</v>
      </c>
      <c r="C1646" t="s">
        <v>14</v>
      </c>
      <c r="D1646" t="s">
        <v>2043</v>
      </c>
      <c r="E1646" t="s">
        <v>19</v>
      </c>
      <c r="F1646" t="s">
        <v>25</v>
      </c>
      <c r="G1646">
        <v>1</v>
      </c>
      <c r="H1646">
        <v>9400</v>
      </c>
      <c r="I1646" s="6">
        <v>0.25</v>
      </c>
      <c r="J1646">
        <v>7050</v>
      </c>
    </row>
    <row r="1647" spans="1:10" x14ac:dyDescent="0.25">
      <c r="A1647" t="s">
        <v>1668</v>
      </c>
      <c r="B1647" s="2">
        <v>45487</v>
      </c>
      <c r="C1647" t="s">
        <v>14</v>
      </c>
      <c r="D1647" t="s">
        <v>2044</v>
      </c>
      <c r="E1647" t="s">
        <v>20</v>
      </c>
      <c r="F1647" t="s">
        <v>25</v>
      </c>
      <c r="G1647">
        <v>7</v>
      </c>
      <c r="H1647">
        <v>8100</v>
      </c>
      <c r="I1647" s="6">
        <v>0.05</v>
      </c>
      <c r="J1647">
        <v>7695</v>
      </c>
    </row>
    <row r="1648" spans="1:10" x14ac:dyDescent="0.25">
      <c r="A1648" t="s">
        <v>1669</v>
      </c>
      <c r="B1648" s="2">
        <v>45488</v>
      </c>
      <c r="C1648" t="s">
        <v>14</v>
      </c>
      <c r="D1648" t="s">
        <v>2045</v>
      </c>
      <c r="E1648" t="s">
        <v>21</v>
      </c>
      <c r="F1648" t="s">
        <v>25</v>
      </c>
      <c r="G1648">
        <v>8</v>
      </c>
      <c r="H1648">
        <v>10200</v>
      </c>
      <c r="I1648" s="6">
        <v>0.1</v>
      </c>
      <c r="J1648">
        <v>9180</v>
      </c>
    </row>
    <row r="1649" spans="1:10" x14ac:dyDescent="0.25">
      <c r="A1649" t="s">
        <v>1670</v>
      </c>
      <c r="B1649" s="2">
        <v>45489</v>
      </c>
      <c r="C1649" t="s">
        <v>14</v>
      </c>
      <c r="D1649" t="s">
        <v>2046</v>
      </c>
      <c r="E1649" t="s">
        <v>22</v>
      </c>
      <c r="F1649" t="s">
        <v>25</v>
      </c>
      <c r="G1649">
        <v>3</v>
      </c>
      <c r="H1649">
        <v>12700</v>
      </c>
      <c r="I1649" s="6">
        <v>0.15000000000000002</v>
      </c>
      <c r="J1649">
        <v>10795</v>
      </c>
    </row>
    <row r="1650" spans="1:10" x14ac:dyDescent="0.25">
      <c r="A1650" t="s">
        <v>1671</v>
      </c>
      <c r="B1650" s="2">
        <v>45490</v>
      </c>
      <c r="C1650" t="s">
        <v>14</v>
      </c>
      <c r="D1650" t="s">
        <v>2047</v>
      </c>
      <c r="E1650" t="s">
        <v>19</v>
      </c>
      <c r="F1650" t="s">
        <v>25</v>
      </c>
      <c r="G1650">
        <v>5</v>
      </c>
      <c r="H1650">
        <v>9900</v>
      </c>
      <c r="I1650" s="6">
        <v>0.2</v>
      </c>
      <c r="J1650">
        <v>7920</v>
      </c>
    </row>
    <row r="1651" spans="1:10" x14ac:dyDescent="0.25">
      <c r="A1651" t="s">
        <v>1672</v>
      </c>
      <c r="B1651" s="2">
        <v>45491</v>
      </c>
      <c r="C1651" t="s">
        <v>14</v>
      </c>
      <c r="D1651" t="s">
        <v>2048</v>
      </c>
      <c r="E1651" t="s">
        <v>20</v>
      </c>
      <c r="F1651" t="s">
        <v>25</v>
      </c>
      <c r="G1651">
        <v>10</v>
      </c>
      <c r="H1651">
        <v>9800</v>
      </c>
      <c r="I1651" s="6">
        <v>0.25</v>
      </c>
      <c r="J1651">
        <v>7350</v>
      </c>
    </row>
    <row r="1652" spans="1:10" x14ac:dyDescent="0.25">
      <c r="A1652" t="s">
        <v>1673</v>
      </c>
      <c r="B1652" s="2">
        <v>45492</v>
      </c>
      <c r="C1652" t="s">
        <v>12</v>
      </c>
      <c r="D1652" t="s">
        <v>15</v>
      </c>
      <c r="E1652" t="s">
        <v>21</v>
      </c>
      <c r="F1652" t="s">
        <v>23</v>
      </c>
      <c r="G1652">
        <v>8</v>
      </c>
      <c r="H1652">
        <v>6900</v>
      </c>
      <c r="I1652" s="6">
        <v>0.05</v>
      </c>
      <c r="J1652">
        <v>6555</v>
      </c>
    </row>
    <row r="1653" spans="1:10" x14ac:dyDescent="0.25">
      <c r="A1653" t="s">
        <v>1674</v>
      </c>
      <c r="B1653" s="2">
        <v>45493</v>
      </c>
      <c r="C1653" t="s">
        <v>12</v>
      </c>
      <c r="D1653" t="s">
        <v>17</v>
      </c>
      <c r="E1653" t="s">
        <v>22</v>
      </c>
      <c r="F1653" t="s">
        <v>23</v>
      </c>
      <c r="G1653">
        <v>6</v>
      </c>
      <c r="H1653">
        <v>4700</v>
      </c>
      <c r="I1653" s="6">
        <v>0.1</v>
      </c>
      <c r="J1653">
        <v>4230</v>
      </c>
    </row>
    <row r="1654" spans="1:10" x14ac:dyDescent="0.25">
      <c r="A1654" t="s">
        <v>1675</v>
      </c>
      <c r="B1654" s="2">
        <v>45494</v>
      </c>
      <c r="C1654" t="s">
        <v>12</v>
      </c>
      <c r="D1654" t="s">
        <v>2023</v>
      </c>
      <c r="E1654" t="s">
        <v>19</v>
      </c>
      <c r="F1654" t="s">
        <v>23</v>
      </c>
      <c r="G1654">
        <v>2</v>
      </c>
      <c r="H1654">
        <v>7400</v>
      </c>
      <c r="I1654" s="6">
        <v>0.15000000000000002</v>
      </c>
      <c r="J1654">
        <v>6290</v>
      </c>
    </row>
    <row r="1655" spans="1:10" x14ac:dyDescent="0.25">
      <c r="A1655" t="s">
        <v>1676</v>
      </c>
      <c r="B1655" s="2">
        <v>45495</v>
      </c>
      <c r="C1655" t="s">
        <v>12</v>
      </c>
      <c r="D1655" t="s">
        <v>18</v>
      </c>
      <c r="E1655" t="s">
        <v>20</v>
      </c>
      <c r="F1655" t="s">
        <v>23</v>
      </c>
      <c r="G1655">
        <v>8</v>
      </c>
      <c r="H1655">
        <v>11700</v>
      </c>
      <c r="I1655" s="6">
        <v>0.2</v>
      </c>
      <c r="J1655">
        <v>9360</v>
      </c>
    </row>
    <row r="1656" spans="1:10" x14ac:dyDescent="0.25">
      <c r="A1656" t="s">
        <v>1677</v>
      </c>
      <c r="B1656" s="2">
        <v>45496</v>
      </c>
      <c r="C1656" t="s">
        <v>12</v>
      </c>
      <c r="D1656" t="s">
        <v>2024</v>
      </c>
      <c r="E1656" t="s">
        <v>21</v>
      </c>
      <c r="F1656" t="s">
        <v>23</v>
      </c>
      <c r="G1656">
        <v>10</v>
      </c>
      <c r="H1656">
        <v>14000</v>
      </c>
      <c r="I1656" s="6">
        <v>0.25</v>
      </c>
      <c r="J1656">
        <v>10500</v>
      </c>
    </row>
    <row r="1657" spans="1:10" x14ac:dyDescent="0.25">
      <c r="A1657" t="s">
        <v>1678</v>
      </c>
      <c r="B1657" s="2">
        <v>45497</v>
      </c>
      <c r="C1657" t="s">
        <v>12</v>
      </c>
      <c r="D1657" t="s">
        <v>2025</v>
      </c>
      <c r="E1657" t="s">
        <v>22</v>
      </c>
      <c r="F1657" t="s">
        <v>23</v>
      </c>
      <c r="G1657">
        <v>10</v>
      </c>
      <c r="H1657">
        <v>7200</v>
      </c>
      <c r="I1657" s="6">
        <v>0.05</v>
      </c>
      <c r="J1657">
        <v>6840</v>
      </c>
    </row>
    <row r="1658" spans="1:10" x14ac:dyDescent="0.25">
      <c r="A1658" t="s">
        <v>1679</v>
      </c>
      <c r="B1658" s="2">
        <v>45498</v>
      </c>
      <c r="C1658" t="s">
        <v>12</v>
      </c>
      <c r="D1658" t="s">
        <v>2026</v>
      </c>
      <c r="E1658" t="s">
        <v>19</v>
      </c>
      <c r="F1658" t="s">
        <v>23</v>
      </c>
      <c r="G1658">
        <v>7</v>
      </c>
      <c r="H1658">
        <v>7600</v>
      </c>
      <c r="I1658" s="6">
        <v>0.1</v>
      </c>
      <c r="J1658">
        <v>6840</v>
      </c>
    </row>
    <row r="1659" spans="1:10" x14ac:dyDescent="0.25">
      <c r="A1659" t="s">
        <v>1680</v>
      </c>
      <c r="B1659" s="2">
        <v>45499</v>
      </c>
      <c r="C1659" t="s">
        <v>12</v>
      </c>
      <c r="D1659" t="s">
        <v>2027</v>
      </c>
      <c r="E1659" t="s">
        <v>20</v>
      </c>
      <c r="F1659" t="s">
        <v>23</v>
      </c>
      <c r="G1659">
        <v>9</v>
      </c>
      <c r="H1659">
        <v>5500</v>
      </c>
      <c r="I1659" s="6">
        <v>0.15000000000000002</v>
      </c>
      <c r="J1659">
        <v>4675</v>
      </c>
    </row>
    <row r="1660" spans="1:10" x14ac:dyDescent="0.25">
      <c r="A1660" t="s">
        <v>1681</v>
      </c>
      <c r="B1660" s="2">
        <v>45500</v>
      </c>
      <c r="C1660" t="s">
        <v>12</v>
      </c>
      <c r="D1660" t="s">
        <v>2028</v>
      </c>
      <c r="E1660" t="s">
        <v>21</v>
      </c>
      <c r="F1660" t="s">
        <v>23</v>
      </c>
      <c r="G1660">
        <v>2</v>
      </c>
      <c r="H1660">
        <v>14100</v>
      </c>
      <c r="I1660" s="6">
        <v>0.2</v>
      </c>
      <c r="J1660">
        <v>11280</v>
      </c>
    </row>
    <row r="1661" spans="1:10" x14ac:dyDescent="0.25">
      <c r="A1661" t="s">
        <v>1682</v>
      </c>
      <c r="B1661" s="2">
        <v>45501</v>
      </c>
      <c r="C1661" t="s">
        <v>12</v>
      </c>
      <c r="D1661" t="s">
        <v>2029</v>
      </c>
      <c r="E1661" t="s">
        <v>22</v>
      </c>
      <c r="F1661" t="s">
        <v>23</v>
      </c>
      <c r="G1661">
        <v>10</v>
      </c>
      <c r="H1661">
        <v>13800</v>
      </c>
      <c r="I1661" s="6">
        <v>0.25</v>
      </c>
      <c r="J1661">
        <v>10350</v>
      </c>
    </row>
    <row r="1662" spans="1:10" x14ac:dyDescent="0.25">
      <c r="A1662" t="s">
        <v>1683</v>
      </c>
      <c r="B1662" s="2">
        <v>45502</v>
      </c>
      <c r="C1662" t="s">
        <v>13</v>
      </c>
      <c r="D1662" t="s">
        <v>16</v>
      </c>
      <c r="E1662" t="s">
        <v>19</v>
      </c>
      <c r="F1662" t="s">
        <v>24</v>
      </c>
      <c r="G1662">
        <v>8</v>
      </c>
      <c r="H1662">
        <v>5300</v>
      </c>
      <c r="I1662" s="6">
        <v>0.05</v>
      </c>
      <c r="J1662">
        <v>5035</v>
      </c>
    </row>
    <row r="1663" spans="1:10" x14ac:dyDescent="0.25">
      <c r="A1663" t="s">
        <v>1684</v>
      </c>
      <c r="B1663" s="2">
        <v>45503</v>
      </c>
      <c r="C1663" t="s">
        <v>13</v>
      </c>
      <c r="D1663" t="s">
        <v>2030</v>
      </c>
      <c r="E1663" t="s">
        <v>20</v>
      </c>
      <c r="F1663" t="s">
        <v>24</v>
      </c>
      <c r="G1663">
        <v>1</v>
      </c>
      <c r="H1663">
        <v>12400</v>
      </c>
      <c r="I1663" s="6">
        <v>0.1</v>
      </c>
      <c r="J1663">
        <v>11160</v>
      </c>
    </row>
    <row r="1664" spans="1:10" x14ac:dyDescent="0.25">
      <c r="A1664" t="s">
        <v>1685</v>
      </c>
      <c r="B1664" s="2">
        <v>45504</v>
      </c>
      <c r="C1664" t="s">
        <v>13</v>
      </c>
      <c r="D1664" t="s">
        <v>2031</v>
      </c>
      <c r="E1664" t="s">
        <v>21</v>
      </c>
      <c r="F1664" t="s">
        <v>24</v>
      </c>
      <c r="G1664">
        <v>4</v>
      </c>
      <c r="H1664">
        <v>11100</v>
      </c>
      <c r="I1664" s="6">
        <v>0.15000000000000002</v>
      </c>
      <c r="J1664">
        <v>9435</v>
      </c>
    </row>
    <row r="1665" spans="1:10" x14ac:dyDescent="0.25">
      <c r="A1665" t="s">
        <v>1686</v>
      </c>
      <c r="B1665" s="2">
        <v>45505</v>
      </c>
      <c r="C1665" t="s">
        <v>13</v>
      </c>
      <c r="D1665" t="s">
        <v>2032</v>
      </c>
      <c r="E1665" t="s">
        <v>22</v>
      </c>
      <c r="F1665" t="s">
        <v>24</v>
      </c>
      <c r="G1665">
        <v>8</v>
      </c>
      <c r="H1665">
        <v>10100</v>
      </c>
      <c r="I1665" s="6">
        <v>0.2</v>
      </c>
      <c r="J1665">
        <v>8080</v>
      </c>
    </row>
    <row r="1666" spans="1:10" x14ac:dyDescent="0.25">
      <c r="A1666" t="s">
        <v>1687</v>
      </c>
      <c r="B1666" s="2">
        <v>45506</v>
      </c>
      <c r="C1666" t="s">
        <v>13</v>
      </c>
      <c r="D1666" t="s">
        <v>2033</v>
      </c>
      <c r="E1666" t="s">
        <v>19</v>
      </c>
      <c r="F1666" t="s">
        <v>24</v>
      </c>
      <c r="G1666">
        <v>5</v>
      </c>
      <c r="H1666">
        <v>7900</v>
      </c>
      <c r="I1666" s="6">
        <v>0.25</v>
      </c>
      <c r="J1666">
        <v>5925</v>
      </c>
    </row>
    <row r="1667" spans="1:10" x14ac:dyDescent="0.25">
      <c r="A1667" t="s">
        <v>1688</v>
      </c>
      <c r="B1667" s="2">
        <v>45507</v>
      </c>
      <c r="C1667" t="s">
        <v>13</v>
      </c>
      <c r="D1667" t="s">
        <v>2034</v>
      </c>
      <c r="E1667" t="s">
        <v>20</v>
      </c>
      <c r="F1667" t="s">
        <v>24</v>
      </c>
      <c r="G1667">
        <v>5</v>
      </c>
      <c r="H1667">
        <v>10300</v>
      </c>
      <c r="I1667" s="6">
        <v>0.05</v>
      </c>
      <c r="J1667">
        <v>9785</v>
      </c>
    </row>
    <row r="1668" spans="1:10" x14ac:dyDescent="0.25">
      <c r="A1668" t="s">
        <v>1689</v>
      </c>
      <c r="B1668" s="2">
        <v>45508</v>
      </c>
      <c r="C1668" t="s">
        <v>13</v>
      </c>
      <c r="D1668" t="s">
        <v>2035</v>
      </c>
      <c r="E1668" t="s">
        <v>21</v>
      </c>
      <c r="F1668" t="s">
        <v>24</v>
      </c>
      <c r="G1668">
        <v>1</v>
      </c>
      <c r="H1668">
        <v>11100</v>
      </c>
      <c r="I1668" s="6">
        <v>0.1</v>
      </c>
      <c r="J1668">
        <v>9990</v>
      </c>
    </row>
    <row r="1669" spans="1:10" x14ac:dyDescent="0.25">
      <c r="A1669" t="s">
        <v>1690</v>
      </c>
      <c r="B1669" s="2">
        <v>45509</v>
      </c>
      <c r="C1669" t="s">
        <v>13</v>
      </c>
      <c r="D1669" t="s">
        <v>2036</v>
      </c>
      <c r="E1669" t="s">
        <v>22</v>
      </c>
      <c r="F1669" t="s">
        <v>24</v>
      </c>
      <c r="G1669">
        <v>7</v>
      </c>
      <c r="H1669">
        <v>4500</v>
      </c>
      <c r="I1669" s="6">
        <v>0.15000000000000002</v>
      </c>
      <c r="J1669">
        <v>3825</v>
      </c>
    </row>
    <row r="1670" spans="1:10" x14ac:dyDescent="0.25">
      <c r="A1670" t="s">
        <v>1691</v>
      </c>
      <c r="B1670" s="2">
        <v>45510</v>
      </c>
      <c r="C1670" t="s">
        <v>13</v>
      </c>
      <c r="D1670" t="s">
        <v>2037</v>
      </c>
      <c r="E1670" t="s">
        <v>19</v>
      </c>
      <c r="F1670" t="s">
        <v>24</v>
      </c>
      <c r="G1670">
        <v>5</v>
      </c>
      <c r="H1670">
        <v>11900</v>
      </c>
      <c r="I1670" s="6">
        <v>0.2</v>
      </c>
      <c r="J1670">
        <v>9520</v>
      </c>
    </row>
    <row r="1671" spans="1:10" x14ac:dyDescent="0.25">
      <c r="A1671" t="s">
        <v>1692</v>
      </c>
      <c r="B1671" s="2">
        <v>45511</v>
      </c>
      <c r="C1671" t="s">
        <v>13</v>
      </c>
      <c r="D1671" t="s">
        <v>2038</v>
      </c>
      <c r="E1671" t="s">
        <v>20</v>
      </c>
      <c r="F1671" t="s">
        <v>24</v>
      </c>
      <c r="G1671">
        <v>4</v>
      </c>
      <c r="H1671">
        <v>7600</v>
      </c>
      <c r="I1671" s="6">
        <v>0.25</v>
      </c>
      <c r="J1671">
        <v>5700</v>
      </c>
    </row>
    <row r="1672" spans="1:10" x14ac:dyDescent="0.25">
      <c r="A1672" t="s">
        <v>1693</v>
      </c>
      <c r="B1672" s="2">
        <v>45512</v>
      </c>
      <c r="C1672" t="s">
        <v>14</v>
      </c>
      <c r="D1672" t="s">
        <v>2039</v>
      </c>
      <c r="E1672" t="s">
        <v>21</v>
      </c>
      <c r="F1672" t="s">
        <v>25</v>
      </c>
      <c r="G1672">
        <v>1</v>
      </c>
      <c r="H1672">
        <v>4400</v>
      </c>
      <c r="I1672" s="6">
        <v>0.05</v>
      </c>
      <c r="J1672">
        <v>4180</v>
      </c>
    </row>
    <row r="1673" spans="1:10" x14ac:dyDescent="0.25">
      <c r="A1673" t="s">
        <v>1694</v>
      </c>
      <c r="B1673" s="2">
        <v>45513</v>
      </c>
      <c r="C1673" t="s">
        <v>14</v>
      </c>
      <c r="D1673" t="s">
        <v>2040</v>
      </c>
      <c r="E1673" t="s">
        <v>22</v>
      </c>
      <c r="F1673" t="s">
        <v>25</v>
      </c>
      <c r="G1673">
        <v>8</v>
      </c>
      <c r="H1673">
        <v>11800</v>
      </c>
      <c r="I1673" s="6">
        <v>0.1</v>
      </c>
      <c r="J1673">
        <v>10620</v>
      </c>
    </row>
    <row r="1674" spans="1:10" x14ac:dyDescent="0.25">
      <c r="A1674" t="s">
        <v>1695</v>
      </c>
      <c r="B1674" s="2">
        <v>45514</v>
      </c>
      <c r="C1674" t="s">
        <v>14</v>
      </c>
      <c r="D1674" t="s">
        <v>2041</v>
      </c>
      <c r="E1674" t="s">
        <v>19</v>
      </c>
      <c r="F1674" t="s">
        <v>25</v>
      </c>
      <c r="G1674">
        <v>9</v>
      </c>
      <c r="H1674">
        <v>10700</v>
      </c>
      <c r="I1674" s="6">
        <v>0.15000000000000002</v>
      </c>
      <c r="J1674">
        <v>9095</v>
      </c>
    </row>
    <row r="1675" spans="1:10" x14ac:dyDescent="0.25">
      <c r="A1675" t="s">
        <v>1696</v>
      </c>
      <c r="B1675" s="2">
        <v>45515</v>
      </c>
      <c r="C1675" t="s">
        <v>14</v>
      </c>
      <c r="D1675" t="s">
        <v>2042</v>
      </c>
      <c r="E1675" t="s">
        <v>20</v>
      </c>
      <c r="F1675" t="s">
        <v>25</v>
      </c>
      <c r="G1675">
        <v>2</v>
      </c>
      <c r="H1675">
        <v>12800</v>
      </c>
      <c r="I1675" s="6">
        <v>0.2</v>
      </c>
      <c r="J1675">
        <v>10240</v>
      </c>
    </row>
    <row r="1676" spans="1:10" x14ac:dyDescent="0.25">
      <c r="A1676" t="s">
        <v>1697</v>
      </c>
      <c r="B1676" s="2">
        <v>45516</v>
      </c>
      <c r="C1676" t="s">
        <v>14</v>
      </c>
      <c r="D1676" t="s">
        <v>2043</v>
      </c>
      <c r="E1676" t="s">
        <v>21</v>
      </c>
      <c r="F1676" t="s">
        <v>25</v>
      </c>
      <c r="G1676">
        <v>5</v>
      </c>
      <c r="H1676">
        <v>9400</v>
      </c>
      <c r="I1676" s="6">
        <v>0.25</v>
      </c>
      <c r="J1676">
        <v>7050</v>
      </c>
    </row>
    <row r="1677" spans="1:10" x14ac:dyDescent="0.25">
      <c r="A1677" t="s">
        <v>1698</v>
      </c>
      <c r="B1677" s="2">
        <v>45517</v>
      </c>
      <c r="C1677" t="s">
        <v>14</v>
      </c>
      <c r="D1677" t="s">
        <v>2044</v>
      </c>
      <c r="E1677" t="s">
        <v>22</v>
      </c>
      <c r="F1677" t="s">
        <v>25</v>
      </c>
      <c r="G1677">
        <v>2</v>
      </c>
      <c r="H1677">
        <v>8300</v>
      </c>
      <c r="I1677" s="6">
        <v>0.05</v>
      </c>
      <c r="J1677">
        <v>7885</v>
      </c>
    </row>
    <row r="1678" spans="1:10" x14ac:dyDescent="0.25">
      <c r="A1678" t="s">
        <v>1699</v>
      </c>
      <c r="B1678" s="2">
        <v>45518</v>
      </c>
      <c r="C1678" t="s">
        <v>14</v>
      </c>
      <c r="D1678" t="s">
        <v>2045</v>
      </c>
      <c r="E1678" t="s">
        <v>19</v>
      </c>
      <c r="F1678" t="s">
        <v>25</v>
      </c>
      <c r="G1678">
        <v>9</v>
      </c>
      <c r="H1678">
        <v>5400</v>
      </c>
      <c r="I1678" s="6">
        <v>0.1</v>
      </c>
      <c r="J1678">
        <v>4860</v>
      </c>
    </row>
    <row r="1679" spans="1:10" x14ac:dyDescent="0.25">
      <c r="A1679" t="s">
        <v>1700</v>
      </c>
      <c r="B1679" s="2">
        <v>45519</v>
      </c>
      <c r="C1679" t="s">
        <v>14</v>
      </c>
      <c r="D1679" t="s">
        <v>2046</v>
      </c>
      <c r="E1679" t="s">
        <v>20</v>
      </c>
      <c r="F1679" t="s">
        <v>25</v>
      </c>
      <c r="G1679">
        <v>8</v>
      </c>
      <c r="H1679">
        <v>5800</v>
      </c>
      <c r="I1679" s="6">
        <v>0.15000000000000002</v>
      </c>
      <c r="J1679">
        <v>4930</v>
      </c>
    </row>
    <row r="1680" spans="1:10" x14ac:dyDescent="0.25">
      <c r="A1680" t="s">
        <v>1701</v>
      </c>
      <c r="B1680" s="2">
        <v>45520</v>
      </c>
      <c r="C1680" t="s">
        <v>14</v>
      </c>
      <c r="D1680" t="s">
        <v>2047</v>
      </c>
      <c r="E1680" t="s">
        <v>21</v>
      </c>
      <c r="F1680" t="s">
        <v>25</v>
      </c>
      <c r="G1680">
        <v>10</v>
      </c>
      <c r="H1680">
        <v>9800</v>
      </c>
      <c r="I1680" s="6">
        <v>0.2</v>
      </c>
      <c r="J1680">
        <v>7840</v>
      </c>
    </row>
    <row r="1681" spans="1:10" x14ac:dyDescent="0.25">
      <c r="A1681" t="s">
        <v>1702</v>
      </c>
      <c r="B1681" s="2">
        <v>45521</v>
      </c>
      <c r="C1681" t="s">
        <v>14</v>
      </c>
      <c r="D1681" t="s">
        <v>2048</v>
      </c>
      <c r="E1681" t="s">
        <v>22</v>
      </c>
      <c r="F1681" t="s">
        <v>25</v>
      </c>
      <c r="G1681">
        <v>1</v>
      </c>
      <c r="H1681">
        <v>9800</v>
      </c>
      <c r="I1681" s="6">
        <v>0.25</v>
      </c>
      <c r="J1681">
        <v>7350</v>
      </c>
    </row>
    <row r="1682" spans="1:10" x14ac:dyDescent="0.25">
      <c r="A1682" t="s">
        <v>1703</v>
      </c>
      <c r="B1682" s="2">
        <v>45522</v>
      </c>
      <c r="C1682" t="s">
        <v>12</v>
      </c>
      <c r="D1682" t="s">
        <v>15</v>
      </c>
      <c r="E1682" t="s">
        <v>19</v>
      </c>
      <c r="F1682" t="s">
        <v>23</v>
      </c>
      <c r="G1682">
        <v>10</v>
      </c>
      <c r="H1682">
        <v>9500</v>
      </c>
      <c r="I1682" s="6">
        <v>0.05</v>
      </c>
      <c r="J1682">
        <v>9025</v>
      </c>
    </row>
    <row r="1683" spans="1:10" x14ac:dyDescent="0.25">
      <c r="A1683" t="s">
        <v>1704</v>
      </c>
      <c r="B1683" s="2">
        <v>45523</v>
      </c>
      <c r="C1683" t="s">
        <v>12</v>
      </c>
      <c r="D1683" t="s">
        <v>17</v>
      </c>
      <c r="E1683" t="s">
        <v>20</v>
      </c>
      <c r="F1683" t="s">
        <v>23</v>
      </c>
      <c r="G1683">
        <v>4</v>
      </c>
      <c r="H1683">
        <v>7400</v>
      </c>
      <c r="I1683" s="6">
        <v>0.1</v>
      </c>
      <c r="J1683">
        <v>6660</v>
      </c>
    </row>
    <row r="1684" spans="1:10" x14ac:dyDescent="0.25">
      <c r="A1684" t="s">
        <v>1705</v>
      </c>
      <c r="B1684" s="2">
        <v>45524</v>
      </c>
      <c r="C1684" t="s">
        <v>12</v>
      </c>
      <c r="D1684" t="s">
        <v>2023</v>
      </c>
      <c r="E1684" t="s">
        <v>21</v>
      </c>
      <c r="F1684" t="s">
        <v>23</v>
      </c>
      <c r="G1684">
        <v>10</v>
      </c>
      <c r="H1684">
        <v>14000</v>
      </c>
      <c r="I1684" s="6">
        <v>0.15000000000000002</v>
      </c>
      <c r="J1684">
        <v>11900</v>
      </c>
    </row>
    <row r="1685" spans="1:10" x14ac:dyDescent="0.25">
      <c r="A1685" t="s">
        <v>1706</v>
      </c>
      <c r="B1685" s="2">
        <v>45525</v>
      </c>
      <c r="C1685" t="s">
        <v>12</v>
      </c>
      <c r="D1685" t="s">
        <v>18</v>
      </c>
      <c r="E1685" t="s">
        <v>22</v>
      </c>
      <c r="F1685" t="s">
        <v>23</v>
      </c>
      <c r="G1685">
        <v>2</v>
      </c>
      <c r="H1685">
        <v>14000</v>
      </c>
      <c r="I1685" s="6">
        <v>0.2</v>
      </c>
      <c r="J1685">
        <v>11200</v>
      </c>
    </row>
    <row r="1686" spans="1:10" x14ac:dyDescent="0.25">
      <c r="A1686" t="s">
        <v>1707</v>
      </c>
      <c r="B1686" s="2">
        <v>45526</v>
      </c>
      <c r="C1686" t="s">
        <v>12</v>
      </c>
      <c r="D1686" t="s">
        <v>2024</v>
      </c>
      <c r="E1686" t="s">
        <v>19</v>
      </c>
      <c r="F1686" t="s">
        <v>23</v>
      </c>
      <c r="G1686">
        <v>2</v>
      </c>
      <c r="H1686">
        <v>12000</v>
      </c>
      <c r="I1686" s="6">
        <v>0.25</v>
      </c>
      <c r="J1686">
        <v>9000</v>
      </c>
    </row>
    <row r="1687" spans="1:10" x14ac:dyDescent="0.25">
      <c r="A1687" t="s">
        <v>1708</v>
      </c>
      <c r="B1687" s="2">
        <v>45527</v>
      </c>
      <c r="C1687" t="s">
        <v>12</v>
      </c>
      <c r="D1687" t="s">
        <v>2025</v>
      </c>
      <c r="E1687" t="s">
        <v>20</v>
      </c>
      <c r="F1687" t="s">
        <v>23</v>
      </c>
      <c r="G1687">
        <v>8</v>
      </c>
      <c r="H1687">
        <v>4500</v>
      </c>
      <c r="I1687" s="6">
        <v>0.05</v>
      </c>
      <c r="J1687">
        <v>4275</v>
      </c>
    </row>
    <row r="1688" spans="1:10" x14ac:dyDescent="0.25">
      <c r="A1688" t="s">
        <v>1709</v>
      </c>
      <c r="B1688" s="2">
        <v>45528</v>
      </c>
      <c r="C1688" t="s">
        <v>12</v>
      </c>
      <c r="D1688" t="s">
        <v>2026</v>
      </c>
      <c r="E1688" t="s">
        <v>21</v>
      </c>
      <c r="F1688" t="s">
        <v>23</v>
      </c>
      <c r="G1688">
        <v>3</v>
      </c>
      <c r="H1688">
        <v>8600</v>
      </c>
      <c r="I1688" s="6">
        <v>0.1</v>
      </c>
      <c r="J1688">
        <v>7740</v>
      </c>
    </row>
    <row r="1689" spans="1:10" x14ac:dyDescent="0.25">
      <c r="A1689" t="s">
        <v>1710</v>
      </c>
      <c r="B1689" s="2">
        <v>45529</v>
      </c>
      <c r="C1689" t="s">
        <v>12</v>
      </c>
      <c r="D1689" t="s">
        <v>2027</v>
      </c>
      <c r="E1689" t="s">
        <v>22</v>
      </c>
      <c r="F1689" t="s">
        <v>23</v>
      </c>
      <c r="G1689">
        <v>7</v>
      </c>
      <c r="H1689">
        <v>8900</v>
      </c>
      <c r="I1689" s="6">
        <v>0.15000000000000002</v>
      </c>
      <c r="J1689">
        <v>7565</v>
      </c>
    </row>
    <row r="1690" spans="1:10" x14ac:dyDescent="0.25">
      <c r="A1690" t="s">
        <v>1711</v>
      </c>
      <c r="B1690" s="2">
        <v>45530</v>
      </c>
      <c r="C1690" t="s">
        <v>12</v>
      </c>
      <c r="D1690" t="s">
        <v>2028</v>
      </c>
      <c r="E1690" t="s">
        <v>19</v>
      </c>
      <c r="F1690" t="s">
        <v>23</v>
      </c>
      <c r="G1690">
        <v>10</v>
      </c>
      <c r="H1690">
        <v>10700</v>
      </c>
      <c r="I1690" s="6">
        <v>0.2</v>
      </c>
      <c r="J1690">
        <v>8560</v>
      </c>
    </row>
    <row r="1691" spans="1:10" x14ac:dyDescent="0.25">
      <c r="A1691" t="s">
        <v>1712</v>
      </c>
      <c r="B1691" s="2">
        <v>45531</v>
      </c>
      <c r="C1691" t="s">
        <v>12</v>
      </c>
      <c r="D1691" t="s">
        <v>2029</v>
      </c>
      <c r="E1691" t="s">
        <v>20</v>
      </c>
      <c r="F1691" t="s">
        <v>23</v>
      </c>
      <c r="G1691">
        <v>5</v>
      </c>
      <c r="H1691">
        <v>11400</v>
      </c>
      <c r="I1691" s="6">
        <v>0.25</v>
      </c>
      <c r="J1691">
        <v>8550</v>
      </c>
    </row>
    <row r="1692" spans="1:10" x14ac:dyDescent="0.25">
      <c r="A1692" t="s">
        <v>1713</v>
      </c>
      <c r="B1692" s="2">
        <v>45532</v>
      </c>
      <c r="C1692" t="s">
        <v>13</v>
      </c>
      <c r="D1692" t="s">
        <v>16</v>
      </c>
      <c r="E1692" t="s">
        <v>21</v>
      </c>
      <c r="F1692" t="s">
        <v>24</v>
      </c>
      <c r="G1692">
        <v>2</v>
      </c>
      <c r="H1692">
        <v>13900</v>
      </c>
      <c r="I1692" s="6">
        <v>0.05</v>
      </c>
      <c r="J1692">
        <v>13205</v>
      </c>
    </row>
    <row r="1693" spans="1:10" x14ac:dyDescent="0.25">
      <c r="A1693" t="s">
        <v>1714</v>
      </c>
      <c r="B1693" s="2">
        <v>45533</v>
      </c>
      <c r="C1693" t="s">
        <v>13</v>
      </c>
      <c r="D1693" t="s">
        <v>2030</v>
      </c>
      <c r="E1693" t="s">
        <v>22</v>
      </c>
      <c r="F1693" t="s">
        <v>24</v>
      </c>
      <c r="G1693">
        <v>7</v>
      </c>
      <c r="H1693">
        <v>5900</v>
      </c>
      <c r="I1693" s="6">
        <v>0.1</v>
      </c>
      <c r="J1693">
        <v>5310</v>
      </c>
    </row>
    <row r="1694" spans="1:10" x14ac:dyDescent="0.25">
      <c r="A1694" t="s">
        <v>1715</v>
      </c>
      <c r="B1694" s="2">
        <v>45534</v>
      </c>
      <c r="C1694" t="s">
        <v>13</v>
      </c>
      <c r="D1694" t="s">
        <v>2031</v>
      </c>
      <c r="E1694" t="s">
        <v>19</v>
      </c>
      <c r="F1694" t="s">
        <v>24</v>
      </c>
      <c r="G1694">
        <v>3</v>
      </c>
      <c r="H1694">
        <v>12000</v>
      </c>
      <c r="I1694" s="6">
        <v>0.15000000000000002</v>
      </c>
      <c r="J1694">
        <v>10200</v>
      </c>
    </row>
    <row r="1695" spans="1:10" x14ac:dyDescent="0.25">
      <c r="A1695" t="s">
        <v>1716</v>
      </c>
      <c r="B1695" s="2">
        <v>45535</v>
      </c>
      <c r="C1695" t="s">
        <v>13</v>
      </c>
      <c r="D1695" t="s">
        <v>2032</v>
      </c>
      <c r="E1695" t="s">
        <v>20</v>
      </c>
      <c r="F1695" t="s">
        <v>24</v>
      </c>
      <c r="G1695">
        <v>4</v>
      </c>
      <c r="H1695">
        <v>14100</v>
      </c>
      <c r="I1695" s="6">
        <v>0.2</v>
      </c>
      <c r="J1695">
        <v>11280</v>
      </c>
    </row>
    <row r="1696" spans="1:10" x14ac:dyDescent="0.25">
      <c r="A1696" t="s">
        <v>1717</v>
      </c>
      <c r="B1696" s="2">
        <v>45536</v>
      </c>
      <c r="C1696" t="s">
        <v>13</v>
      </c>
      <c r="D1696" t="s">
        <v>2033</v>
      </c>
      <c r="E1696" t="s">
        <v>21</v>
      </c>
      <c r="F1696" t="s">
        <v>24</v>
      </c>
      <c r="G1696">
        <v>7</v>
      </c>
      <c r="H1696">
        <v>11800</v>
      </c>
      <c r="I1696" s="6">
        <v>0.25</v>
      </c>
      <c r="J1696">
        <v>8850</v>
      </c>
    </row>
    <row r="1697" spans="1:10" x14ac:dyDescent="0.25">
      <c r="A1697" t="s">
        <v>1718</v>
      </c>
      <c r="B1697" s="2">
        <v>45537</v>
      </c>
      <c r="C1697" t="s">
        <v>13</v>
      </c>
      <c r="D1697" t="s">
        <v>2034</v>
      </c>
      <c r="E1697" t="s">
        <v>22</v>
      </c>
      <c r="F1697" t="s">
        <v>24</v>
      </c>
      <c r="G1697">
        <v>5</v>
      </c>
      <c r="H1697">
        <v>9800</v>
      </c>
      <c r="I1697" s="6">
        <v>0.05</v>
      </c>
      <c r="J1697">
        <v>9310</v>
      </c>
    </row>
    <row r="1698" spans="1:10" x14ac:dyDescent="0.25">
      <c r="A1698" t="s">
        <v>1719</v>
      </c>
      <c r="B1698" s="2">
        <v>45538</v>
      </c>
      <c r="C1698" t="s">
        <v>13</v>
      </c>
      <c r="D1698" t="s">
        <v>2035</v>
      </c>
      <c r="E1698" t="s">
        <v>19</v>
      </c>
      <c r="F1698" t="s">
        <v>24</v>
      </c>
      <c r="G1698">
        <v>6</v>
      </c>
      <c r="H1698">
        <v>4500</v>
      </c>
      <c r="I1698" s="6">
        <v>0.1</v>
      </c>
      <c r="J1698">
        <v>4050</v>
      </c>
    </row>
    <row r="1699" spans="1:10" x14ac:dyDescent="0.25">
      <c r="A1699" t="s">
        <v>1720</v>
      </c>
      <c r="B1699" s="2">
        <v>45539</v>
      </c>
      <c r="C1699" t="s">
        <v>13</v>
      </c>
      <c r="D1699" t="s">
        <v>2036</v>
      </c>
      <c r="E1699" t="s">
        <v>20</v>
      </c>
      <c r="F1699" t="s">
        <v>24</v>
      </c>
      <c r="G1699">
        <v>6</v>
      </c>
      <c r="H1699">
        <v>10200</v>
      </c>
      <c r="I1699" s="6">
        <v>0.15000000000000002</v>
      </c>
      <c r="J1699">
        <v>8670</v>
      </c>
    </row>
    <row r="1700" spans="1:10" x14ac:dyDescent="0.25">
      <c r="A1700" t="s">
        <v>1721</v>
      </c>
      <c r="B1700" s="2">
        <v>45540</v>
      </c>
      <c r="C1700" t="s">
        <v>13</v>
      </c>
      <c r="D1700" t="s">
        <v>2037</v>
      </c>
      <c r="E1700" t="s">
        <v>21</v>
      </c>
      <c r="F1700" t="s">
        <v>24</v>
      </c>
      <c r="G1700">
        <v>5</v>
      </c>
      <c r="H1700">
        <v>14500</v>
      </c>
      <c r="I1700" s="6">
        <v>0.2</v>
      </c>
      <c r="J1700">
        <v>11600</v>
      </c>
    </row>
    <row r="1701" spans="1:10" x14ac:dyDescent="0.25">
      <c r="A1701" t="s">
        <v>1722</v>
      </c>
      <c r="B1701" s="2">
        <v>45541</v>
      </c>
      <c r="C1701" t="s">
        <v>13</v>
      </c>
      <c r="D1701" t="s">
        <v>2038</v>
      </c>
      <c r="E1701" t="s">
        <v>22</v>
      </c>
      <c r="F1701" t="s">
        <v>24</v>
      </c>
      <c r="G1701">
        <v>1</v>
      </c>
      <c r="H1701">
        <v>14400</v>
      </c>
      <c r="I1701" s="6">
        <v>0.25</v>
      </c>
      <c r="J1701">
        <v>10800</v>
      </c>
    </row>
    <row r="1702" spans="1:10" x14ac:dyDescent="0.25">
      <c r="A1702" t="s">
        <v>1723</v>
      </c>
      <c r="B1702" s="2">
        <v>45542</v>
      </c>
      <c r="C1702" t="s">
        <v>14</v>
      </c>
      <c r="D1702" t="s">
        <v>2039</v>
      </c>
      <c r="E1702" t="s">
        <v>19</v>
      </c>
      <c r="F1702" t="s">
        <v>25</v>
      </c>
      <c r="G1702">
        <v>1</v>
      </c>
      <c r="H1702">
        <v>6600</v>
      </c>
      <c r="I1702" s="6">
        <v>0.05</v>
      </c>
      <c r="J1702">
        <v>6270</v>
      </c>
    </row>
    <row r="1703" spans="1:10" x14ac:dyDescent="0.25">
      <c r="A1703" t="s">
        <v>1724</v>
      </c>
      <c r="B1703" s="2">
        <v>45543</v>
      </c>
      <c r="C1703" t="s">
        <v>14</v>
      </c>
      <c r="D1703" t="s">
        <v>2040</v>
      </c>
      <c r="E1703" t="s">
        <v>20</v>
      </c>
      <c r="F1703" t="s">
        <v>25</v>
      </c>
      <c r="G1703">
        <v>10</v>
      </c>
      <c r="H1703">
        <v>14500</v>
      </c>
      <c r="I1703" s="6">
        <v>0.1</v>
      </c>
      <c r="J1703">
        <v>13050</v>
      </c>
    </row>
    <row r="1704" spans="1:10" x14ac:dyDescent="0.25">
      <c r="A1704" t="s">
        <v>1725</v>
      </c>
      <c r="B1704" s="2">
        <v>45544</v>
      </c>
      <c r="C1704" t="s">
        <v>14</v>
      </c>
      <c r="D1704" t="s">
        <v>2041</v>
      </c>
      <c r="E1704" t="s">
        <v>21</v>
      </c>
      <c r="F1704" t="s">
        <v>25</v>
      </c>
      <c r="G1704">
        <v>10</v>
      </c>
      <c r="H1704">
        <v>5300</v>
      </c>
      <c r="I1704" s="6">
        <v>0.15000000000000002</v>
      </c>
      <c r="J1704">
        <v>4505</v>
      </c>
    </row>
    <row r="1705" spans="1:10" x14ac:dyDescent="0.25">
      <c r="A1705" t="s">
        <v>1726</v>
      </c>
      <c r="B1705" s="2">
        <v>45545</v>
      </c>
      <c r="C1705" t="s">
        <v>14</v>
      </c>
      <c r="D1705" t="s">
        <v>2042</v>
      </c>
      <c r="E1705" t="s">
        <v>22</v>
      </c>
      <c r="F1705" t="s">
        <v>25</v>
      </c>
      <c r="G1705">
        <v>1</v>
      </c>
      <c r="H1705">
        <v>14800</v>
      </c>
      <c r="I1705" s="6">
        <v>0.2</v>
      </c>
      <c r="J1705">
        <v>11840</v>
      </c>
    </row>
    <row r="1706" spans="1:10" x14ac:dyDescent="0.25">
      <c r="A1706" t="s">
        <v>1727</v>
      </c>
      <c r="B1706" s="2">
        <v>45546</v>
      </c>
      <c r="C1706" t="s">
        <v>14</v>
      </c>
      <c r="D1706" t="s">
        <v>2043</v>
      </c>
      <c r="E1706" t="s">
        <v>19</v>
      </c>
      <c r="F1706" t="s">
        <v>25</v>
      </c>
      <c r="G1706">
        <v>7</v>
      </c>
      <c r="H1706">
        <v>11600</v>
      </c>
      <c r="I1706" s="6">
        <v>0.25</v>
      </c>
      <c r="J1706">
        <v>8700</v>
      </c>
    </row>
    <row r="1707" spans="1:10" x14ac:dyDescent="0.25">
      <c r="A1707" t="s">
        <v>1728</v>
      </c>
      <c r="B1707" s="2">
        <v>45547</v>
      </c>
      <c r="C1707" t="s">
        <v>14</v>
      </c>
      <c r="D1707" t="s">
        <v>2044</v>
      </c>
      <c r="E1707" t="s">
        <v>20</v>
      </c>
      <c r="F1707" t="s">
        <v>25</v>
      </c>
      <c r="G1707">
        <v>6</v>
      </c>
      <c r="H1707">
        <v>4200</v>
      </c>
      <c r="I1707" s="6">
        <v>0.05</v>
      </c>
      <c r="J1707">
        <v>3990</v>
      </c>
    </row>
    <row r="1708" spans="1:10" x14ac:dyDescent="0.25">
      <c r="A1708" t="s">
        <v>1729</v>
      </c>
      <c r="B1708" s="2">
        <v>45548</v>
      </c>
      <c r="C1708" t="s">
        <v>14</v>
      </c>
      <c r="D1708" t="s">
        <v>2045</v>
      </c>
      <c r="E1708" t="s">
        <v>21</v>
      </c>
      <c r="F1708" t="s">
        <v>25</v>
      </c>
      <c r="G1708">
        <v>8</v>
      </c>
      <c r="H1708">
        <v>13100</v>
      </c>
      <c r="I1708" s="6">
        <v>0.1</v>
      </c>
      <c r="J1708">
        <v>11790</v>
      </c>
    </row>
    <row r="1709" spans="1:10" x14ac:dyDescent="0.25">
      <c r="A1709" t="s">
        <v>1730</v>
      </c>
      <c r="B1709" s="2">
        <v>45549</v>
      </c>
      <c r="C1709" t="s">
        <v>14</v>
      </c>
      <c r="D1709" t="s">
        <v>2046</v>
      </c>
      <c r="E1709" t="s">
        <v>22</v>
      </c>
      <c r="F1709" t="s">
        <v>25</v>
      </c>
      <c r="G1709">
        <v>9</v>
      </c>
      <c r="H1709">
        <v>8200</v>
      </c>
      <c r="I1709" s="6">
        <v>0.15000000000000002</v>
      </c>
      <c r="J1709">
        <v>6970</v>
      </c>
    </row>
    <row r="1710" spans="1:10" x14ac:dyDescent="0.25">
      <c r="A1710" t="s">
        <v>1731</v>
      </c>
      <c r="B1710" s="2">
        <v>45550</v>
      </c>
      <c r="C1710" t="s">
        <v>14</v>
      </c>
      <c r="D1710" t="s">
        <v>2047</v>
      </c>
      <c r="E1710" t="s">
        <v>19</v>
      </c>
      <c r="F1710" t="s">
        <v>25</v>
      </c>
      <c r="G1710">
        <v>4</v>
      </c>
      <c r="H1710">
        <v>6000</v>
      </c>
      <c r="I1710" s="6">
        <v>0.2</v>
      </c>
      <c r="J1710">
        <v>4800</v>
      </c>
    </row>
    <row r="1711" spans="1:10" x14ac:dyDescent="0.25">
      <c r="A1711" t="s">
        <v>1732</v>
      </c>
      <c r="B1711" s="2">
        <v>45551</v>
      </c>
      <c r="C1711" t="s">
        <v>14</v>
      </c>
      <c r="D1711" t="s">
        <v>2048</v>
      </c>
      <c r="E1711" t="s">
        <v>20</v>
      </c>
      <c r="F1711" t="s">
        <v>25</v>
      </c>
      <c r="G1711">
        <v>5</v>
      </c>
      <c r="H1711">
        <v>9000</v>
      </c>
      <c r="I1711" s="6">
        <v>0.25</v>
      </c>
      <c r="J1711">
        <v>6750</v>
      </c>
    </row>
    <row r="1712" spans="1:10" x14ac:dyDescent="0.25">
      <c r="A1712" t="s">
        <v>1733</v>
      </c>
      <c r="B1712" s="2">
        <v>45552</v>
      </c>
      <c r="C1712" t="s">
        <v>12</v>
      </c>
      <c r="D1712" t="s">
        <v>15</v>
      </c>
      <c r="E1712" t="s">
        <v>21</v>
      </c>
      <c r="F1712" t="s">
        <v>23</v>
      </c>
      <c r="G1712">
        <v>10</v>
      </c>
      <c r="H1712">
        <v>12700</v>
      </c>
      <c r="I1712" s="6">
        <v>0.05</v>
      </c>
      <c r="J1712">
        <v>12065</v>
      </c>
    </row>
    <row r="1713" spans="1:10" x14ac:dyDescent="0.25">
      <c r="A1713" t="s">
        <v>1734</v>
      </c>
      <c r="B1713" s="2">
        <v>45553</v>
      </c>
      <c r="C1713" t="s">
        <v>12</v>
      </c>
      <c r="D1713" t="s">
        <v>17</v>
      </c>
      <c r="E1713" t="s">
        <v>22</v>
      </c>
      <c r="F1713" t="s">
        <v>23</v>
      </c>
      <c r="G1713">
        <v>3</v>
      </c>
      <c r="H1713">
        <v>9500</v>
      </c>
      <c r="I1713" s="6">
        <v>0.1</v>
      </c>
      <c r="J1713">
        <v>8550</v>
      </c>
    </row>
    <row r="1714" spans="1:10" x14ac:dyDescent="0.25">
      <c r="A1714" t="s">
        <v>1735</v>
      </c>
      <c r="B1714" s="2">
        <v>45554</v>
      </c>
      <c r="C1714" t="s">
        <v>12</v>
      </c>
      <c r="D1714" t="s">
        <v>2023</v>
      </c>
      <c r="E1714" t="s">
        <v>19</v>
      </c>
      <c r="F1714" t="s">
        <v>23</v>
      </c>
      <c r="G1714">
        <v>4</v>
      </c>
      <c r="H1714">
        <v>14500</v>
      </c>
      <c r="I1714" s="6">
        <v>0.15000000000000002</v>
      </c>
      <c r="J1714">
        <v>12325</v>
      </c>
    </row>
    <row r="1715" spans="1:10" x14ac:dyDescent="0.25">
      <c r="A1715" t="s">
        <v>1736</v>
      </c>
      <c r="B1715" s="2">
        <v>45555</v>
      </c>
      <c r="C1715" t="s">
        <v>12</v>
      </c>
      <c r="D1715" t="s">
        <v>18</v>
      </c>
      <c r="E1715" t="s">
        <v>20</v>
      </c>
      <c r="F1715" t="s">
        <v>23</v>
      </c>
      <c r="G1715">
        <v>1</v>
      </c>
      <c r="H1715">
        <v>8200</v>
      </c>
      <c r="I1715" s="6">
        <v>0.2</v>
      </c>
      <c r="J1715">
        <v>6560</v>
      </c>
    </row>
    <row r="1716" spans="1:10" x14ac:dyDescent="0.25">
      <c r="A1716" t="s">
        <v>1737</v>
      </c>
      <c r="B1716" s="2">
        <v>45556</v>
      </c>
      <c r="C1716" t="s">
        <v>12</v>
      </c>
      <c r="D1716" t="s">
        <v>2024</v>
      </c>
      <c r="E1716" t="s">
        <v>21</v>
      </c>
      <c r="F1716" t="s">
        <v>23</v>
      </c>
      <c r="G1716">
        <v>8</v>
      </c>
      <c r="H1716">
        <v>13400</v>
      </c>
      <c r="I1716" s="6">
        <v>0.25</v>
      </c>
      <c r="J1716">
        <v>10050</v>
      </c>
    </row>
    <row r="1717" spans="1:10" x14ac:dyDescent="0.25">
      <c r="A1717" t="s">
        <v>1738</v>
      </c>
      <c r="B1717" s="2">
        <v>45557</v>
      </c>
      <c r="C1717" t="s">
        <v>12</v>
      </c>
      <c r="D1717" t="s">
        <v>2025</v>
      </c>
      <c r="E1717" t="s">
        <v>22</v>
      </c>
      <c r="F1717" t="s">
        <v>23</v>
      </c>
      <c r="G1717">
        <v>5</v>
      </c>
      <c r="H1717">
        <v>11900</v>
      </c>
      <c r="I1717" s="6">
        <v>0.05</v>
      </c>
      <c r="J1717">
        <v>11305</v>
      </c>
    </row>
    <row r="1718" spans="1:10" x14ac:dyDescent="0.25">
      <c r="A1718" t="s">
        <v>1739</v>
      </c>
      <c r="B1718" s="2">
        <v>45558</v>
      </c>
      <c r="C1718" t="s">
        <v>12</v>
      </c>
      <c r="D1718" t="s">
        <v>2026</v>
      </c>
      <c r="E1718" t="s">
        <v>19</v>
      </c>
      <c r="F1718" t="s">
        <v>23</v>
      </c>
      <c r="G1718">
        <v>6</v>
      </c>
      <c r="H1718">
        <v>10300</v>
      </c>
      <c r="I1718" s="6">
        <v>0.1</v>
      </c>
      <c r="J1718">
        <v>9270</v>
      </c>
    </row>
    <row r="1719" spans="1:10" x14ac:dyDescent="0.25">
      <c r="A1719" t="s">
        <v>1740</v>
      </c>
      <c r="B1719" s="2">
        <v>45559</v>
      </c>
      <c r="C1719" t="s">
        <v>12</v>
      </c>
      <c r="D1719" t="s">
        <v>2027</v>
      </c>
      <c r="E1719" t="s">
        <v>20</v>
      </c>
      <c r="F1719" t="s">
        <v>23</v>
      </c>
      <c r="G1719">
        <v>1</v>
      </c>
      <c r="H1719">
        <v>4500</v>
      </c>
      <c r="I1719" s="6">
        <v>0.15000000000000002</v>
      </c>
      <c r="J1719">
        <v>3825</v>
      </c>
    </row>
    <row r="1720" spans="1:10" x14ac:dyDescent="0.25">
      <c r="A1720" t="s">
        <v>1741</v>
      </c>
      <c r="B1720" s="2">
        <v>45560</v>
      </c>
      <c r="C1720" t="s">
        <v>12</v>
      </c>
      <c r="D1720" t="s">
        <v>2028</v>
      </c>
      <c r="E1720" t="s">
        <v>21</v>
      </c>
      <c r="F1720" t="s">
        <v>23</v>
      </c>
      <c r="G1720">
        <v>2</v>
      </c>
      <c r="H1720">
        <v>6800</v>
      </c>
      <c r="I1720" s="6">
        <v>0.2</v>
      </c>
      <c r="J1720">
        <v>5440</v>
      </c>
    </row>
    <row r="1721" spans="1:10" x14ac:dyDescent="0.25">
      <c r="A1721" t="s">
        <v>1742</v>
      </c>
      <c r="B1721" s="2">
        <v>45561</v>
      </c>
      <c r="C1721" t="s">
        <v>12</v>
      </c>
      <c r="D1721" t="s">
        <v>2029</v>
      </c>
      <c r="E1721" t="s">
        <v>22</v>
      </c>
      <c r="F1721" t="s">
        <v>23</v>
      </c>
      <c r="G1721">
        <v>2</v>
      </c>
      <c r="H1721">
        <v>9800</v>
      </c>
      <c r="I1721" s="6">
        <v>0.25</v>
      </c>
      <c r="J1721">
        <v>7350</v>
      </c>
    </row>
    <row r="1722" spans="1:10" x14ac:dyDescent="0.25">
      <c r="A1722" t="s">
        <v>1743</v>
      </c>
      <c r="B1722" s="2">
        <v>45562</v>
      </c>
      <c r="C1722" t="s">
        <v>13</v>
      </c>
      <c r="D1722" t="s">
        <v>16</v>
      </c>
      <c r="E1722" t="s">
        <v>19</v>
      </c>
      <c r="F1722" t="s">
        <v>24</v>
      </c>
      <c r="G1722">
        <v>6</v>
      </c>
      <c r="H1722">
        <v>7300</v>
      </c>
      <c r="I1722" s="6">
        <v>0.05</v>
      </c>
      <c r="J1722">
        <v>6935</v>
      </c>
    </row>
    <row r="1723" spans="1:10" x14ac:dyDescent="0.25">
      <c r="A1723" t="s">
        <v>1744</v>
      </c>
      <c r="B1723" s="2">
        <v>45563</v>
      </c>
      <c r="C1723" t="s">
        <v>13</v>
      </c>
      <c r="D1723" t="s">
        <v>2030</v>
      </c>
      <c r="E1723" t="s">
        <v>20</v>
      </c>
      <c r="F1723" t="s">
        <v>24</v>
      </c>
      <c r="G1723">
        <v>1</v>
      </c>
      <c r="H1723">
        <v>14800</v>
      </c>
      <c r="I1723" s="6">
        <v>0.1</v>
      </c>
      <c r="J1723">
        <v>13320</v>
      </c>
    </row>
    <row r="1724" spans="1:10" x14ac:dyDescent="0.25">
      <c r="A1724" t="s">
        <v>1745</v>
      </c>
      <c r="B1724" s="2">
        <v>45564</v>
      </c>
      <c r="C1724" t="s">
        <v>13</v>
      </c>
      <c r="D1724" t="s">
        <v>2031</v>
      </c>
      <c r="E1724" t="s">
        <v>21</v>
      </c>
      <c r="F1724" t="s">
        <v>24</v>
      </c>
      <c r="G1724">
        <v>3</v>
      </c>
      <c r="H1724">
        <v>7600</v>
      </c>
      <c r="I1724" s="6">
        <v>0.15000000000000002</v>
      </c>
      <c r="J1724">
        <v>6460</v>
      </c>
    </row>
    <row r="1725" spans="1:10" x14ac:dyDescent="0.25">
      <c r="A1725" t="s">
        <v>1746</v>
      </c>
      <c r="B1725" s="2">
        <v>45565</v>
      </c>
      <c r="C1725" t="s">
        <v>13</v>
      </c>
      <c r="D1725" t="s">
        <v>2032</v>
      </c>
      <c r="E1725" t="s">
        <v>22</v>
      </c>
      <c r="F1725" t="s">
        <v>24</v>
      </c>
      <c r="G1725">
        <v>1</v>
      </c>
      <c r="H1725">
        <v>14000</v>
      </c>
      <c r="I1725" s="6">
        <v>0.2</v>
      </c>
      <c r="J1725">
        <v>11200</v>
      </c>
    </row>
    <row r="1726" spans="1:10" x14ac:dyDescent="0.25">
      <c r="A1726" t="s">
        <v>1747</v>
      </c>
      <c r="B1726" s="2">
        <v>45566</v>
      </c>
      <c r="C1726" t="s">
        <v>13</v>
      </c>
      <c r="D1726" t="s">
        <v>2033</v>
      </c>
      <c r="E1726" t="s">
        <v>19</v>
      </c>
      <c r="F1726" t="s">
        <v>24</v>
      </c>
      <c r="G1726">
        <v>4</v>
      </c>
      <c r="H1726">
        <v>7000</v>
      </c>
      <c r="I1726" s="6">
        <v>0.25</v>
      </c>
      <c r="J1726">
        <v>5250</v>
      </c>
    </row>
    <row r="1727" spans="1:10" x14ac:dyDescent="0.25">
      <c r="A1727" t="s">
        <v>1748</v>
      </c>
      <c r="B1727" s="2">
        <v>45567</v>
      </c>
      <c r="C1727" t="s">
        <v>13</v>
      </c>
      <c r="D1727" t="s">
        <v>2034</v>
      </c>
      <c r="E1727" t="s">
        <v>20</v>
      </c>
      <c r="F1727" t="s">
        <v>24</v>
      </c>
      <c r="G1727">
        <v>3</v>
      </c>
      <c r="H1727">
        <v>5600</v>
      </c>
      <c r="I1727" s="6">
        <v>0.05</v>
      </c>
      <c r="J1727">
        <v>5320</v>
      </c>
    </row>
    <row r="1728" spans="1:10" x14ac:dyDescent="0.25">
      <c r="A1728" t="s">
        <v>1749</v>
      </c>
      <c r="B1728" s="2">
        <v>45568</v>
      </c>
      <c r="C1728" t="s">
        <v>13</v>
      </c>
      <c r="D1728" t="s">
        <v>2035</v>
      </c>
      <c r="E1728" t="s">
        <v>21</v>
      </c>
      <c r="F1728" t="s">
        <v>24</v>
      </c>
      <c r="G1728">
        <v>1</v>
      </c>
      <c r="H1728">
        <v>14100</v>
      </c>
      <c r="I1728" s="6">
        <v>0.1</v>
      </c>
      <c r="J1728">
        <v>12690</v>
      </c>
    </row>
    <row r="1729" spans="1:10" x14ac:dyDescent="0.25">
      <c r="A1729" t="s">
        <v>1750</v>
      </c>
      <c r="B1729" s="2">
        <v>45569</v>
      </c>
      <c r="C1729" t="s">
        <v>13</v>
      </c>
      <c r="D1729" t="s">
        <v>2036</v>
      </c>
      <c r="E1729" t="s">
        <v>22</v>
      </c>
      <c r="F1729" t="s">
        <v>24</v>
      </c>
      <c r="G1729">
        <v>6</v>
      </c>
      <c r="H1729">
        <v>11100</v>
      </c>
      <c r="I1729" s="6">
        <v>0.15000000000000002</v>
      </c>
      <c r="J1729">
        <v>9435</v>
      </c>
    </row>
    <row r="1730" spans="1:10" x14ac:dyDescent="0.25">
      <c r="A1730" t="s">
        <v>1751</v>
      </c>
      <c r="B1730" s="2">
        <v>45570</v>
      </c>
      <c r="C1730" t="s">
        <v>13</v>
      </c>
      <c r="D1730" t="s">
        <v>2037</v>
      </c>
      <c r="E1730" t="s">
        <v>19</v>
      </c>
      <c r="F1730" t="s">
        <v>24</v>
      </c>
      <c r="G1730">
        <v>6</v>
      </c>
      <c r="H1730">
        <v>7900</v>
      </c>
      <c r="I1730" s="6">
        <v>0.2</v>
      </c>
      <c r="J1730">
        <v>6320</v>
      </c>
    </row>
    <row r="1731" spans="1:10" x14ac:dyDescent="0.25">
      <c r="A1731" t="s">
        <v>1752</v>
      </c>
      <c r="B1731" s="2">
        <v>45571</v>
      </c>
      <c r="C1731" t="s">
        <v>13</v>
      </c>
      <c r="D1731" t="s">
        <v>2038</v>
      </c>
      <c r="E1731" t="s">
        <v>20</v>
      </c>
      <c r="F1731" t="s">
        <v>24</v>
      </c>
      <c r="G1731">
        <v>10</v>
      </c>
      <c r="H1731">
        <v>7400</v>
      </c>
      <c r="I1731" s="6">
        <v>0.25</v>
      </c>
      <c r="J1731">
        <v>5550</v>
      </c>
    </row>
    <row r="1732" spans="1:10" x14ac:dyDescent="0.25">
      <c r="A1732" t="s">
        <v>1753</v>
      </c>
      <c r="B1732" s="2">
        <v>45572</v>
      </c>
      <c r="C1732" t="s">
        <v>14</v>
      </c>
      <c r="D1732" t="s">
        <v>2039</v>
      </c>
      <c r="E1732" t="s">
        <v>21</v>
      </c>
      <c r="F1732" t="s">
        <v>25</v>
      </c>
      <c r="G1732">
        <v>7</v>
      </c>
      <c r="H1732">
        <v>8200</v>
      </c>
      <c r="I1732" s="6">
        <v>0.05</v>
      </c>
      <c r="J1732">
        <v>7790</v>
      </c>
    </row>
    <row r="1733" spans="1:10" x14ac:dyDescent="0.25">
      <c r="A1733" t="s">
        <v>1754</v>
      </c>
      <c r="B1733" s="2">
        <v>45573</v>
      </c>
      <c r="C1733" t="s">
        <v>14</v>
      </c>
      <c r="D1733" t="s">
        <v>2040</v>
      </c>
      <c r="E1733" t="s">
        <v>22</v>
      </c>
      <c r="F1733" t="s">
        <v>25</v>
      </c>
      <c r="G1733">
        <v>10</v>
      </c>
      <c r="H1733">
        <v>9400</v>
      </c>
      <c r="I1733" s="6">
        <v>0.1</v>
      </c>
      <c r="J1733">
        <v>8460</v>
      </c>
    </row>
    <row r="1734" spans="1:10" x14ac:dyDescent="0.25">
      <c r="A1734" t="s">
        <v>1755</v>
      </c>
      <c r="B1734" s="2">
        <v>45574</v>
      </c>
      <c r="C1734" t="s">
        <v>14</v>
      </c>
      <c r="D1734" t="s">
        <v>2041</v>
      </c>
      <c r="E1734" t="s">
        <v>19</v>
      </c>
      <c r="F1734" t="s">
        <v>25</v>
      </c>
      <c r="G1734">
        <v>8</v>
      </c>
      <c r="H1734">
        <v>10900</v>
      </c>
      <c r="I1734" s="6">
        <v>0.15000000000000002</v>
      </c>
      <c r="J1734">
        <v>9265</v>
      </c>
    </row>
    <row r="1735" spans="1:10" x14ac:dyDescent="0.25">
      <c r="A1735" t="s">
        <v>1756</v>
      </c>
      <c r="B1735" s="2">
        <v>45575</v>
      </c>
      <c r="C1735" t="s">
        <v>14</v>
      </c>
      <c r="D1735" t="s">
        <v>2042</v>
      </c>
      <c r="E1735" t="s">
        <v>20</v>
      </c>
      <c r="F1735" t="s">
        <v>25</v>
      </c>
      <c r="G1735">
        <v>2</v>
      </c>
      <c r="H1735">
        <v>13700</v>
      </c>
      <c r="I1735" s="6">
        <v>0.2</v>
      </c>
      <c r="J1735">
        <v>10960</v>
      </c>
    </row>
    <row r="1736" spans="1:10" x14ac:dyDescent="0.25">
      <c r="A1736" t="s">
        <v>1757</v>
      </c>
      <c r="B1736" s="2">
        <v>45576</v>
      </c>
      <c r="C1736" t="s">
        <v>14</v>
      </c>
      <c r="D1736" t="s">
        <v>2043</v>
      </c>
      <c r="E1736" t="s">
        <v>21</v>
      </c>
      <c r="F1736" t="s">
        <v>25</v>
      </c>
      <c r="G1736">
        <v>3</v>
      </c>
      <c r="H1736">
        <v>8100</v>
      </c>
      <c r="I1736" s="6">
        <v>0.25</v>
      </c>
      <c r="J1736">
        <v>6075</v>
      </c>
    </row>
    <row r="1737" spans="1:10" x14ac:dyDescent="0.25">
      <c r="A1737" t="s">
        <v>1758</v>
      </c>
      <c r="B1737" s="2">
        <v>45577</v>
      </c>
      <c r="C1737" t="s">
        <v>14</v>
      </c>
      <c r="D1737" t="s">
        <v>2044</v>
      </c>
      <c r="E1737" t="s">
        <v>22</v>
      </c>
      <c r="F1737" t="s">
        <v>25</v>
      </c>
      <c r="G1737">
        <v>9</v>
      </c>
      <c r="H1737">
        <v>10600</v>
      </c>
      <c r="I1737" s="6">
        <v>0.05</v>
      </c>
      <c r="J1737">
        <v>10070</v>
      </c>
    </row>
    <row r="1738" spans="1:10" x14ac:dyDescent="0.25">
      <c r="A1738" t="s">
        <v>1759</v>
      </c>
      <c r="B1738" s="2">
        <v>45578</v>
      </c>
      <c r="C1738" t="s">
        <v>14</v>
      </c>
      <c r="D1738" t="s">
        <v>2045</v>
      </c>
      <c r="E1738" t="s">
        <v>19</v>
      </c>
      <c r="F1738" t="s">
        <v>25</v>
      </c>
      <c r="G1738">
        <v>8</v>
      </c>
      <c r="H1738">
        <v>8300</v>
      </c>
      <c r="I1738" s="6">
        <v>0.1</v>
      </c>
      <c r="J1738">
        <v>7470</v>
      </c>
    </row>
    <row r="1739" spans="1:10" x14ac:dyDescent="0.25">
      <c r="A1739" t="s">
        <v>1760</v>
      </c>
      <c r="B1739" s="2">
        <v>45579</v>
      </c>
      <c r="C1739" t="s">
        <v>14</v>
      </c>
      <c r="D1739" t="s">
        <v>2046</v>
      </c>
      <c r="E1739" t="s">
        <v>20</v>
      </c>
      <c r="F1739" t="s">
        <v>25</v>
      </c>
      <c r="G1739">
        <v>5</v>
      </c>
      <c r="H1739">
        <v>7400</v>
      </c>
      <c r="I1739" s="6">
        <v>0.15000000000000002</v>
      </c>
      <c r="J1739">
        <v>6290</v>
      </c>
    </row>
    <row r="1740" spans="1:10" x14ac:dyDescent="0.25">
      <c r="A1740" t="s">
        <v>1761</v>
      </c>
      <c r="B1740" s="2">
        <v>45580</v>
      </c>
      <c r="C1740" t="s">
        <v>14</v>
      </c>
      <c r="D1740" t="s">
        <v>2047</v>
      </c>
      <c r="E1740" t="s">
        <v>21</v>
      </c>
      <c r="F1740" t="s">
        <v>25</v>
      </c>
      <c r="G1740">
        <v>3</v>
      </c>
      <c r="H1740">
        <v>6500</v>
      </c>
      <c r="I1740" s="6">
        <v>0.2</v>
      </c>
      <c r="J1740">
        <v>5200</v>
      </c>
    </row>
    <row r="1741" spans="1:10" x14ac:dyDescent="0.25">
      <c r="A1741" t="s">
        <v>1762</v>
      </c>
      <c r="B1741" s="2">
        <v>45581</v>
      </c>
      <c r="C1741" t="s">
        <v>14</v>
      </c>
      <c r="D1741" t="s">
        <v>2048</v>
      </c>
      <c r="E1741" t="s">
        <v>22</v>
      </c>
      <c r="F1741" t="s">
        <v>25</v>
      </c>
      <c r="G1741">
        <v>1</v>
      </c>
      <c r="H1741">
        <v>6500</v>
      </c>
      <c r="I1741" s="6">
        <v>0.25</v>
      </c>
      <c r="J1741">
        <v>4875</v>
      </c>
    </row>
    <row r="1742" spans="1:10" x14ac:dyDescent="0.25">
      <c r="A1742" t="s">
        <v>1763</v>
      </c>
      <c r="B1742" s="2">
        <v>45582</v>
      </c>
      <c r="C1742" t="s">
        <v>12</v>
      </c>
      <c r="D1742" t="s">
        <v>15</v>
      </c>
      <c r="E1742" t="s">
        <v>19</v>
      </c>
      <c r="F1742" t="s">
        <v>23</v>
      </c>
      <c r="G1742">
        <v>10</v>
      </c>
      <c r="H1742">
        <v>5000</v>
      </c>
      <c r="I1742" s="6">
        <v>0.05</v>
      </c>
      <c r="J1742">
        <v>4750</v>
      </c>
    </row>
    <row r="1743" spans="1:10" x14ac:dyDescent="0.25">
      <c r="A1743" t="s">
        <v>1764</v>
      </c>
      <c r="B1743" s="2">
        <v>45583</v>
      </c>
      <c r="C1743" t="s">
        <v>12</v>
      </c>
      <c r="D1743" t="s">
        <v>17</v>
      </c>
      <c r="E1743" t="s">
        <v>20</v>
      </c>
      <c r="F1743" t="s">
        <v>23</v>
      </c>
      <c r="G1743">
        <v>3</v>
      </c>
      <c r="H1743">
        <v>6300</v>
      </c>
      <c r="I1743" s="6">
        <v>0.1</v>
      </c>
      <c r="J1743">
        <v>5670</v>
      </c>
    </row>
    <row r="1744" spans="1:10" x14ac:dyDescent="0.25">
      <c r="A1744" t="s">
        <v>1765</v>
      </c>
      <c r="B1744" s="2">
        <v>45584</v>
      </c>
      <c r="C1744" t="s">
        <v>12</v>
      </c>
      <c r="D1744" t="s">
        <v>2023</v>
      </c>
      <c r="E1744" t="s">
        <v>21</v>
      </c>
      <c r="F1744" t="s">
        <v>23</v>
      </c>
      <c r="G1744">
        <v>4</v>
      </c>
      <c r="H1744">
        <v>8000</v>
      </c>
      <c r="I1744" s="6">
        <v>0.15000000000000002</v>
      </c>
      <c r="J1744">
        <v>6800</v>
      </c>
    </row>
    <row r="1745" spans="1:10" x14ac:dyDescent="0.25">
      <c r="A1745" t="s">
        <v>1766</v>
      </c>
      <c r="B1745" s="2">
        <v>45585</v>
      </c>
      <c r="C1745" t="s">
        <v>12</v>
      </c>
      <c r="D1745" t="s">
        <v>18</v>
      </c>
      <c r="E1745" t="s">
        <v>22</v>
      </c>
      <c r="F1745" t="s">
        <v>23</v>
      </c>
      <c r="G1745">
        <v>3</v>
      </c>
      <c r="H1745">
        <v>9300</v>
      </c>
      <c r="I1745" s="6">
        <v>0.2</v>
      </c>
      <c r="J1745">
        <v>7440</v>
      </c>
    </row>
    <row r="1746" spans="1:10" x14ac:dyDescent="0.25">
      <c r="A1746" t="s">
        <v>1767</v>
      </c>
      <c r="B1746" s="2">
        <v>45586</v>
      </c>
      <c r="C1746" t="s">
        <v>12</v>
      </c>
      <c r="D1746" t="s">
        <v>2024</v>
      </c>
      <c r="E1746" t="s">
        <v>19</v>
      </c>
      <c r="F1746" t="s">
        <v>23</v>
      </c>
      <c r="G1746">
        <v>4</v>
      </c>
      <c r="H1746">
        <v>14600</v>
      </c>
      <c r="I1746" s="6">
        <v>0.25</v>
      </c>
      <c r="J1746">
        <v>10950</v>
      </c>
    </row>
    <row r="1747" spans="1:10" x14ac:dyDescent="0.25">
      <c r="A1747" t="s">
        <v>1768</v>
      </c>
      <c r="B1747" s="2">
        <v>45587</v>
      </c>
      <c r="C1747" t="s">
        <v>12</v>
      </c>
      <c r="D1747" t="s">
        <v>2025</v>
      </c>
      <c r="E1747" t="s">
        <v>20</v>
      </c>
      <c r="F1747" t="s">
        <v>23</v>
      </c>
      <c r="G1747">
        <v>7</v>
      </c>
      <c r="H1747">
        <v>7600</v>
      </c>
      <c r="I1747" s="6">
        <v>0.05</v>
      </c>
      <c r="J1747">
        <v>7220</v>
      </c>
    </row>
    <row r="1748" spans="1:10" x14ac:dyDescent="0.25">
      <c r="A1748" t="s">
        <v>1769</v>
      </c>
      <c r="B1748" s="2">
        <v>45588</v>
      </c>
      <c r="C1748" t="s">
        <v>12</v>
      </c>
      <c r="D1748" t="s">
        <v>2026</v>
      </c>
      <c r="E1748" t="s">
        <v>21</v>
      </c>
      <c r="F1748" t="s">
        <v>23</v>
      </c>
      <c r="G1748">
        <v>1</v>
      </c>
      <c r="H1748">
        <v>12300</v>
      </c>
      <c r="I1748" s="6">
        <v>0.1</v>
      </c>
      <c r="J1748">
        <v>11070</v>
      </c>
    </row>
    <row r="1749" spans="1:10" x14ac:dyDescent="0.25">
      <c r="A1749" t="s">
        <v>1770</v>
      </c>
      <c r="B1749" s="2">
        <v>45589</v>
      </c>
      <c r="C1749" t="s">
        <v>12</v>
      </c>
      <c r="D1749" t="s">
        <v>2027</v>
      </c>
      <c r="E1749" t="s">
        <v>22</v>
      </c>
      <c r="F1749" t="s">
        <v>23</v>
      </c>
      <c r="G1749">
        <v>2</v>
      </c>
      <c r="H1749">
        <v>11300</v>
      </c>
      <c r="I1749" s="6">
        <v>0.15000000000000002</v>
      </c>
      <c r="J1749">
        <v>9605</v>
      </c>
    </row>
    <row r="1750" spans="1:10" x14ac:dyDescent="0.25">
      <c r="A1750" t="s">
        <v>1771</v>
      </c>
      <c r="B1750" s="2">
        <v>45590</v>
      </c>
      <c r="C1750" t="s">
        <v>12</v>
      </c>
      <c r="D1750" t="s">
        <v>2028</v>
      </c>
      <c r="E1750" t="s">
        <v>19</v>
      </c>
      <c r="F1750" t="s">
        <v>23</v>
      </c>
      <c r="G1750">
        <v>7</v>
      </c>
      <c r="H1750">
        <v>11800</v>
      </c>
      <c r="I1750" s="6">
        <v>0.2</v>
      </c>
      <c r="J1750">
        <v>9440</v>
      </c>
    </row>
    <row r="1751" spans="1:10" x14ac:dyDescent="0.25">
      <c r="A1751" t="s">
        <v>1772</v>
      </c>
      <c r="B1751" s="2">
        <v>45591</v>
      </c>
      <c r="C1751" t="s">
        <v>12</v>
      </c>
      <c r="D1751" t="s">
        <v>2029</v>
      </c>
      <c r="E1751" t="s">
        <v>20</v>
      </c>
      <c r="F1751" t="s">
        <v>23</v>
      </c>
      <c r="G1751">
        <v>4</v>
      </c>
      <c r="H1751">
        <v>9000</v>
      </c>
      <c r="I1751" s="6">
        <v>0.25</v>
      </c>
      <c r="J1751">
        <v>6750</v>
      </c>
    </row>
    <row r="1752" spans="1:10" x14ac:dyDescent="0.25">
      <c r="A1752" t="s">
        <v>1773</v>
      </c>
      <c r="B1752" s="2">
        <v>45592</v>
      </c>
      <c r="C1752" t="s">
        <v>13</v>
      </c>
      <c r="D1752" t="s">
        <v>16</v>
      </c>
      <c r="E1752" t="s">
        <v>21</v>
      </c>
      <c r="F1752" t="s">
        <v>24</v>
      </c>
      <c r="G1752">
        <v>1</v>
      </c>
      <c r="H1752">
        <v>8700</v>
      </c>
      <c r="I1752" s="6">
        <v>0.05</v>
      </c>
      <c r="J1752">
        <v>8265</v>
      </c>
    </row>
    <row r="1753" spans="1:10" x14ac:dyDescent="0.25">
      <c r="A1753" t="s">
        <v>1774</v>
      </c>
      <c r="B1753" s="2">
        <v>45593</v>
      </c>
      <c r="C1753" t="s">
        <v>13</v>
      </c>
      <c r="D1753" t="s">
        <v>2030</v>
      </c>
      <c r="E1753" t="s">
        <v>22</v>
      </c>
      <c r="F1753" t="s">
        <v>24</v>
      </c>
      <c r="G1753">
        <v>10</v>
      </c>
      <c r="H1753">
        <v>8100</v>
      </c>
      <c r="I1753" s="6">
        <v>0.1</v>
      </c>
      <c r="J1753">
        <v>7290</v>
      </c>
    </row>
    <row r="1754" spans="1:10" x14ac:dyDescent="0.25">
      <c r="A1754" t="s">
        <v>1775</v>
      </c>
      <c r="B1754" s="2">
        <v>45594</v>
      </c>
      <c r="C1754" t="s">
        <v>13</v>
      </c>
      <c r="D1754" t="s">
        <v>2031</v>
      </c>
      <c r="E1754" t="s">
        <v>19</v>
      </c>
      <c r="F1754" t="s">
        <v>24</v>
      </c>
      <c r="G1754">
        <v>1</v>
      </c>
      <c r="H1754">
        <v>4500</v>
      </c>
      <c r="I1754" s="6">
        <v>0.15000000000000002</v>
      </c>
      <c r="J1754">
        <v>3825</v>
      </c>
    </row>
    <row r="1755" spans="1:10" x14ac:dyDescent="0.25">
      <c r="A1755" t="s">
        <v>1776</v>
      </c>
      <c r="B1755" s="2">
        <v>45595</v>
      </c>
      <c r="C1755" t="s">
        <v>13</v>
      </c>
      <c r="D1755" t="s">
        <v>2032</v>
      </c>
      <c r="E1755" t="s">
        <v>20</v>
      </c>
      <c r="F1755" t="s">
        <v>24</v>
      </c>
      <c r="G1755">
        <v>4</v>
      </c>
      <c r="H1755">
        <v>4000</v>
      </c>
      <c r="I1755" s="6">
        <v>0.2</v>
      </c>
      <c r="J1755">
        <v>3200</v>
      </c>
    </row>
    <row r="1756" spans="1:10" x14ac:dyDescent="0.25">
      <c r="A1756" t="s">
        <v>1777</v>
      </c>
      <c r="B1756" s="2">
        <v>45596</v>
      </c>
      <c r="C1756" t="s">
        <v>13</v>
      </c>
      <c r="D1756" t="s">
        <v>2033</v>
      </c>
      <c r="E1756" t="s">
        <v>21</v>
      </c>
      <c r="F1756" t="s">
        <v>24</v>
      </c>
      <c r="G1756">
        <v>4</v>
      </c>
      <c r="H1756">
        <v>6100</v>
      </c>
      <c r="I1756" s="6">
        <v>0.25</v>
      </c>
      <c r="J1756">
        <v>4575</v>
      </c>
    </row>
    <row r="1757" spans="1:10" x14ac:dyDescent="0.25">
      <c r="A1757" t="s">
        <v>1778</v>
      </c>
      <c r="B1757" s="2">
        <v>45597</v>
      </c>
      <c r="C1757" t="s">
        <v>13</v>
      </c>
      <c r="D1757" t="s">
        <v>2034</v>
      </c>
      <c r="E1757" t="s">
        <v>22</v>
      </c>
      <c r="F1757" t="s">
        <v>24</v>
      </c>
      <c r="G1757">
        <v>1</v>
      </c>
      <c r="H1757">
        <v>13700</v>
      </c>
      <c r="I1757" s="6">
        <v>0.05</v>
      </c>
      <c r="J1757">
        <v>13015</v>
      </c>
    </row>
    <row r="1758" spans="1:10" x14ac:dyDescent="0.25">
      <c r="A1758" t="s">
        <v>1779</v>
      </c>
      <c r="B1758" s="2">
        <v>45598</v>
      </c>
      <c r="C1758" t="s">
        <v>13</v>
      </c>
      <c r="D1758" t="s">
        <v>2035</v>
      </c>
      <c r="E1758" t="s">
        <v>19</v>
      </c>
      <c r="F1758" t="s">
        <v>24</v>
      </c>
      <c r="G1758">
        <v>10</v>
      </c>
      <c r="H1758">
        <v>9500</v>
      </c>
      <c r="I1758" s="6">
        <v>0.1</v>
      </c>
      <c r="J1758">
        <v>8550</v>
      </c>
    </row>
    <row r="1759" spans="1:10" x14ac:dyDescent="0.25">
      <c r="A1759" t="s">
        <v>1780</v>
      </c>
      <c r="B1759" s="2">
        <v>45599</v>
      </c>
      <c r="C1759" t="s">
        <v>13</v>
      </c>
      <c r="D1759" t="s">
        <v>2036</v>
      </c>
      <c r="E1759" t="s">
        <v>20</v>
      </c>
      <c r="F1759" t="s">
        <v>24</v>
      </c>
      <c r="G1759">
        <v>7</v>
      </c>
      <c r="H1759">
        <v>5100</v>
      </c>
      <c r="I1759" s="6">
        <v>0.15000000000000002</v>
      </c>
      <c r="J1759">
        <v>4335</v>
      </c>
    </row>
    <row r="1760" spans="1:10" x14ac:dyDescent="0.25">
      <c r="A1760" t="s">
        <v>1781</v>
      </c>
      <c r="B1760" s="2">
        <v>45600</v>
      </c>
      <c r="C1760" t="s">
        <v>13</v>
      </c>
      <c r="D1760" t="s">
        <v>2037</v>
      </c>
      <c r="E1760" t="s">
        <v>21</v>
      </c>
      <c r="F1760" t="s">
        <v>24</v>
      </c>
      <c r="G1760">
        <v>8</v>
      </c>
      <c r="H1760">
        <v>8700</v>
      </c>
      <c r="I1760" s="6">
        <v>0.2</v>
      </c>
      <c r="J1760">
        <v>6960</v>
      </c>
    </row>
    <row r="1761" spans="1:10" x14ac:dyDescent="0.25">
      <c r="A1761" t="s">
        <v>1782</v>
      </c>
      <c r="B1761" s="2">
        <v>45601</v>
      </c>
      <c r="C1761" t="s">
        <v>13</v>
      </c>
      <c r="D1761" t="s">
        <v>2038</v>
      </c>
      <c r="E1761" t="s">
        <v>22</v>
      </c>
      <c r="F1761" t="s">
        <v>24</v>
      </c>
      <c r="G1761">
        <v>5</v>
      </c>
      <c r="H1761">
        <v>13900</v>
      </c>
      <c r="I1761" s="6">
        <v>0.25</v>
      </c>
      <c r="J1761">
        <v>10425</v>
      </c>
    </row>
    <row r="1762" spans="1:10" x14ac:dyDescent="0.25">
      <c r="A1762" t="s">
        <v>1783</v>
      </c>
      <c r="B1762" s="2">
        <v>45602</v>
      </c>
      <c r="C1762" t="s">
        <v>14</v>
      </c>
      <c r="D1762" t="s">
        <v>2039</v>
      </c>
      <c r="E1762" t="s">
        <v>19</v>
      </c>
      <c r="F1762" t="s">
        <v>25</v>
      </c>
      <c r="G1762">
        <v>3</v>
      </c>
      <c r="H1762">
        <v>12700</v>
      </c>
      <c r="I1762" s="6">
        <v>0.05</v>
      </c>
      <c r="J1762">
        <v>12065</v>
      </c>
    </row>
    <row r="1763" spans="1:10" x14ac:dyDescent="0.25">
      <c r="A1763" t="s">
        <v>1784</v>
      </c>
      <c r="B1763" s="2">
        <v>45603</v>
      </c>
      <c r="C1763" t="s">
        <v>14</v>
      </c>
      <c r="D1763" t="s">
        <v>2040</v>
      </c>
      <c r="E1763" t="s">
        <v>20</v>
      </c>
      <c r="F1763" t="s">
        <v>25</v>
      </c>
      <c r="G1763">
        <v>2</v>
      </c>
      <c r="H1763">
        <v>10600</v>
      </c>
      <c r="I1763" s="6">
        <v>0.1</v>
      </c>
      <c r="J1763">
        <v>9540</v>
      </c>
    </row>
    <row r="1764" spans="1:10" x14ac:dyDescent="0.25">
      <c r="A1764" t="s">
        <v>1785</v>
      </c>
      <c r="B1764" s="2">
        <v>45604</v>
      </c>
      <c r="C1764" t="s">
        <v>14</v>
      </c>
      <c r="D1764" t="s">
        <v>2041</v>
      </c>
      <c r="E1764" t="s">
        <v>21</v>
      </c>
      <c r="F1764" t="s">
        <v>25</v>
      </c>
      <c r="G1764">
        <v>8</v>
      </c>
      <c r="H1764">
        <v>6700</v>
      </c>
      <c r="I1764" s="6">
        <v>0.15000000000000002</v>
      </c>
      <c r="J1764">
        <v>5695</v>
      </c>
    </row>
    <row r="1765" spans="1:10" x14ac:dyDescent="0.25">
      <c r="A1765" t="s">
        <v>1786</v>
      </c>
      <c r="B1765" s="2">
        <v>45605</v>
      </c>
      <c r="C1765" t="s">
        <v>14</v>
      </c>
      <c r="D1765" t="s">
        <v>2042</v>
      </c>
      <c r="E1765" t="s">
        <v>22</v>
      </c>
      <c r="F1765" t="s">
        <v>25</v>
      </c>
      <c r="G1765">
        <v>7</v>
      </c>
      <c r="H1765">
        <v>5300</v>
      </c>
      <c r="I1765" s="6">
        <v>0.2</v>
      </c>
      <c r="J1765">
        <v>4240</v>
      </c>
    </row>
    <row r="1766" spans="1:10" x14ac:dyDescent="0.25">
      <c r="A1766" t="s">
        <v>1787</v>
      </c>
      <c r="B1766" s="2">
        <v>45606</v>
      </c>
      <c r="C1766" t="s">
        <v>14</v>
      </c>
      <c r="D1766" t="s">
        <v>2043</v>
      </c>
      <c r="E1766" t="s">
        <v>19</v>
      </c>
      <c r="F1766" t="s">
        <v>25</v>
      </c>
      <c r="G1766">
        <v>7</v>
      </c>
      <c r="H1766">
        <v>10100</v>
      </c>
      <c r="I1766" s="6">
        <v>0.25</v>
      </c>
      <c r="J1766">
        <v>7575</v>
      </c>
    </row>
    <row r="1767" spans="1:10" x14ac:dyDescent="0.25">
      <c r="A1767" t="s">
        <v>1788</v>
      </c>
      <c r="B1767" s="2">
        <v>45607</v>
      </c>
      <c r="C1767" t="s">
        <v>14</v>
      </c>
      <c r="D1767" t="s">
        <v>2044</v>
      </c>
      <c r="E1767" t="s">
        <v>20</v>
      </c>
      <c r="F1767" t="s">
        <v>25</v>
      </c>
      <c r="G1767">
        <v>6</v>
      </c>
      <c r="H1767">
        <v>9400</v>
      </c>
      <c r="I1767" s="6">
        <v>0.05</v>
      </c>
      <c r="J1767">
        <v>8930</v>
      </c>
    </row>
    <row r="1768" spans="1:10" x14ac:dyDescent="0.25">
      <c r="A1768" t="s">
        <v>1789</v>
      </c>
      <c r="B1768" s="2">
        <v>45608</v>
      </c>
      <c r="C1768" t="s">
        <v>14</v>
      </c>
      <c r="D1768" t="s">
        <v>2045</v>
      </c>
      <c r="E1768" t="s">
        <v>21</v>
      </c>
      <c r="F1768" t="s">
        <v>25</v>
      </c>
      <c r="G1768">
        <v>8</v>
      </c>
      <c r="H1768">
        <v>6400</v>
      </c>
      <c r="I1768" s="6">
        <v>0.1</v>
      </c>
      <c r="J1768">
        <v>5760</v>
      </c>
    </row>
    <row r="1769" spans="1:10" x14ac:dyDescent="0.25">
      <c r="A1769" t="s">
        <v>1790</v>
      </c>
      <c r="B1769" s="2">
        <v>45609</v>
      </c>
      <c r="C1769" t="s">
        <v>14</v>
      </c>
      <c r="D1769" t="s">
        <v>2046</v>
      </c>
      <c r="E1769" t="s">
        <v>22</v>
      </c>
      <c r="F1769" t="s">
        <v>25</v>
      </c>
      <c r="G1769">
        <v>5</v>
      </c>
      <c r="H1769">
        <v>7100</v>
      </c>
      <c r="I1769" s="6">
        <v>0.15000000000000002</v>
      </c>
      <c r="J1769">
        <v>6035</v>
      </c>
    </row>
    <row r="1770" spans="1:10" x14ac:dyDescent="0.25">
      <c r="A1770" t="s">
        <v>1791</v>
      </c>
      <c r="B1770" s="2">
        <v>45610</v>
      </c>
      <c r="C1770" t="s">
        <v>14</v>
      </c>
      <c r="D1770" t="s">
        <v>2047</v>
      </c>
      <c r="E1770" t="s">
        <v>19</v>
      </c>
      <c r="F1770" t="s">
        <v>25</v>
      </c>
      <c r="G1770">
        <v>9</v>
      </c>
      <c r="H1770">
        <v>8500</v>
      </c>
      <c r="I1770" s="6">
        <v>0.2</v>
      </c>
      <c r="J1770">
        <v>6800</v>
      </c>
    </row>
    <row r="1771" spans="1:10" x14ac:dyDescent="0.25">
      <c r="A1771" t="s">
        <v>1792</v>
      </c>
      <c r="B1771" s="2">
        <v>45611</v>
      </c>
      <c r="C1771" t="s">
        <v>14</v>
      </c>
      <c r="D1771" t="s">
        <v>2048</v>
      </c>
      <c r="E1771" t="s">
        <v>20</v>
      </c>
      <c r="F1771" t="s">
        <v>25</v>
      </c>
      <c r="G1771">
        <v>1</v>
      </c>
      <c r="H1771">
        <v>14600</v>
      </c>
      <c r="I1771" s="6">
        <v>0.25</v>
      </c>
      <c r="J1771">
        <v>10950</v>
      </c>
    </row>
    <row r="1772" spans="1:10" x14ac:dyDescent="0.25">
      <c r="A1772" t="s">
        <v>1793</v>
      </c>
      <c r="B1772" s="2">
        <v>45612</v>
      </c>
      <c r="C1772" t="s">
        <v>12</v>
      </c>
      <c r="D1772" t="s">
        <v>15</v>
      </c>
      <c r="E1772" t="s">
        <v>21</v>
      </c>
      <c r="F1772" t="s">
        <v>23</v>
      </c>
      <c r="G1772">
        <v>4</v>
      </c>
      <c r="H1772">
        <v>5800</v>
      </c>
      <c r="I1772" s="6">
        <v>0.05</v>
      </c>
      <c r="J1772">
        <v>5510</v>
      </c>
    </row>
    <row r="1773" spans="1:10" x14ac:dyDescent="0.25">
      <c r="A1773" t="s">
        <v>1794</v>
      </c>
      <c r="B1773" s="2">
        <v>45613</v>
      </c>
      <c r="C1773" t="s">
        <v>12</v>
      </c>
      <c r="D1773" t="s">
        <v>17</v>
      </c>
      <c r="E1773" t="s">
        <v>22</v>
      </c>
      <c r="F1773" t="s">
        <v>23</v>
      </c>
      <c r="G1773">
        <v>3</v>
      </c>
      <c r="H1773">
        <v>6100</v>
      </c>
      <c r="I1773" s="6">
        <v>0.1</v>
      </c>
      <c r="J1773">
        <v>5490</v>
      </c>
    </row>
    <row r="1774" spans="1:10" x14ac:dyDescent="0.25">
      <c r="A1774" t="s">
        <v>1795</v>
      </c>
      <c r="B1774" s="2">
        <v>45614</v>
      </c>
      <c r="C1774" t="s">
        <v>12</v>
      </c>
      <c r="D1774" t="s">
        <v>2023</v>
      </c>
      <c r="E1774" t="s">
        <v>19</v>
      </c>
      <c r="F1774" t="s">
        <v>23</v>
      </c>
      <c r="G1774">
        <v>1</v>
      </c>
      <c r="H1774">
        <v>7600</v>
      </c>
      <c r="I1774" s="6">
        <v>0.15000000000000002</v>
      </c>
      <c r="J1774">
        <v>6460</v>
      </c>
    </row>
    <row r="1775" spans="1:10" x14ac:dyDescent="0.25">
      <c r="A1775" t="s">
        <v>1796</v>
      </c>
      <c r="B1775" s="2">
        <v>45615</v>
      </c>
      <c r="C1775" t="s">
        <v>12</v>
      </c>
      <c r="D1775" t="s">
        <v>18</v>
      </c>
      <c r="E1775" t="s">
        <v>20</v>
      </c>
      <c r="F1775" t="s">
        <v>23</v>
      </c>
      <c r="G1775">
        <v>2</v>
      </c>
      <c r="H1775">
        <v>8700</v>
      </c>
      <c r="I1775" s="6">
        <v>0.2</v>
      </c>
      <c r="J1775">
        <v>6960</v>
      </c>
    </row>
    <row r="1776" spans="1:10" x14ac:dyDescent="0.25">
      <c r="A1776" t="s">
        <v>1797</v>
      </c>
      <c r="B1776" s="2">
        <v>45616</v>
      </c>
      <c r="C1776" t="s">
        <v>12</v>
      </c>
      <c r="D1776" t="s">
        <v>2024</v>
      </c>
      <c r="E1776" t="s">
        <v>21</v>
      </c>
      <c r="F1776" t="s">
        <v>23</v>
      </c>
      <c r="G1776">
        <v>2</v>
      </c>
      <c r="H1776">
        <v>6000</v>
      </c>
      <c r="I1776" s="6">
        <v>0.25</v>
      </c>
      <c r="J1776">
        <v>4500</v>
      </c>
    </row>
    <row r="1777" spans="1:10" x14ac:dyDescent="0.25">
      <c r="A1777" t="s">
        <v>1798</v>
      </c>
      <c r="B1777" s="2">
        <v>45617</v>
      </c>
      <c r="C1777" t="s">
        <v>12</v>
      </c>
      <c r="D1777" t="s">
        <v>2025</v>
      </c>
      <c r="E1777" t="s">
        <v>22</v>
      </c>
      <c r="F1777" t="s">
        <v>23</v>
      </c>
      <c r="G1777">
        <v>9</v>
      </c>
      <c r="H1777">
        <v>8300</v>
      </c>
      <c r="I1777" s="6">
        <v>0.05</v>
      </c>
      <c r="J1777">
        <v>7885</v>
      </c>
    </row>
    <row r="1778" spans="1:10" x14ac:dyDescent="0.25">
      <c r="A1778" t="s">
        <v>1799</v>
      </c>
      <c r="B1778" s="2">
        <v>45618</v>
      </c>
      <c r="C1778" t="s">
        <v>12</v>
      </c>
      <c r="D1778" t="s">
        <v>2026</v>
      </c>
      <c r="E1778" t="s">
        <v>19</v>
      </c>
      <c r="F1778" t="s">
        <v>23</v>
      </c>
      <c r="G1778">
        <v>4</v>
      </c>
      <c r="H1778">
        <v>10100</v>
      </c>
      <c r="I1778" s="6">
        <v>0.1</v>
      </c>
      <c r="J1778">
        <v>9090</v>
      </c>
    </row>
    <row r="1779" spans="1:10" x14ac:dyDescent="0.25">
      <c r="A1779" t="s">
        <v>1800</v>
      </c>
      <c r="B1779" s="2">
        <v>45619</v>
      </c>
      <c r="C1779" t="s">
        <v>12</v>
      </c>
      <c r="D1779" t="s">
        <v>2027</v>
      </c>
      <c r="E1779" t="s">
        <v>20</v>
      </c>
      <c r="F1779" t="s">
        <v>23</v>
      </c>
      <c r="G1779">
        <v>2</v>
      </c>
      <c r="H1779">
        <v>11400</v>
      </c>
      <c r="I1779" s="6">
        <v>0.15000000000000002</v>
      </c>
      <c r="J1779">
        <v>9690</v>
      </c>
    </row>
    <row r="1780" spans="1:10" x14ac:dyDescent="0.25">
      <c r="A1780" t="s">
        <v>1801</v>
      </c>
      <c r="B1780" s="2">
        <v>45620</v>
      </c>
      <c r="C1780" t="s">
        <v>12</v>
      </c>
      <c r="D1780" t="s">
        <v>2028</v>
      </c>
      <c r="E1780" t="s">
        <v>21</v>
      </c>
      <c r="F1780" t="s">
        <v>23</v>
      </c>
      <c r="G1780">
        <v>7</v>
      </c>
      <c r="H1780">
        <v>4500</v>
      </c>
      <c r="I1780" s="6">
        <v>0.2</v>
      </c>
      <c r="J1780">
        <v>3600</v>
      </c>
    </row>
    <row r="1781" spans="1:10" x14ac:dyDescent="0.25">
      <c r="A1781" t="s">
        <v>1802</v>
      </c>
      <c r="B1781" s="2">
        <v>45621</v>
      </c>
      <c r="C1781" t="s">
        <v>12</v>
      </c>
      <c r="D1781" t="s">
        <v>2029</v>
      </c>
      <c r="E1781" t="s">
        <v>22</v>
      </c>
      <c r="F1781" t="s">
        <v>23</v>
      </c>
      <c r="G1781">
        <v>1</v>
      </c>
      <c r="H1781">
        <v>9100</v>
      </c>
      <c r="I1781" s="6">
        <v>0.25</v>
      </c>
      <c r="J1781">
        <v>6825</v>
      </c>
    </row>
    <row r="1782" spans="1:10" x14ac:dyDescent="0.25">
      <c r="A1782" t="s">
        <v>1803</v>
      </c>
      <c r="B1782" s="2">
        <v>45622</v>
      </c>
      <c r="C1782" t="s">
        <v>13</v>
      </c>
      <c r="D1782" t="s">
        <v>16</v>
      </c>
      <c r="E1782" t="s">
        <v>19</v>
      </c>
      <c r="F1782" t="s">
        <v>24</v>
      </c>
      <c r="G1782">
        <v>5</v>
      </c>
      <c r="H1782">
        <v>13400</v>
      </c>
      <c r="I1782" s="6">
        <v>0.05</v>
      </c>
      <c r="J1782">
        <v>12730</v>
      </c>
    </row>
    <row r="1783" spans="1:10" x14ac:dyDescent="0.25">
      <c r="A1783" t="s">
        <v>1804</v>
      </c>
      <c r="B1783" s="2">
        <v>45623</v>
      </c>
      <c r="C1783" t="s">
        <v>13</v>
      </c>
      <c r="D1783" t="s">
        <v>2030</v>
      </c>
      <c r="E1783" t="s">
        <v>20</v>
      </c>
      <c r="F1783" t="s">
        <v>24</v>
      </c>
      <c r="G1783">
        <v>1</v>
      </c>
      <c r="H1783">
        <v>13700</v>
      </c>
      <c r="I1783" s="6">
        <v>0.1</v>
      </c>
      <c r="J1783">
        <v>12330</v>
      </c>
    </row>
    <row r="1784" spans="1:10" x14ac:dyDescent="0.25">
      <c r="A1784" t="s">
        <v>1805</v>
      </c>
      <c r="B1784" s="2">
        <v>45624</v>
      </c>
      <c r="C1784" t="s">
        <v>13</v>
      </c>
      <c r="D1784" t="s">
        <v>2031</v>
      </c>
      <c r="E1784" t="s">
        <v>21</v>
      </c>
      <c r="F1784" t="s">
        <v>24</v>
      </c>
      <c r="G1784">
        <v>2</v>
      </c>
      <c r="H1784">
        <v>7400</v>
      </c>
      <c r="I1784" s="6">
        <v>0.15000000000000002</v>
      </c>
      <c r="J1784">
        <v>6290</v>
      </c>
    </row>
    <row r="1785" spans="1:10" x14ac:dyDescent="0.25">
      <c r="A1785" t="s">
        <v>1806</v>
      </c>
      <c r="B1785" s="2">
        <v>45625</v>
      </c>
      <c r="C1785" t="s">
        <v>13</v>
      </c>
      <c r="D1785" t="s">
        <v>2032</v>
      </c>
      <c r="E1785" t="s">
        <v>22</v>
      </c>
      <c r="F1785" t="s">
        <v>24</v>
      </c>
      <c r="G1785">
        <v>6</v>
      </c>
      <c r="H1785">
        <v>12000</v>
      </c>
      <c r="I1785" s="6">
        <v>0.2</v>
      </c>
      <c r="J1785">
        <v>9600</v>
      </c>
    </row>
    <row r="1786" spans="1:10" x14ac:dyDescent="0.25">
      <c r="A1786" t="s">
        <v>1807</v>
      </c>
      <c r="B1786" s="2">
        <v>45626</v>
      </c>
      <c r="C1786" t="s">
        <v>13</v>
      </c>
      <c r="D1786" t="s">
        <v>2033</v>
      </c>
      <c r="E1786" t="s">
        <v>19</v>
      </c>
      <c r="F1786" t="s">
        <v>24</v>
      </c>
      <c r="G1786">
        <v>4</v>
      </c>
      <c r="H1786">
        <v>6300</v>
      </c>
      <c r="I1786" s="6">
        <v>0.25</v>
      </c>
      <c r="J1786">
        <v>4725</v>
      </c>
    </row>
    <row r="1787" spans="1:10" x14ac:dyDescent="0.25">
      <c r="A1787" t="s">
        <v>1808</v>
      </c>
      <c r="B1787" s="2">
        <v>45627</v>
      </c>
      <c r="C1787" t="s">
        <v>13</v>
      </c>
      <c r="D1787" t="s">
        <v>2034</v>
      </c>
      <c r="E1787" t="s">
        <v>20</v>
      </c>
      <c r="F1787" t="s">
        <v>24</v>
      </c>
      <c r="G1787">
        <v>5</v>
      </c>
      <c r="H1787">
        <v>4100</v>
      </c>
      <c r="I1787" s="6">
        <v>0.05</v>
      </c>
      <c r="J1787">
        <v>3895</v>
      </c>
    </row>
    <row r="1788" spans="1:10" x14ac:dyDescent="0.25">
      <c r="A1788" t="s">
        <v>1809</v>
      </c>
      <c r="B1788" s="2">
        <v>45628</v>
      </c>
      <c r="C1788" t="s">
        <v>13</v>
      </c>
      <c r="D1788" t="s">
        <v>2035</v>
      </c>
      <c r="E1788" t="s">
        <v>21</v>
      </c>
      <c r="F1788" t="s">
        <v>24</v>
      </c>
      <c r="G1788">
        <v>4</v>
      </c>
      <c r="H1788">
        <v>5800</v>
      </c>
      <c r="I1788" s="6">
        <v>0.1</v>
      </c>
      <c r="J1788">
        <v>5220</v>
      </c>
    </row>
    <row r="1789" spans="1:10" x14ac:dyDescent="0.25">
      <c r="A1789" t="s">
        <v>1810</v>
      </c>
      <c r="B1789" s="2">
        <v>45629</v>
      </c>
      <c r="C1789" t="s">
        <v>13</v>
      </c>
      <c r="D1789" t="s">
        <v>2036</v>
      </c>
      <c r="E1789" t="s">
        <v>22</v>
      </c>
      <c r="F1789" t="s">
        <v>24</v>
      </c>
      <c r="G1789">
        <v>4</v>
      </c>
      <c r="H1789">
        <v>8500</v>
      </c>
      <c r="I1789" s="6">
        <v>0.15000000000000002</v>
      </c>
      <c r="J1789">
        <v>7225</v>
      </c>
    </row>
    <row r="1790" spans="1:10" x14ac:dyDescent="0.25">
      <c r="A1790" t="s">
        <v>1811</v>
      </c>
      <c r="B1790" s="2">
        <v>45630</v>
      </c>
      <c r="C1790" t="s">
        <v>13</v>
      </c>
      <c r="D1790" t="s">
        <v>2037</v>
      </c>
      <c r="E1790" t="s">
        <v>19</v>
      </c>
      <c r="F1790" t="s">
        <v>24</v>
      </c>
      <c r="G1790">
        <v>8</v>
      </c>
      <c r="H1790">
        <v>11200</v>
      </c>
      <c r="I1790" s="6">
        <v>0.2</v>
      </c>
      <c r="J1790">
        <v>8960</v>
      </c>
    </row>
    <row r="1791" spans="1:10" x14ac:dyDescent="0.25">
      <c r="A1791" t="s">
        <v>1812</v>
      </c>
      <c r="B1791" s="2">
        <v>45631</v>
      </c>
      <c r="C1791" t="s">
        <v>13</v>
      </c>
      <c r="D1791" t="s">
        <v>2038</v>
      </c>
      <c r="E1791" t="s">
        <v>20</v>
      </c>
      <c r="F1791" t="s">
        <v>24</v>
      </c>
      <c r="G1791">
        <v>3</v>
      </c>
      <c r="H1791">
        <v>14700</v>
      </c>
      <c r="I1791" s="6">
        <v>0.25</v>
      </c>
      <c r="J1791">
        <v>11025</v>
      </c>
    </row>
    <row r="1792" spans="1:10" x14ac:dyDescent="0.25">
      <c r="A1792" t="s">
        <v>1813</v>
      </c>
      <c r="B1792" s="2">
        <v>45632</v>
      </c>
      <c r="C1792" t="s">
        <v>14</v>
      </c>
      <c r="D1792" t="s">
        <v>2039</v>
      </c>
      <c r="E1792" t="s">
        <v>21</v>
      </c>
      <c r="F1792" t="s">
        <v>25</v>
      </c>
      <c r="G1792">
        <v>9</v>
      </c>
      <c r="H1792">
        <v>14200</v>
      </c>
      <c r="I1792" s="6">
        <v>0.05</v>
      </c>
      <c r="J1792">
        <v>13490</v>
      </c>
    </row>
    <row r="1793" spans="1:10" x14ac:dyDescent="0.25">
      <c r="A1793" t="s">
        <v>1814</v>
      </c>
      <c r="B1793" s="2">
        <v>45633</v>
      </c>
      <c r="C1793" t="s">
        <v>14</v>
      </c>
      <c r="D1793" t="s">
        <v>2040</v>
      </c>
      <c r="E1793" t="s">
        <v>22</v>
      </c>
      <c r="F1793" t="s">
        <v>25</v>
      </c>
      <c r="G1793">
        <v>6</v>
      </c>
      <c r="H1793">
        <v>14500</v>
      </c>
      <c r="I1793" s="6">
        <v>0.1</v>
      </c>
      <c r="J1793">
        <v>13050</v>
      </c>
    </row>
    <row r="1794" spans="1:10" x14ac:dyDescent="0.25">
      <c r="A1794" t="s">
        <v>1815</v>
      </c>
      <c r="B1794" s="2">
        <v>45634</v>
      </c>
      <c r="C1794" t="s">
        <v>14</v>
      </c>
      <c r="D1794" t="s">
        <v>2041</v>
      </c>
      <c r="E1794" t="s">
        <v>19</v>
      </c>
      <c r="F1794" t="s">
        <v>25</v>
      </c>
      <c r="G1794">
        <v>10</v>
      </c>
      <c r="H1794">
        <v>11300</v>
      </c>
      <c r="I1794" s="6">
        <v>0.15000000000000002</v>
      </c>
      <c r="J1794">
        <v>9605</v>
      </c>
    </row>
    <row r="1795" spans="1:10" x14ac:dyDescent="0.25">
      <c r="A1795" t="s">
        <v>1816</v>
      </c>
      <c r="B1795" s="2">
        <v>45635</v>
      </c>
      <c r="C1795" t="s">
        <v>14</v>
      </c>
      <c r="D1795" t="s">
        <v>2042</v>
      </c>
      <c r="E1795" t="s">
        <v>20</v>
      </c>
      <c r="F1795" t="s">
        <v>25</v>
      </c>
      <c r="G1795">
        <v>4</v>
      </c>
      <c r="H1795">
        <v>7800</v>
      </c>
      <c r="I1795" s="6">
        <v>0.2</v>
      </c>
      <c r="J1795">
        <v>6240</v>
      </c>
    </row>
    <row r="1796" spans="1:10" x14ac:dyDescent="0.25">
      <c r="A1796" t="s">
        <v>1817</v>
      </c>
      <c r="B1796" s="2">
        <v>45636</v>
      </c>
      <c r="C1796" t="s">
        <v>14</v>
      </c>
      <c r="D1796" t="s">
        <v>2043</v>
      </c>
      <c r="E1796" t="s">
        <v>21</v>
      </c>
      <c r="F1796" t="s">
        <v>25</v>
      </c>
      <c r="G1796">
        <v>4</v>
      </c>
      <c r="H1796">
        <v>6600</v>
      </c>
      <c r="I1796" s="6">
        <v>0.25</v>
      </c>
      <c r="J1796">
        <v>4950</v>
      </c>
    </row>
    <row r="1797" spans="1:10" x14ac:dyDescent="0.25">
      <c r="A1797" t="s">
        <v>1818</v>
      </c>
      <c r="B1797" s="2">
        <v>45637</v>
      </c>
      <c r="C1797" t="s">
        <v>14</v>
      </c>
      <c r="D1797" t="s">
        <v>2044</v>
      </c>
      <c r="E1797" t="s">
        <v>22</v>
      </c>
      <c r="F1797" t="s">
        <v>25</v>
      </c>
      <c r="G1797">
        <v>10</v>
      </c>
      <c r="H1797">
        <v>12300</v>
      </c>
      <c r="I1797" s="6">
        <v>0.05</v>
      </c>
      <c r="J1797">
        <v>11685</v>
      </c>
    </row>
    <row r="1798" spans="1:10" x14ac:dyDescent="0.25">
      <c r="A1798" t="s">
        <v>1819</v>
      </c>
      <c r="B1798" s="2">
        <v>45638</v>
      </c>
      <c r="C1798" t="s">
        <v>14</v>
      </c>
      <c r="D1798" t="s">
        <v>2045</v>
      </c>
      <c r="E1798" t="s">
        <v>19</v>
      </c>
      <c r="F1798" t="s">
        <v>25</v>
      </c>
      <c r="G1798">
        <v>10</v>
      </c>
      <c r="H1798">
        <v>4000</v>
      </c>
      <c r="I1798" s="6">
        <v>0.1</v>
      </c>
      <c r="J1798">
        <v>3600</v>
      </c>
    </row>
    <row r="1799" spans="1:10" x14ac:dyDescent="0.25">
      <c r="A1799" t="s">
        <v>1820</v>
      </c>
      <c r="B1799" s="2">
        <v>45639</v>
      </c>
      <c r="C1799" t="s">
        <v>14</v>
      </c>
      <c r="D1799" t="s">
        <v>2046</v>
      </c>
      <c r="E1799" t="s">
        <v>20</v>
      </c>
      <c r="F1799" t="s">
        <v>25</v>
      </c>
      <c r="G1799">
        <v>1</v>
      </c>
      <c r="H1799">
        <v>12100</v>
      </c>
      <c r="I1799" s="6">
        <v>0.15000000000000002</v>
      </c>
      <c r="J1799">
        <v>10285</v>
      </c>
    </row>
    <row r="1800" spans="1:10" x14ac:dyDescent="0.25">
      <c r="A1800" t="s">
        <v>1821</v>
      </c>
      <c r="B1800" s="2">
        <v>45640</v>
      </c>
      <c r="C1800" t="s">
        <v>14</v>
      </c>
      <c r="D1800" t="s">
        <v>2047</v>
      </c>
      <c r="E1800" t="s">
        <v>21</v>
      </c>
      <c r="F1800" t="s">
        <v>25</v>
      </c>
      <c r="G1800">
        <v>3</v>
      </c>
      <c r="H1800">
        <v>14700</v>
      </c>
      <c r="I1800" s="6">
        <v>0.2</v>
      </c>
      <c r="J1800">
        <v>11760</v>
      </c>
    </row>
    <row r="1801" spans="1:10" x14ac:dyDescent="0.25">
      <c r="A1801" t="s">
        <v>1822</v>
      </c>
      <c r="B1801" s="2">
        <v>45641</v>
      </c>
      <c r="C1801" t="s">
        <v>14</v>
      </c>
      <c r="D1801" t="s">
        <v>2048</v>
      </c>
      <c r="E1801" t="s">
        <v>22</v>
      </c>
      <c r="F1801" t="s">
        <v>25</v>
      </c>
      <c r="G1801">
        <v>8</v>
      </c>
      <c r="H1801">
        <v>8400</v>
      </c>
      <c r="I1801" s="6">
        <v>0.25</v>
      </c>
      <c r="J1801">
        <v>6300</v>
      </c>
    </row>
    <row r="1802" spans="1:10" x14ac:dyDescent="0.25">
      <c r="A1802" t="s">
        <v>1823</v>
      </c>
      <c r="B1802" s="2">
        <v>45642</v>
      </c>
      <c r="C1802" t="s">
        <v>12</v>
      </c>
      <c r="D1802" t="s">
        <v>15</v>
      </c>
      <c r="E1802" t="s">
        <v>19</v>
      </c>
      <c r="F1802" t="s">
        <v>23</v>
      </c>
      <c r="G1802">
        <v>10</v>
      </c>
      <c r="H1802">
        <v>4700</v>
      </c>
      <c r="I1802" s="6">
        <v>0.05</v>
      </c>
      <c r="J1802">
        <v>4465</v>
      </c>
    </row>
    <row r="1803" spans="1:10" x14ac:dyDescent="0.25">
      <c r="A1803" t="s">
        <v>1824</v>
      </c>
      <c r="B1803" s="2">
        <v>45643</v>
      </c>
      <c r="C1803" t="s">
        <v>12</v>
      </c>
      <c r="D1803" t="s">
        <v>17</v>
      </c>
      <c r="E1803" t="s">
        <v>20</v>
      </c>
      <c r="F1803" t="s">
        <v>23</v>
      </c>
      <c r="G1803">
        <v>5</v>
      </c>
      <c r="H1803">
        <v>7000</v>
      </c>
      <c r="I1803" s="6">
        <v>0.1</v>
      </c>
      <c r="J1803">
        <v>6300</v>
      </c>
    </row>
    <row r="1804" spans="1:10" x14ac:dyDescent="0.25">
      <c r="A1804" t="s">
        <v>1825</v>
      </c>
      <c r="B1804" s="2">
        <v>45644</v>
      </c>
      <c r="C1804" t="s">
        <v>12</v>
      </c>
      <c r="D1804" t="s">
        <v>2023</v>
      </c>
      <c r="E1804" t="s">
        <v>21</v>
      </c>
      <c r="F1804" t="s">
        <v>23</v>
      </c>
      <c r="G1804">
        <v>8</v>
      </c>
      <c r="H1804">
        <v>7900</v>
      </c>
      <c r="I1804" s="6">
        <v>0.15000000000000002</v>
      </c>
      <c r="J1804">
        <v>6715</v>
      </c>
    </row>
    <row r="1805" spans="1:10" x14ac:dyDescent="0.25">
      <c r="A1805" t="s">
        <v>1826</v>
      </c>
      <c r="B1805" s="2">
        <v>45645</v>
      </c>
      <c r="C1805" t="s">
        <v>12</v>
      </c>
      <c r="D1805" t="s">
        <v>18</v>
      </c>
      <c r="E1805" t="s">
        <v>22</v>
      </c>
      <c r="F1805" t="s">
        <v>23</v>
      </c>
      <c r="G1805">
        <v>6</v>
      </c>
      <c r="H1805">
        <v>12100</v>
      </c>
      <c r="I1805" s="6">
        <v>0.2</v>
      </c>
      <c r="J1805">
        <v>9680</v>
      </c>
    </row>
    <row r="1806" spans="1:10" x14ac:dyDescent="0.25">
      <c r="A1806" t="s">
        <v>1827</v>
      </c>
      <c r="B1806" s="2">
        <v>45646</v>
      </c>
      <c r="C1806" t="s">
        <v>12</v>
      </c>
      <c r="D1806" t="s">
        <v>2024</v>
      </c>
      <c r="E1806" t="s">
        <v>19</v>
      </c>
      <c r="F1806" t="s">
        <v>23</v>
      </c>
      <c r="G1806">
        <v>5</v>
      </c>
      <c r="H1806">
        <v>9200</v>
      </c>
      <c r="I1806" s="6">
        <v>0.25</v>
      </c>
      <c r="J1806">
        <v>6900</v>
      </c>
    </row>
    <row r="1807" spans="1:10" x14ac:dyDescent="0.25">
      <c r="A1807" t="s">
        <v>1828</v>
      </c>
      <c r="B1807" s="2">
        <v>45647</v>
      </c>
      <c r="C1807" t="s">
        <v>12</v>
      </c>
      <c r="D1807" t="s">
        <v>2025</v>
      </c>
      <c r="E1807" t="s">
        <v>20</v>
      </c>
      <c r="F1807" t="s">
        <v>23</v>
      </c>
      <c r="G1807">
        <v>2</v>
      </c>
      <c r="H1807">
        <v>9700</v>
      </c>
      <c r="I1807" s="6">
        <v>0.05</v>
      </c>
      <c r="J1807">
        <v>9215</v>
      </c>
    </row>
    <row r="1808" spans="1:10" x14ac:dyDescent="0.25">
      <c r="A1808" t="s">
        <v>1829</v>
      </c>
      <c r="B1808" s="2">
        <v>45648</v>
      </c>
      <c r="C1808" t="s">
        <v>12</v>
      </c>
      <c r="D1808" t="s">
        <v>2026</v>
      </c>
      <c r="E1808" t="s">
        <v>21</v>
      </c>
      <c r="F1808" t="s">
        <v>23</v>
      </c>
      <c r="G1808">
        <v>1</v>
      </c>
      <c r="H1808">
        <v>14600</v>
      </c>
      <c r="I1808" s="6">
        <v>0.1</v>
      </c>
      <c r="J1808">
        <v>13140</v>
      </c>
    </row>
    <row r="1809" spans="1:10" x14ac:dyDescent="0.25">
      <c r="A1809" t="s">
        <v>1830</v>
      </c>
      <c r="B1809" s="2">
        <v>45649</v>
      </c>
      <c r="C1809" t="s">
        <v>12</v>
      </c>
      <c r="D1809" t="s">
        <v>2027</v>
      </c>
      <c r="E1809" t="s">
        <v>22</v>
      </c>
      <c r="F1809" t="s">
        <v>23</v>
      </c>
      <c r="G1809">
        <v>5</v>
      </c>
      <c r="H1809">
        <v>13700</v>
      </c>
      <c r="I1809" s="6">
        <v>0.15000000000000002</v>
      </c>
      <c r="J1809">
        <v>11645</v>
      </c>
    </row>
    <row r="1810" spans="1:10" x14ac:dyDescent="0.25">
      <c r="A1810" t="s">
        <v>1831</v>
      </c>
      <c r="B1810" s="2">
        <v>45650</v>
      </c>
      <c r="C1810" t="s">
        <v>12</v>
      </c>
      <c r="D1810" t="s">
        <v>2028</v>
      </c>
      <c r="E1810" t="s">
        <v>19</v>
      </c>
      <c r="F1810" t="s">
        <v>23</v>
      </c>
      <c r="G1810">
        <v>5</v>
      </c>
      <c r="H1810">
        <v>14800</v>
      </c>
      <c r="I1810" s="6">
        <v>0.2</v>
      </c>
      <c r="J1810">
        <v>11840</v>
      </c>
    </row>
    <row r="1811" spans="1:10" x14ac:dyDescent="0.25">
      <c r="A1811" t="s">
        <v>1832</v>
      </c>
      <c r="B1811" s="2">
        <v>45651</v>
      </c>
      <c r="C1811" t="s">
        <v>12</v>
      </c>
      <c r="D1811" t="s">
        <v>2029</v>
      </c>
      <c r="E1811" t="s">
        <v>20</v>
      </c>
      <c r="F1811" t="s">
        <v>23</v>
      </c>
      <c r="G1811">
        <v>5</v>
      </c>
      <c r="H1811">
        <v>9000</v>
      </c>
      <c r="I1811" s="6">
        <v>0.25</v>
      </c>
      <c r="J1811">
        <v>6750</v>
      </c>
    </row>
    <row r="1812" spans="1:10" x14ac:dyDescent="0.25">
      <c r="A1812" t="s">
        <v>1833</v>
      </c>
      <c r="B1812" s="2">
        <v>45652</v>
      </c>
      <c r="C1812" t="s">
        <v>13</v>
      </c>
      <c r="D1812" t="s">
        <v>16</v>
      </c>
      <c r="E1812" t="s">
        <v>21</v>
      </c>
      <c r="F1812" t="s">
        <v>24</v>
      </c>
      <c r="G1812">
        <v>10</v>
      </c>
      <c r="H1812">
        <v>12100</v>
      </c>
      <c r="I1812" s="6">
        <v>0.05</v>
      </c>
      <c r="J1812">
        <v>11495</v>
      </c>
    </row>
    <row r="1813" spans="1:10" x14ac:dyDescent="0.25">
      <c r="A1813" t="s">
        <v>1834</v>
      </c>
      <c r="B1813" s="2">
        <v>45653</v>
      </c>
      <c r="C1813" t="s">
        <v>13</v>
      </c>
      <c r="D1813" t="s">
        <v>2030</v>
      </c>
      <c r="E1813" t="s">
        <v>22</v>
      </c>
      <c r="F1813" t="s">
        <v>24</v>
      </c>
      <c r="G1813">
        <v>4</v>
      </c>
      <c r="H1813">
        <v>8000</v>
      </c>
      <c r="I1813" s="6">
        <v>0.1</v>
      </c>
      <c r="J1813">
        <v>7200</v>
      </c>
    </row>
    <row r="1814" spans="1:10" x14ac:dyDescent="0.25">
      <c r="A1814" t="s">
        <v>1835</v>
      </c>
      <c r="B1814" s="2">
        <v>45654</v>
      </c>
      <c r="C1814" t="s">
        <v>13</v>
      </c>
      <c r="D1814" t="s">
        <v>2031</v>
      </c>
      <c r="E1814" t="s">
        <v>19</v>
      </c>
      <c r="F1814" t="s">
        <v>24</v>
      </c>
      <c r="G1814">
        <v>5</v>
      </c>
      <c r="H1814">
        <v>5700</v>
      </c>
      <c r="I1814" s="6">
        <v>0.15000000000000002</v>
      </c>
      <c r="J1814">
        <v>4845</v>
      </c>
    </row>
    <row r="1815" spans="1:10" x14ac:dyDescent="0.25">
      <c r="A1815" t="s">
        <v>1836</v>
      </c>
      <c r="B1815" s="2">
        <v>45655</v>
      </c>
      <c r="C1815" t="s">
        <v>13</v>
      </c>
      <c r="D1815" t="s">
        <v>2032</v>
      </c>
      <c r="E1815" t="s">
        <v>20</v>
      </c>
      <c r="F1815" t="s">
        <v>24</v>
      </c>
      <c r="G1815">
        <v>8</v>
      </c>
      <c r="H1815">
        <v>6000</v>
      </c>
      <c r="I1815" s="6">
        <v>0.2</v>
      </c>
      <c r="J1815">
        <v>4800</v>
      </c>
    </row>
    <row r="1816" spans="1:10" x14ac:dyDescent="0.25">
      <c r="A1816" t="s">
        <v>1837</v>
      </c>
      <c r="B1816" s="2">
        <v>45656</v>
      </c>
      <c r="C1816" t="s">
        <v>13</v>
      </c>
      <c r="D1816" t="s">
        <v>2033</v>
      </c>
      <c r="E1816" t="s">
        <v>21</v>
      </c>
      <c r="F1816" t="s">
        <v>24</v>
      </c>
      <c r="G1816">
        <v>7</v>
      </c>
      <c r="H1816">
        <v>11900</v>
      </c>
      <c r="I1816" s="6">
        <v>0.25</v>
      </c>
      <c r="J1816">
        <v>8925</v>
      </c>
    </row>
    <row r="1817" spans="1:10" x14ac:dyDescent="0.25">
      <c r="A1817" t="s">
        <v>1838</v>
      </c>
      <c r="B1817" s="2">
        <v>45657</v>
      </c>
      <c r="C1817" t="s">
        <v>13</v>
      </c>
      <c r="D1817" t="s">
        <v>2034</v>
      </c>
      <c r="E1817" t="s">
        <v>22</v>
      </c>
      <c r="F1817" t="s">
        <v>24</v>
      </c>
      <c r="G1817">
        <v>6</v>
      </c>
      <c r="H1817">
        <v>5300</v>
      </c>
      <c r="I1817" s="6">
        <v>0.05</v>
      </c>
      <c r="J1817">
        <v>5035</v>
      </c>
    </row>
    <row r="1818" spans="1:10" x14ac:dyDescent="0.25">
      <c r="A1818" t="s">
        <v>1839</v>
      </c>
      <c r="B1818" s="2">
        <v>45658</v>
      </c>
      <c r="C1818" t="s">
        <v>13</v>
      </c>
      <c r="D1818" t="s">
        <v>2035</v>
      </c>
      <c r="E1818" t="s">
        <v>19</v>
      </c>
      <c r="F1818" t="s">
        <v>24</v>
      </c>
      <c r="G1818">
        <v>9</v>
      </c>
      <c r="H1818">
        <v>14600</v>
      </c>
      <c r="I1818" s="6">
        <v>0.1</v>
      </c>
      <c r="J1818">
        <v>13140</v>
      </c>
    </row>
    <row r="1819" spans="1:10" x14ac:dyDescent="0.25">
      <c r="A1819" t="s">
        <v>1840</v>
      </c>
      <c r="B1819" s="2">
        <v>45659</v>
      </c>
      <c r="C1819" t="s">
        <v>13</v>
      </c>
      <c r="D1819" t="s">
        <v>2036</v>
      </c>
      <c r="E1819" t="s">
        <v>20</v>
      </c>
      <c r="F1819" t="s">
        <v>24</v>
      </c>
      <c r="G1819">
        <v>6</v>
      </c>
      <c r="H1819">
        <v>10800</v>
      </c>
      <c r="I1819" s="6">
        <v>0.15000000000000002</v>
      </c>
      <c r="J1819">
        <v>9180</v>
      </c>
    </row>
    <row r="1820" spans="1:10" x14ac:dyDescent="0.25">
      <c r="A1820" t="s">
        <v>1841</v>
      </c>
      <c r="B1820" s="2">
        <v>45660</v>
      </c>
      <c r="C1820" t="s">
        <v>13</v>
      </c>
      <c r="D1820" t="s">
        <v>2037</v>
      </c>
      <c r="E1820" t="s">
        <v>21</v>
      </c>
      <c r="F1820" t="s">
        <v>24</v>
      </c>
      <c r="G1820">
        <v>2</v>
      </c>
      <c r="H1820">
        <v>9700</v>
      </c>
      <c r="I1820" s="6">
        <v>0.2</v>
      </c>
      <c r="J1820">
        <v>7760</v>
      </c>
    </row>
    <row r="1821" spans="1:10" x14ac:dyDescent="0.25">
      <c r="A1821" t="s">
        <v>1842</v>
      </c>
      <c r="B1821" s="2">
        <v>45661</v>
      </c>
      <c r="C1821" t="s">
        <v>13</v>
      </c>
      <c r="D1821" t="s">
        <v>2038</v>
      </c>
      <c r="E1821" t="s">
        <v>22</v>
      </c>
      <c r="F1821" t="s">
        <v>24</v>
      </c>
      <c r="G1821">
        <v>9</v>
      </c>
      <c r="H1821">
        <v>12500</v>
      </c>
      <c r="I1821" s="6">
        <v>0.25</v>
      </c>
      <c r="J1821">
        <v>9375</v>
      </c>
    </row>
    <row r="1822" spans="1:10" x14ac:dyDescent="0.25">
      <c r="A1822" t="s">
        <v>1843</v>
      </c>
      <c r="B1822" s="2">
        <v>45662</v>
      </c>
      <c r="C1822" t="s">
        <v>14</v>
      </c>
      <c r="D1822" t="s">
        <v>2039</v>
      </c>
      <c r="E1822" t="s">
        <v>19</v>
      </c>
      <c r="F1822" t="s">
        <v>25</v>
      </c>
      <c r="G1822">
        <v>8</v>
      </c>
      <c r="H1822">
        <v>4600</v>
      </c>
      <c r="I1822" s="6">
        <v>0.05</v>
      </c>
      <c r="J1822">
        <v>4370</v>
      </c>
    </row>
    <row r="1823" spans="1:10" x14ac:dyDescent="0.25">
      <c r="A1823" t="s">
        <v>1844</v>
      </c>
      <c r="B1823" s="2">
        <v>45663</v>
      </c>
      <c r="C1823" t="s">
        <v>14</v>
      </c>
      <c r="D1823" t="s">
        <v>2040</v>
      </c>
      <c r="E1823" t="s">
        <v>20</v>
      </c>
      <c r="F1823" t="s">
        <v>25</v>
      </c>
      <c r="G1823">
        <v>1</v>
      </c>
      <c r="H1823">
        <v>11900</v>
      </c>
      <c r="I1823" s="6">
        <v>0.1</v>
      </c>
      <c r="J1823">
        <v>10710</v>
      </c>
    </row>
    <row r="1824" spans="1:10" x14ac:dyDescent="0.25">
      <c r="A1824" t="s">
        <v>1845</v>
      </c>
      <c r="B1824" s="2">
        <v>45664</v>
      </c>
      <c r="C1824" t="s">
        <v>14</v>
      </c>
      <c r="D1824" t="s">
        <v>2041</v>
      </c>
      <c r="E1824" t="s">
        <v>21</v>
      </c>
      <c r="F1824" t="s">
        <v>25</v>
      </c>
      <c r="G1824">
        <v>3</v>
      </c>
      <c r="H1824">
        <v>12600</v>
      </c>
      <c r="I1824" s="6">
        <v>0.15000000000000002</v>
      </c>
      <c r="J1824">
        <v>10710</v>
      </c>
    </row>
    <row r="1825" spans="1:10" x14ac:dyDescent="0.25">
      <c r="A1825" t="s">
        <v>1846</v>
      </c>
      <c r="B1825" s="2">
        <v>45665</v>
      </c>
      <c r="C1825" t="s">
        <v>14</v>
      </c>
      <c r="D1825" t="s">
        <v>2042</v>
      </c>
      <c r="E1825" t="s">
        <v>22</v>
      </c>
      <c r="F1825" t="s">
        <v>25</v>
      </c>
      <c r="G1825">
        <v>2</v>
      </c>
      <c r="H1825">
        <v>9100</v>
      </c>
      <c r="I1825" s="6">
        <v>0.2</v>
      </c>
      <c r="J1825">
        <v>7280</v>
      </c>
    </row>
    <row r="1826" spans="1:10" x14ac:dyDescent="0.25">
      <c r="A1826" t="s">
        <v>1847</v>
      </c>
      <c r="B1826" s="2">
        <v>45666</v>
      </c>
      <c r="C1826" t="s">
        <v>14</v>
      </c>
      <c r="D1826" t="s">
        <v>2043</v>
      </c>
      <c r="E1826" t="s">
        <v>19</v>
      </c>
      <c r="F1826" t="s">
        <v>25</v>
      </c>
      <c r="G1826">
        <v>4</v>
      </c>
      <c r="H1826">
        <v>7500</v>
      </c>
      <c r="I1826" s="6">
        <v>0.25</v>
      </c>
      <c r="J1826">
        <v>5625</v>
      </c>
    </row>
    <row r="1827" spans="1:10" x14ac:dyDescent="0.25">
      <c r="A1827" t="s">
        <v>1848</v>
      </c>
      <c r="B1827" s="2">
        <v>45667</v>
      </c>
      <c r="C1827" t="s">
        <v>14</v>
      </c>
      <c r="D1827" t="s">
        <v>2044</v>
      </c>
      <c r="E1827" t="s">
        <v>20</v>
      </c>
      <c r="F1827" t="s">
        <v>25</v>
      </c>
      <c r="G1827">
        <v>7</v>
      </c>
      <c r="H1827">
        <v>10900</v>
      </c>
      <c r="I1827" s="6">
        <v>0.05</v>
      </c>
      <c r="J1827">
        <v>10355</v>
      </c>
    </row>
    <row r="1828" spans="1:10" x14ac:dyDescent="0.25">
      <c r="A1828" t="s">
        <v>1849</v>
      </c>
      <c r="B1828" s="2">
        <v>45668</v>
      </c>
      <c r="C1828" t="s">
        <v>14</v>
      </c>
      <c r="D1828" t="s">
        <v>2045</v>
      </c>
      <c r="E1828" t="s">
        <v>21</v>
      </c>
      <c r="F1828" t="s">
        <v>25</v>
      </c>
      <c r="G1828">
        <v>10</v>
      </c>
      <c r="H1828">
        <v>14400</v>
      </c>
      <c r="I1828" s="6">
        <v>0.1</v>
      </c>
      <c r="J1828">
        <v>12960</v>
      </c>
    </row>
    <row r="1829" spans="1:10" x14ac:dyDescent="0.25">
      <c r="A1829" t="s">
        <v>1850</v>
      </c>
      <c r="B1829" s="2">
        <v>45669</v>
      </c>
      <c r="C1829" t="s">
        <v>14</v>
      </c>
      <c r="D1829" t="s">
        <v>2046</v>
      </c>
      <c r="E1829" t="s">
        <v>22</v>
      </c>
      <c r="F1829" t="s">
        <v>25</v>
      </c>
      <c r="G1829">
        <v>2</v>
      </c>
      <c r="H1829">
        <v>14400</v>
      </c>
      <c r="I1829" s="6">
        <v>0.15000000000000002</v>
      </c>
      <c r="J1829">
        <v>12240</v>
      </c>
    </row>
    <row r="1830" spans="1:10" x14ac:dyDescent="0.25">
      <c r="A1830" t="s">
        <v>1851</v>
      </c>
      <c r="B1830" s="2">
        <v>45670</v>
      </c>
      <c r="C1830" t="s">
        <v>14</v>
      </c>
      <c r="D1830" t="s">
        <v>2047</v>
      </c>
      <c r="E1830" t="s">
        <v>19</v>
      </c>
      <c r="F1830" t="s">
        <v>25</v>
      </c>
      <c r="G1830">
        <v>4</v>
      </c>
      <c r="H1830">
        <v>12100</v>
      </c>
      <c r="I1830" s="6">
        <v>0.2</v>
      </c>
      <c r="J1830">
        <v>9680</v>
      </c>
    </row>
    <row r="1831" spans="1:10" x14ac:dyDescent="0.25">
      <c r="A1831" t="s">
        <v>1852</v>
      </c>
      <c r="B1831" s="2">
        <v>45671</v>
      </c>
      <c r="C1831" t="s">
        <v>14</v>
      </c>
      <c r="D1831" t="s">
        <v>2048</v>
      </c>
      <c r="E1831" t="s">
        <v>20</v>
      </c>
      <c r="F1831" t="s">
        <v>25</v>
      </c>
      <c r="G1831">
        <v>6</v>
      </c>
      <c r="H1831">
        <v>13600</v>
      </c>
      <c r="I1831" s="6">
        <v>0.25</v>
      </c>
      <c r="J1831">
        <v>10200</v>
      </c>
    </row>
    <row r="1832" spans="1:10" x14ac:dyDescent="0.25">
      <c r="A1832" t="s">
        <v>1853</v>
      </c>
      <c r="B1832" s="2">
        <v>45672</v>
      </c>
      <c r="C1832" t="s">
        <v>12</v>
      </c>
      <c r="D1832" t="s">
        <v>15</v>
      </c>
      <c r="E1832" t="s">
        <v>21</v>
      </c>
      <c r="F1832" t="s">
        <v>23</v>
      </c>
      <c r="G1832">
        <v>9</v>
      </c>
      <c r="H1832">
        <v>14500</v>
      </c>
      <c r="I1832" s="6">
        <v>0.05</v>
      </c>
      <c r="J1832">
        <v>13775</v>
      </c>
    </row>
    <row r="1833" spans="1:10" x14ac:dyDescent="0.25">
      <c r="A1833" t="s">
        <v>1854</v>
      </c>
      <c r="B1833" s="2">
        <v>45673</v>
      </c>
      <c r="C1833" t="s">
        <v>12</v>
      </c>
      <c r="D1833" t="s">
        <v>17</v>
      </c>
      <c r="E1833" t="s">
        <v>22</v>
      </c>
      <c r="F1833" t="s">
        <v>23</v>
      </c>
      <c r="G1833">
        <v>2</v>
      </c>
      <c r="H1833">
        <v>6100</v>
      </c>
      <c r="I1833" s="6">
        <v>0.1</v>
      </c>
      <c r="J1833">
        <v>5490</v>
      </c>
    </row>
    <row r="1834" spans="1:10" x14ac:dyDescent="0.25">
      <c r="A1834" t="s">
        <v>1855</v>
      </c>
      <c r="B1834" s="2">
        <v>45674</v>
      </c>
      <c r="C1834" t="s">
        <v>12</v>
      </c>
      <c r="D1834" t="s">
        <v>2023</v>
      </c>
      <c r="E1834" t="s">
        <v>19</v>
      </c>
      <c r="F1834" t="s">
        <v>23</v>
      </c>
      <c r="G1834">
        <v>9</v>
      </c>
      <c r="H1834">
        <v>7900</v>
      </c>
      <c r="I1834" s="6">
        <v>0.15000000000000002</v>
      </c>
      <c r="J1834">
        <v>6715</v>
      </c>
    </row>
    <row r="1835" spans="1:10" x14ac:dyDescent="0.25">
      <c r="A1835" t="s">
        <v>1856</v>
      </c>
      <c r="B1835" s="2">
        <v>45675</v>
      </c>
      <c r="C1835" t="s">
        <v>12</v>
      </c>
      <c r="D1835" t="s">
        <v>18</v>
      </c>
      <c r="E1835" t="s">
        <v>20</v>
      </c>
      <c r="F1835" t="s">
        <v>23</v>
      </c>
      <c r="G1835">
        <v>4</v>
      </c>
      <c r="H1835">
        <v>5400</v>
      </c>
      <c r="I1835" s="6">
        <v>0.2</v>
      </c>
      <c r="J1835">
        <v>4320</v>
      </c>
    </row>
    <row r="1836" spans="1:10" x14ac:dyDescent="0.25">
      <c r="A1836" t="s">
        <v>1857</v>
      </c>
      <c r="B1836" s="2">
        <v>45676</v>
      </c>
      <c r="C1836" t="s">
        <v>12</v>
      </c>
      <c r="D1836" t="s">
        <v>2024</v>
      </c>
      <c r="E1836" t="s">
        <v>21</v>
      </c>
      <c r="F1836" t="s">
        <v>23</v>
      </c>
      <c r="G1836">
        <v>3</v>
      </c>
      <c r="H1836">
        <v>7000</v>
      </c>
      <c r="I1836" s="6">
        <v>0.25</v>
      </c>
      <c r="J1836">
        <v>5250</v>
      </c>
    </row>
    <row r="1837" spans="1:10" x14ac:dyDescent="0.25">
      <c r="A1837" t="s">
        <v>1858</v>
      </c>
      <c r="B1837" s="2">
        <v>45677</v>
      </c>
      <c r="C1837" t="s">
        <v>12</v>
      </c>
      <c r="D1837" t="s">
        <v>2025</v>
      </c>
      <c r="E1837" t="s">
        <v>22</v>
      </c>
      <c r="F1837" t="s">
        <v>23</v>
      </c>
      <c r="G1837">
        <v>6</v>
      </c>
      <c r="H1837">
        <v>6800</v>
      </c>
      <c r="I1837" s="6">
        <v>0.05</v>
      </c>
      <c r="J1837">
        <v>6460</v>
      </c>
    </row>
    <row r="1838" spans="1:10" x14ac:dyDescent="0.25">
      <c r="A1838" t="s">
        <v>1859</v>
      </c>
      <c r="B1838" s="2">
        <v>45678</v>
      </c>
      <c r="C1838" t="s">
        <v>12</v>
      </c>
      <c r="D1838" t="s">
        <v>2026</v>
      </c>
      <c r="E1838" t="s">
        <v>19</v>
      </c>
      <c r="F1838" t="s">
        <v>23</v>
      </c>
      <c r="G1838">
        <v>9</v>
      </c>
      <c r="H1838">
        <v>9500</v>
      </c>
      <c r="I1838" s="6">
        <v>0.1</v>
      </c>
      <c r="J1838">
        <v>8550</v>
      </c>
    </row>
    <row r="1839" spans="1:10" x14ac:dyDescent="0.25">
      <c r="A1839" t="s">
        <v>1860</v>
      </c>
      <c r="B1839" s="2">
        <v>45679</v>
      </c>
      <c r="C1839" t="s">
        <v>12</v>
      </c>
      <c r="D1839" t="s">
        <v>2027</v>
      </c>
      <c r="E1839" t="s">
        <v>20</v>
      </c>
      <c r="F1839" t="s">
        <v>23</v>
      </c>
      <c r="G1839">
        <v>3</v>
      </c>
      <c r="H1839">
        <v>13000</v>
      </c>
      <c r="I1839" s="6">
        <v>0.15000000000000002</v>
      </c>
      <c r="J1839">
        <v>11050</v>
      </c>
    </row>
    <row r="1840" spans="1:10" x14ac:dyDescent="0.25">
      <c r="A1840" t="s">
        <v>1861</v>
      </c>
      <c r="B1840" s="2">
        <v>45680</v>
      </c>
      <c r="C1840" t="s">
        <v>12</v>
      </c>
      <c r="D1840" t="s">
        <v>2028</v>
      </c>
      <c r="E1840" t="s">
        <v>21</v>
      </c>
      <c r="F1840" t="s">
        <v>23</v>
      </c>
      <c r="G1840">
        <v>10</v>
      </c>
      <c r="H1840">
        <v>14700</v>
      </c>
      <c r="I1840" s="6">
        <v>0.2</v>
      </c>
      <c r="J1840">
        <v>11760</v>
      </c>
    </row>
    <row r="1841" spans="1:10" x14ac:dyDescent="0.25">
      <c r="A1841" t="s">
        <v>1862</v>
      </c>
      <c r="B1841" s="2">
        <v>45681</v>
      </c>
      <c r="C1841" t="s">
        <v>12</v>
      </c>
      <c r="D1841" t="s">
        <v>2029</v>
      </c>
      <c r="E1841" t="s">
        <v>22</v>
      </c>
      <c r="F1841" t="s">
        <v>23</v>
      </c>
      <c r="G1841">
        <v>9</v>
      </c>
      <c r="H1841">
        <v>4200</v>
      </c>
      <c r="I1841" s="6">
        <v>0.25</v>
      </c>
      <c r="J1841">
        <v>3150</v>
      </c>
    </row>
    <row r="1842" spans="1:10" x14ac:dyDescent="0.25">
      <c r="A1842" t="s">
        <v>1863</v>
      </c>
      <c r="B1842" s="2">
        <v>45682</v>
      </c>
      <c r="C1842" t="s">
        <v>13</v>
      </c>
      <c r="D1842" t="s">
        <v>16</v>
      </c>
      <c r="E1842" t="s">
        <v>19</v>
      </c>
      <c r="F1842" t="s">
        <v>24</v>
      </c>
      <c r="G1842">
        <v>6</v>
      </c>
      <c r="H1842">
        <v>14800</v>
      </c>
      <c r="I1842" s="6">
        <v>0.05</v>
      </c>
      <c r="J1842">
        <v>14060</v>
      </c>
    </row>
    <row r="1843" spans="1:10" x14ac:dyDescent="0.25">
      <c r="A1843" t="s">
        <v>1864</v>
      </c>
      <c r="B1843" s="2">
        <v>45683</v>
      </c>
      <c r="C1843" t="s">
        <v>13</v>
      </c>
      <c r="D1843" t="s">
        <v>2030</v>
      </c>
      <c r="E1843" t="s">
        <v>20</v>
      </c>
      <c r="F1843" t="s">
        <v>24</v>
      </c>
      <c r="G1843">
        <v>3</v>
      </c>
      <c r="H1843">
        <v>4700</v>
      </c>
      <c r="I1843" s="6">
        <v>0.1</v>
      </c>
      <c r="J1843">
        <v>4230</v>
      </c>
    </row>
    <row r="1844" spans="1:10" x14ac:dyDescent="0.25">
      <c r="A1844" t="s">
        <v>1865</v>
      </c>
      <c r="B1844" s="2">
        <v>45684</v>
      </c>
      <c r="C1844" t="s">
        <v>13</v>
      </c>
      <c r="D1844" t="s">
        <v>2031</v>
      </c>
      <c r="E1844" t="s">
        <v>21</v>
      </c>
      <c r="F1844" t="s">
        <v>24</v>
      </c>
      <c r="G1844">
        <v>6</v>
      </c>
      <c r="H1844">
        <v>11200</v>
      </c>
      <c r="I1844" s="6">
        <v>0.15000000000000002</v>
      </c>
      <c r="J1844">
        <v>9520</v>
      </c>
    </row>
    <row r="1845" spans="1:10" x14ac:dyDescent="0.25">
      <c r="A1845" t="s">
        <v>1866</v>
      </c>
      <c r="B1845" s="2">
        <v>45685</v>
      </c>
      <c r="C1845" t="s">
        <v>13</v>
      </c>
      <c r="D1845" t="s">
        <v>2032</v>
      </c>
      <c r="E1845" t="s">
        <v>22</v>
      </c>
      <c r="F1845" t="s">
        <v>24</v>
      </c>
      <c r="G1845">
        <v>4</v>
      </c>
      <c r="H1845">
        <v>7400</v>
      </c>
      <c r="I1845" s="6">
        <v>0.2</v>
      </c>
      <c r="J1845">
        <v>5920</v>
      </c>
    </row>
    <row r="1846" spans="1:10" x14ac:dyDescent="0.25">
      <c r="A1846" t="s">
        <v>1867</v>
      </c>
      <c r="B1846" s="2">
        <v>45686</v>
      </c>
      <c r="C1846" t="s">
        <v>13</v>
      </c>
      <c r="D1846" t="s">
        <v>2033</v>
      </c>
      <c r="E1846" t="s">
        <v>19</v>
      </c>
      <c r="F1846" t="s">
        <v>24</v>
      </c>
      <c r="G1846">
        <v>9</v>
      </c>
      <c r="H1846">
        <v>10400</v>
      </c>
      <c r="I1846" s="6">
        <v>0.25</v>
      </c>
      <c r="J1846">
        <v>7800</v>
      </c>
    </row>
    <row r="1847" spans="1:10" x14ac:dyDescent="0.25">
      <c r="A1847" t="s">
        <v>1868</v>
      </c>
      <c r="B1847" s="2">
        <v>45687</v>
      </c>
      <c r="C1847" t="s">
        <v>13</v>
      </c>
      <c r="D1847" t="s">
        <v>2034</v>
      </c>
      <c r="E1847" t="s">
        <v>20</v>
      </c>
      <c r="F1847" t="s">
        <v>24</v>
      </c>
      <c r="G1847">
        <v>10</v>
      </c>
      <c r="H1847">
        <v>5100</v>
      </c>
      <c r="I1847" s="6">
        <v>0.05</v>
      </c>
      <c r="J1847">
        <v>4845</v>
      </c>
    </row>
    <row r="1848" spans="1:10" x14ac:dyDescent="0.25">
      <c r="A1848" t="s">
        <v>1869</v>
      </c>
      <c r="B1848" s="2">
        <v>45688</v>
      </c>
      <c r="C1848" t="s">
        <v>13</v>
      </c>
      <c r="D1848" t="s">
        <v>2035</v>
      </c>
      <c r="E1848" t="s">
        <v>21</v>
      </c>
      <c r="F1848" t="s">
        <v>24</v>
      </c>
      <c r="G1848">
        <v>7</v>
      </c>
      <c r="H1848">
        <v>8000</v>
      </c>
      <c r="I1848" s="6">
        <v>0.1</v>
      </c>
      <c r="J1848">
        <v>7200</v>
      </c>
    </row>
    <row r="1849" spans="1:10" x14ac:dyDescent="0.25">
      <c r="A1849" t="s">
        <v>1870</v>
      </c>
      <c r="B1849" s="2">
        <v>45689</v>
      </c>
      <c r="C1849" t="s">
        <v>13</v>
      </c>
      <c r="D1849" t="s">
        <v>2036</v>
      </c>
      <c r="E1849" t="s">
        <v>22</v>
      </c>
      <c r="F1849" t="s">
        <v>24</v>
      </c>
      <c r="G1849">
        <v>5</v>
      </c>
      <c r="H1849">
        <v>7400</v>
      </c>
      <c r="I1849" s="6">
        <v>0.15000000000000002</v>
      </c>
      <c r="J1849">
        <v>6290</v>
      </c>
    </row>
    <row r="1850" spans="1:10" x14ac:dyDescent="0.25">
      <c r="A1850" t="s">
        <v>1871</v>
      </c>
      <c r="B1850" s="2">
        <v>45690</v>
      </c>
      <c r="C1850" t="s">
        <v>13</v>
      </c>
      <c r="D1850" t="s">
        <v>2037</v>
      </c>
      <c r="E1850" t="s">
        <v>19</v>
      </c>
      <c r="F1850" t="s">
        <v>24</v>
      </c>
      <c r="G1850">
        <v>3</v>
      </c>
      <c r="H1850">
        <v>6200</v>
      </c>
      <c r="I1850" s="6">
        <v>0.2</v>
      </c>
      <c r="J1850">
        <v>4960</v>
      </c>
    </row>
    <row r="1851" spans="1:10" x14ac:dyDescent="0.25">
      <c r="A1851" t="s">
        <v>1872</v>
      </c>
      <c r="B1851" s="2">
        <v>45691</v>
      </c>
      <c r="C1851" t="s">
        <v>13</v>
      </c>
      <c r="D1851" t="s">
        <v>2038</v>
      </c>
      <c r="E1851" t="s">
        <v>20</v>
      </c>
      <c r="F1851" t="s">
        <v>24</v>
      </c>
      <c r="G1851">
        <v>10</v>
      </c>
      <c r="H1851">
        <v>8300</v>
      </c>
      <c r="I1851" s="6">
        <v>0.25</v>
      </c>
      <c r="J1851">
        <v>6225</v>
      </c>
    </row>
    <row r="1852" spans="1:10" x14ac:dyDescent="0.25">
      <c r="A1852" t="s">
        <v>1873</v>
      </c>
      <c r="B1852" s="2">
        <v>45692</v>
      </c>
      <c r="C1852" t="s">
        <v>14</v>
      </c>
      <c r="D1852" t="s">
        <v>2039</v>
      </c>
      <c r="E1852" t="s">
        <v>21</v>
      </c>
      <c r="F1852" t="s">
        <v>25</v>
      </c>
      <c r="G1852">
        <v>6</v>
      </c>
      <c r="H1852">
        <v>7100</v>
      </c>
      <c r="I1852" s="6">
        <v>0.05</v>
      </c>
      <c r="J1852">
        <v>6745</v>
      </c>
    </row>
    <row r="1853" spans="1:10" x14ac:dyDescent="0.25">
      <c r="A1853" t="s">
        <v>1874</v>
      </c>
      <c r="B1853" s="2">
        <v>45693</v>
      </c>
      <c r="C1853" t="s">
        <v>14</v>
      </c>
      <c r="D1853" t="s">
        <v>2040</v>
      </c>
      <c r="E1853" t="s">
        <v>22</v>
      </c>
      <c r="F1853" t="s">
        <v>25</v>
      </c>
      <c r="G1853">
        <v>4</v>
      </c>
      <c r="H1853">
        <v>7700</v>
      </c>
      <c r="I1853" s="6">
        <v>0.1</v>
      </c>
      <c r="J1853">
        <v>6930</v>
      </c>
    </row>
    <row r="1854" spans="1:10" x14ac:dyDescent="0.25">
      <c r="A1854" t="s">
        <v>1875</v>
      </c>
      <c r="B1854" s="2">
        <v>45694</v>
      </c>
      <c r="C1854" t="s">
        <v>14</v>
      </c>
      <c r="D1854" t="s">
        <v>2041</v>
      </c>
      <c r="E1854" t="s">
        <v>19</v>
      </c>
      <c r="F1854" t="s">
        <v>25</v>
      </c>
      <c r="G1854">
        <v>6</v>
      </c>
      <c r="H1854">
        <v>7400</v>
      </c>
      <c r="I1854" s="6">
        <v>0.15000000000000002</v>
      </c>
      <c r="J1854">
        <v>6290</v>
      </c>
    </row>
    <row r="1855" spans="1:10" x14ac:dyDescent="0.25">
      <c r="A1855" t="s">
        <v>1876</v>
      </c>
      <c r="B1855" s="2">
        <v>45695</v>
      </c>
      <c r="C1855" t="s">
        <v>14</v>
      </c>
      <c r="D1855" t="s">
        <v>2042</v>
      </c>
      <c r="E1855" t="s">
        <v>20</v>
      </c>
      <c r="F1855" t="s">
        <v>25</v>
      </c>
      <c r="G1855">
        <v>1</v>
      </c>
      <c r="H1855">
        <v>12800</v>
      </c>
      <c r="I1855" s="6">
        <v>0.2</v>
      </c>
      <c r="J1855">
        <v>10240</v>
      </c>
    </row>
    <row r="1856" spans="1:10" x14ac:dyDescent="0.25">
      <c r="A1856" t="s">
        <v>1877</v>
      </c>
      <c r="B1856" s="2">
        <v>45696</v>
      </c>
      <c r="C1856" t="s">
        <v>14</v>
      </c>
      <c r="D1856" t="s">
        <v>2043</v>
      </c>
      <c r="E1856" t="s">
        <v>21</v>
      </c>
      <c r="F1856" t="s">
        <v>25</v>
      </c>
      <c r="G1856">
        <v>10</v>
      </c>
      <c r="H1856">
        <v>12500</v>
      </c>
      <c r="I1856" s="6">
        <v>0.25</v>
      </c>
      <c r="J1856">
        <v>9375</v>
      </c>
    </row>
    <row r="1857" spans="1:10" x14ac:dyDescent="0.25">
      <c r="A1857" t="s">
        <v>1878</v>
      </c>
      <c r="B1857" s="2">
        <v>45697</v>
      </c>
      <c r="C1857" t="s">
        <v>14</v>
      </c>
      <c r="D1857" t="s">
        <v>2044</v>
      </c>
      <c r="E1857" t="s">
        <v>22</v>
      </c>
      <c r="F1857" t="s">
        <v>25</v>
      </c>
      <c r="G1857">
        <v>1</v>
      </c>
      <c r="H1857">
        <v>12000</v>
      </c>
      <c r="I1857" s="6">
        <v>0.05</v>
      </c>
      <c r="J1857">
        <v>11400</v>
      </c>
    </row>
    <row r="1858" spans="1:10" x14ac:dyDescent="0.25">
      <c r="A1858" t="s">
        <v>1879</v>
      </c>
      <c r="B1858" s="2">
        <v>45698</v>
      </c>
      <c r="C1858" t="s">
        <v>14</v>
      </c>
      <c r="D1858" t="s">
        <v>2045</v>
      </c>
      <c r="E1858" t="s">
        <v>19</v>
      </c>
      <c r="F1858" t="s">
        <v>25</v>
      </c>
      <c r="G1858">
        <v>10</v>
      </c>
      <c r="H1858">
        <v>14300</v>
      </c>
      <c r="I1858" s="6">
        <v>0.1</v>
      </c>
      <c r="J1858">
        <v>12870</v>
      </c>
    </row>
    <row r="1859" spans="1:10" x14ac:dyDescent="0.25">
      <c r="A1859" t="s">
        <v>1880</v>
      </c>
      <c r="B1859" s="2">
        <v>45699</v>
      </c>
      <c r="C1859" t="s">
        <v>14</v>
      </c>
      <c r="D1859" t="s">
        <v>2046</v>
      </c>
      <c r="E1859" t="s">
        <v>20</v>
      </c>
      <c r="F1859" t="s">
        <v>25</v>
      </c>
      <c r="G1859">
        <v>7</v>
      </c>
      <c r="H1859">
        <v>9100</v>
      </c>
      <c r="I1859" s="6">
        <v>0.15000000000000002</v>
      </c>
      <c r="J1859">
        <v>7735</v>
      </c>
    </row>
    <row r="1860" spans="1:10" x14ac:dyDescent="0.25">
      <c r="A1860" t="s">
        <v>1881</v>
      </c>
      <c r="B1860" s="2">
        <v>45700</v>
      </c>
      <c r="C1860" t="s">
        <v>14</v>
      </c>
      <c r="D1860" t="s">
        <v>2047</v>
      </c>
      <c r="E1860" t="s">
        <v>21</v>
      </c>
      <c r="F1860" t="s">
        <v>25</v>
      </c>
      <c r="G1860">
        <v>6</v>
      </c>
      <c r="H1860">
        <v>7700</v>
      </c>
      <c r="I1860" s="6">
        <v>0.2</v>
      </c>
      <c r="J1860">
        <v>6160</v>
      </c>
    </row>
    <row r="1861" spans="1:10" x14ac:dyDescent="0.25">
      <c r="A1861" t="s">
        <v>1882</v>
      </c>
      <c r="B1861" s="2">
        <v>45701</v>
      </c>
      <c r="C1861" t="s">
        <v>14</v>
      </c>
      <c r="D1861" t="s">
        <v>2048</v>
      </c>
      <c r="E1861" t="s">
        <v>22</v>
      </c>
      <c r="F1861" t="s">
        <v>25</v>
      </c>
      <c r="G1861">
        <v>2</v>
      </c>
      <c r="H1861">
        <v>4700</v>
      </c>
      <c r="I1861" s="6">
        <v>0.25</v>
      </c>
      <c r="J1861">
        <v>3525</v>
      </c>
    </row>
    <row r="1862" spans="1:10" x14ac:dyDescent="0.25">
      <c r="A1862" t="s">
        <v>1883</v>
      </c>
      <c r="B1862" s="2">
        <v>45702</v>
      </c>
      <c r="C1862" t="s">
        <v>12</v>
      </c>
      <c r="D1862" t="s">
        <v>15</v>
      </c>
      <c r="E1862" t="s">
        <v>19</v>
      </c>
      <c r="F1862" t="s">
        <v>23</v>
      </c>
      <c r="G1862">
        <v>9</v>
      </c>
      <c r="H1862">
        <v>14600</v>
      </c>
      <c r="I1862" s="6">
        <v>0.05</v>
      </c>
      <c r="J1862">
        <v>13870</v>
      </c>
    </row>
    <row r="1863" spans="1:10" x14ac:dyDescent="0.25">
      <c r="A1863" t="s">
        <v>1884</v>
      </c>
      <c r="B1863" s="2">
        <v>45703</v>
      </c>
      <c r="C1863" t="s">
        <v>12</v>
      </c>
      <c r="D1863" t="s">
        <v>17</v>
      </c>
      <c r="E1863" t="s">
        <v>20</v>
      </c>
      <c r="F1863" t="s">
        <v>23</v>
      </c>
      <c r="G1863">
        <v>2</v>
      </c>
      <c r="H1863">
        <v>7600</v>
      </c>
      <c r="I1863" s="6">
        <v>0.1</v>
      </c>
      <c r="J1863">
        <v>6840</v>
      </c>
    </row>
    <row r="1864" spans="1:10" x14ac:dyDescent="0.25">
      <c r="A1864" t="s">
        <v>1885</v>
      </c>
      <c r="B1864" s="2">
        <v>45704</v>
      </c>
      <c r="C1864" t="s">
        <v>12</v>
      </c>
      <c r="D1864" t="s">
        <v>2023</v>
      </c>
      <c r="E1864" t="s">
        <v>21</v>
      </c>
      <c r="F1864" t="s">
        <v>23</v>
      </c>
      <c r="G1864">
        <v>9</v>
      </c>
      <c r="H1864">
        <v>11200</v>
      </c>
      <c r="I1864" s="6">
        <v>0.15000000000000002</v>
      </c>
      <c r="J1864">
        <v>9520</v>
      </c>
    </row>
    <row r="1865" spans="1:10" x14ac:dyDescent="0.25">
      <c r="A1865" t="s">
        <v>1886</v>
      </c>
      <c r="B1865" s="2">
        <v>45705</v>
      </c>
      <c r="C1865" t="s">
        <v>12</v>
      </c>
      <c r="D1865" t="s">
        <v>18</v>
      </c>
      <c r="E1865" t="s">
        <v>22</v>
      </c>
      <c r="F1865" t="s">
        <v>23</v>
      </c>
      <c r="G1865">
        <v>6</v>
      </c>
      <c r="H1865">
        <v>14500</v>
      </c>
      <c r="I1865" s="6">
        <v>0.2</v>
      </c>
      <c r="J1865">
        <v>11600</v>
      </c>
    </row>
    <row r="1866" spans="1:10" x14ac:dyDescent="0.25">
      <c r="A1866" t="s">
        <v>1887</v>
      </c>
      <c r="B1866" s="2">
        <v>45706</v>
      </c>
      <c r="C1866" t="s">
        <v>12</v>
      </c>
      <c r="D1866" t="s">
        <v>2024</v>
      </c>
      <c r="E1866" t="s">
        <v>19</v>
      </c>
      <c r="F1866" t="s">
        <v>23</v>
      </c>
      <c r="G1866">
        <v>1</v>
      </c>
      <c r="H1866">
        <v>4600</v>
      </c>
      <c r="I1866" s="6">
        <v>0.25</v>
      </c>
      <c r="J1866">
        <v>3450</v>
      </c>
    </row>
    <row r="1867" spans="1:10" x14ac:dyDescent="0.25">
      <c r="A1867" t="s">
        <v>1888</v>
      </c>
      <c r="B1867" s="2">
        <v>45707</v>
      </c>
      <c r="C1867" t="s">
        <v>12</v>
      </c>
      <c r="D1867" t="s">
        <v>2025</v>
      </c>
      <c r="E1867" t="s">
        <v>20</v>
      </c>
      <c r="F1867" t="s">
        <v>23</v>
      </c>
      <c r="G1867">
        <v>9</v>
      </c>
      <c r="H1867">
        <v>10400</v>
      </c>
      <c r="I1867" s="6">
        <v>0.05</v>
      </c>
      <c r="J1867">
        <v>9880</v>
      </c>
    </row>
    <row r="1868" spans="1:10" x14ac:dyDescent="0.25">
      <c r="A1868" t="s">
        <v>1889</v>
      </c>
      <c r="B1868" s="2">
        <v>45708</v>
      </c>
      <c r="C1868" t="s">
        <v>12</v>
      </c>
      <c r="D1868" t="s">
        <v>2026</v>
      </c>
      <c r="E1868" t="s">
        <v>21</v>
      </c>
      <c r="F1868" t="s">
        <v>23</v>
      </c>
      <c r="G1868">
        <v>9</v>
      </c>
      <c r="H1868">
        <v>13400</v>
      </c>
      <c r="I1868" s="6">
        <v>0.1</v>
      </c>
      <c r="J1868">
        <v>12060</v>
      </c>
    </row>
    <row r="1869" spans="1:10" x14ac:dyDescent="0.25">
      <c r="A1869" t="s">
        <v>1890</v>
      </c>
      <c r="B1869" s="2">
        <v>45709</v>
      </c>
      <c r="C1869" t="s">
        <v>12</v>
      </c>
      <c r="D1869" t="s">
        <v>2027</v>
      </c>
      <c r="E1869" t="s">
        <v>22</v>
      </c>
      <c r="F1869" t="s">
        <v>23</v>
      </c>
      <c r="G1869">
        <v>10</v>
      </c>
      <c r="H1869">
        <v>4900</v>
      </c>
      <c r="I1869" s="6">
        <v>0.15000000000000002</v>
      </c>
      <c r="J1869">
        <v>4165</v>
      </c>
    </row>
    <row r="1870" spans="1:10" x14ac:dyDescent="0.25">
      <c r="A1870" t="s">
        <v>1891</v>
      </c>
      <c r="B1870" s="2">
        <v>45710</v>
      </c>
      <c r="C1870" t="s">
        <v>12</v>
      </c>
      <c r="D1870" t="s">
        <v>2028</v>
      </c>
      <c r="E1870" t="s">
        <v>19</v>
      </c>
      <c r="F1870" t="s">
        <v>23</v>
      </c>
      <c r="G1870">
        <v>10</v>
      </c>
      <c r="H1870">
        <v>14100</v>
      </c>
      <c r="I1870" s="6">
        <v>0.2</v>
      </c>
      <c r="J1870">
        <v>11280</v>
      </c>
    </row>
    <row r="1871" spans="1:10" x14ac:dyDescent="0.25">
      <c r="A1871" t="s">
        <v>1892</v>
      </c>
      <c r="B1871" s="2">
        <v>45711</v>
      </c>
      <c r="C1871" t="s">
        <v>12</v>
      </c>
      <c r="D1871" t="s">
        <v>2029</v>
      </c>
      <c r="E1871" t="s">
        <v>20</v>
      </c>
      <c r="F1871" t="s">
        <v>23</v>
      </c>
      <c r="G1871">
        <v>7</v>
      </c>
      <c r="H1871">
        <v>12200</v>
      </c>
      <c r="I1871" s="6">
        <v>0.25</v>
      </c>
      <c r="J1871">
        <v>9150</v>
      </c>
    </row>
    <row r="1872" spans="1:10" x14ac:dyDescent="0.25">
      <c r="A1872" t="s">
        <v>1893</v>
      </c>
      <c r="B1872" s="2">
        <v>45712</v>
      </c>
      <c r="C1872" t="s">
        <v>13</v>
      </c>
      <c r="D1872" t="s">
        <v>16</v>
      </c>
      <c r="E1872" t="s">
        <v>21</v>
      </c>
      <c r="F1872" t="s">
        <v>24</v>
      </c>
      <c r="G1872">
        <v>4</v>
      </c>
      <c r="H1872">
        <v>6900</v>
      </c>
      <c r="I1872" s="6">
        <v>0.05</v>
      </c>
      <c r="J1872">
        <v>6555</v>
      </c>
    </row>
    <row r="1873" spans="1:10" x14ac:dyDescent="0.25">
      <c r="A1873" t="s">
        <v>1894</v>
      </c>
      <c r="B1873" s="2">
        <v>45713</v>
      </c>
      <c r="C1873" t="s">
        <v>13</v>
      </c>
      <c r="D1873" t="s">
        <v>2030</v>
      </c>
      <c r="E1873" t="s">
        <v>22</v>
      </c>
      <c r="F1873" t="s">
        <v>24</v>
      </c>
      <c r="G1873">
        <v>2</v>
      </c>
      <c r="H1873">
        <v>14600</v>
      </c>
      <c r="I1873" s="6">
        <v>0.1</v>
      </c>
      <c r="J1873">
        <v>13140</v>
      </c>
    </row>
    <row r="1874" spans="1:10" x14ac:dyDescent="0.25">
      <c r="A1874" t="s">
        <v>1895</v>
      </c>
      <c r="B1874" s="2">
        <v>45714</v>
      </c>
      <c r="C1874" t="s">
        <v>13</v>
      </c>
      <c r="D1874" t="s">
        <v>2031</v>
      </c>
      <c r="E1874" t="s">
        <v>19</v>
      </c>
      <c r="F1874" t="s">
        <v>24</v>
      </c>
      <c r="G1874">
        <v>9</v>
      </c>
      <c r="H1874">
        <v>6300</v>
      </c>
      <c r="I1874" s="6">
        <v>0.15000000000000002</v>
      </c>
      <c r="J1874">
        <v>5355</v>
      </c>
    </row>
    <row r="1875" spans="1:10" x14ac:dyDescent="0.25">
      <c r="A1875" t="s">
        <v>1896</v>
      </c>
      <c r="B1875" s="2">
        <v>45715</v>
      </c>
      <c r="C1875" t="s">
        <v>13</v>
      </c>
      <c r="D1875" t="s">
        <v>2032</v>
      </c>
      <c r="E1875" t="s">
        <v>20</v>
      </c>
      <c r="F1875" t="s">
        <v>24</v>
      </c>
      <c r="G1875">
        <v>1</v>
      </c>
      <c r="H1875">
        <v>9100</v>
      </c>
      <c r="I1875" s="6">
        <v>0.2</v>
      </c>
      <c r="J1875">
        <v>7280</v>
      </c>
    </row>
    <row r="1876" spans="1:10" x14ac:dyDescent="0.25">
      <c r="A1876" t="s">
        <v>1897</v>
      </c>
      <c r="B1876" s="2">
        <v>45716</v>
      </c>
      <c r="C1876" t="s">
        <v>13</v>
      </c>
      <c r="D1876" t="s">
        <v>2033</v>
      </c>
      <c r="E1876" t="s">
        <v>21</v>
      </c>
      <c r="F1876" t="s">
        <v>24</v>
      </c>
      <c r="G1876">
        <v>9</v>
      </c>
      <c r="H1876">
        <v>14400</v>
      </c>
      <c r="I1876" s="6">
        <v>0.25</v>
      </c>
      <c r="J1876">
        <v>10800</v>
      </c>
    </row>
    <row r="1877" spans="1:10" x14ac:dyDescent="0.25">
      <c r="A1877" t="s">
        <v>1898</v>
      </c>
      <c r="B1877" s="2">
        <v>45717</v>
      </c>
      <c r="C1877" t="s">
        <v>13</v>
      </c>
      <c r="D1877" t="s">
        <v>2034</v>
      </c>
      <c r="E1877" t="s">
        <v>22</v>
      </c>
      <c r="F1877" t="s">
        <v>24</v>
      </c>
      <c r="G1877">
        <v>8</v>
      </c>
      <c r="H1877">
        <v>9700</v>
      </c>
      <c r="I1877" s="6">
        <v>0.05</v>
      </c>
      <c r="J1877">
        <v>9215</v>
      </c>
    </row>
    <row r="1878" spans="1:10" x14ac:dyDescent="0.25">
      <c r="A1878" t="s">
        <v>1899</v>
      </c>
      <c r="B1878" s="2">
        <v>45718</v>
      </c>
      <c r="C1878" t="s">
        <v>13</v>
      </c>
      <c r="D1878" t="s">
        <v>2035</v>
      </c>
      <c r="E1878" t="s">
        <v>19</v>
      </c>
      <c r="F1878" t="s">
        <v>24</v>
      </c>
      <c r="G1878">
        <v>9</v>
      </c>
      <c r="H1878">
        <v>14000</v>
      </c>
      <c r="I1878" s="6">
        <v>0.1</v>
      </c>
      <c r="J1878">
        <v>12600</v>
      </c>
    </row>
    <row r="1879" spans="1:10" x14ac:dyDescent="0.25">
      <c r="A1879" t="s">
        <v>1900</v>
      </c>
      <c r="B1879" s="2">
        <v>45719</v>
      </c>
      <c r="C1879" t="s">
        <v>13</v>
      </c>
      <c r="D1879" t="s">
        <v>2036</v>
      </c>
      <c r="E1879" t="s">
        <v>20</v>
      </c>
      <c r="F1879" t="s">
        <v>24</v>
      </c>
      <c r="G1879">
        <v>7</v>
      </c>
      <c r="H1879">
        <v>13400</v>
      </c>
      <c r="I1879" s="6">
        <v>0.15000000000000002</v>
      </c>
      <c r="J1879">
        <v>11390</v>
      </c>
    </row>
    <row r="1880" spans="1:10" x14ac:dyDescent="0.25">
      <c r="A1880" t="s">
        <v>1901</v>
      </c>
      <c r="B1880" s="2">
        <v>45720</v>
      </c>
      <c r="C1880" t="s">
        <v>13</v>
      </c>
      <c r="D1880" t="s">
        <v>2037</v>
      </c>
      <c r="E1880" t="s">
        <v>21</v>
      </c>
      <c r="F1880" t="s">
        <v>24</v>
      </c>
      <c r="G1880">
        <v>8</v>
      </c>
      <c r="H1880">
        <v>5200</v>
      </c>
      <c r="I1880" s="6">
        <v>0.2</v>
      </c>
      <c r="J1880">
        <v>4160</v>
      </c>
    </row>
    <row r="1881" spans="1:10" x14ac:dyDescent="0.25">
      <c r="A1881" t="s">
        <v>1902</v>
      </c>
      <c r="B1881" s="2">
        <v>45721</v>
      </c>
      <c r="C1881" t="s">
        <v>13</v>
      </c>
      <c r="D1881" t="s">
        <v>2038</v>
      </c>
      <c r="E1881" t="s">
        <v>22</v>
      </c>
      <c r="F1881" t="s">
        <v>24</v>
      </c>
      <c r="G1881">
        <v>2</v>
      </c>
      <c r="H1881">
        <v>11100</v>
      </c>
      <c r="I1881" s="6">
        <v>0.25</v>
      </c>
      <c r="J1881">
        <v>8325</v>
      </c>
    </row>
    <row r="1882" spans="1:10" x14ac:dyDescent="0.25">
      <c r="A1882" t="s">
        <v>1903</v>
      </c>
      <c r="B1882" s="2">
        <v>45722</v>
      </c>
      <c r="C1882" t="s">
        <v>14</v>
      </c>
      <c r="D1882" t="s">
        <v>2039</v>
      </c>
      <c r="E1882" t="s">
        <v>19</v>
      </c>
      <c r="F1882" t="s">
        <v>25</v>
      </c>
      <c r="G1882">
        <v>9</v>
      </c>
      <c r="H1882">
        <v>8000</v>
      </c>
      <c r="I1882" s="6">
        <v>0.05</v>
      </c>
      <c r="J1882">
        <v>7600</v>
      </c>
    </row>
    <row r="1883" spans="1:10" x14ac:dyDescent="0.25">
      <c r="A1883" t="s">
        <v>1904</v>
      </c>
      <c r="B1883" s="2">
        <v>45723</v>
      </c>
      <c r="C1883" t="s">
        <v>14</v>
      </c>
      <c r="D1883" t="s">
        <v>2040</v>
      </c>
      <c r="E1883" t="s">
        <v>20</v>
      </c>
      <c r="F1883" t="s">
        <v>25</v>
      </c>
      <c r="G1883">
        <v>6</v>
      </c>
      <c r="H1883">
        <v>12800</v>
      </c>
      <c r="I1883" s="6">
        <v>0.1</v>
      </c>
      <c r="J1883">
        <v>11520</v>
      </c>
    </row>
    <row r="1884" spans="1:10" x14ac:dyDescent="0.25">
      <c r="A1884" t="s">
        <v>1905</v>
      </c>
      <c r="B1884" s="2">
        <v>45724</v>
      </c>
      <c r="C1884" t="s">
        <v>14</v>
      </c>
      <c r="D1884" t="s">
        <v>2041</v>
      </c>
      <c r="E1884" t="s">
        <v>21</v>
      </c>
      <c r="F1884" t="s">
        <v>25</v>
      </c>
      <c r="G1884">
        <v>7</v>
      </c>
      <c r="H1884">
        <v>8100</v>
      </c>
      <c r="I1884" s="6">
        <v>0.15000000000000002</v>
      </c>
      <c r="J1884">
        <v>6885</v>
      </c>
    </row>
    <row r="1885" spans="1:10" x14ac:dyDescent="0.25">
      <c r="A1885" t="s">
        <v>1906</v>
      </c>
      <c r="B1885" s="2">
        <v>45725</v>
      </c>
      <c r="C1885" t="s">
        <v>14</v>
      </c>
      <c r="D1885" t="s">
        <v>2042</v>
      </c>
      <c r="E1885" t="s">
        <v>22</v>
      </c>
      <c r="F1885" t="s">
        <v>25</v>
      </c>
      <c r="G1885">
        <v>5</v>
      </c>
      <c r="H1885">
        <v>11300</v>
      </c>
      <c r="I1885" s="6">
        <v>0.2</v>
      </c>
      <c r="J1885">
        <v>9040</v>
      </c>
    </row>
    <row r="1886" spans="1:10" x14ac:dyDescent="0.25">
      <c r="A1886" t="s">
        <v>1907</v>
      </c>
      <c r="B1886" s="2">
        <v>45726</v>
      </c>
      <c r="C1886" t="s">
        <v>14</v>
      </c>
      <c r="D1886" t="s">
        <v>2043</v>
      </c>
      <c r="E1886" t="s">
        <v>19</v>
      </c>
      <c r="F1886" t="s">
        <v>25</v>
      </c>
      <c r="G1886">
        <v>6</v>
      </c>
      <c r="H1886">
        <v>4000</v>
      </c>
      <c r="I1886" s="6">
        <v>0.25</v>
      </c>
      <c r="J1886">
        <v>3000</v>
      </c>
    </row>
    <row r="1887" spans="1:10" x14ac:dyDescent="0.25">
      <c r="A1887" t="s">
        <v>1908</v>
      </c>
      <c r="B1887" s="2">
        <v>45727</v>
      </c>
      <c r="C1887" t="s">
        <v>14</v>
      </c>
      <c r="D1887" t="s">
        <v>2044</v>
      </c>
      <c r="E1887" t="s">
        <v>20</v>
      </c>
      <c r="F1887" t="s">
        <v>25</v>
      </c>
      <c r="G1887">
        <v>8</v>
      </c>
      <c r="H1887">
        <v>7200</v>
      </c>
      <c r="I1887" s="6">
        <v>0.05</v>
      </c>
      <c r="J1887">
        <v>6840</v>
      </c>
    </row>
    <row r="1888" spans="1:10" x14ac:dyDescent="0.25">
      <c r="A1888" t="s">
        <v>1909</v>
      </c>
      <c r="B1888" s="2">
        <v>45728</v>
      </c>
      <c r="C1888" t="s">
        <v>14</v>
      </c>
      <c r="D1888" t="s">
        <v>2045</v>
      </c>
      <c r="E1888" t="s">
        <v>21</v>
      </c>
      <c r="F1888" t="s">
        <v>25</v>
      </c>
      <c r="G1888">
        <v>5</v>
      </c>
      <c r="H1888">
        <v>4300</v>
      </c>
      <c r="I1888" s="6">
        <v>0.1</v>
      </c>
      <c r="J1888">
        <v>3870</v>
      </c>
    </row>
    <row r="1889" spans="1:10" x14ac:dyDescent="0.25">
      <c r="A1889" t="s">
        <v>1910</v>
      </c>
      <c r="B1889" s="2">
        <v>45729</v>
      </c>
      <c r="C1889" t="s">
        <v>14</v>
      </c>
      <c r="D1889" t="s">
        <v>2046</v>
      </c>
      <c r="E1889" t="s">
        <v>22</v>
      </c>
      <c r="F1889" t="s">
        <v>25</v>
      </c>
      <c r="G1889">
        <v>2</v>
      </c>
      <c r="H1889">
        <v>11600</v>
      </c>
      <c r="I1889" s="6">
        <v>0.15000000000000002</v>
      </c>
      <c r="J1889">
        <v>9860</v>
      </c>
    </row>
    <row r="1890" spans="1:10" x14ac:dyDescent="0.25">
      <c r="A1890" t="s">
        <v>1911</v>
      </c>
      <c r="B1890" s="2">
        <v>45730</v>
      </c>
      <c r="C1890" t="s">
        <v>14</v>
      </c>
      <c r="D1890" t="s">
        <v>2047</v>
      </c>
      <c r="E1890" t="s">
        <v>19</v>
      </c>
      <c r="F1890" t="s">
        <v>25</v>
      </c>
      <c r="G1890">
        <v>5</v>
      </c>
      <c r="H1890">
        <v>6200</v>
      </c>
      <c r="I1890" s="6">
        <v>0.2</v>
      </c>
      <c r="J1890">
        <v>4960</v>
      </c>
    </row>
    <row r="1891" spans="1:10" x14ac:dyDescent="0.25">
      <c r="A1891" t="s">
        <v>1912</v>
      </c>
      <c r="B1891" s="2">
        <v>45731</v>
      </c>
      <c r="C1891" t="s">
        <v>14</v>
      </c>
      <c r="D1891" t="s">
        <v>2048</v>
      </c>
      <c r="E1891" t="s">
        <v>20</v>
      </c>
      <c r="F1891" t="s">
        <v>25</v>
      </c>
      <c r="G1891">
        <v>6</v>
      </c>
      <c r="H1891">
        <v>7200</v>
      </c>
      <c r="I1891" s="6">
        <v>0.25</v>
      </c>
      <c r="J1891">
        <v>5400</v>
      </c>
    </row>
    <row r="1892" spans="1:10" x14ac:dyDescent="0.25">
      <c r="A1892" t="s">
        <v>1913</v>
      </c>
      <c r="B1892" s="2">
        <v>45732</v>
      </c>
      <c r="C1892" t="s">
        <v>12</v>
      </c>
      <c r="D1892" t="s">
        <v>15</v>
      </c>
      <c r="E1892" t="s">
        <v>21</v>
      </c>
      <c r="F1892" t="s">
        <v>23</v>
      </c>
      <c r="G1892">
        <v>5</v>
      </c>
      <c r="H1892">
        <v>6600</v>
      </c>
      <c r="I1892" s="6">
        <v>0.05</v>
      </c>
      <c r="J1892">
        <v>6270</v>
      </c>
    </row>
    <row r="1893" spans="1:10" x14ac:dyDescent="0.25">
      <c r="A1893" t="s">
        <v>1914</v>
      </c>
      <c r="B1893" s="2">
        <v>45733</v>
      </c>
      <c r="C1893" t="s">
        <v>12</v>
      </c>
      <c r="D1893" t="s">
        <v>17</v>
      </c>
      <c r="E1893" t="s">
        <v>22</v>
      </c>
      <c r="F1893" t="s">
        <v>23</v>
      </c>
      <c r="G1893">
        <v>2</v>
      </c>
      <c r="H1893">
        <v>9900</v>
      </c>
      <c r="I1893" s="6">
        <v>0.1</v>
      </c>
      <c r="J1893">
        <v>8910</v>
      </c>
    </row>
    <row r="1894" spans="1:10" x14ac:dyDescent="0.25">
      <c r="A1894" t="s">
        <v>1915</v>
      </c>
      <c r="B1894" s="2">
        <v>45734</v>
      </c>
      <c r="C1894" t="s">
        <v>12</v>
      </c>
      <c r="D1894" t="s">
        <v>2023</v>
      </c>
      <c r="E1894" t="s">
        <v>19</v>
      </c>
      <c r="F1894" t="s">
        <v>23</v>
      </c>
      <c r="G1894">
        <v>6</v>
      </c>
      <c r="H1894">
        <v>10900</v>
      </c>
      <c r="I1894" s="6">
        <v>0.15000000000000002</v>
      </c>
      <c r="J1894">
        <v>9265</v>
      </c>
    </row>
    <row r="1895" spans="1:10" x14ac:dyDescent="0.25">
      <c r="A1895" t="s">
        <v>1916</v>
      </c>
      <c r="B1895" s="2">
        <v>45735</v>
      </c>
      <c r="C1895" t="s">
        <v>12</v>
      </c>
      <c r="D1895" t="s">
        <v>18</v>
      </c>
      <c r="E1895" t="s">
        <v>20</v>
      </c>
      <c r="F1895" t="s">
        <v>23</v>
      </c>
      <c r="G1895">
        <v>3</v>
      </c>
      <c r="H1895">
        <v>10500</v>
      </c>
      <c r="I1895" s="6">
        <v>0.2</v>
      </c>
      <c r="J1895">
        <v>8400</v>
      </c>
    </row>
    <row r="1896" spans="1:10" x14ac:dyDescent="0.25">
      <c r="A1896" t="s">
        <v>1917</v>
      </c>
      <c r="B1896" s="2">
        <v>45736</v>
      </c>
      <c r="C1896" t="s">
        <v>12</v>
      </c>
      <c r="D1896" t="s">
        <v>2024</v>
      </c>
      <c r="E1896" t="s">
        <v>21</v>
      </c>
      <c r="F1896" t="s">
        <v>23</v>
      </c>
      <c r="G1896">
        <v>10</v>
      </c>
      <c r="H1896">
        <v>10300</v>
      </c>
      <c r="I1896" s="6">
        <v>0.25</v>
      </c>
      <c r="J1896">
        <v>7725</v>
      </c>
    </row>
    <row r="1897" spans="1:10" x14ac:dyDescent="0.25">
      <c r="A1897" t="s">
        <v>1918</v>
      </c>
      <c r="B1897" s="2">
        <v>45737</v>
      </c>
      <c r="C1897" t="s">
        <v>12</v>
      </c>
      <c r="D1897" t="s">
        <v>2025</v>
      </c>
      <c r="E1897" t="s">
        <v>22</v>
      </c>
      <c r="F1897" t="s">
        <v>23</v>
      </c>
      <c r="G1897">
        <v>2</v>
      </c>
      <c r="H1897">
        <v>13700</v>
      </c>
      <c r="I1897" s="6">
        <v>0.05</v>
      </c>
      <c r="J1897">
        <v>13015</v>
      </c>
    </row>
    <row r="1898" spans="1:10" x14ac:dyDescent="0.25">
      <c r="A1898" t="s">
        <v>1919</v>
      </c>
      <c r="B1898" s="2">
        <v>45738</v>
      </c>
      <c r="C1898" t="s">
        <v>12</v>
      </c>
      <c r="D1898" t="s">
        <v>2026</v>
      </c>
      <c r="E1898" t="s">
        <v>19</v>
      </c>
      <c r="F1898" t="s">
        <v>23</v>
      </c>
      <c r="G1898">
        <v>9</v>
      </c>
      <c r="H1898">
        <v>11100</v>
      </c>
      <c r="I1898" s="6">
        <v>0.1</v>
      </c>
      <c r="J1898">
        <v>9990</v>
      </c>
    </row>
    <row r="1899" spans="1:10" x14ac:dyDescent="0.25">
      <c r="A1899" t="s">
        <v>1920</v>
      </c>
      <c r="B1899" s="2">
        <v>45739</v>
      </c>
      <c r="C1899" t="s">
        <v>12</v>
      </c>
      <c r="D1899" t="s">
        <v>2027</v>
      </c>
      <c r="E1899" t="s">
        <v>20</v>
      </c>
      <c r="F1899" t="s">
        <v>23</v>
      </c>
      <c r="G1899">
        <v>10</v>
      </c>
      <c r="H1899">
        <v>4200</v>
      </c>
      <c r="I1899" s="6">
        <v>0.15000000000000002</v>
      </c>
      <c r="J1899">
        <v>3570</v>
      </c>
    </row>
    <row r="1900" spans="1:10" x14ac:dyDescent="0.25">
      <c r="A1900" t="s">
        <v>1921</v>
      </c>
      <c r="B1900" s="2">
        <v>45740</v>
      </c>
      <c r="C1900" t="s">
        <v>12</v>
      </c>
      <c r="D1900" t="s">
        <v>2028</v>
      </c>
      <c r="E1900" t="s">
        <v>21</v>
      </c>
      <c r="F1900" t="s">
        <v>23</v>
      </c>
      <c r="G1900">
        <v>3</v>
      </c>
      <c r="H1900">
        <v>6600</v>
      </c>
      <c r="I1900" s="6">
        <v>0.2</v>
      </c>
      <c r="J1900">
        <v>5280</v>
      </c>
    </row>
    <row r="1901" spans="1:10" x14ac:dyDescent="0.25">
      <c r="A1901" t="s">
        <v>1922</v>
      </c>
      <c r="B1901" s="2">
        <v>45741</v>
      </c>
      <c r="C1901" t="s">
        <v>12</v>
      </c>
      <c r="D1901" t="s">
        <v>2029</v>
      </c>
      <c r="E1901" t="s">
        <v>22</v>
      </c>
      <c r="F1901" t="s">
        <v>23</v>
      </c>
      <c r="G1901">
        <v>1</v>
      </c>
      <c r="H1901">
        <v>5600</v>
      </c>
      <c r="I1901" s="6">
        <v>0.25</v>
      </c>
      <c r="J1901">
        <v>4200</v>
      </c>
    </row>
    <row r="1902" spans="1:10" x14ac:dyDescent="0.25">
      <c r="A1902" t="s">
        <v>1923</v>
      </c>
      <c r="B1902" s="2">
        <v>45742</v>
      </c>
      <c r="C1902" t="s">
        <v>13</v>
      </c>
      <c r="D1902" t="s">
        <v>16</v>
      </c>
      <c r="E1902" t="s">
        <v>19</v>
      </c>
      <c r="F1902" t="s">
        <v>24</v>
      </c>
      <c r="G1902">
        <v>8</v>
      </c>
      <c r="H1902">
        <v>5500</v>
      </c>
      <c r="I1902" s="6">
        <v>0.05</v>
      </c>
      <c r="J1902">
        <v>5225</v>
      </c>
    </row>
    <row r="1903" spans="1:10" x14ac:dyDescent="0.25">
      <c r="A1903" t="s">
        <v>1924</v>
      </c>
      <c r="B1903" s="2">
        <v>45743</v>
      </c>
      <c r="C1903" t="s">
        <v>13</v>
      </c>
      <c r="D1903" t="s">
        <v>2030</v>
      </c>
      <c r="E1903" t="s">
        <v>20</v>
      </c>
      <c r="F1903" t="s">
        <v>24</v>
      </c>
      <c r="G1903">
        <v>10</v>
      </c>
      <c r="H1903">
        <v>7900</v>
      </c>
      <c r="I1903" s="6">
        <v>0.1</v>
      </c>
      <c r="J1903">
        <v>7110</v>
      </c>
    </row>
    <row r="1904" spans="1:10" x14ac:dyDescent="0.25">
      <c r="A1904" t="s">
        <v>1925</v>
      </c>
      <c r="B1904" s="2">
        <v>45744</v>
      </c>
      <c r="C1904" t="s">
        <v>13</v>
      </c>
      <c r="D1904" t="s">
        <v>2031</v>
      </c>
      <c r="E1904" t="s">
        <v>21</v>
      </c>
      <c r="F1904" t="s">
        <v>24</v>
      </c>
      <c r="G1904">
        <v>5</v>
      </c>
      <c r="H1904">
        <v>10100</v>
      </c>
      <c r="I1904" s="6">
        <v>0.15000000000000002</v>
      </c>
      <c r="J1904">
        <v>8585</v>
      </c>
    </row>
    <row r="1905" spans="1:10" x14ac:dyDescent="0.25">
      <c r="A1905" t="s">
        <v>1926</v>
      </c>
      <c r="B1905" s="2">
        <v>45745</v>
      </c>
      <c r="C1905" t="s">
        <v>13</v>
      </c>
      <c r="D1905" t="s">
        <v>2032</v>
      </c>
      <c r="E1905" t="s">
        <v>22</v>
      </c>
      <c r="F1905" t="s">
        <v>24</v>
      </c>
      <c r="G1905">
        <v>3</v>
      </c>
      <c r="H1905">
        <v>7300</v>
      </c>
      <c r="I1905" s="6">
        <v>0.2</v>
      </c>
      <c r="J1905">
        <v>5840</v>
      </c>
    </row>
    <row r="1906" spans="1:10" x14ac:dyDescent="0.25">
      <c r="A1906" t="s">
        <v>1927</v>
      </c>
      <c r="B1906" s="2">
        <v>45746</v>
      </c>
      <c r="C1906" t="s">
        <v>13</v>
      </c>
      <c r="D1906" t="s">
        <v>2033</v>
      </c>
      <c r="E1906" t="s">
        <v>19</v>
      </c>
      <c r="F1906" t="s">
        <v>24</v>
      </c>
      <c r="G1906">
        <v>3</v>
      </c>
      <c r="H1906">
        <v>8500</v>
      </c>
      <c r="I1906" s="6">
        <v>0.25</v>
      </c>
      <c r="J1906">
        <v>6375</v>
      </c>
    </row>
    <row r="1907" spans="1:10" x14ac:dyDescent="0.25">
      <c r="A1907" t="s">
        <v>1928</v>
      </c>
      <c r="B1907" s="2">
        <v>45747</v>
      </c>
      <c r="C1907" t="s">
        <v>13</v>
      </c>
      <c r="D1907" t="s">
        <v>2034</v>
      </c>
      <c r="E1907" t="s">
        <v>20</v>
      </c>
      <c r="F1907" t="s">
        <v>24</v>
      </c>
      <c r="G1907">
        <v>3</v>
      </c>
      <c r="H1907">
        <v>14900</v>
      </c>
      <c r="I1907" s="6">
        <v>0.05</v>
      </c>
      <c r="J1907">
        <v>14155</v>
      </c>
    </row>
    <row r="1908" spans="1:10" x14ac:dyDescent="0.25">
      <c r="A1908" t="s">
        <v>1929</v>
      </c>
      <c r="B1908" s="2">
        <v>45748</v>
      </c>
      <c r="C1908" t="s">
        <v>13</v>
      </c>
      <c r="D1908" t="s">
        <v>2035</v>
      </c>
      <c r="E1908" t="s">
        <v>21</v>
      </c>
      <c r="F1908" t="s">
        <v>24</v>
      </c>
      <c r="G1908">
        <v>4</v>
      </c>
      <c r="H1908">
        <v>13000</v>
      </c>
      <c r="I1908" s="6">
        <v>0.1</v>
      </c>
      <c r="J1908">
        <v>11700</v>
      </c>
    </row>
    <row r="1909" spans="1:10" x14ac:dyDescent="0.25">
      <c r="A1909" t="s">
        <v>1930</v>
      </c>
      <c r="B1909" s="2">
        <v>45749</v>
      </c>
      <c r="C1909" t="s">
        <v>13</v>
      </c>
      <c r="D1909" t="s">
        <v>2036</v>
      </c>
      <c r="E1909" t="s">
        <v>22</v>
      </c>
      <c r="F1909" t="s">
        <v>24</v>
      </c>
      <c r="G1909">
        <v>1</v>
      </c>
      <c r="H1909">
        <v>4800</v>
      </c>
      <c r="I1909" s="6">
        <v>0.15000000000000002</v>
      </c>
      <c r="J1909">
        <v>4080</v>
      </c>
    </row>
    <row r="1910" spans="1:10" x14ac:dyDescent="0.25">
      <c r="A1910" t="s">
        <v>1931</v>
      </c>
      <c r="B1910" s="2">
        <v>45750</v>
      </c>
      <c r="C1910" t="s">
        <v>13</v>
      </c>
      <c r="D1910" t="s">
        <v>2037</v>
      </c>
      <c r="E1910" t="s">
        <v>19</v>
      </c>
      <c r="F1910" t="s">
        <v>24</v>
      </c>
      <c r="G1910">
        <v>1</v>
      </c>
      <c r="H1910">
        <v>5500</v>
      </c>
      <c r="I1910" s="6">
        <v>0.2</v>
      </c>
      <c r="J1910">
        <v>4400</v>
      </c>
    </row>
    <row r="1911" spans="1:10" x14ac:dyDescent="0.25">
      <c r="A1911" t="s">
        <v>1932</v>
      </c>
      <c r="B1911" s="2">
        <v>45751</v>
      </c>
      <c r="C1911" t="s">
        <v>13</v>
      </c>
      <c r="D1911" t="s">
        <v>2038</v>
      </c>
      <c r="E1911" t="s">
        <v>20</v>
      </c>
      <c r="F1911" t="s">
        <v>24</v>
      </c>
      <c r="G1911">
        <v>4</v>
      </c>
      <c r="H1911">
        <v>15000</v>
      </c>
      <c r="I1911" s="6">
        <v>0.25</v>
      </c>
      <c r="J1911">
        <v>11250</v>
      </c>
    </row>
    <row r="1912" spans="1:10" x14ac:dyDescent="0.25">
      <c r="A1912" t="s">
        <v>1933</v>
      </c>
      <c r="B1912" s="2">
        <v>45752</v>
      </c>
      <c r="C1912" t="s">
        <v>14</v>
      </c>
      <c r="D1912" t="s">
        <v>2039</v>
      </c>
      <c r="E1912" t="s">
        <v>21</v>
      </c>
      <c r="F1912" t="s">
        <v>25</v>
      </c>
      <c r="G1912">
        <v>7</v>
      </c>
      <c r="H1912">
        <v>11300</v>
      </c>
      <c r="I1912" s="6">
        <v>0.05</v>
      </c>
      <c r="J1912">
        <v>10735</v>
      </c>
    </row>
    <row r="1913" spans="1:10" x14ac:dyDescent="0.25">
      <c r="A1913" t="s">
        <v>1934</v>
      </c>
      <c r="B1913" s="2">
        <v>45753</v>
      </c>
      <c r="C1913" t="s">
        <v>14</v>
      </c>
      <c r="D1913" t="s">
        <v>2040</v>
      </c>
      <c r="E1913" t="s">
        <v>22</v>
      </c>
      <c r="F1913" t="s">
        <v>25</v>
      </c>
      <c r="G1913">
        <v>5</v>
      </c>
      <c r="H1913">
        <v>12300</v>
      </c>
      <c r="I1913" s="6">
        <v>0.1</v>
      </c>
      <c r="J1913">
        <v>11070</v>
      </c>
    </row>
    <row r="1914" spans="1:10" x14ac:dyDescent="0.25">
      <c r="A1914" t="s">
        <v>1935</v>
      </c>
      <c r="B1914" s="2">
        <v>45754</v>
      </c>
      <c r="C1914" t="s">
        <v>14</v>
      </c>
      <c r="D1914" t="s">
        <v>2041</v>
      </c>
      <c r="E1914" t="s">
        <v>19</v>
      </c>
      <c r="F1914" t="s">
        <v>25</v>
      </c>
      <c r="G1914">
        <v>6</v>
      </c>
      <c r="H1914">
        <v>5600</v>
      </c>
      <c r="I1914" s="6">
        <v>0.15000000000000002</v>
      </c>
      <c r="J1914">
        <v>4760</v>
      </c>
    </row>
    <row r="1915" spans="1:10" x14ac:dyDescent="0.25">
      <c r="A1915" t="s">
        <v>1936</v>
      </c>
      <c r="B1915" s="2">
        <v>45755</v>
      </c>
      <c r="C1915" t="s">
        <v>14</v>
      </c>
      <c r="D1915" t="s">
        <v>2042</v>
      </c>
      <c r="E1915" t="s">
        <v>20</v>
      </c>
      <c r="F1915" t="s">
        <v>25</v>
      </c>
      <c r="G1915">
        <v>10</v>
      </c>
      <c r="H1915">
        <v>12100</v>
      </c>
      <c r="I1915" s="6">
        <v>0.2</v>
      </c>
      <c r="J1915">
        <v>9680</v>
      </c>
    </row>
    <row r="1916" spans="1:10" x14ac:dyDescent="0.25">
      <c r="A1916" t="s">
        <v>1937</v>
      </c>
      <c r="B1916" s="2">
        <v>45756</v>
      </c>
      <c r="C1916" t="s">
        <v>14</v>
      </c>
      <c r="D1916" t="s">
        <v>2043</v>
      </c>
      <c r="E1916" t="s">
        <v>21</v>
      </c>
      <c r="F1916" t="s">
        <v>25</v>
      </c>
      <c r="G1916">
        <v>9</v>
      </c>
      <c r="H1916">
        <v>4700</v>
      </c>
      <c r="I1916" s="6">
        <v>0.25</v>
      </c>
      <c r="J1916">
        <v>3525</v>
      </c>
    </row>
    <row r="1917" spans="1:10" x14ac:dyDescent="0.25">
      <c r="A1917" t="s">
        <v>1938</v>
      </c>
      <c r="B1917" s="2">
        <v>45757</v>
      </c>
      <c r="C1917" t="s">
        <v>14</v>
      </c>
      <c r="D1917" t="s">
        <v>2044</v>
      </c>
      <c r="E1917" t="s">
        <v>22</v>
      </c>
      <c r="F1917" t="s">
        <v>25</v>
      </c>
      <c r="G1917">
        <v>9</v>
      </c>
      <c r="H1917">
        <v>9800</v>
      </c>
      <c r="I1917" s="6">
        <v>0.05</v>
      </c>
      <c r="J1917">
        <v>9310</v>
      </c>
    </row>
    <row r="1918" spans="1:10" x14ac:dyDescent="0.25">
      <c r="A1918" t="s">
        <v>1939</v>
      </c>
      <c r="B1918" s="2">
        <v>45758</v>
      </c>
      <c r="C1918" t="s">
        <v>14</v>
      </c>
      <c r="D1918" t="s">
        <v>2045</v>
      </c>
      <c r="E1918" t="s">
        <v>19</v>
      </c>
      <c r="F1918" t="s">
        <v>25</v>
      </c>
      <c r="G1918">
        <v>1</v>
      </c>
      <c r="H1918">
        <v>9400</v>
      </c>
      <c r="I1918" s="6">
        <v>0.1</v>
      </c>
      <c r="J1918">
        <v>8460</v>
      </c>
    </row>
    <row r="1919" spans="1:10" x14ac:dyDescent="0.25">
      <c r="A1919" t="s">
        <v>1940</v>
      </c>
      <c r="B1919" s="2">
        <v>45759</v>
      </c>
      <c r="C1919" t="s">
        <v>14</v>
      </c>
      <c r="D1919" t="s">
        <v>2046</v>
      </c>
      <c r="E1919" t="s">
        <v>20</v>
      </c>
      <c r="F1919" t="s">
        <v>25</v>
      </c>
      <c r="G1919">
        <v>8</v>
      </c>
      <c r="H1919">
        <v>7400</v>
      </c>
      <c r="I1919" s="6">
        <v>0.15000000000000002</v>
      </c>
      <c r="J1919">
        <v>6290</v>
      </c>
    </row>
    <row r="1920" spans="1:10" x14ac:dyDescent="0.25">
      <c r="A1920" t="s">
        <v>1941</v>
      </c>
      <c r="B1920" s="2">
        <v>45760</v>
      </c>
      <c r="C1920" t="s">
        <v>14</v>
      </c>
      <c r="D1920" t="s">
        <v>2047</v>
      </c>
      <c r="E1920" t="s">
        <v>21</v>
      </c>
      <c r="F1920" t="s">
        <v>25</v>
      </c>
      <c r="G1920">
        <v>6</v>
      </c>
      <c r="H1920">
        <v>9300</v>
      </c>
      <c r="I1920" s="6">
        <v>0.2</v>
      </c>
      <c r="J1920">
        <v>7440</v>
      </c>
    </row>
    <row r="1921" spans="1:10" x14ac:dyDescent="0.25">
      <c r="A1921" t="s">
        <v>1942</v>
      </c>
      <c r="B1921" s="2">
        <v>45761</v>
      </c>
      <c r="C1921" t="s">
        <v>14</v>
      </c>
      <c r="D1921" t="s">
        <v>2048</v>
      </c>
      <c r="E1921" t="s">
        <v>22</v>
      </c>
      <c r="F1921" t="s">
        <v>25</v>
      </c>
      <c r="G1921">
        <v>3</v>
      </c>
      <c r="H1921">
        <v>7100</v>
      </c>
      <c r="I1921" s="6">
        <v>0.25</v>
      </c>
      <c r="J1921">
        <v>5325</v>
      </c>
    </row>
    <row r="1922" spans="1:10" x14ac:dyDescent="0.25">
      <c r="A1922" t="s">
        <v>1943</v>
      </c>
      <c r="B1922" s="2">
        <v>45762</v>
      </c>
      <c r="C1922" t="s">
        <v>12</v>
      </c>
      <c r="D1922" t="s">
        <v>15</v>
      </c>
      <c r="E1922" t="s">
        <v>19</v>
      </c>
      <c r="F1922" t="s">
        <v>23</v>
      </c>
      <c r="G1922">
        <v>9</v>
      </c>
      <c r="H1922">
        <v>13700</v>
      </c>
      <c r="I1922" s="6">
        <v>0.05</v>
      </c>
      <c r="J1922">
        <v>13015</v>
      </c>
    </row>
    <row r="1923" spans="1:10" x14ac:dyDescent="0.25">
      <c r="A1923" t="s">
        <v>1944</v>
      </c>
      <c r="B1923" s="2">
        <v>45763</v>
      </c>
      <c r="C1923" t="s">
        <v>12</v>
      </c>
      <c r="D1923" t="s">
        <v>17</v>
      </c>
      <c r="E1923" t="s">
        <v>20</v>
      </c>
      <c r="F1923" t="s">
        <v>23</v>
      </c>
      <c r="G1923">
        <v>10</v>
      </c>
      <c r="H1923">
        <v>4400</v>
      </c>
      <c r="I1923" s="6">
        <v>0.1</v>
      </c>
      <c r="J1923">
        <v>3960</v>
      </c>
    </row>
    <row r="1924" spans="1:10" x14ac:dyDescent="0.25">
      <c r="A1924" t="s">
        <v>1945</v>
      </c>
      <c r="B1924" s="2">
        <v>45764</v>
      </c>
      <c r="C1924" t="s">
        <v>12</v>
      </c>
      <c r="D1924" t="s">
        <v>2023</v>
      </c>
      <c r="E1924" t="s">
        <v>21</v>
      </c>
      <c r="F1924" t="s">
        <v>23</v>
      </c>
      <c r="G1924">
        <v>3</v>
      </c>
      <c r="H1924">
        <v>7700</v>
      </c>
      <c r="I1924" s="6">
        <v>0.15000000000000002</v>
      </c>
      <c r="J1924">
        <v>6545</v>
      </c>
    </row>
    <row r="1925" spans="1:10" x14ac:dyDescent="0.25">
      <c r="A1925" t="s">
        <v>1946</v>
      </c>
      <c r="B1925" s="2">
        <v>45765</v>
      </c>
      <c r="C1925" t="s">
        <v>12</v>
      </c>
      <c r="D1925" t="s">
        <v>18</v>
      </c>
      <c r="E1925" t="s">
        <v>22</v>
      </c>
      <c r="F1925" t="s">
        <v>23</v>
      </c>
      <c r="G1925">
        <v>7</v>
      </c>
      <c r="H1925">
        <v>4200</v>
      </c>
      <c r="I1925" s="6">
        <v>0.2</v>
      </c>
      <c r="J1925">
        <v>3360</v>
      </c>
    </row>
    <row r="1926" spans="1:10" x14ac:dyDescent="0.25">
      <c r="A1926" t="s">
        <v>1947</v>
      </c>
      <c r="B1926" s="2">
        <v>45766</v>
      </c>
      <c r="C1926" t="s">
        <v>12</v>
      </c>
      <c r="D1926" t="s">
        <v>2024</v>
      </c>
      <c r="E1926" t="s">
        <v>19</v>
      </c>
      <c r="F1926" t="s">
        <v>23</v>
      </c>
      <c r="G1926">
        <v>5</v>
      </c>
      <c r="H1926">
        <v>14600</v>
      </c>
      <c r="I1926" s="6">
        <v>0.25</v>
      </c>
      <c r="J1926">
        <v>10950</v>
      </c>
    </row>
    <row r="1927" spans="1:10" x14ac:dyDescent="0.25">
      <c r="A1927" t="s">
        <v>1948</v>
      </c>
      <c r="B1927" s="2">
        <v>45767</v>
      </c>
      <c r="C1927" t="s">
        <v>12</v>
      </c>
      <c r="D1927" t="s">
        <v>2025</v>
      </c>
      <c r="E1927" t="s">
        <v>20</v>
      </c>
      <c r="F1927" t="s">
        <v>23</v>
      </c>
      <c r="G1927">
        <v>8</v>
      </c>
      <c r="H1927">
        <v>8700</v>
      </c>
      <c r="I1927" s="6">
        <v>0.05</v>
      </c>
      <c r="J1927">
        <v>8265</v>
      </c>
    </row>
    <row r="1928" spans="1:10" x14ac:dyDescent="0.25">
      <c r="A1928" t="s">
        <v>1949</v>
      </c>
      <c r="B1928" s="2">
        <v>45768</v>
      </c>
      <c r="C1928" t="s">
        <v>12</v>
      </c>
      <c r="D1928" t="s">
        <v>2026</v>
      </c>
      <c r="E1928" t="s">
        <v>21</v>
      </c>
      <c r="F1928" t="s">
        <v>23</v>
      </c>
      <c r="G1928">
        <v>3</v>
      </c>
      <c r="H1928">
        <v>12400</v>
      </c>
      <c r="I1928" s="6">
        <v>0.1</v>
      </c>
      <c r="J1928">
        <v>11160</v>
      </c>
    </row>
    <row r="1929" spans="1:10" x14ac:dyDescent="0.25">
      <c r="A1929" t="s">
        <v>1950</v>
      </c>
      <c r="B1929" s="2">
        <v>45769</v>
      </c>
      <c r="C1929" t="s">
        <v>12</v>
      </c>
      <c r="D1929" t="s">
        <v>2027</v>
      </c>
      <c r="E1929" t="s">
        <v>22</v>
      </c>
      <c r="F1929" t="s">
        <v>23</v>
      </c>
      <c r="G1929">
        <v>9</v>
      </c>
      <c r="H1929">
        <v>7200</v>
      </c>
      <c r="I1929" s="6">
        <v>0.15000000000000002</v>
      </c>
      <c r="J1929">
        <v>6120</v>
      </c>
    </row>
    <row r="1930" spans="1:10" x14ac:dyDescent="0.25">
      <c r="A1930" t="s">
        <v>1951</v>
      </c>
      <c r="B1930" s="2">
        <v>45770</v>
      </c>
      <c r="C1930" t="s">
        <v>12</v>
      </c>
      <c r="D1930" t="s">
        <v>2028</v>
      </c>
      <c r="E1930" t="s">
        <v>19</v>
      </c>
      <c r="F1930" t="s">
        <v>23</v>
      </c>
      <c r="G1930">
        <v>4</v>
      </c>
      <c r="H1930">
        <v>4600</v>
      </c>
      <c r="I1930" s="6">
        <v>0.2</v>
      </c>
      <c r="J1930">
        <v>3680</v>
      </c>
    </row>
    <row r="1931" spans="1:10" x14ac:dyDescent="0.25">
      <c r="A1931" t="s">
        <v>1952</v>
      </c>
      <c r="B1931" s="2">
        <v>45771</v>
      </c>
      <c r="C1931" t="s">
        <v>12</v>
      </c>
      <c r="D1931" t="s">
        <v>2029</v>
      </c>
      <c r="E1931" t="s">
        <v>20</v>
      </c>
      <c r="F1931" t="s">
        <v>23</v>
      </c>
      <c r="G1931">
        <v>7</v>
      </c>
      <c r="H1931">
        <v>7300</v>
      </c>
      <c r="I1931" s="6">
        <v>0.25</v>
      </c>
      <c r="J1931">
        <v>5475</v>
      </c>
    </row>
    <row r="1932" spans="1:10" x14ac:dyDescent="0.25">
      <c r="A1932" t="s">
        <v>1953</v>
      </c>
      <c r="B1932" s="2">
        <v>45772</v>
      </c>
      <c r="C1932" t="s">
        <v>13</v>
      </c>
      <c r="D1932" t="s">
        <v>16</v>
      </c>
      <c r="E1932" t="s">
        <v>21</v>
      </c>
      <c r="F1932" t="s">
        <v>24</v>
      </c>
      <c r="G1932">
        <v>3</v>
      </c>
      <c r="H1932">
        <v>6300</v>
      </c>
      <c r="I1932" s="6">
        <v>0.05</v>
      </c>
      <c r="J1932">
        <v>5985</v>
      </c>
    </row>
    <row r="1933" spans="1:10" x14ac:dyDescent="0.25">
      <c r="A1933" t="s">
        <v>1954</v>
      </c>
      <c r="B1933" s="2">
        <v>45773</v>
      </c>
      <c r="C1933" t="s">
        <v>13</v>
      </c>
      <c r="D1933" t="s">
        <v>2030</v>
      </c>
      <c r="E1933" t="s">
        <v>22</v>
      </c>
      <c r="F1933" t="s">
        <v>24</v>
      </c>
      <c r="G1933">
        <v>1</v>
      </c>
      <c r="H1933">
        <v>7500</v>
      </c>
      <c r="I1933" s="6">
        <v>0.1</v>
      </c>
      <c r="J1933">
        <v>6750</v>
      </c>
    </row>
    <row r="1934" spans="1:10" x14ac:dyDescent="0.25">
      <c r="A1934" t="s">
        <v>1955</v>
      </c>
      <c r="B1934" s="2">
        <v>45774</v>
      </c>
      <c r="C1934" t="s">
        <v>13</v>
      </c>
      <c r="D1934" t="s">
        <v>2031</v>
      </c>
      <c r="E1934" t="s">
        <v>19</v>
      </c>
      <c r="F1934" t="s">
        <v>24</v>
      </c>
      <c r="G1934">
        <v>5</v>
      </c>
      <c r="H1934">
        <v>4600</v>
      </c>
      <c r="I1934" s="6">
        <v>0.15000000000000002</v>
      </c>
      <c r="J1934">
        <v>3910</v>
      </c>
    </row>
    <row r="1935" spans="1:10" x14ac:dyDescent="0.25">
      <c r="A1935" t="s">
        <v>1956</v>
      </c>
      <c r="B1935" s="2">
        <v>45775</v>
      </c>
      <c r="C1935" t="s">
        <v>13</v>
      </c>
      <c r="D1935" t="s">
        <v>2032</v>
      </c>
      <c r="E1935" t="s">
        <v>20</v>
      </c>
      <c r="F1935" t="s">
        <v>24</v>
      </c>
      <c r="G1935">
        <v>7</v>
      </c>
      <c r="H1935">
        <v>14300</v>
      </c>
      <c r="I1935" s="6">
        <v>0.2</v>
      </c>
      <c r="J1935">
        <v>11440</v>
      </c>
    </row>
    <row r="1936" spans="1:10" x14ac:dyDescent="0.25">
      <c r="A1936" t="s">
        <v>1957</v>
      </c>
      <c r="B1936" s="2">
        <v>45776</v>
      </c>
      <c r="C1936" t="s">
        <v>13</v>
      </c>
      <c r="D1936" t="s">
        <v>2033</v>
      </c>
      <c r="E1936" t="s">
        <v>21</v>
      </c>
      <c r="F1936" t="s">
        <v>24</v>
      </c>
      <c r="G1936">
        <v>3</v>
      </c>
      <c r="H1936">
        <v>11600</v>
      </c>
      <c r="I1936" s="6">
        <v>0.25</v>
      </c>
      <c r="J1936">
        <v>8700</v>
      </c>
    </row>
    <row r="1937" spans="1:10" x14ac:dyDescent="0.25">
      <c r="A1937" t="s">
        <v>1958</v>
      </c>
      <c r="B1937" s="2">
        <v>45777</v>
      </c>
      <c r="C1937" t="s">
        <v>13</v>
      </c>
      <c r="D1937" t="s">
        <v>2034</v>
      </c>
      <c r="E1937" t="s">
        <v>22</v>
      </c>
      <c r="F1937" t="s">
        <v>24</v>
      </c>
      <c r="G1937">
        <v>5</v>
      </c>
      <c r="H1937">
        <v>14900</v>
      </c>
      <c r="I1937" s="6">
        <v>0.05</v>
      </c>
      <c r="J1937">
        <v>14155</v>
      </c>
    </row>
    <row r="1938" spans="1:10" x14ac:dyDescent="0.25">
      <c r="A1938" t="s">
        <v>1959</v>
      </c>
      <c r="B1938" s="2">
        <v>45778</v>
      </c>
      <c r="C1938" t="s">
        <v>13</v>
      </c>
      <c r="D1938" t="s">
        <v>2035</v>
      </c>
      <c r="E1938" t="s">
        <v>19</v>
      </c>
      <c r="F1938" t="s">
        <v>24</v>
      </c>
      <c r="G1938">
        <v>1</v>
      </c>
      <c r="H1938">
        <v>6300</v>
      </c>
      <c r="I1938" s="6">
        <v>0.1</v>
      </c>
      <c r="J1938">
        <v>5670</v>
      </c>
    </row>
    <row r="1939" spans="1:10" x14ac:dyDescent="0.25">
      <c r="A1939" t="s">
        <v>1960</v>
      </c>
      <c r="B1939" s="2">
        <v>45779</v>
      </c>
      <c r="C1939" t="s">
        <v>13</v>
      </c>
      <c r="D1939" t="s">
        <v>2036</v>
      </c>
      <c r="E1939" t="s">
        <v>20</v>
      </c>
      <c r="F1939" t="s">
        <v>24</v>
      </c>
      <c r="G1939">
        <v>4</v>
      </c>
      <c r="H1939">
        <v>8700</v>
      </c>
      <c r="I1939" s="6">
        <v>0.15000000000000002</v>
      </c>
      <c r="J1939">
        <v>7395</v>
      </c>
    </row>
    <row r="1940" spans="1:10" x14ac:dyDescent="0.25">
      <c r="A1940" t="s">
        <v>1961</v>
      </c>
      <c r="B1940" s="2">
        <v>45780</v>
      </c>
      <c r="C1940" t="s">
        <v>13</v>
      </c>
      <c r="D1940" t="s">
        <v>2037</v>
      </c>
      <c r="E1940" t="s">
        <v>21</v>
      </c>
      <c r="F1940" t="s">
        <v>24</v>
      </c>
      <c r="G1940">
        <v>4</v>
      </c>
      <c r="H1940">
        <v>13800</v>
      </c>
      <c r="I1940" s="6">
        <v>0.2</v>
      </c>
      <c r="J1940">
        <v>11040</v>
      </c>
    </row>
    <row r="1941" spans="1:10" x14ac:dyDescent="0.25">
      <c r="A1941" t="s">
        <v>1962</v>
      </c>
      <c r="B1941" s="2">
        <v>45781</v>
      </c>
      <c r="C1941" t="s">
        <v>13</v>
      </c>
      <c r="D1941" t="s">
        <v>2038</v>
      </c>
      <c r="E1941" t="s">
        <v>22</v>
      </c>
      <c r="F1941" t="s">
        <v>24</v>
      </c>
      <c r="G1941">
        <v>5</v>
      </c>
      <c r="H1941">
        <v>13600</v>
      </c>
      <c r="I1941" s="6">
        <v>0.25</v>
      </c>
      <c r="J1941">
        <v>10200</v>
      </c>
    </row>
    <row r="1942" spans="1:10" x14ac:dyDescent="0.25">
      <c r="A1942" t="s">
        <v>1963</v>
      </c>
      <c r="B1942" s="2">
        <v>45782</v>
      </c>
      <c r="C1942" t="s">
        <v>14</v>
      </c>
      <c r="D1942" t="s">
        <v>2039</v>
      </c>
      <c r="E1942" t="s">
        <v>19</v>
      </c>
      <c r="F1942" t="s">
        <v>25</v>
      </c>
      <c r="G1942">
        <v>9</v>
      </c>
      <c r="H1942">
        <v>11200</v>
      </c>
      <c r="I1942" s="6">
        <v>0.05</v>
      </c>
      <c r="J1942">
        <v>10640</v>
      </c>
    </row>
    <row r="1943" spans="1:10" x14ac:dyDescent="0.25">
      <c r="A1943" t="s">
        <v>1964</v>
      </c>
      <c r="B1943" s="2">
        <v>45783</v>
      </c>
      <c r="C1943" t="s">
        <v>14</v>
      </c>
      <c r="D1943" t="s">
        <v>2040</v>
      </c>
      <c r="E1943" t="s">
        <v>20</v>
      </c>
      <c r="F1943" t="s">
        <v>25</v>
      </c>
      <c r="G1943">
        <v>4</v>
      </c>
      <c r="H1943">
        <v>8200</v>
      </c>
      <c r="I1943" s="6">
        <v>0.1</v>
      </c>
      <c r="J1943">
        <v>7380</v>
      </c>
    </row>
    <row r="1944" spans="1:10" x14ac:dyDescent="0.25">
      <c r="A1944" t="s">
        <v>1965</v>
      </c>
      <c r="B1944" s="2">
        <v>45784</v>
      </c>
      <c r="C1944" t="s">
        <v>14</v>
      </c>
      <c r="D1944" t="s">
        <v>2041</v>
      </c>
      <c r="E1944" t="s">
        <v>21</v>
      </c>
      <c r="F1944" t="s">
        <v>25</v>
      </c>
      <c r="G1944">
        <v>1</v>
      </c>
      <c r="H1944">
        <v>8000</v>
      </c>
      <c r="I1944" s="6">
        <v>0.15000000000000002</v>
      </c>
      <c r="J1944">
        <v>6800</v>
      </c>
    </row>
    <row r="1945" spans="1:10" x14ac:dyDescent="0.25">
      <c r="A1945" t="s">
        <v>1966</v>
      </c>
      <c r="B1945" s="2">
        <v>45785</v>
      </c>
      <c r="C1945" t="s">
        <v>14</v>
      </c>
      <c r="D1945" t="s">
        <v>2042</v>
      </c>
      <c r="E1945" t="s">
        <v>22</v>
      </c>
      <c r="F1945" t="s">
        <v>25</v>
      </c>
      <c r="G1945">
        <v>6</v>
      </c>
      <c r="H1945">
        <v>11800</v>
      </c>
      <c r="I1945" s="6">
        <v>0.2</v>
      </c>
      <c r="J1945">
        <v>9440</v>
      </c>
    </row>
    <row r="1946" spans="1:10" x14ac:dyDescent="0.25">
      <c r="A1946" t="s">
        <v>1967</v>
      </c>
      <c r="B1946" s="2">
        <v>45786</v>
      </c>
      <c r="C1946" t="s">
        <v>14</v>
      </c>
      <c r="D1946" t="s">
        <v>2043</v>
      </c>
      <c r="E1946" t="s">
        <v>19</v>
      </c>
      <c r="F1946" t="s">
        <v>25</v>
      </c>
      <c r="G1946">
        <v>7</v>
      </c>
      <c r="H1946">
        <v>7400</v>
      </c>
      <c r="I1946" s="6">
        <v>0.25</v>
      </c>
      <c r="J1946">
        <v>5550</v>
      </c>
    </row>
    <row r="1947" spans="1:10" x14ac:dyDescent="0.25">
      <c r="A1947" t="s">
        <v>1968</v>
      </c>
      <c r="B1947" s="2">
        <v>45787</v>
      </c>
      <c r="C1947" t="s">
        <v>14</v>
      </c>
      <c r="D1947" t="s">
        <v>2044</v>
      </c>
      <c r="E1947" t="s">
        <v>20</v>
      </c>
      <c r="F1947" t="s">
        <v>25</v>
      </c>
      <c r="G1947">
        <v>6</v>
      </c>
      <c r="H1947">
        <v>12900</v>
      </c>
      <c r="I1947" s="6">
        <v>0.05</v>
      </c>
      <c r="J1947">
        <v>12255</v>
      </c>
    </row>
    <row r="1948" spans="1:10" x14ac:dyDescent="0.25">
      <c r="A1948" t="s">
        <v>1969</v>
      </c>
      <c r="B1948" s="2">
        <v>45788</v>
      </c>
      <c r="C1948" t="s">
        <v>14</v>
      </c>
      <c r="D1948" t="s">
        <v>2045</v>
      </c>
      <c r="E1948" t="s">
        <v>21</v>
      </c>
      <c r="F1948" t="s">
        <v>25</v>
      </c>
      <c r="G1948">
        <v>1</v>
      </c>
      <c r="H1948">
        <v>11800</v>
      </c>
      <c r="I1948" s="6">
        <v>0.1</v>
      </c>
      <c r="J1948">
        <v>10620</v>
      </c>
    </row>
    <row r="1949" spans="1:10" x14ac:dyDescent="0.25">
      <c r="A1949" t="s">
        <v>1970</v>
      </c>
      <c r="B1949" s="2">
        <v>45789</v>
      </c>
      <c r="C1949" t="s">
        <v>14</v>
      </c>
      <c r="D1949" t="s">
        <v>2046</v>
      </c>
      <c r="E1949" t="s">
        <v>22</v>
      </c>
      <c r="F1949" t="s">
        <v>25</v>
      </c>
      <c r="G1949">
        <v>8</v>
      </c>
      <c r="H1949">
        <v>5800</v>
      </c>
      <c r="I1949" s="6">
        <v>0.15000000000000002</v>
      </c>
      <c r="J1949">
        <v>4930</v>
      </c>
    </row>
    <row r="1950" spans="1:10" x14ac:dyDescent="0.25">
      <c r="A1950" t="s">
        <v>1971</v>
      </c>
      <c r="B1950" s="2">
        <v>45790</v>
      </c>
      <c r="C1950" t="s">
        <v>14</v>
      </c>
      <c r="D1950" t="s">
        <v>2047</v>
      </c>
      <c r="E1950" t="s">
        <v>19</v>
      </c>
      <c r="F1950" t="s">
        <v>25</v>
      </c>
      <c r="G1950">
        <v>3</v>
      </c>
      <c r="H1950">
        <v>8700</v>
      </c>
      <c r="I1950" s="6">
        <v>0.2</v>
      </c>
      <c r="J1950">
        <v>6960</v>
      </c>
    </row>
    <row r="1951" spans="1:10" x14ac:dyDescent="0.25">
      <c r="A1951" t="s">
        <v>1972</v>
      </c>
      <c r="B1951" s="2">
        <v>45791</v>
      </c>
      <c r="C1951" t="s">
        <v>14</v>
      </c>
      <c r="D1951" t="s">
        <v>2048</v>
      </c>
      <c r="E1951" t="s">
        <v>20</v>
      </c>
      <c r="F1951" t="s">
        <v>25</v>
      </c>
      <c r="G1951">
        <v>4</v>
      </c>
      <c r="H1951">
        <v>13500</v>
      </c>
      <c r="I1951" s="6">
        <v>0.25</v>
      </c>
      <c r="J1951">
        <v>10125</v>
      </c>
    </row>
    <row r="1952" spans="1:10" x14ac:dyDescent="0.25">
      <c r="A1952" t="s">
        <v>1973</v>
      </c>
      <c r="B1952" s="2">
        <v>45792</v>
      </c>
      <c r="C1952" t="s">
        <v>12</v>
      </c>
      <c r="D1952" t="s">
        <v>15</v>
      </c>
      <c r="E1952" t="s">
        <v>21</v>
      </c>
      <c r="F1952" t="s">
        <v>23</v>
      </c>
      <c r="G1952">
        <v>4</v>
      </c>
      <c r="H1952">
        <v>7100</v>
      </c>
      <c r="I1952" s="6">
        <v>0.05</v>
      </c>
      <c r="J1952">
        <v>6745</v>
      </c>
    </row>
    <row r="1953" spans="1:10" x14ac:dyDescent="0.25">
      <c r="A1953" t="s">
        <v>1974</v>
      </c>
      <c r="B1953" s="2">
        <v>45793</v>
      </c>
      <c r="C1953" t="s">
        <v>12</v>
      </c>
      <c r="D1953" t="s">
        <v>17</v>
      </c>
      <c r="E1953" t="s">
        <v>22</v>
      </c>
      <c r="F1953" t="s">
        <v>23</v>
      </c>
      <c r="G1953">
        <v>8</v>
      </c>
      <c r="H1953">
        <v>7600</v>
      </c>
      <c r="I1953" s="6">
        <v>0.1</v>
      </c>
      <c r="J1953">
        <v>6840</v>
      </c>
    </row>
    <row r="1954" spans="1:10" x14ac:dyDescent="0.25">
      <c r="A1954" t="s">
        <v>1975</v>
      </c>
      <c r="B1954" s="2">
        <v>45794</v>
      </c>
      <c r="C1954" t="s">
        <v>12</v>
      </c>
      <c r="D1954" t="s">
        <v>2023</v>
      </c>
      <c r="E1954" t="s">
        <v>19</v>
      </c>
      <c r="F1954" t="s">
        <v>23</v>
      </c>
      <c r="G1954">
        <v>9</v>
      </c>
      <c r="H1954">
        <v>4100</v>
      </c>
      <c r="I1954" s="6">
        <v>0.15000000000000002</v>
      </c>
      <c r="J1954">
        <v>3485</v>
      </c>
    </row>
    <row r="1955" spans="1:10" x14ac:dyDescent="0.25">
      <c r="A1955" t="s">
        <v>1976</v>
      </c>
      <c r="B1955" s="2">
        <v>45795</v>
      </c>
      <c r="C1955" t="s">
        <v>12</v>
      </c>
      <c r="D1955" t="s">
        <v>18</v>
      </c>
      <c r="E1955" t="s">
        <v>20</v>
      </c>
      <c r="F1955" t="s">
        <v>23</v>
      </c>
      <c r="G1955">
        <v>3</v>
      </c>
      <c r="H1955">
        <v>5800</v>
      </c>
      <c r="I1955" s="6">
        <v>0.2</v>
      </c>
      <c r="J1955">
        <v>4640</v>
      </c>
    </row>
    <row r="1956" spans="1:10" x14ac:dyDescent="0.25">
      <c r="A1956" t="s">
        <v>1977</v>
      </c>
      <c r="B1956" s="2">
        <v>45796</v>
      </c>
      <c r="C1956" t="s">
        <v>12</v>
      </c>
      <c r="D1956" t="s">
        <v>2024</v>
      </c>
      <c r="E1956" t="s">
        <v>21</v>
      </c>
      <c r="F1956" t="s">
        <v>23</v>
      </c>
      <c r="G1956">
        <v>8</v>
      </c>
      <c r="H1956">
        <v>5200</v>
      </c>
      <c r="I1956" s="6">
        <v>0.25</v>
      </c>
      <c r="J1956">
        <v>3900</v>
      </c>
    </row>
    <row r="1957" spans="1:10" x14ac:dyDescent="0.25">
      <c r="A1957" t="s">
        <v>1978</v>
      </c>
      <c r="B1957" s="2">
        <v>45797</v>
      </c>
      <c r="C1957" t="s">
        <v>12</v>
      </c>
      <c r="D1957" t="s">
        <v>2025</v>
      </c>
      <c r="E1957" t="s">
        <v>22</v>
      </c>
      <c r="F1957" t="s">
        <v>23</v>
      </c>
      <c r="G1957">
        <v>1</v>
      </c>
      <c r="H1957">
        <v>7400</v>
      </c>
      <c r="I1957" s="6">
        <v>0.05</v>
      </c>
      <c r="J1957">
        <v>7030</v>
      </c>
    </row>
    <row r="1958" spans="1:10" x14ac:dyDescent="0.25">
      <c r="A1958" t="s">
        <v>1979</v>
      </c>
      <c r="B1958" s="2">
        <v>45798</v>
      </c>
      <c r="C1958" t="s">
        <v>12</v>
      </c>
      <c r="D1958" t="s">
        <v>2026</v>
      </c>
      <c r="E1958" t="s">
        <v>19</v>
      </c>
      <c r="F1958" t="s">
        <v>23</v>
      </c>
      <c r="G1958">
        <v>6</v>
      </c>
      <c r="H1958">
        <v>14100</v>
      </c>
      <c r="I1958" s="6">
        <v>0.1</v>
      </c>
      <c r="J1958">
        <v>12690</v>
      </c>
    </row>
    <row r="1959" spans="1:10" x14ac:dyDescent="0.25">
      <c r="A1959" t="s">
        <v>1980</v>
      </c>
      <c r="B1959" s="2">
        <v>45799</v>
      </c>
      <c r="C1959" t="s">
        <v>12</v>
      </c>
      <c r="D1959" t="s">
        <v>2027</v>
      </c>
      <c r="E1959" t="s">
        <v>20</v>
      </c>
      <c r="F1959" t="s">
        <v>23</v>
      </c>
      <c r="G1959">
        <v>3</v>
      </c>
      <c r="H1959">
        <v>7800</v>
      </c>
      <c r="I1959" s="6">
        <v>0.15000000000000002</v>
      </c>
      <c r="J1959">
        <v>6630</v>
      </c>
    </row>
    <row r="1960" spans="1:10" x14ac:dyDescent="0.25">
      <c r="A1960" t="s">
        <v>1981</v>
      </c>
      <c r="B1960" s="2">
        <v>45800</v>
      </c>
      <c r="C1960" t="s">
        <v>12</v>
      </c>
      <c r="D1960" t="s">
        <v>2028</v>
      </c>
      <c r="E1960" t="s">
        <v>21</v>
      </c>
      <c r="F1960" t="s">
        <v>23</v>
      </c>
      <c r="G1960">
        <v>8</v>
      </c>
      <c r="H1960">
        <v>8100</v>
      </c>
      <c r="I1960" s="6">
        <v>0.2</v>
      </c>
      <c r="J1960">
        <v>6480</v>
      </c>
    </row>
    <row r="1961" spans="1:10" x14ac:dyDescent="0.25">
      <c r="A1961" t="s">
        <v>1982</v>
      </c>
      <c r="B1961" s="2">
        <v>45801</v>
      </c>
      <c r="C1961" t="s">
        <v>12</v>
      </c>
      <c r="D1961" t="s">
        <v>2029</v>
      </c>
      <c r="E1961" t="s">
        <v>22</v>
      </c>
      <c r="F1961" t="s">
        <v>23</v>
      </c>
      <c r="G1961">
        <v>5</v>
      </c>
      <c r="H1961">
        <v>9200</v>
      </c>
      <c r="I1961" s="6">
        <v>0.25</v>
      </c>
      <c r="J1961">
        <v>6900</v>
      </c>
    </row>
    <row r="1962" spans="1:10" x14ac:dyDescent="0.25">
      <c r="A1962" t="s">
        <v>1983</v>
      </c>
      <c r="B1962" s="2">
        <v>45802</v>
      </c>
      <c r="C1962" t="s">
        <v>13</v>
      </c>
      <c r="D1962" t="s">
        <v>16</v>
      </c>
      <c r="E1962" t="s">
        <v>19</v>
      </c>
      <c r="F1962" t="s">
        <v>24</v>
      </c>
      <c r="G1962">
        <v>8</v>
      </c>
      <c r="H1962">
        <v>11400</v>
      </c>
      <c r="I1962" s="6">
        <v>0.05</v>
      </c>
      <c r="J1962">
        <v>10830</v>
      </c>
    </row>
    <row r="1963" spans="1:10" x14ac:dyDescent="0.25">
      <c r="A1963" t="s">
        <v>1984</v>
      </c>
      <c r="B1963" s="2">
        <v>45803</v>
      </c>
      <c r="C1963" t="s">
        <v>13</v>
      </c>
      <c r="D1963" t="s">
        <v>2030</v>
      </c>
      <c r="E1963" t="s">
        <v>20</v>
      </c>
      <c r="F1963" t="s">
        <v>24</v>
      </c>
      <c r="G1963">
        <v>2</v>
      </c>
      <c r="H1963">
        <v>11700</v>
      </c>
      <c r="I1963" s="6">
        <v>0.1</v>
      </c>
      <c r="J1963">
        <v>10530</v>
      </c>
    </row>
    <row r="1964" spans="1:10" x14ac:dyDescent="0.25">
      <c r="A1964" t="s">
        <v>1985</v>
      </c>
      <c r="B1964" s="2">
        <v>45804</v>
      </c>
      <c r="C1964" t="s">
        <v>13</v>
      </c>
      <c r="D1964" t="s">
        <v>2031</v>
      </c>
      <c r="E1964" t="s">
        <v>21</v>
      </c>
      <c r="F1964" t="s">
        <v>24</v>
      </c>
      <c r="G1964">
        <v>3</v>
      </c>
      <c r="H1964">
        <v>4800</v>
      </c>
      <c r="I1964" s="6">
        <v>0.15000000000000002</v>
      </c>
      <c r="J1964">
        <v>4080</v>
      </c>
    </row>
    <row r="1965" spans="1:10" x14ac:dyDescent="0.25">
      <c r="A1965" t="s">
        <v>1986</v>
      </c>
      <c r="B1965" s="2">
        <v>45805</v>
      </c>
      <c r="C1965" t="s">
        <v>13</v>
      </c>
      <c r="D1965" t="s">
        <v>2032</v>
      </c>
      <c r="E1965" t="s">
        <v>22</v>
      </c>
      <c r="F1965" t="s">
        <v>24</v>
      </c>
      <c r="G1965">
        <v>3</v>
      </c>
      <c r="H1965">
        <v>14500</v>
      </c>
      <c r="I1965" s="6">
        <v>0.2</v>
      </c>
      <c r="J1965">
        <v>11600</v>
      </c>
    </row>
    <row r="1966" spans="1:10" x14ac:dyDescent="0.25">
      <c r="A1966" t="s">
        <v>1987</v>
      </c>
      <c r="B1966" s="2">
        <v>45806</v>
      </c>
      <c r="C1966" t="s">
        <v>13</v>
      </c>
      <c r="D1966" t="s">
        <v>2033</v>
      </c>
      <c r="E1966" t="s">
        <v>19</v>
      </c>
      <c r="F1966" t="s">
        <v>24</v>
      </c>
      <c r="G1966">
        <v>5</v>
      </c>
      <c r="H1966">
        <v>5600</v>
      </c>
      <c r="I1966" s="6">
        <v>0.25</v>
      </c>
      <c r="J1966">
        <v>4200</v>
      </c>
    </row>
    <row r="1967" spans="1:10" x14ac:dyDescent="0.25">
      <c r="A1967" t="s">
        <v>1988</v>
      </c>
      <c r="B1967" s="2">
        <v>45807</v>
      </c>
      <c r="C1967" t="s">
        <v>13</v>
      </c>
      <c r="D1967" t="s">
        <v>2034</v>
      </c>
      <c r="E1967" t="s">
        <v>20</v>
      </c>
      <c r="F1967" t="s">
        <v>24</v>
      </c>
      <c r="G1967">
        <v>3</v>
      </c>
      <c r="H1967">
        <v>14200</v>
      </c>
      <c r="I1967" s="6">
        <v>0.05</v>
      </c>
      <c r="J1967">
        <v>13490</v>
      </c>
    </row>
    <row r="1968" spans="1:10" x14ac:dyDescent="0.25">
      <c r="A1968" t="s">
        <v>1989</v>
      </c>
      <c r="B1968" s="2">
        <v>45808</v>
      </c>
      <c r="C1968" t="s">
        <v>13</v>
      </c>
      <c r="D1968" t="s">
        <v>2035</v>
      </c>
      <c r="E1968" t="s">
        <v>21</v>
      </c>
      <c r="F1968" t="s">
        <v>24</v>
      </c>
      <c r="G1968">
        <v>9</v>
      </c>
      <c r="H1968">
        <v>5000</v>
      </c>
      <c r="I1968" s="6">
        <v>0.1</v>
      </c>
      <c r="J1968">
        <v>4500</v>
      </c>
    </row>
    <row r="1969" spans="1:10" x14ac:dyDescent="0.25">
      <c r="A1969" t="s">
        <v>1990</v>
      </c>
      <c r="B1969" s="2">
        <v>45809</v>
      </c>
      <c r="C1969" t="s">
        <v>13</v>
      </c>
      <c r="D1969" t="s">
        <v>2036</v>
      </c>
      <c r="E1969" t="s">
        <v>22</v>
      </c>
      <c r="F1969" t="s">
        <v>24</v>
      </c>
      <c r="G1969">
        <v>7</v>
      </c>
      <c r="H1969">
        <v>4600</v>
      </c>
      <c r="I1969" s="6">
        <v>0.15000000000000002</v>
      </c>
      <c r="J1969">
        <v>3910</v>
      </c>
    </row>
    <row r="1970" spans="1:10" x14ac:dyDescent="0.25">
      <c r="A1970" t="s">
        <v>1991</v>
      </c>
      <c r="B1970" s="2">
        <v>45810</v>
      </c>
      <c r="C1970" t="s">
        <v>13</v>
      </c>
      <c r="D1970" t="s">
        <v>2037</v>
      </c>
      <c r="E1970" t="s">
        <v>19</v>
      </c>
      <c r="F1970" t="s">
        <v>24</v>
      </c>
      <c r="G1970">
        <v>9</v>
      </c>
      <c r="H1970">
        <v>4200</v>
      </c>
      <c r="I1970" s="6">
        <v>0.2</v>
      </c>
      <c r="J1970">
        <v>3360</v>
      </c>
    </row>
    <row r="1971" spans="1:10" x14ac:dyDescent="0.25">
      <c r="A1971" t="s">
        <v>1992</v>
      </c>
      <c r="B1971" s="2">
        <v>45811</v>
      </c>
      <c r="C1971" t="s">
        <v>13</v>
      </c>
      <c r="D1971" t="s">
        <v>2038</v>
      </c>
      <c r="E1971" t="s">
        <v>20</v>
      </c>
      <c r="F1971" t="s">
        <v>24</v>
      </c>
      <c r="G1971">
        <v>5</v>
      </c>
      <c r="H1971">
        <v>4900</v>
      </c>
      <c r="I1971" s="6">
        <v>0.25</v>
      </c>
      <c r="J1971">
        <v>3675</v>
      </c>
    </row>
    <row r="1972" spans="1:10" x14ac:dyDescent="0.25">
      <c r="A1972" t="s">
        <v>1993</v>
      </c>
      <c r="B1972" s="2">
        <v>45812</v>
      </c>
      <c r="C1972" t="s">
        <v>14</v>
      </c>
      <c r="D1972" t="s">
        <v>2039</v>
      </c>
      <c r="E1972" t="s">
        <v>21</v>
      </c>
      <c r="F1972" t="s">
        <v>25</v>
      </c>
      <c r="G1972">
        <v>3</v>
      </c>
      <c r="H1972">
        <v>11300</v>
      </c>
      <c r="I1972" s="6">
        <v>0.05</v>
      </c>
      <c r="J1972">
        <v>10735</v>
      </c>
    </row>
    <row r="1973" spans="1:10" x14ac:dyDescent="0.25">
      <c r="A1973" t="s">
        <v>1994</v>
      </c>
      <c r="B1973" s="2">
        <v>45813</v>
      </c>
      <c r="C1973" t="s">
        <v>14</v>
      </c>
      <c r="D1973" t="s">
        <v>2040</v>
      </c>
      <c r="E1973" t="s">
        <v>22</v>
      </c>
      <c r="F1973" t="s">
        <v>25</v>
      </c>
      <c r="G1973">
        <v>8</v>
      </c>
      <c r="H1973">
        <v>7900</v>
      </c>
      <c r="I1973" s="6">
        <v>0.1</v>
      </c>
      <c r="J1973">
        <v>7110</v>
      </c>
    </row>
    <row r="1974" spans="1:10" x14ac:dyDescent="0.25">
      <c r="A1974" t="s">
        <v>1995</v>
      </c>
      <c r="B1974" s="2">
        <v>45814</v>
      </c>
      <c r="C1974" t="s">
        <v>14</v>
      </c>
      <c r="D1974" t="s">
        <v>2041</v>
      </c>
      <c r="E1974" t="s">
        <v>19</v>
      </c>
      <c r="F1974" t="s">
        <v>25</v>
      </c>
      <c r="G1974">
        <v>5</v>
      </c>
      <c r="H1974">
        <v>5400</v>
      </c>
      <c r="I1974" s="6">
        <v>0.15000000000000002</v>
      </c>
      <c r="J1974">
        <v>4590</v>
      </c>
    </row>
    <row r="1975" spans="1:10" x14ac:dyDescent="0.25">
      <c r="A1975" t="s">
        <v>1996</v>
      </c>
      <c r="B1975" s="2">
        <v>45815</v>
      </c>
      <c r="C1975" t="s">
        <v>14</v>
      </c>
      <c r="D1975" t="s">
        <v>2042</v>
      </c>
      <c r="E1975" t="s">
        <v>20</v>
      </c>
      <c r="F1975" t="s">
        <v>25</v>
      </c>
      <c r="G1975">
        <v>3</v>
      </c>
      <c r="H1975">
        <v>5900</v>
      </c>
      <c r="I1975" s="6">
        <v>0.2</v>
      </c>
      <c r="J1975">
        <v>4720</v>
      </c>
    </row>
    <row r="1976" spans="1:10" x14ac:dyDescent="0.25">
      <c r="A1976" t="s">
        <v>1997</v>
      </c>
      <c r="B1976" s="2">
        <v>45816</v>
      </c>
      <c r="C1976" t="s">
        <v>14</v>
      </c>
      <c r="D1976" t="s">
        <v>2043</v>
      </c>
      <c r="E1976" t="s">
        <v>21</v>
      </c>
      <c r="F1976" t="s">
        <v>25</v>
      </c>
      <c r="G1976">
        <v>7</v>
      </c>
      <c r="H1976">
        <v>8400</v>
      </c>
      <c r="I1976" s="6">
        <v>0.25</v>
      </c>
      <c r="J1976">
        <v>6300</v>
      </c>
    </row>
    <row r="1977" spans="1:10" x14ac:dyDescent="0.25">
      <c r="A1977" t="s">
        <v>1998</v>
      </c>
      <c r="B1977" s="2">
        <v>45817</v>
      </c>
      <c r="C1977" t="s">
        <v>14</v>
      </c>
      <c r="D1977" t="s">
        <v>2044</v>
      </c>
      <c r="E1977" t="s">
        <v>22</v>
      </c>
      <c r="F1977" t="s">
        <v>25</v>
      </c>
      <c r="G1977">
        <v>7</v>
      </c>
      <c r="H1977">
        <v>14200</v>
      </c>
      <c r="I1977" s="6">
        <v>0.05</v>
      </c>
      <c r="J1977">
        <v>13490</v>
      </c>
    </row>
    <row r="1978" spans="1:10" x14ac:dyDescent="0.25">
      <c r="A1978" t="s">
        <v>1999</v>
      </c>
      <c r="B1978" s="2">
        <v>45818</v>
      </c>
      <c r="C1978" t="s">
        <v>14</v>
      </c>
      <c r="D1978" t="s">
        <v>2045</v>
      </c>
      <c r="E1978" t="s">
        <v>19</v>
      </c>
      <c r="F1978" t="s">
        <v>25</v>
      </c>
      <c r="G1978">
        <v>5</v>
      </c>
      <c r="H1978">
        <v>9100</v>
      </c>
      <c r="I1978" s="6">
        <v>0.1</v>
      </c>
      <c r="J1978">
        <v>8190</v>
      </c>
    </row>
    <row r="1979" spans="1:10" x14ac:dyDescent="0.25">
      <c r="A1979" t="s">
        <v>2000</v>
      </c>
      <c r="B1979" s="2">
        <v>45819</v>
      </c>
      <c r="C1979" t="s">
        <v>14</v>
      </c>
      <c r="D1979" t="s">
        <v>2046</v>
      </c>
      <c r="E1979" t="s">
        <v>20</v>
      </c>
      <c r="F1979" t="s">
        <v>25</v>
      </c>
      <c r="G1979">
        <v>6</v>
      </c>
      <c r="H1979">
        <v>9100</v>
      </c>
      <c r="I1979" s="6">
        <v>0.15000000000000002</v>
      </c>
      <c r="J1979">
        <v>7735</v>
      </c>
    </row>
    <row r="1980" spans="1:10" x14ac:dyDescent="0.25">
      <c r="A1980" t="s">
        <v>2001</v>
      </c>
      <c r="B1980" s="2">
        <v>45820</v>
      </c>
      <c r="C1980" t="s">
        <v>14</v>
      </c>
      <c r="D1980" t="s">
        <v>2047</v>
      </c>
      <c r="E1980" t="s">
        <v>21</v>
      </c>
      <c r="F1980" t="s">
        <v>25</v>
      </c>
      <c r="G1980">
        <v>10</v>
      </c>
      <c r="H1980">
        <v>11700</v>
      </c>
      <c r="I1980" s="6">
        <v>0.2</v>
      </c>
      <c r="J1980">
        <v>9360</v>
      </c>
    </row>
    <row r="1981" spans="1:10" x14ac:dyDescent="0.25">
      <c r="A1981" t="s">
        <v>2002</v>
      </c>
      <c r="B1981" s="2">
        <v>45821</v>
      </c>
      <c r="C1981" t="s">
        <v>14</v>
      </c>
      <c r="D1981" t="s">
        <v>2048</v>
      </c>
      <c r="E1981" t="s">
        <v>22</v>
      </c>
      <c r="F1981" t="s">
        <v>25</v>
      </c>
      <c r="G1981">
        <v>8</v>
      </c>
      <c r="H1981">
        <v>9300</v>
      </c>
      <c r="I1981" s="6">
        <v>0.25</v>
      </c>
      <c r="J1981">
        <v>6975</v>
      </c>
    </row>
    <row r="1982" spans="1:10" x14ac:dyDescent="0.25">
      <c r="A1982" t="s">
        <v>2003</v>
      </c>
      <c r="B1982" s="2">
        <v>45822</v>
      </c>
      <c r="C1982" t="s">
        <v>12</v>
      </c>
      <c r="D1982" t="s">
        <v>15</v>
      </c>
      <c r="E1982" t="s">
        <v>19</v>
      </c>
      <c r="F1982" t="s">
        <v>23</v>
      </c>
      <c r="G1982">
        <v>8</v>
      </c>
      <c r="H1982">
        <v>10500</v>
      </c>
      <c r="I1982" s="6">
        <v>0.05</v>
      </c>
      <c r="J1982">
        <v>9975</v>
      </c>
    </row>
    <row r="1983" spans="1:10" x14ac:dyDescent="0.25">
      <c r="A1983" t="s">
        <v>2004</v>
      </c>
      <c r="B1983" s="2">
        <v>45823</v>
      </c>
      <c r="C1983" t="s">
        <v>12</v>
      </c>
      <c r="D1983" t="s">
        <v>17</v>
      </c>
      <c r="E1983" t="s">
        <v>20</v>
      </c>
      <c r="F1983" t="s">
        <v>23</v>
      </c>
      <c r="G1983">
        <v>9</v>
      </c>
      <c r="H1983">
        <v>8200</v>
      </c>
      <c r="I1983" s="6">
        <v>0.1</v>
      </c>
      <c r="J1983">
        <v>7380</v>
      </c>
    </row>
    <row r="1984" spans="1:10" x14ac:dyDescent="0.25">
      <c r="A1984" t="s">
        <v>2005</v>
      </c>
      <c r="B1984" s="2">
        <v>45824</v>
      </c>
      <c r="C1984" t="s">
        <v>12</v>
      </c>
      <c r="D1984" t="s">
        <v>2023</v>
      </c>
      <c r="E1984" t="s">
        <v>21</v>
      </c>
      <c r="F1984" t="s">
        <v>23</v>
      </c>
      <c r="G1984">
        <v>4</v>
      </c>
      <c r="H1984">
        <v>15000</v>
      </c>
      <c r="I1984" s="6">
        <v>0.15000000000000002</v>
      </c>
      <c r="J1984">
        <v>12750</v>
      </c>
    </row>
    <row r="1985" spans="1:10" x14ac:dyDescent="0.25">
      <c r="A1985" t="s">
        <v>2006</v>
      </c>
      <c r="B1985" s="2">
        <v>45825</v>
      </c>
      <c r="C1985" t="s">
        <v>12</v>
      </c>
      <c r="D1985" t="s">
        <v>18</v>
      </c>
      <c r="E1985" t="s">
        <v>22</v>
      </c>
      <c r="F1985" t="s">
        <v>23</v>
      </c>
      <c r="G1985">
        <v>8</v>
      </c>
      <c r="H1985">
        <v>11600</v>
      </c>
      <c r="I1985" s="6">
        <v>0.2</v>
      </c>
      <c r="J1985">
        <v>9280</v>
      </c>
    </row>
    <row r="1986" spans="1:10" x14ac:dyDescent="0.25">
      <c r="A1986" t="s">
        <v>2007</v>
      </c>
      <c r="B1986" s="2">
        <v>45826</v>
      </c>
      <c r="C1986" t="s">
        <v>12</v>
      </c>
      <c r="D1986" t="s">
        <v>2024</v>
      </c>
      <c r="E1986" t="s">
        <v>19</v>
      </c>
      <c r="F1986" t="s">
        <v>23</v>
      </c>
      <c r="G1986">
        <v>10</v>
      </c>
      <c r="H1986">
        <v>11900</v>
      </c>
      <c r="I1986" s="6">
        <v>0.25</v>
      </c>
      <c r="J1986">
        <v>8925</v>
      </c>
    </row>
    <row r="1987" spans="1:10" x14ac:dyDescent="0.25">
      <c r="A1987" t="s">
        <v>2008</v>
      </c>
      <c r="B1987" s="2">
        <v>45827</v>
      </c>
      <c r="C1987" t="s">
        <v>12</v>
      </c>
      <c r="D1987" t="s">
        <v>2025</v>
      </c>
      <c r="E1987" t="s">
        <v>20</v>
      </c>
      <c r="F1987" t="s">
        <v>23</v>
      </c>
      <c r="G1987">
        <v>1</v>
      </c>
      <c r="H1987">
        <v>12100</v>
      </c>
      <c r="I1987" s="6">
        <v>0.05</v>
      </c>
      <c r="J1987">
        <v>11495</v>
      </c>
    </row>
    <row r="1988" spans="1:10" x14ac:dyDescent="0.25">
      <c r="A1988" t="s">
        <v>2009</v>
      </c>
      <c r="B1988" s="2">
        <v>45828</v>
      </c>
      <c r="C1988" t="s">
        <v>12</v>
      </c>
      <c r="D1988" t="s">
        <v>2026</v>
      </c>
      <c r="E1988" t="s">
        <v>21</v>
      </c>
      <c r="F1988" t="s">
        <v>23</v>
      </c>
      <c r="G1988">
        <v>9</v>
      </c>
      <c r="H1988">
        <v>10400</v>
      </c>
      <c r="I1988" s="6">
        <v>0.1</v>
      </c>
      <c r="J1988">
        <v>9360</v>
      </c>
    </row>
    <row r="1989" spans="1:10" x14ac:dyDescent="0.25">
      <c r="A1989" t="s">
        <v>2010</v>
      </c>
      <c r="B1989" s="2">
        <v>45829</v>
      </c>
      <c r="C1989" t="s">
        <v>12</v>
      </c>
      <c r="D1989" t="s">
        <v>2027</v>
      </c>
      <c r="E1989" t="s">
        <v>22</v>
      </c>
      <c r="F1989" t="s">
        <v>23</v>
      </c>
      <c r="G1989">
        <v>5</v>
      </c>
      <c r="H1989">
        <v>14200</v>
      </c>
      <c r="I1989" s="6">
        <v>0.15000000000000002</v>
      </c>
      <c r="J1989">
        <v>12070</v>
      </c>
    </row>
    <row r="1990" spans="1:10" x14ac:dyDescent="0.25">
      <c r="A1990" t="s">
        <v>2011</v>
      </c>
      <c r="B1990" s="2">
        <v>45830</v>
      </c>
      <c r="C1990" t="s">
        <v>12</v>
      </c>
      <c r="D1990" t="s">
        <v>2028</v>
      </c>
      <c r="E1990" t="s">
        <v>19</v>
      </c>
      <c r="F1990" t="s">
        <v>23</v>
      </c>
      <c r="G1990">
        <v>6</v>
      </c>
      <c r="H1990">
        <v>13600</v>
      </c>
      <c r="I1990" s="6">
        <v>0.2</v>
      </c>
      <c r="J1990">
        <v>10880</v>
      </c>
    </row>
    <row r="1991" spans="1:10" x14ac:dyDescent="0.25">
      <c r="A1991" t="s">
        <v>2012</v>
      </c>
      <c r="B1991" s="2">
        <v>45831</v>
      </c>
      <c r="C1991" t="s">
        <v>12</v>
      </c>
      <c r="D1991" t="s">
        <v>2029</v>
      </c>
      <c r="E1991" t="s">
        <v>20</v>
      </c>
      <c r="F1991" t="s">
        <v>23</v>
      </c>
      <c r="G1991">
        <v>6</v>
      </c>
      <c r="H1991">
        <v>8200</v>
      </c>
      <c r="I1991" s="6">
        <v>0.25</v>
      </c>
      <c r="J1991">
        <v>6150</v>
      </c>
    </row>
    <row r="1992" spans="1:10" x14ac:dyDescent="0.25">
      <c r="A1992" t="s">
        <v>2013</v>
      </c>
      <c r="B1992" s="2">
        <v>45832</v>
      </c>
      <c r="C1992" t="s">
        <v>13</v>
      </c>
      <c r="D1992" t="s">
        <v>16</v>
      </c>
      <c r="E1992" t="s">
        <v>21</v>
      </c>
      <c r="F1992" t="s">
        <v>24</v>
      </c>
      <c r="G1992">
        <v>2</v>
      </c>
      <c r="H1992">
        <v>13000</v>
      </c>
      <c r="I1992" s="6">
        <v>0.05</v>
      </c>
      <c r="J1992">
        <v>12350</v>
      </c>
    </row>
    <row r="1993" spans="1:10" x14ac:dyDescent="0.25">
      <c r="A1993" t="s">
        <v>2014</v>
      </c>
      <c r="B1993" s="2">
        <v>45833</v>
      </c>
      <c r="C1993" t="s">
        <v>13</v>
      </c>
      <c r="D1993" t="s">
        <v>2030</v>
      </c>
      <c r="E1993" t="s">
        <v>22</v>
      </c>
      <c r="F1993" t="s">
        <v>24</v>
      </c>
      <c r="G1993">
        <v>8</v>
      </c>
      <c r="H1993">
        <v>12500</v>
      </c>
      <c r="I1993" s="6">
        <v>0.1</v>
      </c>
      <c r="J1993">
        <v>11250</v>
      </c>
    </row>
    <row r="1994" spans="1:10" x14ac:dyDescent="0.25">
      <c r="A1994" t="s">
        <v>2015</v>
      </c>
      <c r="B1994" s="2">
        <v>45834</v>
      </c>
      <c r="C1994" t="s">
        <v>13</v>
      </c>
      <c r="D1994" t="s">
        <v>2031</v>
      </c>
      <c r="E1994" t="s">
        <v>19</v>
      </c>
      <c r="F1994" t="s">
        <v>24</v>
      </c>
      <c r="G1994">
        <v>8</v>
      </c>
      <c r="H1994">
        <v>4000</v>
      </c>
      <c r="I1994" s="6">
        <v>0.15000000000000002</v>
      </c>
      <c r="J1994">
        <v>3400</v>
      </c>
    </row>
    <row r="1995" spans="1:10" x14ac:dyDescent="0.25">
      <c r="A1995" t="s">
        <v>2016</v>
      </c>
      <c r="B1995" s="2">
        <v>45835</v>
      </c>
      <c r="C1995" t="s">
        <v>13</v>
      </c>
      <c r="D1995" t="s">
        <v>2032</v>
      </c>
      <c r="E1995" t="s">
        <v>20</v>
      </c>
      <c r="F1995" t="s">
        <v>24</v>
      </c>
      <c r="G1995">
        <v>2</v>
      </c>
      <c r="H1995">
        <v>4000</v>
      </c>
      <c r="I1995" s="6">
        <v>0.2</v>
      </c>
      <c r="J1995">
        <v>3200</v>
      </c>
    </row>
    <row r="1996" spans="1:10" x14ac:dyDescent="0.25">
      <c r="A1996" t="s">
        <v>2017</v>
      </c>
      <c r="B1996" s="2">
        <v>45836</v>
      </c>
      <c r="C1996" t="s">
        <v>13</v>
      </c>
      <c r="D1996" t="s">
        <v>2033</v>
      </c>
      <c r="E1996" t="s">
        <v>21</v>
      </c>
      <c r="F1996" t="s">
        <v>24</v>
      </c>
      <c r="G1996">
        <v>5</v>
      </c>
      <c r="H1996">
        <v>10600</v>
      </c>
      <c r="I1996" s="6">
        <v>0.25</v>
      </c>
      <c r="J1996">
        <v>7950</v>
      </c>
    </row>
    <row r="1997" spans="1:10" x14ac:dyDescent="0.25">
      <c r="A1997" t="s">
        <v>2018</v>
      </c>
      <c r="B1997" s="2">
        <v>45837</v>
      </c>
      <c r="C1997" t="s">
        <v>13</v>
      </c>
      <c r="D1997" t="s">
        <v>2034</v>
      </c>
      <c r="E1997" t="s">
        <v>22</v>
      </c>
      <c r="F1997" t="s">
        <v>24</v>
      </c>
      <c r="G1997">
        <v>10</v>
      </c>
      <c r="H1997">
        <v>12000</v>
      </c>
      <c r="I1997" s="6">
        <v>0.05</v>
      </c>
      <c r="J1997">
        <v>11400</v>
      </c>
    </row>
    <row r="1998" spans="1:10" x14ac:dyDescent="0.25">
      <c r="A1998" t="s">
        <v>2019</v>
      </c>
      <c r="B1998" s="2">
        <v>45838</v>
      </c>
      <c r="C1998" t="s">
        <v>13</v>
      </c>
      <c r="D1998" t="s">
        <v>2035</v>
      </c>
      <c r="E1998" t="s">
        <v>19</v>
      </c>
      <c r="F1998" t="s">
        <v>24</v>
      </c>
      <c r="G1998">
        <v>1</v>
      </c>
      <c r="H1998">
        <v>9200</v>
      </c>
      <c r="I1998" s="6">
        <v>0.1</v>
      </c>
      <c r="J1998">
        <v>8280</v>
      </c>
    </row>
    <row r="1999" spans="1:10" x14ac:dyDescent="0.25">
      <c r="A1999" t="s">
        <v>2020</v>
      </c>
      <c r="B1999" s="2">
        <v>45839</v>
      </c>
      <c r="C1999" t="s">
        <v>13</v>
      </c>
      <c r="D1999" t="s">
        <v>2036</v>
      </c>
      <c r="E1999" t="s">
        <v>20</v>
      </c>
      <c r="F1999" t="s">
        <v>24</v>
      </c>
      <c r="G1999">
        <v>4</v>
      </c>
      <c r="H1999">
        <v>4200</v>
      </c>
      <c r="I1999" s="6">
        <v>0.15000000000000002</v>
      </c>
      <c r="J1999">
        <v>3570</v>
      </c>
    </row>
    <row r="2000" spans="1:10" x14ac:dyDescent="0.25">
      <c r="A2000" t="s">
        <v>2021</v>
      </c>
      <c r="B2000" s="2">
        <v>45840</v>
      </c>
      <c r="C2000" t="s">
        <v>13</v>
      </c>
      <c r="D2000" t="s">
        <v>2037</v>
      </c>
      <c r="E2000" t="s">
        <v>21</v>
      </c>
      <c r="F2000" t="s">
        <v>24</v>
      </c>
      <c r="G2000">
        <v>8</v>
      </c>
      <c r="H2000">
        <v>13600</v>
      </c>
      <c r="I2000" s="6">
        <v>0.2</v>
      </c>
      <c r="J2000">
        <v>10880</v>
      </c>
    </row>
    <row r="2001" spans="1:10" x14ac:dyDescent="0.25">
      <c r="A2001" t="s">
        <v>2022</v>
      </c>
      <c r="B2001" s="2">
        <v>45841</v>
      </c>
      <c r="C2001" t="s">
        <v>13</v>
      </c>
      <c r="D2001" t="s">
        <v>2038</v>
      </c>
      <c r="E2001" t="s">
        <v>22</v>
      </c>
      <c r="F2001" t="s">
        <v>24</v>
      </c>
      <c r="G2001">
        <v>1</v>
      </c>
      <c r="H2001">
        <v>10400</v>
      </c>
      <c r="I2001" s="6">
        <v>0.25</v>
      </c>
      <c r="J2001">
        <v>7800</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C43FC-4AAB-4F6D-8DE7-8595BC46BEC8}">
  <dimension ref="A1:P2001"/>
  <sheetViews>
    <sheetView workbookViewId="0">
      <selection activeCell="B1738" sqref="B1738"/>
    </sheetView>
  </sheetViews>
  <sheetFormatPr defaultRowHeight="15" x14ac:dyDescent="0.25"/>
  <cols>
    <col min="1" max="1" width="11.28515625" bestFit="1" customWidth="1"/>
    <col min="2" max="2" width="13.5703125" bestFit="1" customWidth="1"/>
    <col min="3" max="3" width="7.28515625" bestFit="1" customWidth="1"/>
    <col min="4" max="4" width="9.28515625" bestFit="1" customWidth="1"/>
    <col min="5" max="5" width="19.140625" bestFit="1" customWidth="1"/>
    <col min="6" max="6" width="27.85546875" bestFit="1" customWidth="1"/>
    <col min="7" max="7" width="9.42578125" bestFit="1" customWidth="1"/>
    <col min="8" max="8" width="21" bestFit="1" customWidth="1"/>
    <col min="9" max="9" width="11" bestFit="1" customWidth="1"/>
    <col min="10" max="10" width="8.5703125" bestFit="1" customWidth="1"/>
    <col min="11" max="11" width="11" bestFit="1" customWidth="1"/>
    <col min="12" max="12" width="8.5703125" bestFit="1" customWidth="1"/>
    <col min="13" max="13" width="15.7109375" style="10" bestFit="1" customWidth="1"/>
    <col min="14" max="14" width="13.28515625" bestFit="1" customWidth="1"/>
    <col min="15" max="15" width="16" bestFit="1" customWidth="1"/>
    <col min="16" max="16" width="16.42578125" bestFit="1" customWidth="1"/>
  </cols>
  <sheetData>
    <row r="1" spans="1:16" x14ac:dyDescent="0.25">
      <c r="A1" s="3" t="s">
        <v>0</v>
      </c>
      <c r="B1" s="4" t="s">
        <v>1</v>
      </c>
      <c r="C1" s="3" t="s">
        <v>2050</v>
      </c>
      <c r="D1" s="3" t="s">
        <v>2051</v>
      </c>
      <c r="E1" s="3" t="s">
        <v>2</v>
      </c>
      <c r="F1" s="3" t="s">
        <v>3</v>
      </c>
      <c r="G1" s="3" t="s">
        <v>4</v>
      </c>
      <c r="H1" s="3" t="s">
        <v>5</v>
      </c>
      <c r="I1" s="3" t="s">
        <v>6</v>
      </c>
      <c r="J1" s="5" t="s">
        <v>7</v>
      </c>
      <c r="K1" s="3" t="s">
        <v>2049</v>
      </c>
      <c r="L1" s="3" t="s">
        <v>8</v>
      </c>
      <c r="M1" s="3" t="s">
        <v>2052</v>
      </c>
      <c r="N1" s="3" t="s">
        <v>2053</v>
      </c>
      <c r="O1" s="3" t="s">
        <v>2074</v>
      </c>
      <c r="P1" s="3" t="s">
        <v>2075</v>
      </c>
    </row>
    <row r="2" spans="1:16" x14ac:dyDescent="0.25">
      <c r="A2" t="s">
        <v>9</v>
      </c>
      <c r="B2" s="2">
        <v>43842</v>
      </c>
      <c r="C2">
        <v>2020</v>
      </c>
      <c r="D2" t="str">
        <f t="shared" ref="D2:D65" si="0">TEXT(B2,"MMM")</f>
        <v>Jan</v>
      </c>
      <c r="E2" t="s">
        <v>12</v>
      </c>
      <c r="F2" t="s">
        <v>15</v>
      </c>
      <c r="G2" t="s">
        <v>19</v>
      </c>
      <c r="H2" t="s">
        <v>23</v>
      </c>
      <c r="I2">
        <v>6</v>
      </c>
      <c r="J2" s="8">
        <v>4000</v>
      </c>
      <c r="K2" s="7">
        <v>0.05</v>
      </c>
      <c r="L2" s="9">
        <v>3800</v>
      </c>
      <c r="M2" s="10">
        <f>Sales_Data3[[#This Row],[Profit]]/Sales_Data3[[#This Row],[Sales]]</f>
        <v>0.95</v>
      </c>
      <c r="N2" t="str">
        <f t="shared" ref="N2:N65" si="1">IF(J2&gt;10000,"High",IF(J2&gt;5000,"Medium","Low"))</f>
        <v>Low</v>
      </c>
      <c r="O2" s="2">
        <v>43842</v>
      </c>
      <c r="P2" s="8">
        <v>4000</v>
      </c>
    </row>
    <row r="3" spans="1:16" x14ac:dyDescent="0.25">
      <c r="A3" t="s">
        <v>10</v>
      </c>
      <c r="B3" s="2">
        <v>43843</v>
      </c>
      <c r="C3">
        <v>2020</v>
      </c>
      <c r="D3" t="str">
        <f t="shared" si="0"/>
        <v>Jan</v>
      </c>
      <c r="E3" t="s">
        <v>12</v>
      </c>
      <c r="F3" t="s">
        <v>17</v>
      </c>
      <c r="G3" t="s">
        <v>20</v>
      </c>
      <c r="H3" t="s">
        <v>23</v>
      </c>
      <c r="I3">
        <v>2</v>
      </c>
      <c r="J3" s="9">
        <v>6400</v>
      </c>
      <c r="K3" s="7">
        <v>0.1</v>
      </c>
      <c r="L3" s="9">
        <v>5760</v>
      </c>
      <c r="M3" s="10">
        <f>Sales_Data3[[#This Row],[Profit]]/Sales_Data3[[#This Row],[Sales]]</f>
        <v>0.9</v>
      </c>
      <c r="N3" t="str">
        <f>IF(J3&gt;10000,"High",IF(J3&gt;5000,"Medium","Low"))</f>
        <v>Medium</v>
      </c>
      <c r="O3" s="2">
        <v>43843</v>
      </c>
      <c r="P3" s="9">
        <v>6400</v>
      </c>
    </row>
    <row r="4" spans="1:16" x14ac:dyDescent="0.25">
      <c r="A4" t="s">
        <v>11</v>
      </c>
      <c r="B4" s="2">
        <v>43844</v>
      </c>
      <c r="C4">
        <v>2020</v>
      </c>
      <c r="D4" t="str">
        <f t="shared" si="0"/>
        <v>Jan</v>
      </c>
      <c r="E4" t="s">
        <v>12</v>
      </c>
      <c r="F4" t="s">
        <v>2023</v>
      </c>
      <c r="G4" t="s">
        <v>21</v>
      </c>
      <c r="H4" t="s">
        <v>23</v>
      </c>
      <c r="I4">
        <v>7</v>
      </c>
      <c r="J4" s="9">
        <v>13900</v>
      </c>
      <c r="K4" s="7">
        <v>0.15000000000000002</v>
      </c>
      <c r="L4" s="9">
        <v>11815</v>
      </c>
      <c r="M4" s="10">
        <f>Sales_Data3[[#This Row],[Profit]]/Sales_Data3[[#This Row],[Sales]]</f>
        <v>0.85</v>
      </c>
      <c r="N4" t="str">
        <f t="shared" si="1"/>
        <v>High</v>
      </c>
      <c r="O4" s="2">
        <v>43844</v>
      </c>
      <c r="P4" s="9">
        <v>13900</v>
      </c>
    </row>
    <row r="5" spans="1:16" x14ac:dyDescent="0.25">
      <c r="A5" t="s">
        <v>26</v>
      </c>
      <c r="B5" s="2">
        <v>43845</v>
      </c>
      <c r="C5">
        <v>2020</v>
      </c>
      <c r="D5" t="str">
        <f t="shared" si="0"/>
        <v>Jan</v>
      </c>
      <c r="E5" t="s">
        <v>12</v>
      </c>
      <c r="F5" t="s">
        <v>18</v>
      </c>
      <c r="G5" t="s">
        <v>22</v>
      </c>
      <c r="H5" t="s">
        <v>23</v>
      </c>
      <c r="I5">
        <v>9</v>
      </c>
      <c r="J5" s="9">
        <v>9500</v>
      </c>
      <c r="K5" s="7">
        <v>0.2</v>
      </c>
      <c r="L5" s="9">
        <v>7600</v>
      </c>
      <c r="M5" s="10">
        <f>Sales_Data3[[#This Row],[Profit]]/Sales_Data3[[#This Row],[Sales]]</f>
        <v>0.8</v>
      </c>
      <c r="N5" t="str">
        <f t="shared" si="1"/>
        <v>Medium</v>
      </c>
      <c r="O5" s="2">
        <v>43845</v>
      </c>
      <c r="P5" s="9">
        <v>9500</v>
      </c>
    </row>
    <row r="6" spans="1:16" x14ac:dyDescent="0.25">
      <c r="A6" t="s">
        <v>27</v>
      </c>
      <c r="B6" s="2">
        <v>43846</v>
      </c>
      <c r="C6">
        <v>2020</v>
      </c>
      <c r="D6" t="str">
        <f t="shared" si="0"/>
        <v>Jan</v>
      </c>
      <c r="E6" t="s">
        <v>12</v>
      </c>
      <c r="F6" t="s">
        <v>2024</v>
      </c>
      <c r="G6" t="s">
        <v>19</v>
      </c>
      <c r="H6" t="s">
        <v>23</v>
      </c>
      <c r="I6">
        <v>10</v>
      </c>
      <c r="J6" s="9">
        <v>5500</v>
      </c>
      <c r="K6" s="7">
        <v>0.25</v>
      </c>
      <c r="L6" s="9">
        <v>4125</v>
      </c>
      <c r="M6" s="10">
        <f>Sales_Data3[[#This Row],[Profit]]/Sales_Data3[[#This Row],[Sales]]</f>
        <v>0.75</v>
      </c>
      <c r="N6" t="str">
        <f t="shared" si="1"/>
        <v>Medium</v>
      </c>
      <c r="O6" s="2">
        <v>43846</v>
      </c>
      <c r="P6" s="9">
        <v>5500</v>
      </c>
    </row>
    <row r="7" spans="1:16" x14ac:dyDescent="0.25">
      <c r="A7" t="s">
        <v>28</v>
      </c>
      <c r="B7" s="2">
        <v>43847</v>
      </c>
      <c r="C7">
        <v>2020</v>
      </c>
      <c r="D7" t="str">
        <f t="shared" si="0"/>
        <v>Jan</v>
      </c>
      <c r="E7" t="s">
        <v>12</v>
      </c>
      <c r="F7" t="s">
        <v>2025</v>
      </c>
      <c r="G7" t="s">
        <v>20</v>
      </c>
      <c r="H7" t="s">
        <v>23</v>
      </c>
      <c r="I7">
        <v>3</v>
      </c>
      <c r="J7" s="9">
        <v>9300</v>
      </c>
      <c r="K7" s="7">
        <v>0.05</v>
      </c>
      <c r="L7" s="9">
        <v>8835</v>
      </c>
      <c r="M7" s="10">
        <f>Sales_Data3[[#This Row],[Profit]]/Sales_Data3[[#This Row],[Sales]]</f>
        <v>0.95</v>
      </c>
      <c r="N7" t="str">
        <f t="shared" si="1"/>
        <v>Medium</v>
      </c>
      <c r="O7" s="2">
        <v>43847</v>
      </c>
      <c r="P7" s="9">
        <v>9300</v>
      </c>
    </row>
    <row r="8" spans="1:16" x14ac:dyDescent="0.25">
      <c r="A8" t="s">
        <v>29</v>
      </c>
      <c r="B8" s="2">
        <v>43848</v>
      </c>
      <c r="C8">
        <v>2020</v>
      </c>
      <c r="D8" t="str">
        <f t="shared" si="0"/>
        <v>Jan</v>
      </c>
      <c r="E8" t="s">
        <v>12</v>
      </c>
      <c r="F8" t="s">
        <v>2026</v>
      </c>
      <c r="G8" t="s">
        <v>21</v>
      </c>
      <c r="H8" t="s">
        <v>23</v>
      </c>
      <c r="I8">
        <v>9</v>
      </c>
      <c r="J8" s="9">
        <v>13500</v>
      </c>
      <c r="K8" s="7">
        <v>0.1</v>
      </c>
      <c r="L8" s="9">
        <v>12150</v>
      </c>
      <c r="M8" s="10">
        <f>Sales_Data3[[#This Row],[Profit]]/Sales_Data3[[#This Row],[Sales]]</f>
        <v>0.9</v>
      </c>
      <c r="N8" t="str">
        <f t="shared" si="1"/>
        <v>High</v>
      </c>
      <c r="O8" s="2">
        <v>43848</v>
      </c>
      <c r="P8" s="9">
        <v>13500</v>
      </c>
    </row>
    <row r="9" spans="1:16" x14ac:dyDescent="0.25">
      <c r="A9" t="s">
        <v>30</v>
      </c>
      <c r="B9" s="2">
        <v>43849</v>
      </c>
      <c r="C9">
        <v>2020</v>
      </c>
      <c r="D9" t="str">
        <f t="shared" si="0"/>
        <v>Jan</v>
      </c>
      <c r="E9" t="s">
        <v>12</v>
      </c>
      <c r="F9" t="s">
        <v>2027</v>
      </c>
      <c r="G9" t="s">
        <v>22</v>
      </c>
      <c r="H9" t="s">
        <v>23</v>
      </c>
      <c r="I9">
        <v>3</v>
      </c>
      <c r="J9" s="9">
        <v>12400</v>
      </c>
      <c r="K9" s="7">
        <v>0.15000000000000002</v>
      </c>
      <c r="L9" s="9">
        <v>10540</v>
      </c>
      <c r="M9" s="10">
        <f>Sales_Data3[[#This Row],[Profit]]/Sales_Data3[[#This Row],[Sales]]</f>
        <v>0.85</v>
      </c>
      <c r="N9" t="str">
        <f t="shared" si="1"/>
        <v>High</v>
      </c>
      <c r="O9" s="2">
        <v>43849</v>
      </c>
      <c r="P9" s="9">
        <v>12400</v>
      </c>
    </row>
    <row r="10" spans="1:16" x14ac:dyDescent="0.25">
      <c r="A10" t="s">
        <v>31</v>
      </c>
      <c r="B10" s="2">
        <v>43850</v>
      </c>
      <c r="C10">
        <v>2020</v>
      </c>
      <c r="D10" t="str">
        <f t="shared" si="0"/>
        <v>Jan</v>
      </c>
      <c r="E10" t="s">
        <v>12</v>
      </c>
      <c r="F10" t="s">
        <v>2028</v>
      </c>
      <c r="G10" t="s">
        <v>19</v>
      </c>
      <c r="H10" t="s">
        <v>23</v>
      </c>
      <c r="I10">
        <v>9</v>
      </c>
      <c r="J10" s="9">
        <v>9400</v>
      </c>
      <c r="K10" s="7">
        <v>0.2</v>
      </c>
      <c r="L10" s="9">
        <v>7520</v>
      </c>
      <c r="M10" s="10">
        <f>Sales_Data3[[#This Row],[Profit]]/Sales_Data3[[#This Row],[Sales]]</f>
        <v>0.8</v>
      </c>
      <c r="N10" t="str">
        <f t="shared" si="1"/>
        <v>Medium</v>
      </c>
      <c r="O10" s="2">
        <v>43850</v>
      </c>
      <c r="P10" s="9">
        <v>9400</v>
      </c>
    </row>
    <row r="11" spans="1:16" x14ac:dyDescent="0.25">
      <c r="A11" t="s">
        <v>32</v>
      </c>
      <c r="B11" s="2">
        <v>43851</v>
      </c>
      <c r="C11">
        <v>2020</v>
      </c>
      <c r="D11" t="str">
        <f t="shared" si="0"/>
        <v>Jan</v>
      </c>
      <c r="E11" t="s">
        <v>12</v>
      </c>
      <c r="F11" t="s">
        <v>2029</v>
      </c>
      <c r="G11" t="s">
        <v>20</v>
      </c>
      <c r="H11" t="s">
        <v>23</v>
      </c>
      <c r="I11">
        <v>1</v>
      </c>
      <c r="J11" s="9">
        <v>5400</v>
      </c>
      <c r="K11" s="7">
        <v>0.25</v>
      </c>
      <c r="L11" s="9">
        <v>4050</v>
      </c>
      <c r="M11" s="10">
        <f>Sales_Data3[[#This Row],[Profit]]/Sales_Data3[[#This Row],[Sales]]</f>
        <v>0.75</v>
      </c>
      <c r="N11" t="str">
        <f t="shared" si="1"/>
        <v>Medium</v>
      </c>
      <c r="O11" s="2">
        <v>43851</v>
      </c>
      <c r="P11" s="9">
        <v>5400</v>
      </c>
    </row>
    <row r="12" spans="1:16" x14ac:dyDescent="0.25">
      <c r="A12" t="s">
        <v>33</v>
      </c>
      <c r="B12" s="2">
        <v>43852</v>
      </c>
      <c r="C12">
        <v>2020</v>
      </c>
      <c r="D12" t="str">
        <f t="shared" si="0"/>
        <v>Jan</v>
      </c>
      <c r="E12" t="s">
        <v>13</v>
      </c>
      <c r="F12" t="s">
        <v>16</v>
      </c>
      <c r="G12" t="s">
        <v>21</v>
      </c>
      <c r="H12" t="s">
        <v>24</v>
      </c>
      <c r="I12">
        <v>8</v>
      </c>
      <c r="J12" s="9">
        <v>6200</v>
      </c>
      <c r="K12" s="7">
        <v>0.05</v>
      </c>
      <c r="L12" s="9">
        <v>5890</v>
      </c>
      <c r="M12" s="10">
        <f>Sales_Data3[[#This Row],[Profit]]/Sales_Data3[[#This Row],[Sales]]</f>
        <v>0.95</v>
      </c>
      <c r="N12" t="str">
        <f t="shared" si="1"/>
        <v>Medium</v>
      </c>
      <c r="O12" s="2">
        <v>43852</v>
      </c>
      <c r="P12" s="9">
        <v>6200</v>
      </c>
    </row>
    <row r="13" spans="1:16" x14ac:dyDescent="0.25">
      <c r="A13" t="s">
        <v>34</v>
      </c>
      <c r="B13" s="2">
        <v>43853</v>
      </c>
      <c r="C13">
        <v>2020</v>
      </c>
      <c r="D13" t="str">
        <f t="shared" si="0"/>
        <v>Jan</v>
      </c>
      <c r="E13" t="s">
        <v>13</v>
      </c>
      <c r="F13" t="s">
        <v>2030</v>
      </c>
      <c r="G13" t="s">
        <v>22</v>
      </c>
      <c r="H13" t="s">
        <v>24</v>
      </c>
      <c r="I13">
        <v>2</v>
      </c>
      <c r="J13" s="9">
        <v>14500</v>
      </c>
      <c r="K13" s="7">
        <v>0.1</v>
      </c>
      <c r="L13" s="9">
        <v>13050</v>
      </c>
      <c r="M13" s="10">
        <f>Sales_Data3[[#This Row],[Profit]]/Sales_Data3[[#This Row],[Sales]]</f>
        <v>0.9</v>
      </c>
      <c r="N13" t="str">
        <f t="shared" si="1"/>
        <v>High</v>
      </c>
      <c r="O13" s="2">
        <v>43853</v>
      </c>
      <c r="P13" s="9">
        <v>14500</v>
      </c>
    </row>
    <row r="14" spans="1:16" x14ac:dyDescent="0.25">
      <c r="A14" t="s">
        <v>35</v>
      </c>
      <c r="B14" s="2">
        <v>43854</v>
      </c>
      <c r="C14">
        <v>2020</v>
      </c>
      <c r="D14" t="str">
        <f t="shared" si="0"/>
        <v>Jan</v>
      </c>
      <c r="E14" t="s">
        <v>13</v>
      </c>
      <c r="F14" t="s">
        <v>2031</v>
      </c>
      <c r="G14" t="s">
        <v>19</v>
      </c>
      <c r="H14" t="s">
        <v>24</v>
      </c>
      <c r="I14">
        <v>8</v>
      </c>
      <c r="J14" s="9">
        <v>14300</v>
      </c>
      <c r="K14" s="7">
        <v>0.15000000000000002</v>
      </c>
      <c r="L14" s="9">
        <v>12155</v>
      </c>
      <c r="M14" s="10">
        <f>Sales_Data3[[#This Row],[Profit]]/Sales_Data3[[#This Row],[Sales]]</f>
        <v>0.85</v>
      </c>
      <c r="N14" t="str">
        <f t="shared" si="1"/>
        <v>High</v>
      </c>
      <c r="O14" s="2">
        <v>43854</v>
      </c>
      <c r="P14" s="9">
        <v>14300</v>
      </c>
    </row>
    <row r="15" spans="1:16" x14ac:dyDescent="0.25">
      <c r="A15" t="s">
        <v>36</v>
      </c>
      <c r="B15" s="2">
        <v>43855</v>
      </c>
      <c r="C15">
        <v>2020</v>
      </c>
      <c r="D15" t="str">
        <f t="shared" si="0"/>
        <v>Jan</v>
      </c>
      <c r="E15" t="s">
        <v>13</v>
      </c>
      <c r="F15" t="s">
        <v>2032</v>
      </c>
      <c r="G15" t="s">
        <v>20</v>
      </c>
      <c r="H15" t="s">
        <v>24</v>
      </c>
      <c r="I15">
        <v>10</v>
      </c>
      <c r="J15" s="9">
        <v>13500</v>
      </c>
      <c r="K15" s="7">
        <v>0.2</v>
      </c>
      <c r="L15" s="9">
        <v>10800</v>
      </c>
      <c r="M15" s="10">
        <f>Sales_Data3[[#This Row],[Profit]]/Sales_Data3[[#This Row],[Sales]]</f>
        <v>0.8</v>
      </c>
      <c r="N15" t="str">
        <f t="shared" si="1"/>
        <v>High</v>
      </c>
      <c r="O15" s="2">
        <v>43855</v>
      </c>
      <c r="P15" s="9">
        <v>13500</v>
      </c>
    </row>
    <row r="16" spans="1:16" x14ac:dyDescent="0.25">
      <c r="A16" t="s">
        <v>37</v>
      </c>
      <c r="B16" s="2">
        <v>43856</v>
      </c>
      <c r="C16">
        <v>2020</v>
      </c>
      <c r="D16" t="str">
        <f t="shared" si="0"/>
        <v>Jan</v>
      </c>
      <c r="E16" t="s">
        <v>13</v>
      </c>
      <c r="F16" t="s">
        <v>2033</v>
      </c>
      <c r="G16" t="s">
        <v>21</v>
      </c>
      <c r="H16" t="s">
        <v>24</v>
      </c>
      <c r="I16">
        <v>10</v>
      </c>
      <c r="J16" s="9">
        <v>12500</v>
      </c>
      <c r="K16" s="7">
        <v>0.25</v>
      </c>
      <c r="L16" s="9">
        <v>9375</v>
      </c>
      <c r="M16" s="10">
        <f>Sales_Data3[[#This Row],[Profit]]/Sales_Data3[[#This Row],[Sales]]</f>
        <v>0.75</v>
      </c>
      <c r="N16" t="str">
        <f t="shared" si="1"/>
        <v>High</v>
      </c>
      <c r="O16" s="2">
        <v>43856</v>
      </c>
      <c r="P16" s="9">
        <v>12500</v>
      </c>
    </row>
    <row r="17" spans="1:16" x14ac:dyDescent="0.25">
      <c r="A17" t="s">
        <v>38</v>
      </c>
      <c r="B17" s="2">
        <v>43857</v>
      </c>
      <c r="C17">
        <v>2020</v>
      </c>
      <c r="D17" t="str">
        <f t="shared" si="0"/>
        <v>Jan</v>
      </c>
      <c r="E17" t="s">
        <v>13</v>
      </c>
      <c r="F17" t="s">
        <v>2034</v>
      </c>
      <c r="G17" t="s">
        <v>22</v>
      </c>
      <c r="H17" t="s">
        <v>24</v>
      </c>
      <c r="I17">
        <v>8</v>
      </c>
      <c r="J17" s="9">
        <v>5500</v>
      </c>
      <c r="K17" s="7">
        <v>0.05</v>
      </c>
      <c r="L17" s="9">
        <v>5225</v>
      </c>
      <c r="M17" s="10">
        <f>Sales_Data3[[#This Row],[Profit]]/Sales_Data3[[#This Row],[Sales]]</f>
        <v>0.95</v>
      </c>
      <c r="N17" t="str">
        <f t="shared" si="1"/>
        <v>Medium</v>
      </c>
      <c r="O17" s="2">
        <v>43857</v>
      </c>
      <c r="P17" s="9">
        <v>5500</v>
      </c>
    </row>
    <row r="18" spans="1:16" x14ac:dyDescent="0.25">
      <c r="A18" t="s">
        <v>39</v>
      </c>
      <c r="B18" s="2">
        <v>43858</v>
      </c>
      <c r="C18">
        <v>2020</v>
      </c>
      <c r="D18" t="str">
        <f t="shared" si="0"/>
        <v>Jan</v>
      </c>
      <c r="E18" t="s">
        <v>13</v>
      </c>
      <c r="F18" t="s">
        <v>2035</v>
      </c>
      <c r="G18" t="s">
        <v>19</v>
      </c>
      <c r="H18" t="s">
        <v>24</v>
      </c>
      <c r="I18">
        <v>5</v>
      </c>
      <c r="J18" s="9">
        <v>12500</v>
      </c>
      <c r="K18" s="7">
        <v>0.1</v>
      </c>
      <c r="L18" s="9">
        <v>11250</v>
      </c>
      <c r="M18" s="10">
        <f>Sales_Data3[[#This Row],[Profit]]/Sales_Data3[[#This Row],[Sales]]</f>
        <v>0.9</v>
      </c>
      <c r="N18" t="str">
        <f t="shared" si="1"/>
        <v>High</v>
      </c>
      <c r="O18" s="2">
        <v>43858</v>
      </c>
      <c r="P18" s="9">
        <v>12500</v>
      </c>
    </row>
    <row r="19" spans="1:16" x14ac:dyDescent="0.25">
      <c r="A19" t="s">
        <v>40</v>
      </c>
      <c r="B19" s="2">
        <v>43859</v>
      </c>
      <c r="C19">
        <v>2020</v>
      </c>
      <c r="D19" t="str">
        <f t="shared" si="0"/>
        <v>Jan</v>
      </c>
      <c r="E19" t="s">
        <v>13</v>
      </c>
      <c r="F19" t="s">
        <v>2036</v>
      </c>
      <c r="G19" t="s">
        <v>20</v>
      </c>
      <c r="H19" t="s">
        <v>24</v>
      </c>
      <c r="I19">
        <v>5</v>
      </c>
      <c r="J19" s="9">
        <v>4900</v>
      </c>
      <c r="K19" s="7">
        <v>0.15000000000000002</v>
      </c>
      <c r="L19" s="9">
        <v>4165</v>
      </c>
      <c r="M19" s="10">
        <f>Sales_Data3[[#This Row],[Profit]]/Sales_Data3[[#This Row],[Sales]]</f>
        <v>0.85</v>
      </c>
      <c r="N19" t="str">
        <f t="shared" si="1"/>
        <v>Low</v>
      </c>
      <c r="O19" s="2">
        <v>43859</v>
      </c>
      <c r="P19" s="9">
        <v>4900</v>
      </c>
    </row>
    <row r="20" spans="1:16" x14ac:dyDescent="0.25">
      <c r="A20" t="s">
        <v>41</v>
      </c>
      <c r="B20" s="2">
        <v>43860</v>
      </c>
      <c r="C20">
        <v>2020</v>
      </c>
      <c r="D20" t="str">
        <f t="shared" si="0"/>
        <v>Jan</v>
      </c>
      <c r="E20" t="s">
        <v>13</v>
      </c>
      <c r="F20" t="s">
        <v>2037</v>
      </c>
      <c r="G20" t="s">
        <v>21</v>
      </c>
      <c r="H20" t="s">
        <v>24</v>
      </c>
      <c r="I20">
        <v>7</v>
      </c>
      <c r="J20" s="9">
        <v>12700</v>
      </c>
      <c r="K20" s="7">
        <v>0.2</v>
      </c>
      <c r="L20" s="9">
        <v>10160</v>
      </c>
      <c r="M20" s="10">
        <f>Sales_Data3[[#This Row],[Profit]]/Sales_Data3[[#This Row],[Sales]]</f>
        <v>0.8</v>
      </c>
      <c r="N20" t="str">
        <f t="shared" si="1"/>
        <v>High</v>
      </c>
      <c r="O20" s="2">
        <v>43860</v>
      </c>
      <c r="P20" s="9">
        <v>12700</v>
      </c>
    </row>
    <row r="21" spans="1:16" x14ac:dyDescent="0.25">
      <c r="A21" t="s">
        <v>42</v>
      </c>
      <c r="B21" s="2">
        <v>43861</v>
      </c>
      <c r="C21">
        <v>2020</v>
      </c>
      <c r="D21" t="str">
        <f t="shared" si="0"/>
        <v>Jan</v>
      </c>
      <c r="E21" t="s">
        <v>13</v>
      </c>
      <c r="F21" t="s">
        <v>2038</v>
      </c>
      <c r="G21" t="s">
        <v>22</v>
      </c>
      <c r="H21" t="s">
        <v>24</v>
      </c>
      <c r="I21">
        <v>4</v>
      </c>
      <c r="J21" s="9">
        <v>5700</v>
      </c>
      <c r="K21" s="7">
        <v>0.25</v>
      </c>
      <c r="L21" s="9">
        <v>4275</v>
      </c>
      <c r="M21" s="10">
        <f>Sales_Data3[[#This Row],[Profit]]/Sales_Data3[[#This Row],[Sales]]</f>
        <v>0.75</v>
      </c>
      <c r="N21" t="str">
        <f t="shared" si="1"/>
        <v>Medium</v>
      </c>
      <c r="O21" s="2">
        <v>43861</v>
      </c>
      <c r="P21" s="9">
        <v>5700</v>
      </c>
    </row>
    <row r="22" spans="1:16" x14ac:dyDescent="0.25">
      <c r="A22" t="s">
        <v>43</v>
      </c>
      <c r="B22" s="2">
        <v>43862</v>
      </c>
      <c r="C22">
        <v>2020</v>
      </c>
      <c r="D22" t="str">
        <f t="shared" si="0"/>
        <v>Feb</v>
      </c>
      <c r="E22" t="s">
        <v>14</v>
      </c>
      <c r="F22" t="s">
        <v>2039</v>
      </c>
      <c r="G22" t="s">
        <v>19</v>
      </c>
      <c r="H22" t="s">
        <v>25</v>
      </c>
      <c r="I22">
        <v>9</v>
      </c>
      <c r="J22" s="9">
        <v>4100</v>
      </c>
      <c r="K22" s="7">
        <v>0.05</v>
      </c>
      <c r="L22" s="9">
        <v>3895</v>
      </c>
      <c r="M22" s="10">
        <f>Sales_Data3[[#This Row],[Profit]]/Sales_Data3[[#This Row],[Sales]]</f>
        <v>0.95</v>
      </c>
      <c r="N22" t="str">
        <f t="shared" si="1"/>
        <v>Low</v>
      </c>
      <c r="O22" s="2">
        <v>43862</v>
      </c>
      <c r="P22" s="9">
        <v>4100</v>
      </c>
    </row>
    <row r="23" spans="1:16" x14ac:dyDescent="0.25">
      <c r="A23" t="s">
        <v>44</v>
      </c>
      <c r="B23" s="2">
        <v>43863</v>
      </c>
      <c r="C23">
        <v>2020</v>
      </c>
      <c r="D23" t="str">
        <f t="shared" si="0"/>
        <v>Feb</v>
      </c>
      <c r="E23" t="s">
        <v>14</v>
      </c>
      <c r="F23" t="s">
        <v>2040</v>
      </c>
      <c r="G23" t="s">
        <v>20</v>
      </c>
      <c r="H23" t="s">
        <v>25</v>
      </c>
      <c r="I23">
        <v>2</v>
      </c>
      <c r="J23" s="9">
        <v>9400</v>
      </c>
      <c r="K23" s="7">
        <v>0.1</v>
      </c>
      <c r="L23" s="9">
        <v>8460</v>
      </c>
      <c r="M23" s="10">
        <f>Sales_Data3[[#This Row],[Profit]]/Sales_Data3[[#This Row],[Sales]]</f>
        <v>0.9</v>
      </c>
      <c r="N23" t="str">
        <f t="shared" si="1"/>
        <v>Medium</v>
      </c>
      <c r="O23" s="2">
        <v>43863</v>
      </c>
      <c r="P23" s="9">
        <v>9400</v>
      </c>
    </row>
    <row r="24" spans="1:16" x14ac:dyDescent="0.25">
      <c r="A24" t="s">
        <v>45</v>
      </c>
      <c r="B24" s="2">
        <v>43864</v>
      </c>
      <c r="C24">
        <v>2020</v>
      </c>
      <c r="D24" t="str">
        <f t="shared" si="0"/>
        <v>Feb</v>
      </c>
      <c r="E24" t="s">
        <v>14</v>
      </c>
      <c r="F24" t="s">
        <v>2041</v>
      </c>
      <c r="G24" t="s">
        <v>21</v>
      </c>
      <c r="H24" t="s">
        <v>25</v>
      </c>
      <c r="I24">
        <v>2</v>
      </c>
      <c r="J24" s="9">
        <v>14400</v>
      </c>
      <c r="K24" s="7">
        <v>0.15000000000000002</v>
      </c>
      <c r="L24" s="9">
        <v>12240</v>
      </c>
      <c r="M24" s="10">
        <f>Sales_Data3[[#This Row],[Profit]]/Sales_Data3[[#This Row],[Sales]]</f>
        <v>0.85</v>
      </c>
      <c r="N24" t="str">
        <f t="shared" si="1"/>
        <v>High</v>
      </c>
      <c r="O24" s="2">
        <v>43864</v>
      </c>
      <c r="P24" s="9">
        <v>14400</v>
      </c>
    </row>
    <row r="25" spans="1:16" x14ac:dyDescent="0.25">
      <c r="A25" t="s">
        <v>46</v>
      </c>
      <c r="B25" s="2">
        <v>43865</v>
      </c>
      <c r="C25">
        <v>2020</v>
      </c>
      <c r="D25" t="str">
        <f t="shared" si="0"/>
        <v>Feb</v>
      </c>
      <c r="E25" t="s">
        <v>14</v>
      </c>
      <c r="F25" t="s">
        <v>2042</v>
      </c>
      <c r="G25" t="s">
        <v>22</v>
      </c>
      <c r="H25" t="s">
        <v>25</v>
      </c>
      <c r="I25">
        <v>1</v>
      </c>
      <c r="J25" s="9">
        <v>5300</v>
      </c>
      <c r="K25" s="7">
        <v>0.2</v>
      </c>
      <c r="L25" s="9">
        <v>4240</v>
      </c>
      <c r="M25" s="10">
        <f>Sales_Data3[[#This Row],[Profit]]/Sales_Data3[[#This Row],[Sales]]</f>
        <v>0.8</v>
      </c>
      <c r="N25" t="str">
        <f t="shared" si="1"/>
        <v>Medium</v>
      </c>
      <c r="O25" s="2">
        <v>43865</v>
      </c>
      <c r="P25" s="9">
        <v>5300</v>
      </c>
    </row>
    <row r="26" spans="1:16" x14ac:dyDescent="0.25">
      <c r="A26" t="s">
        <v>47</v>
      </c>
      <c r="B26" s="2">
        <v>43866</v>
      </c>
      <c r="C26">
        <v>2020</v>
      </c>
      <c r="D26" t="str">
        <f t="shared" si="0"/>
        <v>Feb</v>
      </c>
      <c r="E26" t="s">
        <v>14</v>
      </c>
      <c r="F26" t="s">
        <v>2043</v>
      </c>
      <c r="G26" t="s">
        <v>19</v>
      </c>
      <c r="H26" t="s">
        <v>25</v>
      </c>
      <c r="I26">
        <v>10</v>
      </c>
      <c r="J26" s="9">
        <v>4000</v>
      </c>
      <c r="K26" s="7">
        <v>0.25</v>
      </c>
      <c r="L26" s="9">
        <v>3000</v>
      </c>
      <c r="M26" s="10">
        <f>Sales_Data3[[#This Row],[Profit]]/Sales_Data3[[#This Row],[Sales]]</f>
        <v>0.75</v>
      </c>
      <c r="N26" t="str">
        <f t="shared" si="1"/>
        <v>Low</v>
      </c>
      <c r="O26" s="2">
        <v>43866</v>
      </c>
      <c r="P26" s="9">
        <v>4000</v>
      </c>
    </row>
    <row r="27" spans="1:16" x14ac:dyDescent="0.25">
      <c r="A27" t="s">
        <v>48</v>
      </c>
      <c r="B27" s="2">
        <v>43867</v>
      </c>
      <c r="C27">
        <v>2020</v>
      </c>
      <c r="D27" t="str">
        <f t="shared" si="0"/>
        <v>Feb</v>
      </c>
      <c r="E27" t="s">
        <v>14</v>
      </c>
      <c r="F27" t="s">
        <v>2044</v>
      </c>
      <c r="G27" t="s">
        <v>20</v>
      </c>
      <c r="H27" t="s">
        <v>25</v>
      </c>
      <c r="I27">
        <v>7</v>
      </c>
      <c r="J27" s="9">
        <v>12800</v>
      </c>
      <c r="K27" s="7">
        <v>0.05</v>
      </c>
      <c r="L27" s="9">
        <v>12160</v>
      </c>
      <c r="M27" s="10">
        <f>Sales_Data3[[#This Row],[Profit]]/Sales_Data3[[#This Row],[Sales]]</f>
        <v>0.95</v>
      </c>
      <c r="N27" t="str">
        <f t="shared" si="1"/>
        <v>High</v>
      </c>
      <c r="O27" s="2">
        <v>43867</v>
      </c>
      <c r="P27" s="9">
        <v>12800</v>
      </c>
    </row>
    <row r="28" spans="1:16" x14ac:dyDescent="0.25">
      <c r="A28" t="s">
        <v>49</v>
      </c>
      <c r="B28" s="2">
        <v>43868</v>
      </c>
      <c r="C28">
        <v>2020</v>
      </c>
      <c r="D28" t="str">
        <f t="shared" si="0"/>
        <v>Feb</v>
      </c>
      <c r="E28" t="s">
        <v>14</v>
      </c>
      <c r="F28" t="s">
        <v>2045</v>
      </c>
      <c r="G28" t="s">
        <v>21</v>
      </c>
      <c r="H28" t="s">
        <v>25</v>
      </c>
      <c r="I28">
        <v>3</v>
      </c>
      <c r="J28" s="9">
        <v>10400</v>
      </c>
      <c r="K28" s="7">
        <v>0.1</v>
      </c>
      <c r="L28" s="9">
        <v>9360</v>
      </c>
      <c r="M28" s="10">
        <f>Sales_Data3[[#This Row],[Profit]]/Sales_Data3[[#This Row],[Sales]]</f>
        <v>0.9</v>
      </c>
      <c r="N28" t="str">
        <f t="shared" si="1"/>
        <v>High</v>
      </c>
      <c r="O28" s="2">
        <v>43868</v>
      </c>
      <c r="P28" s="9">
        <v>10400</v>
      </c>
    </row>
    <row r="29" spans="1:16" x14ac:dyDescent="0.25">
      <c r="A29" t="s">
        <v>50</v>
      </c>
      <c r="B29" s="2">
        <v>43869</v>
      </c>
      <c r="C29">
        <v>2020</v>
      </c>
      <c r="D29" t="str">
        <f t="shared" si="0"/>
        <v>Feb</v>
      </c>
      <c r="E29" t="s">
        <v>14</v>
      </c>
      <c r="F29" t="s">
        <v>2046</v>
      </c>
      <c r="G29" t="s">
        <v>22</v>
      </c>
      <c r="H29" t="s">
        <v>25</v>
      </c>
      <c r="I29">
        <v>2</v>
      </c>
      <c r="J29" s="9">
        <v>13200</v>
      </c>
      <c r="K29" s="7">
        <v>0.15000000000000002</v>
      </c>
      <c r="L29" s="9">
        <v>11220</v>
      </c>
      <c r="M29" s="10">
        <f>Sales_Data3[[#This Row],[Profit]]/Sales_Data3[[#This Row],[Sales]]</f>
        <v>0.85</v>
      </c>
      <c r="N29" t="str">
        <f t="shared" si="1"/>
        <v>High</v>
      </c>
      <c r="O29" s="2">
        <v>43869</v>
      </c>
      <c r="P29" s="9">
        <v>13200</v>
      </c>
    </row>
    <row r="30" spans="1:16" x14ac:dyDescent="0.25">
      <c r="A30" t="s">
        <v>51</v>
      </c>
      <c r="B30" s="2">
        <v>43870</v>
      </c>
      <c r="C30">
        <v>2020</v>
      </c>
      <c r="D30" t="str">
        <f t="shared" si="0"/>
        <v>Feb</v>
      </c>
      <c r="E30" t="s">
        <v>14</v>
      </c>
      <c r="F30" t="s">
        <v>2047</v>
      </c>
      <c r="G30" t="s">
        <v>19</v>
      </c>
      <c r="H30" t="s">
        <v>25</v>
      </c>
      <c r="I30">
        <v>6</v>
      </c>
      <c r="J30" s="9">
        <v>10000</v>
      </c>
      <c r="K30" s="7">
        <v>0.2</v>
      </c>
      <c r="L30" s="9">
        <v>8000</v>
      </c>
      <c r="M30" s="10">
        <f>Sales_Data3[[#This Row],[Profit]]/Sales_Data3[[#This Row],[Sales]]</f>
        <v>0.8</v>
      </c>
      <c r="N30" t="str">
        <f t="shared" si="1"/>
        <v>Medium</v>
      </c>
      <c r="O30" s="2">
        <v>43870</v>
      </c>
      <c r="P30" s="9">
        <v>10000</v>
      </c>
    </row>
    <row r="31" spans="1:16" x14ac:dyDescent="0.25">
      <c r="A31" t="s">
        <v>52</v>
      </c>
      <c r="B31" s="2">
        <v>43871</v>
      </c>
      <c r="C31">
        <v>2020</v>
      </c>
      <c r="D31" t="str">
        <f t="shared" si="0"/>
        <v>Feb</v>
      </c>
      <c r="E31" t="s">
        <v>14</v>
      </c>
      <c r="F31" t="s">
        <v>2048</v>
      </c>
      <c r="G31" t="s">
        <v>20</v>
      </c>
      <c r="H31" t="s">
        <v>25</v>
      </c>
      <c r="I31">
        <v>9</v>
      </c>
      <c r="J31" s="9">
        <v>13400</v>
      </c>
      <c r="K31" s="7">
        <v>0.25</v>
      </c>
      <c r="L31" s="9">
        <v>10050</v>
      </c>
      <c r="M31" s="10">
        <f>Sales_Data3[[#This Row],[Profit]]/Sales_Data3[[#This Row],[Sales]]</f>
        <v>0.75</v>
      </c>
      <c r="N31" t="str">
        <f t="shared" si="1"/>
        <v>High</v>
      </c>
      <c r="O31" s="2">
        <v>43871</v>
      </c>
      <c r="P31" s="9">
        <v>13400</v>
      </c>
    </row>
    <row r="32" spans="1:16" x14ac:dyDescent="0.25">
      <c r="A32" t="s">
        <v>53</v>
      </c>
      <c r="B32" s="2">
        <v>43872</v>
      </c>
      <c r="C32">
        <v>2020</v>
      </c>
      <c r="D32" t="str">
        <f t="shared" si="0"/>
        <v>Feb</v>
      </c>
      <c r="E32" t="s">
        <v>12</v>
      </c>
      <c r="F32" t="s">
        <v>15</v>
      </c>
      <c r="G32" t="s">
        <v>21</v>
      </c>
      <c r="H32" t="s">
        <v>23</v>
      </c>
      <c r="I32">
        <v>2</v>
      </c>
      <c r="J32" s="9">
        <v>7900</v>
      </c>
      <c r="K32" s="7">
        <v>0.05</v>
      </c>
      <c r="L32" s="9">
        <v>7505</v>
      </c>
      <c r="M32" s="10">
        <f>Sales_Data3[[#This Row],[Profit]]/Sales_Data3[[#This Row],[Sales]]</f>
        <v>0.95</v>
      </c>
      <c r="N32" t="str">
        <f t="shared" si="1"/>
        <v>Medium</v>
      </c>
      <c r="O32" s="2">
        <v>43872</v>
      </c>
      <c r="P32" s="9">
        <v>7900</v>
      </c>
    </row>
    <row r="33" spans="1:16" x14ac:dyDescent="0.25">
      <c r="A33" t="s">
        <v>54</v>
      </c>
      <c r="B33" s="2">
        <v>43873</v>
      </c>
      <c r="C33">
        <v>2020</v>
      </c>
      <c r="D33" t="str">
        <f t="shared" si="0"/>
        <v>Feb</v>
      </c>
      <c r="E33" t="s">
        <v>12</v>
      </c>
      <c r="F33" t="s">
        <v>17</v>
      </c>
      <c r="G33" t="s">
        <v>22</v>
      </c>
      <c r="H33" t="s">
        <v>23</v>
      </c>
      <c r="I33">
        <v>8</v>
      </c>
      <c r="J33" s="9">
        <v>8900</v>
      </c>
      <c r="K33" s="7">
        <v>0.1</v>
      </c>
      <c r="L33" s="9">
        <v>8010</v>
      </c>
      <c r="M33" s="10">
        <f>Sales_Data3[[#This Row],[Profit]]/Sales_Data3[[#This Row],[Sales]]</f>
        <v>0.9</v>
      </c>
      <c r="N33" t="str">
        <f t="shared" si="1"/>
        <v>Medium</v>
      </c>
      <c r="O33" s="2">
        <v>43873</v>
      </c>
      <c r="P33" s="9">
        <v>8900</v>
      </c>
    </row>
    <row r="34" spans="1:16" x14ac:dyDescent="0.25">
      <c r="A34" t="s">
        <v>55</v>
      </c>
      <c r="B34" s="2">
        <v>43874</v>
      </c>
      <c r="C34">
        <v>2020</v>
      </c>
      <c r="D34" t="str">
        <f t="shared" si="0"/>
        <v>Feb</v>
      </c>
      <c r="E34" t="s">
        <v>12</v>
      </c>
      <c r="F34" t="s">
        <v>2023</v>
      </c>
      <c r="G34" t="s">
        <v>19</v>
      </c>
      <c r="H34" t="s">
        <v>23</v>
      </c>
      <c r="I34">
        <v>5</v>
      </c>
      <c r="J34" s="9">
        <v>7100</v>
      </c>
      <c r="K34" s="7">
        <v>0.15000000000000002</v>
      </c>
      <c r="L34" s="9">
        <v>6035</v>
      </c>
      <c r="M34" s="10">
        <f>Sales_Data3[[#This Row],[Profit]]/Sales_Data3[[#This Row],[Sales]]</f>
        <v>0.85</v>
      </c>
      <c r="N34" t="str">
        <f t="shared" si="1"/>
        <v>Medium</v>
      </c>
      <c r="O34" s="2">
        <v>43874</v>
      </c>
      <c r="P34" s="9">
        <v>7100</v>
      </c>
    </row>
    <row r="35" spans="1:16" x14ac:dyDescent="0.25">
      <c r="A35" t="s">
        <v>56</v>
      </c>
      <c r="B35" s="2">
        <v>43875</v>
      </c>
      <c r="C35">
        <v>2020</v>
      </c>
      <c r="D35" t="str">
        <f t="shared" si="0"/>
        <v>Feb</v>
      </c>
      <c r="E35" t="s">
        <v>12</v>
      </c>
      <c r="F35" t="s">
        <v>18</v>
      </c>
      <c r="G35" t="s">
        <v>20</v>
      </c>
      <c r="H35" t="s">
        <v>23</v>
      </c>
      <c r="I35">
        <v>10</v>
      </c>
      <c r="J35" s="9">
        <v>4700</v>
      </c>
      <c r="K35" s="7">
        <v>0.2</v>
      </c>
      <c r="L35" s="9">
        <v>3760</v>
      </c>
      <c r="M35" s="10">
        <f>Sales_Data3[[#This Row],[Profit]]/Sales_Data3[[#This Row],[Sales]]</f>
        <v>0.8</v>
      </c>
      <c r="N35" t="str">
        <f t="shared" si="1"/>
        <v>Low</v>
      </c>
      <c r="O35" s="2">
        <v>43875</v>
      </c>
      <c r="P35" s="9">
        <v>4700</v>
      </c>
    </row>
    <row r="36" spans="1:16" x14ac:dyDescent="0.25">
      <c r="A36" t="s">
        <v>57</v>
      </c>
      <c r="B36" s="2">
        <v>43876</v>
      </c>
      <c r="C36">
        <v>2020</v>
      </c>
      <c r="D36" t="str">
        <f t="shared" si="0"/>
        <v>Feb</v>
      </c>
      <c r="E36" t="s">
        <v>12</v>
      </c>
      <c r="F36" t="s">
        <v>2024</v>
      </c>
      <c r="G36" t="s">
        <v>21</v>
      </c>
      <c r="H36" t="s">
        <v>23</v>
      </c>
      <c r="I36">
        <v>1</v>
      </c>
      <c r="J36" s="9">
        <v>5100</v>
      </c>
      <c r="K36" s="7">
        <v>0.25</v>
      </c>
      <c r="L36" s="9">
        <v>3825</v>
      </c>
      <c r="M36" s="10">
        <f>Sales_Data3[[#This Row],[Profit]]/Sales_Data3[[#This Row],[Sales]]</f>
        <v>0.75</v>
      </c>
      <c r="N36" t="str">
        <f t="shared" si="1"/>
        <v>Medium</v>
      </c>
      <c r="O36" s="2">
        <v>43876</v>
      </c>
      <c r="P36" s="9">
        <v>5100</v>
      </c>
    </row>
    <row r="37" spans="1:16" x14ac:dyDescent="0.25">
      <c r="A37" t="s">
        <v>58</v>
      </c>
      <c r="B37" s="2">
        <v>43877</v>
      </c>
      <c r="C37">
        <v>2020</v>
      </c>
      <c r="D37" t="str">
        <f t="shared" si="0"/>
        <v>Feb</v>
      </c>
      <c r="E37" t="s">
        <v>12</v>
      </c>
      <c r="F37" t="s">
        <v>2025</v>
      </c>
      <c r="G37" t="s">
        <v>22</v>
      </c>
      <c r="H37" t="s">
        <v>23</v>
      </c>
      <c r="I37">
        <v>9</v>
      </c>
      <c r="J37" s="9">
        <v>14900</v>
      </c>
      <c r="K37" s="7">
        <v>0.05</v>
      </c>
      <c r="L37" s="9">
        <v>14155</v>
      </c>
      <c r="M37" s="10">
        <f>Sales_Data3[[#This Row],[Profit]]/Sales_Data3[[#This Row],[Sales]]</f>
        <v>0.95</v>
      </c>
      <c r="N37" t="str">
        <f t="shared" si="1"/>
        <v>High</v>
      </c>
      <c r="O37" s="2">
        <v>43877</v>
      </c>
      <c r="P37" s="9">
        <v>14900</v>
      </c>
    </row>
    <row r="38" spans="1:16" x14ac:dyDescent="0.25">
      <c r="A38" t="s">
        <v>59</v>
      </c>
      <c r="B38" s="2">
        <v>43878</v>
      </c>
      <c r="C38">
        <v>2020</v>
      </c>
      <c r="D38" t="str">
        <f t="shared" si="0"/>
        <v>Feb</v>
      </c>
      <c r="E38" t="s">
        <v>12</v>
      </c>
      <c r="F38" t="s">
        <v>2026</v>
      </c>
      <c r="G38" t="s">
        <v>19</v>
      </c>
      <c r="H38" t="s">
        <v>23</v>
      </c>
      <c r="I38">
        <v>2</v>
      </c>
      <c r="J38" s="9">
        <v>13300</v>
      </c>
      <c r="K38" s="7">
        <v>0.1</v>
      </c>
      <c r="L38" s="9">
        <v>11970</v>
      </c>
      <c r="M38" s="10">
        <f>Sales_Data3[[#This Row],[Profit]]/Sales_Data3[[#This Row],[Sales]]</f>
        <v>0.9</v>
      </c>
      <c r="N38" t="str">
        <f t="shared" si="1"/>
        <v>High</v>
      </c>
      <c r="O38" s="2">
        <v>43878</v>
      </c>
      <c r="P38" s="9">
        <v>13300</v>
      </c>
    </row>
    <row r="39" spans="1:16" x14ac:dyDescent="0.25">
      <c r="A39" t="s">
        <v>60</v>
      </c>
      <c r="B39" s="2">
        <v>43879</v>
      </c>
      <c r="C39">
        <v>2020</v>
      </c>
      <c r="D39" t="str">
        <f t="shared" si="0"/>
        <v>Feb</v>
      </c>
      <c r="E39" t="s">
        <v>12</v>
      </c>
      <c r="F39" t="s">
        <v>2027</v>
      </c>
      <c r="G39" t="s">
        <v>20</v>
      </c>
      <c r="H39" t="s">
        <v>23</v>
      </c>
      <c r="I39">
        <v>7</v>
      </c>
      <c r="J39" s="9">
        <v>4600</v>
      </c>
      <c r="K39" s="7">
        <v>0.15000000000000002</v>
      </c>
      <c r="L39" s="9">
        <v>3910</v>
      </c>
      <c r="M39" s="10">
        <f>Sales_Data3[[#This Row],[Profit]]/Sales_Data3[[#This Row],[Sales]]</f>
        <v>0.85</v>
      </c>
      <c r="N39" t="str">
        <f t="shared" si="1"/>
        <v>Low</v>
      </c>
      <c r="O39" s="2">
        <v>43879</v>
      </c>
      <c r="P39" s="9">
        <v>4600</v>
      </c>
    </row>
    <row r="40" spans="1:16" x14ac:dyDescent="0.25">
      <c r="A40" t="s">
        <v>61</v>
      </c>
      <c r="B40" s="2">
        <v>43880</v>
      </c>
      <c r="C40">
        <v>2020</v>
      </c>
      <c r="D40" t="str">
        <f t="shared" si="0"/>
        <v>Feb</v>
      </c>
      <c r="E40" t="s">
        <v>12</v>
      </c>
      <c r="F40" t="s">
        <v>2028</v>
      </c>
      <c r="G40" t="s">
        <v>21</v>
      </c>
      <c r="H40" t="s">
        <v>23</v>
      </c>
      <c r="I40">
        <v>6</v>
      </c>
      <c r="J40" s="9">
        <v>5700</v>
      </c>
      <c r="K40" s="7">
        <v>0.2</v>
      </c>
      <c r="L40" s="9">
        <v>4560</v>
      </c>
      <c r="M40" s="10">
        <f>Sales_Data3[[#This Row],[Profit]]/Sales_Data3[[#This Row],[Sales]]</f>
        <v>0.8</v>
      </c>
      <c r="N40" t="str">
        <f t="shared" si="1"/>
        <v>Medium</v>
      </c>
      <c r="O40" s="2">
        <v>43880</v>
      </c>
      <c r="P40" s="9">
        <v>5700</v>
      </c>
    </row>
    <row r="41" spans="1:16" x14ac:dyDescent="0.25">
      <c r="A41" t="s">
        <v>62</v>
      </c>
      <c r="B41" s="2">
        <v>43881</v>
      </c>
      <c r="C41">
        <v>2020</v>
      </c>
      <c r="D41" t="str">
        <f t="shared" si="0"/>
        <v>Feb</v>
      </c>
      <c r="E41" t="s">
        <v>12</v>
      </c>
      <c r="F41" t="s">
        <v>2029</v>
      </c>
      <c r="G41" t="s">
        <v>22</v>
      </c>
      <c r="H41" t="s">
        <v>23</v>
      </c>
      <c r="I41">
        <v>9</v>
      </c>
      <c r="J41" s="9">
        <v>8200</v>
      </c>
      <c r="K41" s="7">
        <v>0.25</v>
      </c>
      <c r="L41" s="9">
        <v>6150</v>
      </c>
      <c r="M41" s="10">
        <f>Sales_Data3[[#This Row],[Profit]]/Sales_Data3[[#This Row],[Sales]]</f>
        <v>0.75</v>
      </c>
      <c r="N41" t="str">
        <f t="shared" si="1"/>
        <v>Medium</v>
      </c>
      <c r="O41" s="2">
        <v>43881</v>
      </c>
      <c r="P41" s="9">
        <v>8200</v>
      </c>
    </row>
    <row r="42" spans="1:16" x14ac:dyDescent="0.25">
      <c r="A42" t="s">
        <v>63</v>
      </c>
      <c r="B42" s="2">
        <v>43882</v>
      </c>
      <c r="C42">
        <v>2020</v>
      </c>
      <c r="D42" t="str">
        <f t="shared" si="0"/>
        <v>Feb</v>
      </c>
      <c r="E42" t="s">
        <v>13</v>
      </c>
      <c r="F42" t="s">
        <v>16</v>
      </c>
      <c r="G42" t="s">
        <v>19</v>
      </c>
      <c r="H42" t="s">
        <v>24</v>
      </c>
      <c r="I42">
        <v>8</v>
      </c>
      <c r="J42" s="9">
        <v>8200</v>
      </c>
      <c r="K42" s="7">
        <v>0.05</v>
      </c>
      <c r="L42" s="9">
        <v>7790</v>
      </c>
      <c r="M42" s="10">
        <f>Sales_Data3[[#This Row],[Profit]]/Sales_Data3[[#This Row],[Sales]]</f>
        <v>0.95</v>
      </c>
      <c r="N42" t="str">
        <f t="shared" si="1"/>
        <v>Medium</v>
      </c>
      <c r="O42" s="2">
        <v>43882</v>
      </c>
      <c r="P42" s="9">
        <v>8200</v>
      </c>
    </row>
    <row r="43" spans="1:16" x14ac:dyDescent="0.25">
      <c r="A43" t="s">
        <v>64</v>
      </c>
      <c r="B43" s="2">
        <v>43883</v>
      </c>
      <c r="C43">
        <v>2020</v>
      </c>
      <c r="D43" t="str">
        <f t="shared" si="0"/>
        <v>Feb</v>
      </c>
      <c r="E43" t="s">
        <v>13</v>
      </c>
      <c r="F43" t="s">
        <v>2030</v>
      </c>
      <c r="G43" t="s">
        <v>20</v>
      </c>
      <c r="H43" t="s">
        <v>24</v>
      </c>
      <c r="I43">
        <v>10</v>
      </c>
      <c r="J43" s="9">
        <v>5900</v>
      </c>
      <c r="K43" s="7">
        <v>0.1</v>
      </c>
      <c r="L43" s="9">
        <v>5310</v>
      </c>
      <c r="M43" s="10">
        <f>Sales_Data3[[#This Row],[Profit]]/Sales_Data3[[#This Row],[Sales]]</f>
        <v>0.9</v>
      </c>
      <c r="N43" t="str">
        <f t="shared" si="1"/>
        <v>Medium</v>
      </c>
      <c r="O43" s="2">
        <v>43883</v>
      </c>
      <c r="P43" s="9">
        <v>5900</v>
      </c>
    </row>
    <row r="44" spans="1:16" x14ac:dyDescent="0.25">
      <c r="A44" t="s">
        <v>65</v>
      </c>
      <c r="B44" s="2">
        <v>43884</v>
      </c>
      <c r="C44">
        <v>2020</v>
      </c>
      <c r="D44" t="str">
        <f t="shared" si="0"/>
        <v>Feb</v>
      </c>
      <c r="E44" t="s">
        <v>13</v>
      </c>
      <c r="F44" t="s">
        <v>2031</v>
      </c>
      <c r="G44" t="s">
        <v>21</v>
      </c>
      <c r="H44" t="s">
        <v>24</v>
      </c>
      <c r="I44">
        <v>10</v>
      </c>
      <c r="J44" s="9">
        <v>14100</v>
      </c>
      <c r="K44" s="7">
        <v>0.15000000000000002</v>
      </c>
      <c r="L44" s="9">
        <v>11985</v>
      </c>
      <c r="M44" s="10">
        <f>Sales_Data3[[#This Row],[Profit]]/Sales_Data3[[#This Row],[Sales]]</f>
        <v>0.85</v>
      </c>
      <c r="N44" t="str">
        <f t="shared" si="1"/>
        <v>High</v>
      </c>
      <c r="O44" s="2">
        <v>43884</v>
      </c>
      <c r="P44" s="9">
        <v>14100</v>
      </c>
    </row>
    <row r="45" spans="1:16" x14ac:dyDescent="0.25">
      <c r="A45" t="s">
        <v>66</v>
      </c>
      <c r="B45" s="2">
        <v>43885</v>
      </c>
      <c r="C45">
        <v>2020</v>
      </c>
      <c r="D45" t="str">
        <f t="shared" si="0"/>
        <v>Feb</v>
      </c>
      <c r="E45" t="s">
        <v>13</v>
      </c>
      <c r="F45" t="s">
        <v>2032</v>
      </c>
      <c r="G45" t="s">
        <v>22</v>
      </c>
      <c r="H45" t="s">
        <v>24</v>
      </c>
      <c r="I45">
        <v>3</v>
      </c>
      <c r="J45" s="9">
        <v>7400</v>
      </c>
      <c r="K45" s="7">
        <v>0.2</v>
      </c>
      <c r="L45" s="9">
        <v>5920</v>
      </c>
      <c r="M45" s="10">
        <f>Sales_Data3[[#This Row],[Profit]]/Sales_Data3[[#This Row],[Sales]]</f>
        <v>0.8</v>
      </c>
      <c r="N45" t="str">
        <f t="shared" si="1"/>
        <v>Medium</v>
      </c>
      <c r="O45" s="2">
        <v>43885</v>
      </c>
      <c r="P45" s="9">
        <v>7400</v>
      </c>
    </row>
    <row r="46" spans="1:16" x14ac:dyDescent="0.25">
      <c r="A46" t="s">
        <v>67</v>
      </c>
      <c r="B46" s="2">
        <v>43886</v>
      </c>
      <c r="C46">
        <v>2020</v>
      </c>
      <c r="D46" t="str">
        <f t="shared" si="0"/>
        <v>Feb</v>
      </c>
      <c r="E46" t="s">
        <v>13</v>
      </c>
      <c r="F46" t="s">
        <v>2033</v>
      </c>
      <c r="G46" t="s">
        <v>19</v>
      </c>
      <c r="H46" t="s">
        <v>24</v>
      </c>
      <c r="I46">
        <v>2</v>
      </c>
      <c r="J46" s="9">
        <v>15000</v>
      </c>
      <c r="K46" s="7">
        <v>0.25</v>
      </c>
      <c r="L46" s="9">
        <v>11250</v>
      </c>
      <c r="M46" s="10">
        <f>Sales_Data3[[#This Row],[Profit]]/Sales_Data3[[#This Row],[Sales]]</f>
        <v>0.75</v>
      </c>
      <c r="N46" t="str">
        <f t="shared" si="1"/>
        <v>High</v>
      </c>
      <c r="O46" s="2">
        <v>43886</v>
      </c>
      <c r="P46" s="9">
        <v>15000</v>
      </c>
    </row>
    <row r="47" spans="1:16" x14ac:dyDescent="0.25">
      <c r="A47" t="s">
        <v>68</v>
      </c>
      <c r="B47" s="2">
        <v>43887</v>
      </c>
      <c r="C47">
        <v>2020</v>
      </c>
      <c r="D47" t="str">
        <f t="shared" si="0"/>
        <v>Feb</v>
      </c>
      <c r="E47" t="s">
        <v>13</v>
      </c>
      <c r="F47" t="s">
        <v>2034</v>
      </c>
      <c r="G47" t="s">
        <v>20</v>
      </c>
      <c r="H47" t="s">
        <v>24</v>
      </c>
      <c r="I47">
        <v>9</v>
      </c>
      <c r="J47" s="9">
        <v>6800</v>
      </c>
      <c r="K47" s="7">
        <v>0.05</v>
      </c>
      <c r="L47" s="9">
        <v>6460</v>
      </c>
      <c r="M47" s="10">
        <f>Sales_Data3[[#This Row],[Profit]]/Sales_Data3[[#This Row],[Sales]]</f>
        <v>0.95</v>
      </c>
      <c r="N47" t="str">
        <f t="shared" si="1"/>
        <v>Medium</v>
      </c>
      <c r="O47" s="2">
        <v>43887</v>
      </c>
      <c r="P47" s="9">
        <v>6800</v>
      </c>
    </row>
    <row r="48" spans="1:16" x14ac:dyDescent="0.25">
      <c r="A48" t="s">
        <v>69</v>
      </c>
      <c r="B48" s="2">
        <v>43888</v>
      </c>
      <c r="C48">
        <v>2020</v>
      </c>
      <c r="D48" t="str">
        <f t="shared" si="0"/>
        <v>Feb</v>
      </c>
      <c r="E48" t="s">
        <v>13</v>
      </c>
      <c r="F48" t="s">
        <v>2035</v>
      </c>
      <c r="G48" t="s">
        <v>21</v>
      </c>
      <c r="H48" t="s">
        <v>24</v>
      </c>
      <c r="I48">
        <v>6</v>
      </c>
      <c r="J48" s="9">
        <v>7800</v>
      </c>
      <c r="K48" s="7">
        <v>0.1</v>
      </c>
      <c r="L48" s="9">
        <v>7020</v>
      </c>
      <c r="M48" s="10">
        <f>Sales_Data3[[#This Row],[Profit]]/Sales_Data3[[#This Row],[Sales]]</f>
        <v>0.9</v>
      </c>
      <c r="N48" t="str">
        <f t="shared" si="1"/>
        <v>Medium</v>
      </c>
      <c r="O48" s="2">
        <v>43888</v>
      </c>
      <c r="P48" s="9">
        <v>7800</v>
      </c>
    </row>
    <row r="49" spans="1:16" x14ac:dyDescent="0.25">
      <c r="A49" t="s">
        <v>70</v>
      </c>
      <c r="B49" s="2">
        <v>43889</v>
      </c>
      <c r="C49">
        <v>2020</v>
      </c>
      <c r="D49" t="str">
        <f t="shared" si="0"/>
        <v>Feb</v>
      </c>
      <c r="E49" t="s">
        <v>13</v>
      </c>
      <c r="F49" t="s">
        <v>2036</v>
      </c>
      <c r="G49" t="s">
        <v>22</v>
      </c>
      <c r="H49" t="s">
        <v>24</v>
      </c>
      <c r="I49">
        <v>10</v>
      </c>
      <c r="J49" s="9">
        <v>11600</v>
      </c>
      <c r="K49" s="7">
        <v>0.15000000000000002</v>
      </c>
      <c r="L49" s="9">
        <v>9860</v>
      </c>
      <c r="M49" s="10">
        <f>Sales_Data3[[#This Row],[Profit]]/Sales_Data3[[#This Row],[Sales]]</f>
        <v>0.85</v>
      </c>
      <c r="N49" t="str">
        <f t="shared" si="1"/>
        <v>High</v>
      </c>
      <c r="O49" s="2">
        <v>43889</v>
      </c>
      <c r="P49" s="9">
        <v>11600</v>
      </c>
    </row>
    <row r="50" spans="1:16" x14ac:dyDescent="0.25">
      <c r="A50" t="s">
        <v>71</v>
      </c>
      <c r="B50" s="2">
        <v>43890</v>
      </c>
      <c r="C50">
        <v>2020</v>
      </c>
      <c r="D50" t="str">
        <f t="shared" si="0"/>
        <v>Feb</v>
      </c>
      <c r="E50" t="s">
        <v>13</v>
      </c>
      <c r="F50" t="s">
        <v>2037</v>
      </c>
      <c r="G50" t="s">
        <v>19</v>
      </c>
      <c r="H50" t="s">
        <v>24</v>
      </c>
      <c r="I50">
        <v>8</v>
      </c>
      <c r="J50" s="9">
        <v>12500</v>
      </c>
      <c r="K50" s="7">
        <v>0.2</v>
      </c>
      <c r="L50" s="9">
        <v>10000</v>
      </c>
      <c r="M50" s="10">
        <f>Sales_Data3[[#This Row],[Profit]]/Sales_Data3[[#This Row],[Sales]]</f>
        <v>0.8</v>
      </c>
      <c r="N50" t="str">
        <f t="shared" si="1"/>
        <v>High</v>
      </c>
      <c r="O50" s="2">
        <v>43890</v>
      </c>
      <c r="P50" s="9">
        <v>12500</v>
      </c>
    </row>
    <row r="51" spans="1:16" x14ac:dyDescent="0.25">
      <c r="A51" t="s">
        <v>72</v>
      </c>
      <c r="B51" s="2">
        <v>43891</v>
      </c>
      <c r="C51">
        <v>2020</v>
      </c>
      <c r="D51" t="str">
        <f t="shared" si="0"/>
        <v>Mar</v>
      </c>
      <c r="E51" t="s">
        <v>13</v>
      </c>
      <c r="F51" t="s">
        <v>2038</v>
      </c>
      <c r="G51" t="s">
        <v>20</v>
      </c>
      <c r="H51" t="s">
        <v>24</v>
      </c>
      <c r="I51">
        <v>7</v>
      </c>
      <c r="J51" s="9">
        <v>11700</v>
      </c>
      <c r="K51" s="7">
        <v>0.25</v>
      </c>
      <c r="L51" s="9">
        <v>8775</v>
      </c>
      <c r="M51" s="10">
        <f>Sales_Data3[[#This Row],[Profit]]/Sales_Data3[[#This Row],[Sales]]</f>
        <v>0.75</v>
      </c>
      <c r="N51" t="str">
        <f t="shared" si="1"/>
        <v>High</v>
      </c>
      <c r="O51" s="2">
        <v>43891</v>
      </c>
      <c r="P51" s="9">
        <v>11700</v>
      </c>
    </row>
    <row r="52" spans="1:16" x14ac:dyDescent="0.25">
      <c r="A52" t="s">
        <v>73</v>
      </c>
      <c r="B52" s="2">
        <v>43892</v>
      </c>
      <c r="C52">
        <v>2020</v>
      </c>
      <c r="D52" t="str">
        <f t="shared" si="0"/>
        <v>Mar</v>
      </c>
      <c r="E52" t="s">
        <v>14</v>
      </c>
      <c r="F52" t="s">
        <v>2039</v>
      </c>
      <c r="G52" t="s">
        <v>21</v>
      </c>
      <c r="H52" t="s">
        <v>25</v>
      </c>
      <c r="I52">
        <v>10</v>
      </c>
      <c r="J52" s="9">
        <v>10800</v>
      </c>
      <c r="K52" s="7">
        <v>0.05</v>
      </c>
      <c r="L52" s="9">
        <v>10260</v>
      </c>
      <c r="M52" s="10">
        <f>Sales_Data3[[#This Row],[Profit]]/Sales_Data3[[#This Row],[Sales]]</f>
        <v>0.95</v>
      </c>
      <c r="N52" t="str">
        <f t="shared" si="1"/>
        <v>High</v>
      </c>
      <c r="O52" s="2">
        <v>43892</v>
      </c>
      <c r="P52" s="9">
        <v>10800</v>
      </c>
    </row>
    <row r="53" spans="1:16" x14ac:dyDescent="0.25">
      <c r="A53" t="s">
        <v>74</v>
      </c>
      <c r="B53" s="2">
        <v>43893</v>
      </c>
      <c r="C53">
        <v>2020</v>
      </c>
      <c r="D53" t="str">
        <f t="shared" si="0"/>
        <v>Mar</v>
      </c>
      <c r="E53" t="s">
        <v>14</v>
      </c>
      <c r="F53" t="s">
        <v>2040</v>
      </c>
      <c r="G53" t="s">
        <v>22</v>
      </c>
      <c r="H53" t="s">
        <v>25</v>
      </c>
      <c r="I53">
        <v>7</v>
      </c>
      <c r="J53" s="9">
        <v>9100</v>
      </c>
      <c r="K53" s="7">
        <v>0.1</v>
      </c>
      <c r="L53" s="9">
        <v>8190</v>
      </c>
      <c r="M53" s="10">
        <f>Sales_Data3[[#This Row],[Profit]]/Sales_Data3[[#This Row],[Sales]]</f>
        <v>0.9</v>
      </c>
      <c r="N53" t="str">
        <f t="shared" si="1"/>
        <v>Medium</v>
      </c>
      <c r="O53" s="2">
        <v>43893</v>
      </c>
      <c r="P53" s="9">
        <v>9100</v>
      </c>
    </row>
    <row r="54" spans="1:16" x14ac:dyDescent="0.25">
      <c r="A54" t="s">
        <v>75</v>
      </c>
      <c r="B54" s="2">
        <v>43894</v>
      </c>
      <c r="C54">
        <v>2020</v>
      </c>
      <c r="D54" t="str">
        <f t="shared" si="0"/>
        <v>Mar</v>
      </c>
      <c r="E54" t="s">
        <v>14</v>
      </c>
      <c r="F54" t="s">
        <v>2041</v>
      </c>
      <c r="G54" t="s">
        <v>19</v>
      </c>
      <c r="H54" t="s">
        <v>25</v>
      </c>
      <c r="I54">
        <v>1</v>
      </c>
      <c r="J54" s="9">
        <v>7400</v>
      </c>
      <c r="K54" s="7">
        <v>0.15000000000000002</v>
      </c>
      <c r="L54" s="9">
        <v>6290</v>
      </c>
      <c r="M54" s="10">
        <f>Sales_Data3[[#This Row],[Profit]]/Sales_Data3[[#This Row],[Sales]]</f>
        <v>0.85</v>
      </c>
      <c r="N54" t="str">
        <f t="shared" si="1"/>
        <v>Medium</v>
      </c>
      <c r="O54" s="2">
        <v>43894</v>
      </c>
      <c r="P54" s="9">
        <v>7400</v>
      </c>
    </row>
    <row r="55" spans="1:16" x14ac:dyDescent="0.25">
      <c r="A55" t="s">
        <v>76</v>
      </c>
      <c r="B55" s="2">
        <v>43895</v>
      </c>
      <c r="C55">
        <v>2020</v>
      </c>
      <c r="D55" t="str">
        <f t="shared" si="0"/>
        <v>Mar</v>
      </c>
      <c r="E55" t="s">
        <v>14</v>
      </c>
      <c r="F55" t="s">
        <v>2042</v>
      </c>
      <c r="G55" t="s">
        <v>20</v>
      </c>
      <c r="H55" t="s">
        <v>25</v>
      </c>
      <c r="I55">
        <v>4</v>
      </c>
      <c r="J55" s="9">
        <v>14800</v>
      </c>
      <c r="K55" s="7">
        <v>0.2</v>
      </c>
      <c r="L55" s="9">
        <v>11840</v>
      </c>
      <c r="M55" s="10">
        <f>Sales_Data3[[#This Row],[Profit]]/Sales_Data3[[#This Row],[Sales]]</f>
        <v>0.8</v>
      </c>
      <c r="N55" t="str">
        <f t="shared" si="1"/>
        <v>High</v>
      </c>
      <c r="O55" s="2">
        <v>43895</v>
      </c>
      <c r="P55" s="9">
        <v>14800</v>
      </c>
    </row>
    <row r="56" spans="1:16" x14ac:dyDescent="0.25">
      <c r="A56" t="s">
        <v>77</v>
      </c>
      <c r="B56" s="2">
        <v>43896</v>
      </c>
      <c r="C56">
        <v>2020</v>
      </c>
      <c r="D56" t="str">
        <f t="shared" si="0"/>
        <v>Mar</v>
      </c>
      <c r="E56" t="s">
        <v>14</v>
      </c>
      <c r="F56" t="s">
        <v>2043</v>
      </c>
      <c r="G56" t="s">
        <v>21</v>
      </c>
      <c r="H56" t="s">
        <v>25</v>
      </c>
      <c r="I56">
        <v>7</v>
      </c>
      <c r="J56" s="9">
        <v>9400</v>
      </c>
      <c r="K56" s="7">
        <v>0.25</v>
      </c>
      <c r="L56" s="9">
        <v>7050</v>
      </c>
      <c r="M56" s="10">
        <f>Sales_Data3[[#This Row],[Profit]]/Sales_Data3[[#This Row],[Sales]]</f>
        <v>0.75</v>
      </c>
      <c r="N56" t="str">
        <f t="shared" si="1"/>
        <v>Medium</v>
      </c>
      <c r="O56" s="2">
        <v>43896</v>
      </c>
      <c r="P56" s="9">
        <v>9400</v>
      </c>
    </row>
    <row r="57" spans="1:16" x14ac:dyDescent="0.25">
      <c r="A57" t="s">
        <v>78</v>
      </c>
      <c r="B57" s="2">
        <v>43897</v>
      </c>
      <c r="C57">
        <v>2020</v>
      </c>
      <c r="D57" t="str">
        <f t="shared" si="0"/>
        <v>Mar</v>
      </c>
      <c r="E57" t="s">
        <v>14</v>
      </c>
      <c r="F57" t="s">
        <v>2044</v>
      </c>
      <c r="G57" t="s">
        <v>22</v>
      </c>
      <c r="H57" t="s">
        <v>25</v>
      </c>
      <c r="I57">
        <v>10</v>
      </c>
      <c r="J57" s="9">
        <v>4100</v>
      </c>
      <c r="K57" s="7">
        <v>0.05</v>
      </c>
      <c r="L57" s="9">
        <v>3895</v>
      </c>
      <c r="M57" s="10">
        <f>Sales_Data3[[#This Row],[Profit]]/Sales_Data3[[#This Row],[Sales]]</f>
        <v>0.95</v>
      </c>
      <c r="N57" t="str">
        <f t="shared" si="1"/>
        <v>Low</v>
      </c>
      <c r="O57" s="2">
        <v>43897</v>
      </c>
      <c r="P57" s="9">
        <v>4100</v>
      </c>
    </row>
    <row r="58" spans="1:16" x14ac:dyDescent="0.25">
      <c r="A58" t="s">
        <v>79</v>
      </c>
      <c r="B58" s="2">
        <v>43898</v>
      </c>
      <c r="C58">
        <v>2020</v>
      </c>
      <c r="D58" t="str">
        <f t="shared" si="0"/>
        <v>Mar</v>
      </c>
      <c r="E58" t="s">
        <v>14</v>
      </c>
      <c r="F58" t="s">
        <v>2045</v>
      </c>
      <c r="G58" t="s">
        <v>19</v>
      </c>
      <c r="H58" t="s">
        <v>25</v>
      </c>
      <c r="I58">
        <v>7</v>
      </c>
      <c r="J58" s="9">
        <v>14800</v>
      </c>
      <c r="K58" s="7">
        <v>0.1</v>
      </c>
      <c r="L58" s="9">
        <v>13320</v>
      </c>
      <c r="M58" s="10">
        <f>Sales_Data3[[#This Row],[Profit]]/Sales_Data3[[#This Row],[Sales]]</f>
        <v>0.9</v>
      </c>
      <c r="N58" t="str">
        <f t="shared" si="1"/>
        <v>High</v>
      </c>
      <c r="O58" s="2">
        <v>43898</v>
      </c>
      <c r="P58" s="9">
        <v>14800</v>
      </c>
    </row>
    <row r="59" spans="1:16" x14ac:dyDescent="0.25">
      <c r="A59" t="s">
        <v>80</v>
      </c>
      <c r="B59" s="2">
        <v>43899</v>
      </c>
      <c r="C59">
        <v>2020</v>
      </c>
      <c r="D59" t="str">
        <f t="shared" si="0"/>
        <v>Mar</v>
      </c>
      <c r="E59" t="s">
        <v>14</v>
      </c>
      <c r="F59" t="s">
        <v>2046</v>
      </c>
      <c r="G59" t="s">
        <v>20</v>
      </c>
      <c r="H59" t="s">
        <v>25</v>
      </c>
      <c r="I59">
        <v>7</v>
      </c>
      <c r="J59" s="9">
        <v>4200</v>
      </c>
      <c r="K59" s="7">
        <v>0.15000000000000002</v>
      </c>
      <c r="L59" s="9">
        <v>3570</v>
      </c>
      <c r="M59" s="10">
        <f>Sales_Data3[[#This Row],[Profit]]/Sales_Data3[[#This Row],[Sales]]</f>
        <v>0.85</v>
      </c>
      <c r="N59" t="str">
        <f t="shared" si="1"/>
        <v>Low</v>
      </c>
      <c r="O59" s="2">
        <v>43899</v>
      </c>
      <c r="P59" s="9">
        <v>4200</v>
      </c>
    </row>
    <row r="60" spans="1:16" x14ac:dyDescent="0.25">
      <c r="A60" t="s">
        <v>81</v>
      </c>
      <c r="B60" s="2">
        <v>43900</v>
      </c>
      <c r="C60">
        <v>2020</v>
      </c>
      <c r="D60" t="str">
        <f t="shared" si="0"/>
        <v>Mar</v>
      </c>
      <c r="E60" t="s">
        <v>14</v>
      </c>
      <c r="F60" t="s">
        <v>2047</v>
      </c>
      <c r="G60" t="s">
        <v>21</v>
      </c>
      <c r="H60" t="s">
        <v>25</v>
      </c>
      <c r="I60">
        <v>10</v>
      </c>
      <c r="J60" s="9">
        <v>14900</v>
      </c>
      <c r="K60" s="7">
        <v>0.2</v>
      </c>
      <c r="L60" s="9">
        <v>11920</v>
      </c>
      <c r="M60" s="10">
        <f>Sales_Data3[[#This Row],[Profit]]/Sales_Data3[[#This Row],[Sales]]</f>
        <v>0.8</v>
      </c>
      <c r="N60" t="str">
        <f t="shared" si="1"/>
        <v>High</v>
      </c>
      <c r="O60" s="2">
        <v>43900</v>
      </c>
      <c r="P60" s="9">
        <v>14900</v>
      </c>
    </row>
    <row r="61" spans="1:16" x14ac:dyDescent="0.25">
      <c r="A61" t="s">
        <v>82</v>
      </c>
      <c r="B61" s="2">
        <v>43901</v>
      </c>
      <c r="C61">
        <v>2020</v>
      </c>
      <c r="D61" t="str">
        <f t="shared" si="0"/>
        <v>Mar</v>
      </c>
      <c r="E61" t="s">
        <v>14</v>
      </c>
      <c r="F61" t="s">
        <v>2048</v>
      </c>
      <c r="G61" t="s">
        <v>22</v>
      </c>
      <c r="H61" t="s">
        <v>25</v>
      </c>
      <c r="I61">
        <v>1</v>
      </c>
      <c r="J61" s="9">
        <v>6700</v>
      </c>
      <c r="K61" s="7">
        <v>0.25</v>
      </c>
      <c r="L61" s="9">
        <v>5025</v>
      </c>
      <c r="M61" s="10">
        <f>Sales_Data3[[#This Row],[Profit]]/Sales_Data3[[#This Row],[Sales]]</f>
        <v>0.75</v>
      </c>
      <c r="N61" t="str">
        <f t="shared" si="1"/>
        <v>Medium</v>
      </c>
      <c r="O61" s="2">
        <v>43901</v>
      </c>
      <c r="P61" s="9">
        <v>6700</v>
      </c>
    </row>
    <row r="62" spans="1:16" x14ac:dyDescent="0.25">
      <c r="A62" t="s">
        <v>83</v>
      </c>
      <c r="B62" s="2">
        <v>43902</v>
      </c>
      <c r="C62">
        <v>2020</v>
      </c>
      <c r="D62" t="str">
        <f t="shared" si="0"/>
        <v>Mar</v>
      </c>
      <c r="E62" t="s">
        <v>12</v>
      </c>
      <c r="F62" t="s">
        <v>15</v>
      </c>
      <c r="G62" t="s">
        <v>19</v>
      </c>
      <c r="H62" t="s">
        <v>23</v>
      </c>
      <c r="I62">
        <v>2</v>
      </c>
      <c r="J62" s="9">
        <v>8300</v>
      </c>
      <c r="K62" s="7">
        <v>0.05</v>
      </c>
      <c r="L62" s="9">
        <v>7885</v>
      </c>
      <c r="M62" s="10">
        <f>Sales_Data3[[#This Row],[Profit]]/Sales_Data3[[#This Row],[Sales]]</f>
        <v>0.95</v>
      </c>
      <c r="N62" t="str">
        <f t="shared" si="1"/>
        <v>Medium</v>
      </c>
      <c r="O62" s="2">
        <v>43902</v>
      </c>
      <c r="P62" s="9">
        <v>8300</v>
      </c>
    </row>
    <row r="63" spans="1:16" x14ac:dyDescent="0.25">
      <c r="A63" t="s">
        <v>84</v>
      </c>
      <c r="B63" s="2">
        <v>43903</v>
      </c>
      <c r="C63">
        <v>2020</v>
      </c>
      <c r="D63" t="str">
        <f t="shared" si="0"/>
        <v>Mar</v>
      </c>
      <c r="E63" t="s">
        <v>12</v>
      </c>
      <c r="F63" t="s">
        <v>17</v>
      </c>
      <c r="G63" t="s">
        <v>20</v>
      </c>
      <c r="H63" t="s">
        <v>23</v>
      </c>
      <c r="I63">
        <v>8</v>
      </c>
      <c r="J63" s="9">
        <v>6500</v>
      </c>
      <c r="K63" s="7">
        <v>0.1</v>
      </c>
      <c r="L63" s="9">
        <v>5850</v>
      </c>
      <c r="M63" s="10">
        <f>Sales_Data3[[#This Row],[Profit]]/Sales_Data3[[#This Row],[Sales]]</f>
        <v>0.9</v>
      </c>
      <c r="N63" t="str">
        <f t="shared" si="1"/>
        <v>Medium</v>
      </c>
      <c r="O63" s="2">
        <v>43903</v>
      </c>
      <c r="P63" s="9">
        <v>6500</v>
      </c>
    </row>
    <row r="64" spans="1:16" x14ac:dyDescent="0.25">
      <c r="A64" t="s">
        <v>85</v>
      </c>
      <c r="B64" s="2">
        <v>43904</v>
      </c>
      <c r="C64">
        <v>2020</v>
      </c>
      <c r="D64" t="str">
        <f t="shared" si="0"/>
        <v>Mar</v>
      </c>
      <c r="E64" t="s">
        <v>12</v>
      </c>
      <c r="F64" t="s">
        <v>2023</v>
      </c>
      <c r="G64" t="s">
        <v>21</v>
      </c>
      <c r="H64" t="s">
        <v>23</v>
      </c>
      <c r="I64">
        <v>5</v>
      </c>
      <c r="J64" s="9">
        <v>6600</v>
      </c>
      <c r="K64" s="7">
        <v>0.15000000000000002</v>
      </c>
      <c r="L64" s="9">
        <v>5610</v>
      </c>
      <c r="M64" s="10">
        <f>Sales_Data3[[#This Row],[Profit]]/Sales_Data3[[#This Row],[Sales]]</f>
        <v>0.85</v>
      </c>
      <c r="N64" t="str">
        <f t="shared" si="1"/>
        <v>Medium</v>
      </c>
      <c r="O64" s="2">
        <v>43904</v>
      </c>
      <c r="P64" s="9">
        <v>6600</v>
      </c>
    </row>
    <row r="65" spans="1:16" x14ac:dyDescent="0.25">
      <c r="A65" t="s">
        <v>86</v>
      </c>
      <c r="B65" s="2">
        <v>43905</v>
      </c>
      <c r="C65">
        <v>2020</v>
      </c>
      <c r="D65" t="str">
        <f t="shared" si="0"/>
        <v>Mar</v>
      </c>
      <c r="E65" t="s">
        <v>12</v>
      </c>
      <c r="F65" t="s">
        <v>18</v>
      </c>
      <c r="G65" t="s">
        <v>22</v>
      </c>
      <c r="H65" t="s">
        <v>23</v>
      </c>
      <c r="I65">
        <v>2</v>
      </c>
      <c r="J65" s="9">
        <v>8700</v>
      </c>
      <c r="K65" s="7">
        <v>0.2</v>
      </c>
      <c r="L65" s="9">
        <v>6960</v>
      </c>
      <c r="M65" s="10">
        <f>Sales_Data3[[#This Row],[Profit]]/Sales_Data3[[#This Row],[Sales]]</f>
        <v>0.8</v>
      </c>
      <c r="N65" t="str">
        <f t="shared" si="1"/>
        <v>Medium</v>
      </c>
      <c r="O65" s="2">
        <v>43905</v>
      </c>
      <c r="P65" s="9">
        <v>8700</v>
      </c>
    </row>
    <row r="66" spans="1:16" x14ac:dyDescent="0.25">
      <c r="A66" t="s">
        <v>87</v>
      </c>
      <c r="B66" s="2">
        <v>43906</v>
      </c>
      <c r="C66">
        <v>2020</v>
      </c>
      <c r="D66" t="str">
        <f t="shared" ref="D66:D129" si="2">TEXT(B66,"MMM")</f>
        <v>Mar</v>
      </c>
      <c r="E66" t="s">
        <v>12</v>
      </c>
      <c r="F66" t="s">
        <v>2024</v>
      </c>
      <c r="G66" t="s">
        <v>19</v>
      </c>
      <c r="H66" t="s">
        <v>23</v>
      </c>
      <c r="I66">
        <v>3</v>
      </c>
      <c r="J66" s="9">
        <v>14500</v>
      </c>
      <c r="K66" s="7">
        <v>0.25</v>
      </c>
      <c r="L66" s="9">
        <v>10875</v>
      </c>
      <c r="M66" s="10">
        <f>Sales_Data3[[#This Row],[Profit]]/Sales_Data3[[#This Row],[Sales]]</f>
        <v>0.75</v>
      </c>
      <c r="N66" t="str">
        <f t="shared" ref="N66:N129" si="3">IF(J66&gt;10000,"High",IF(J66&gt;5000,"Medium","Low"))</f>
        <v>High</v>
      </c>
      <c r="O66" s="2">
        <v>43906</v>
      </c>
      <c r="P66" s="9">
        <v>14500</v>
      </c>
    </row>
    <row r="67" spans="1:16" x14ac:dyDescent="0.25">
      <c r="A67" t="s">
        <v>88</v>
      </c>
      <c r="B67" s="2">
        <v>43907</v>
      </c>
      <c r="C67">
        <v>2020</v>
      </c>
      <c r="D67" t="str">
        <f t="shared" si="2"/>
        <v>Mar</v>
      </c>
      <c r="E67" t="s">
        <v>12</v>
      </c>
      <c r="F67" t="s">
        <v>2025</v>
      </c>
      <c r="G67" t="s">
        <v>20</v>
      </c>
      <c r="H67" t="s">
        <v>23</v>
      </c>
      <c r="I67">
        <v>4</v>
      </c>
      <c r="J67" s="9">
        <v>5300</v>
      </c>
      <c r="K67" s="7">
        <v>0.05</v>
      </c>
      <c r="L67" s="9">
        <v>5035</v>
      </c>
      <c r="M67" s="10">
        <f>Sales_Data3[[#This Row],[Profit]]/Sales_Data3[[#This Row],[Sales]]</f>
        <v>0.95</v>
      </c>
      <c r="N67" t="str">
        <f t="shared" si="3"/>
        <v>Medium</v>
      </c>
      <c r="O67" s="2">
        <v>43907</v>
      </c>
      <c r="P67" s="9">
        <v>5300</v>
      </c>
    </row>
    <row r="68" spans="1:16" x14ac:dyDescent="0.25">
      <c r="A68" t="s">
        <v>89</v>
      </c>
      <c r="B68" s="2">
        <v>43908</v>
      </c>
      <c r="C68">
        <v>2020</v>
      </c>
      <c r="D68" t="str">
        <f t="shared" si="2"/>
        <v>Mar</v>
      </c>
      <c r="E68" t="s">
        <v>12</v>
      </c>
      <c r="F68" t="s">
        <v>2026</v>
      </c>
      <c r="G68" t="s">
        <v>21</v>
      </c>
      <c r="H68" t="s">
        <v>23</v>
      </c>
      <c r="I68">
        <v>6</v>
      </c>
      <c r="J68" s="9">
        <v>11900</v>
      </c>
      <c r="K68" s="7">
        <v>0.1</v>
      </c>
      <c r="L68" s="9">
        <v>10710</v>
      </c>
      <c r="M68" s="10">
        <f>Sales_Data3[[#This Row],[Profit]]/Sales_Data3[[#This Row],[Sales]]</f>
        <v>0.9</v>
      </c>
      <c r="N68" t="str">
        <f t="shared" si="3"/>
        <v>High</v>
      </c>
      <c r="O68" s="2">
        <v>43908</v>
      </c>
      <c r="P68" s="9">
        <v>11900</v>
      </c>
    </row>
    <row r="69" spans="1:16" x14ac:dyDescent="0.25">
      <c r="A69" t="s">
        <v>90</v>
      </c>
      <c r="B69" s="2">
        <v>43909</v>
      </c>
      <c r="C69">
        <v>2020</v>
      </c>
      <c r="D69" t="str">
        <f t="shared" si="2"/>
        <v>Mar</v>
      </c>
      <c r="E69" t="s">
        <v>12</v>
      </c>
      <c r="F69" t="s">
        <v>2027</v>
      </c>
      <c r="G69" t="s">
        <v>22</v>
      </c>
      <c r="H69" t="s">
        <v>23</v>
      </c>
      <c r="I69">
        <v>1</v>
      </c>
      <c r="J69" s="9">
        <v>6600</v>
      </c>
      <c r="K69" s="7">
        <v>0.15000000000000002</v>
      </c>
      <c r="L69" s="9">
        <v>5610</v>
      </c>
      <c r="M69" s="10">
        <f>Sales_Data3[[#This Row],[Profit]]/Sales_Data3[[#This Row],[Sales]]</f>
        <v>0.85</v>
      </c>
      <c r="N69" t="str">
        <f t="shared" si="3"/>
        <v>Medium</v>
      </c>
      <c r="O69" s="2">
        <v>43909</v>
      </c>
      <c r="P69" s="9">
        <v>6600</v>
      </c>
    </row>
    <row r="70" spans="1:16" x14ac:dyDescent="0.25">
      <c r="A70" t="s">
        <v>91</v>
      </c>
      <c r="B70" s="2">
        <v>43910</v>
      </c>
      <c r="C70">
        <v>2020</v>
      </c>
      <c r="D70" t="str">
        <f t="shared" si="2"/>
        <v>Mar</v>
      </c>
      <c r="E70" t="s">
        <v>12</v>
      </c>
      <c r="F70" t="s">
        <v>2028</v>
      </c>
      <c r="G70" t="s">
        <v>19</v>
      </c>
      <c r="H70" t="s">
        <v>23</v>
      </c>
      <c r="I70">
        <v>9</v>
      </c>
      <c r="J70" s="9">
        <v>9300</v>
      </c>
      <c r="K70" s="7">
        <v>0.2</v>
      </c>
      <c r="L70" s="9">
        <v>7440</v>
      </c>
      <c r="M70" s="10">
        <f>Sales_Data3[[#This Row],[Profit]]/Sales_Data3[[#This Row],[Sales]]</f>
        <v>0.8</v>
      </c>
      <c r="N70" t="str">
        <f t="shared" si="3"/>
        <v>Medium</v>
      </c>
      <c r="O70" s="2">
        <v>43910</v>
      </c>
      <c r="P70" s="9">
        <v>9300</v>
      </c>
    </row>
    <row r="71" spans="1:16" x14ac:dyDescent="0.25">
      <c r="A71" t="s">
        <v>92</v>
      </c>
      <c r="B71" s="2">
        <v>43911</v>
      </c>
      <c r="C71">
        <v>2020</v>
      </c>
      <c r="D71" t="str">
        <f t="shared" si="2"/>
        <v>Mar</v>
      </c>
      <c r="E71" t="s">
        <v>12</v>
      </c>
      <c r="F71" t="s">
        <v>2029</v>
      </c>
      <c r="G71" t="s">
        <v>20</v>
      </c>
      <c r="H71" t="s">
        <v>23</v>
      </c>
      <c r="I71">
        <v>9</v>
      </c>
      <c r="J71" s="9">
        <v>14900</v>
      </c>
      <c r="K71" s="7">
        <v>0.25</v>
      </c>
      <c r="L71" s="9">
        <v>11175</v>
      </c>
      <c r="M71" s="10">
        <f>Sales_Data3[[#This Row],[Profit]]/Sales_Data3[[#This Row],[Sales]]</f>
        <v>0.75</v>
      </c>
      <c r="N71" t="str">
        <f t="shared" si="3"/>
        <v>High</v>
      </c>
      <c r="O71" s="2">
        <v>43911</v>
      </c>
      <c r="P71" s="9">
        <v>14900</v>
      </c>
    </row>
    <row r="72" spans="1:16" x14ac:dyDescent="0.25">
      <c r="A72" t="s">
        <v>93</v>
      </c>
      <c r="B72" s="2">
        <v>43912</v>
      </c>
      <c r="C72">
        <v>2020</v>
      </c>
      <c r="D72" t="str">
        <f t="shared" si="2"/>
        <v>Mar</v>
      </c>
      <c r="E72" t="s">
        <v>13</v>
      </c>
      <c r="F72" t="s">
        <v>16</v>
      </c>
      <c r="G72" t="s">
        <v>21</v>
      </c>
      <c r="H72" t="s">
        <v>24</v>
      </c>
      <c r="I72">
        <v>2</v>
      </c>
      <c r="J72" s="9">
        <v>14500</v>
      </c>
      <c r="K72" s="7">
        <v>0.05</v>
      </c>
      <c r="L72" s="9">
        <v>13775</v>
      </c>
      <c r="M72" s="10">
        <f>Sales_Data3[[#This Row],[Profit]]/Sales_Data3[[#This Row],[Sales]]</f>
        <v>0.95</v>
      </c>
      <c r="N72" t="str">
        <f t="shared" si="3"/>
        <v>High</v>
      </c>
      <c r="O72" s="2">
        <v>43912</v>
      </c>
      <c r="P72" s="9">
        <v>14500</v>
      </c>
    </row>
    <row r="73" spans="1:16" x14ac:dyDescent="0.25">
      <c r="A73" t="s">
        <v>94</v>
      </c>
      <c r="B73" s="2">
        <v>43913</v>
      </c>
      <c r="C73">
        <v>2020</v>
      </c>
      <c r="D73" t="str">
        <f t="shared" si="2"/>
        <v>Mar</v>
      </c>
      <c r="E73" t="s">
        <v>13</v>
      </c>
      <c r="F73" t="s">
        <v>2030</v>
      </c>
      <c r="G73" t="s">
        <v>22</v>
      </c>
      <c r="H73" t="s">
        <v>24</v>
      </c>
      <c r="I73">
        <v>3</v>
      </c>
      <c r="J73" s="9">
        <v>12500</v>
      </c>
      <c r="K73" s="7">
        <v>0.1</v>
      </c>
      <c r="L73" s="9">
        <v>11250</v>
      </c>
      <c r="M73" s="10">
        <f>Sales_Data3[[#This Row],[Profit]]/Sales_Data3[[#This Row],[Sales]]</f>
        <v>0.9</v>
      </c>
      <c r="N73" t="str">
        <f t="shared" si="3"/>
        <v>High</v>
      </c>
      <c r="O73" s="2">
        <v>43913</v>
      </c>
      <c r="P73" s="9">
        <v>12500</v>
      </c>
    </row>
    <row r="74" spans="1:16" x14ac:dyDescent="0.25">
      <c r="A74" t="s">
        <v>95</v>
      </c>
      <c r="B74" s="2">
        <v>43914</v>
      </c>
      <c r="C74">
        <v>2020</v>
      </c>
      <c r="D74" t="str">
        <f t="shared" si="2"/>
        <v>Mar</v>
      </c>
      <c r="E74" t="s">
        <v>13</v>
      </c>
      <c r="F74" t="s">
        <v>2031</v>
      </c>
      <c r="G74" t="s">
        <v>19</v>
      </c>
      <c r="H74" t="s">
        <v>24</v>
      </c>
      <c r="I74">
        <v>4</v>
      </c>
      <c r="J74" s="9">
        <v>14800</v>
      </c>
      <c r="K74" s="7">
        <v>0.15000000000000002</v>
      </c>
      <c r="L74" s="9">
        <v>12580</v>
      </c>
      <c r="M74" s="10">
        <f>Sales_Data3[[#This Row],[Profit]]/Sales_Data3[[#This Row],[Sales]]</f>
        <v>0.85</v>
      </c>
      <c r="N74" t="str">
        <f t="shared" si="3"/>
        <v>High</v>
      </c>
      <c r="O74" s="2">
        <v>43914</v>
      </c>
      <c r="P74" s="9">
        <v>14800</v>
      </c>
    </row>
    <row r="75" spans="1:16" x14ac:dyDescent="0.25">
      <c r="A75" t="s">
        <v>96</v>
      </c>
      <c r="B75" s="2">
        <v>43915</v>
      </c>
      <c r="C75">
        <v>2020</v>
      </c>
      <c r="D75" t="str">
        <f t="shared" si="2"/>
        <v>Mar</v>
      </c>
      <c r="E75" t="s">
        <v>13</v>
      </c>
      <c r="F75" t="s">
        <v>2032</v>
      </c>
      <c r="G75" t="s">
        <v>20</v>
      </c>
      <c r="H75" t="s">
        <v>24</v>
      </c>
      <c r="I75">
        <v>4</v>
      </c>
      <c r="J75" s="9">
        <v>8400</v>
      </c>
      <c r="K75" s="7">
        <v>0.2</v>
      </c>
      <c r="L75" s="9">
        <v>6720</v>
      </c>
      <c r="M75" s="10">
        <f>Sales_Data3[[#This Row],[Profit]]/Sales_Data3[[#This Row],[Sales]]</f>
        <v>0.8</v>
      </c>
      <c r="N75" t="str">
        <f t="shared" si="3"/>
        <v>Medium</v>
      </c>
      <c r="O75" s="2">
        <v>43915</v>
      </c>
      <c r="P75" s="9">
        <v>8400</v>
      </c>
    </row>
    <row r="76" spans="1:16" x14ac:dyDescent="0.25">
      <c r="A76" t="s">
        <v>97</v>
      </c>
      <c r="B76" s="2">
        <v>43916</v>
      </c>
      <c r="C76">
        <v>2020</v>
      </c>
      <c r="D76" t="str">
        <f t="shared" si="2"/>
        <v>Mar</v>
      </c>
      <c r="E76" t="s">
        <v>13</v>
      </c>
      <c r="F76" t="s">
        <v>2033</v>
      </c>
      <c r="G76" t="s">
        <v>21</v>
      </c>
      <c r="H76" t="s">
        <v>24</v>
      </c>
      <c r="I76">
        <v>10</v>
      </c>
      <c r="J76" s="9">
        <v>11400</v>
      </c>
      <c r="K76" s="7">
        <v>0.25</v>
      </c>
      <c r="L76" s="9">
        <v>8550</v>
      </c>
      <c r="M76" s="10">
        <f>Sales_Data3[[#This Row],[Profit]]/Sales_Data3[[#This Row],[Sales]]</f>
        <v>0.75</v>
      </c>
      <c r="N76" t="str">
        <f t="shared" si="3"/>
        <v>High</v>
      </c>
      <c r="O76" s="2">
        <v>43916</v>
      </c>
      <c r="P76" s="9">
        <v>11400</v>
      </c>
    </row>
    <row r="77" spans="1:16" x14ac:dyDescent="0.25">
      <c r="A77" t="s">
        <v>98</v>
      </c>
      <c r="B77" s="2">
        <v>43917</v>
      </c>
      <c r="C77">
        <v>2020</v>
      </c>
      <c r="D77" t="str">
        <f t="shared" si="2"/>
        <v>Mar</v>
      </c>
      <c r="E77" t="s">
        <v>13</v>
      </c>
      <c r="F77" t="s">
        <v>2034</v>
      </c>
      <c r="G77" t="s">
        <v>22</v>
      </c>
      <c r="H77" t="s">
        <v>24</v>
      </c>
      <c r="I77">
        <v>7</v>
      </c>
      <c r="J77" s="9">
        <v>10700</v>
      </c>
      <c r="K77" s="7">
        <v>0.05</v>
      </c>
      <c r="L77" s="9">
        <v>10165</v>
      </c>
      <c r="M77" s="10">
        <f>Sales_Data3[[#This Row],[Profit]]/Sales_Data3[[#This Row],[Sales]]</f>
        <v>0.95</v>
      </c>
      <c r="N77" t="str">
        <f t="shared" si="3"/>
        <v>High</v>
      </c>
      <c r="O77" s="2">
        <v>43917</v>
      </c>
      <c r="P77" s="9">
        <v>10700</v>
      </c>
    </row>
    <row r="78" spans="1:16" x14ac:dyDescent="0.25">
      <c r="A78" t="s">
        <v>99</v>
      </c>
      <c r="B78" s="2">
        <v>43918</v>
      </c>
      <c r="C78">
        <v>2020</v>
      </c>
      <c r="D78" t="str">
        <f t="shared" si="2"/>
        <v>Mar</v>
      </c>
      <c r="E78" t="s">
        <v>13</v>
      </c>
      <c r="F78" t="s">
        <v>2035</v>
      </c>
      <c r="G78" t="s">
        <v>19</v>
      </c>
      <c r="H78" t="s">
        <v>24</v>
      </c>
      <c r="I78">
        <v>7</v>
      </c>
      <c r="J78" s="9">
        <v>4300</v>
      </c>
      <c r="K78" s="7">
        <v>0.1</v>
      </c>
      <c r="L78" s="9">
        <v>3870</v>
      </c>
      <c r="M78" s="10">
        <f>Sales_Data3[[#This Row],[Profit]]/Sales_Data3[[#This Row],[Sales]]</f>
        <v>0.9</v>
      </c>
      <c r="N78" t="str">
        <f t="shared" si="3"/>
        <v>Low</v>
      </c>
      <c r="O78" s="2">
        <v>43918</v>
      </c>
      <c r="P78" s="9">
        <v>4300</v>
      </c>
    </row>
    <row r="79" spans="1:16" x14ac:dyDescent="0.25">
      <c r="A79" t="s">
        <v>100</v>
      </c>
      <c r="B79" s="2">
        <v>43919</v>
      </c>
      <c r="C79">
        <v>2020</v>
      </c>
      <c r="D79" t="str">
        <f t="shared" si="2"/>
        <v>Mar</v>
      </c>
      <c r="E79" t="s">
        <v>13</v>
      </c>
      <c r="F79" t="s">
        <v>2036</v>
      </c>
      <c r="G79" t="s">
        <v>20</v>
      </c>
      <c r="H79" t="s">
        <v>24</v>
      </c>
      <c r="I79">
        <v>2</v>
      </c>
      <c r="J79" s="9">
        <v>12700</v>
      </c>
      <c r="K79" s="7">
        <v>0.15000000000000002</v>
      </c>
      <c r="L79" s="9">
        <v>10795</v>
      </c>
      <c r="M79" s="10">
        <f>Sales_Data3[[#This Row],[Profit]]/Sales_Data3[[#This Row],[Sales]]</f>
        <v>0.85</v>
      </c>
      <c r="N79" t="str">
        <f t="shared" si="3"/>
        <v>High</v>
      </c>
      <c r="O79" s="2">
        <v>43919</v>
      </c>
      <c r="P79" s="9">
        <v>12700</v>
      </c>
    </row>
    <row r="80" spans="1:16" x14ac:dyDescent="0.25">
      <c r="A80" t="s">
        <v>101</v>
      </c>
      <c r="B80" s="2">
        <v>43920</v>
      </c>
      <c r="C80">
        <v>2020</v>
      </c>
      <c r="D80" t="str">
        <f t="shared" si="2"/>
        <v>Mar</v>
      </c>
      <c r="E80" t="s">
        <v>13</v>
      </c>
      <c r="F80" t="s">
        <v>2037</v>
      </c>
      <c r="G80" t="s">
        <v>21</v>
      </c>
      <c r="H80" t="s">
        <v>24</v>
      </c>
      <c r="I80">
        <v>4</v>
      </c>
      <c r="J80" s="9">
        <v>4600</v>
      </c>
      <c r="K80" s="7">
        <v>0.2</v>
      </c>
      <c r="L80" s="9">
        <v>3680</v>
      </c>
      <c r="M80" s="10">
        <f>Sales_Data3[[#This Row],[Profit]]/Sales_Data3[[#This Row],[Sales]]</f>
        <v>0.8</v>
      </c>
      <c r="N80" t="str">
        <f t="shared" si="3"/>
        <v>Low</v>
      </c>
      <c r="O80" s="2">
        <v>43920</v>
      </c>
      <c r="P80" s="9">
        <v>4600</v>
      </c>
    </row>
    <row r="81" spans="1:16" x14ac:dyDescent="0.25">
      <c r="A81" t="s">
        <v>102</v>
      </c>
      <c r="B81" s="2">
        <v>43921</v>
      </c>
      <c r="C81">
        <v>2020</v>
      </c>
      <c r="D81" t="str">
        <f t="shared" si="2"/>
        <v>Mar</v>
      </c>
      <c r="E81" t="s">
        <v>13</v>
      </c>
      <c r="F81" t="s">
        <v>2038</v>
      </c>
      <c r="G81" t="s">
        <v>22</v>
      </c>
      <c r="H81" t="s">
        <v>24</v>
      </c>
      <c r="I81">
        <v>9</v>
      </c>
      <c r="J81" s="9">
        <v>10200</v>
      </c>
      <c r="K81" s="7">
        <v>0.25</v>
      </c>
      <c r="L81" s="9">
        <v>7650</v>
      </c>
      <c r="M81" s="10">
        <f>Sales_Data3[[#This Row],[Profit]]/Sales_Data3[[#This Row],[Sales]]</f>
        <v>0.75</v>
      </c>
      <c r="N81" t="str">
        <f t="shared" si="3"/>
        <v>High</v>
      </c>
      <c r="O81" s="2">
        <v>43921</v>
      </c>
      <c r="P81" s="9">
        <v>10200</v>
      </c>
    </row>
    <row r="82" spans="1:16" x14ac:dyDescent="0.25">
      <c r="A82" t="s">
        <v>103</v>
      </c>
      <c r="B82" s="2">
        <v>43922</v>
      </c>
      <c r="C82">
        <v>2020</v>
      </c>
      <c r="D82" t="str">
        <f t="shared" si="2"/>
        <v>Apr</v>
      </c>
      <c r="E82" t="s">
        <v>14</v>
      </c>
      <c r="F82" t="s">
        <v>2039</v>
      </c>
      <c r="G82" t="s">
        <v>19</v>
      </c>
      <c r="H82" t="s">
        <v>25</v>
      </c>
      <c r="I82">
        <v>1</v>
      </c>
      <c r="J82" s="9">
        <v>12400</v>
      </c>
      <c r="K82" s="7">
        <v>0.05</v>
      </c>
      <c r="L82" s="9">
        <v>11780</v>
      </c>
      <c r="M82" s="10">
        <f>Sales_Data3[[#This Row],[Profit]]/Sales_Data3[[#This Row],[Sales]]</f>
        <v>0.95</v>
      </c>
      <c r="N82" t="str">
        <f t="shared" si="3"/>
        <v>High</v>
      </c>
      <c r="O82" s="2">
        <v>43922</v>
      </c>
      <c r="P82" s="9">
        <v>12400</v>
      </c>
    </row>
    <row r="83" spans="1:16" x14ac:dyDescent="0.25">
      <c r="A83" t="s">
        <v>104</v>
      </c>
      <c r="B83" s="2">
        <v>43923</v>
      </c>
      <c r="C83">
        <v>2020</v>
      </c>
      <c r="D83" t="str">
        <f t="shared" si="2"/>
        <v>Apr</v>
      </c>
      <c r="E83" t="s">
        <v>14</v>
      </c>
      <c r="F83" t="s">
        <v>2040</v>
      </c>
      <c r="G83" t="s">
        <v>20</v>
      </c>
      <c r="H83" t="s">
        <v>25</v>
      </c>
      <c r="I83">
        <v>4</v>
      </c>
      <c r="J83" s="9">
        <v>10200</v>
      </c>
      <c r="K83" s="7">
        <v>0.1</v>
      </c>
      <c r="L83" s="9">
        <v>9180</v>
      </c>
      <c r="M83" s="10">
        <f>Sales_Data3[[#This Row],[Profit]]/Sales_Data3[[#This Row],[Sales]]</f>
        <v>0.9</v>
      </c>
      <c r="N83" t="str">
        <f t="shared" si="3"/>
        <v>High</v>
      </c>
      <c r="O83" s="2">
        <v>43923</v>
      </c>
      <c r="P83" s="9">
        <v>10200</v>
      </c>
    </row>
    <row r="84" spans="1:16" x14ac:dyDescent="0.25">
      <c r="A84" t="s">
        <v>105</v>
      </c>
      <c r="B84" s="2">
        <v>43924</v>
      </c>
      <c r="C84">
        <v>2020</v>
      </c>
      <c r="D84" t="str">
        <f t="shared" si="2"/>
        <v>Apr</v>
      </c>
      <c r="E84" t="s">
        <v>14</v>
      </c>
      <c r="F84" t="s">
        <v>2041</v>
      </c>
      <c r="G84" t="s">
        <v>21</v>
      </c>
      <c r="H84" t="s">
        <v>25</v>
      </c>
      <c r="I84">
        <v>8</v>
      </c>
      <c r="J84" s="9">
        <v>12300</v>
      </c>
      <c r="K84" s="7">
        <v>0.15000000000000002</v>
      </c>
      <c r="L84" s="9">
        <v>10455</v>
      </c>
      <c r="M84" s="10">
        <f>Sales_Data3[[#This Row],[Profit]]/Sales_Data3[[#This Row],[Sales]]</f>
        <v>0.85</v>
      </c>
      <c r="N84" t="str">
        <f t="shared" si="3"/>
        <v>High</v>
      </c>
      <c r="O84" s="2">
        <v>43924</v>
      </c>
      <c r="P84" s="9">
        <v>12300</v>
      </c>
    </row>
    <row r="85" spans="1:16" x14ac:dyDescent="0.25">
      <c r="A85" t="s">
        <v>106</v>
      </c>
      <c r="B85" s="2">
        <v>43925</v>
      </c>
      <c r="C85">
        <v>2020</v>
      </c>
      <c r="D85" t="str">
        <f t="shared" si="2"/>
        <v>Apr</v>
      </c>
      <c r="E85" t="s">
        <v>14</v>
      </c>
      <c r="F85" t="s">
        <v>2042</v>
      </c>
      <c r="G85" t="s">
        <v>22</v>
      </c>
      <c r="H85" t="s">
        <v>25</v>
      </c>
      <c r="I85">
        <v>5</v>
      </c>
      <c r="J85" s="9">
        <v>8100</v>
      </c>
      <c r="K85" s="7">
        <v>0.2</v>
      </c>
      <c r="L85" s="9">
        <v>6480</v>
      </c>
      <c r="M85" s="10">
        <f>Sales_Data3[[#This Row],[Profit]]/Sales_Data3[[#This Row],[Sales]]</f>
        <v>0.8</v>
      </c>
      <c r="N85" t="str">
        <f t="shared" si="3"/>
        <v>Medium</v>
      </c>
      <c r="O85" s="2">
        <v>43925</v>
      </c>
      <c r="P85" s="9">
        <v>8100</v>
      </c>
    </row>
    <row r="86" spans="1:16" x14ac:dyDescent="0.25">
      <c r="A86" t="s">
        <v>107</v>
      </c>
      <c r="B86" s="2">
        <v>43926</v>
      </c>
      <c r="C86">
        <v>2020</v>
      </c>
      <c r="D86" t="str">
        <f t="shared" si="2"/>
        <v>Apr</v>
      </c>
      <c r="E86" t="s">
        <v>14</v>
      </c>
      <c r="F86" t="s">
        <v>2043</v>
      </c>
      <c r="G86" t="s">
        <v>19</v>
      </c>
      <c r="H86" t="s">
        <v>25</v>
      </c>
      <c r="I86">
        <v>4</v>
      </c>
      <c r="J86" s="9">
        <v>13400</v>
      </c>
      <c r="K86" s="7">
        <v>0.25</v>
      </c>
      <c r="L86" s="9">
        <v>10050</v>
      </c>
      <c r="M86" s="10">
        <f>Sales_Data3[[#This Row],[Profit]]/Sales_Data3[[#This Row],[Sales]]</f>
        <v>0.75</v>
      </c>
      <c r="N86" t="str">
        <f t="shared" si="3"/>
        <v>High</v>
      </c>
      <c r="O86" s="2">
        <v>43926</v>
      </c>
      <c r="P86" s="9">
        <v>13400</v>
      </c>
    </row>
    <row r="87" spans="1:16" x14ac:dyDescent="0.25">
      <c r="A87" t="s">
        <v>108</v>
      </c>
      <c r="B87" s="2">
        <v>43927</v>
      </c>
      <c r="C87">
        <v>2020</v>
      </c>
      <c r="D87" t="str">
        <f t="shared" si="2"/>
        <v>Apr</v>
      </c>
      <c r="E87" t="s">
        <v>14</v>
      </c>
      <c r="F87" t="s">
        <v>2044</v>
      </c>
      <c r="G87" t="s">
        <v>20</v>
      </c>
      <c r="H87" t="s">
        <v>25</v>
      </c>
      <c r="I87">
        <v>6</v>
      </c>
      <c r="J87" s="9">
        <v>14900</v>
      </c>
      <c r="K87" s="7">
        <v>0.05</v>
      </c>
      <c r="L87" s="9">
        <v>14155</v>
      </c>
      <c r="M87" s="10">
        <f>Sales_Data3[[#This Row],[Profit]]/Sales_Data3[[#This Row],[Sales]]</f>
        <v>0.95</v>
      </c>
      <c r="N87" t="str">
        <f t="shared" si="3"/>
        <v>High</v>
      </c>
      <c r="O87" s="2">
        <v>43927</v>
      </c>
      <c r="P87" s="9">
        <v>14900</v>
      </c>
    </row>
    <row r="88" spans="1:16" x14ac:dyDescent="0.25">
      <c r="A88" t="s">
        <v>109</v>
      </c>
      <c r="B88" s="2">
        <v>43928</v>
      </c>
      <c r="C88">
        <v>2020</v>
      </c>
      <c r="D88" t="str">
        <f t="shared" si="2"/>
        <v>Apr</v>
      </c>
      <c r="E88" t="s">
        <v>14</v>
      </c>
      <c r="F88" t="s">
        <v>2045</v>
      </c>
      <c r="G88" t="s">
        <v>21</v>
      </c>
      <c r="H88" t="s">
        <v>25</v>
      </c>
      <c r="I88">
        <v>9</v>
      </c>
      <c r="J88" s="9">
        <v>10800</v>
      </c>
      <c r="K88" s="7">
        <v>0.1</v>
      </c>
      <c r="L88" s="9">
        <v>9720</v>
      </c>
      <c r="M88" s="10">
        <f>Sales_Data3[[#This Row],[Profit]]/Sales_Data3[[#This Row],[Sales]]</f>
        <v>0.9</v>
      </c>
      <c r="N88" t="str">
        <f t="shared" si="3"/>
        <v>High</v>
      </c>
      <c r="O88" s="2">
        <v>43928</v>
      </c>
      <c r="P88" s="9">
        <v>10800</v>
      </c>
    </row>
    <row r="89" spans="1:16" x14ac:dyDescent="0.25">
      <c r="A89" t="s">
        <v>110</v>
      </c>
      <c r="B89" s="2">
        <v>43929</v>
      </c>
      <c r="C89">
        <v>2020</v>
      </c>
      <c r="D89" t="str">
        <f t="shared" si="2"/>
        <v>Apr</v>
      </c>
      <c r="E89" t="s">
        <v>14</v>
      </c>
      <c r="F89" t="s">
        <v>2046</v>
      </c>
      <c r="G89" t="s">
        <v>22</v>
      </c>
      <c r="H89" t="s">
        <v>25</v>
      </c>
      <c r="I89">
        <v>1</v>
      </c>
      <c r="J89" s="9">
        <v>5100</v>
      </c>
      <c r="K89" s="7">
        <v>0.15000000000000002</v>
      </c>
      <c r="L89" s="9">
        <v>4335</v>
      </c>
      <c r="M89" s="10">
        <f>Sales_Data3[[#This Row],[Profit]]/Sales_Data3[[#This Row],[Sales]]</f>
        <v>0.85</v>
      </c>
      <c r="N89" t="str">
        <f t="shared" si="3"/>
        <v>Medium</v>
      </c>
      <c r="O89" s="2">
        <v>43929</v>
      </c>
      <c r="P89" s="9">
        <v>5100</v>
      </c>
    </row>
    <row r="90" spans="1:16" x14ac:dyDescent="0.25">
      <c r="A90" t="s">
        <v>111</v>
      </c>
      <c r="B90" s="2">
        <v>43930</v>
      </c>
      <c r="C90">
        <v>2020</v>
      </c>
      <c r="D90" t="str">
        <f t="shared" si="2"/>
        <v>Apr</v>
      </c>
      <c r="E90" t="s">
        <v>14</v>
      </c>
      <c r="F90" t="s">
        <v>2047</v>
      </c>
      <c r="G90" t="s">
        <v>19</v>
      </c>
      <c r="H90" t="s">
        <v>25</v>
      </c>
      <c r="I90">
        <v>2</v>
      </c>
      <c r="J90" s="9">
        <v>6600</v>
      </c>
      <c r="K90" s="7">
        <v>0.2</v>
      </c>
      <c r="L90" s="9">
        <v>5280</v>
      </c>
      <c r="M90" s="10">
        <f>Sales_Data3[[#This Row],[Profit]]/Sales_Data3[[#This Row],[Sales]]</f>
        <v>0.8</v>
      </c>
      <c r="N90" t="str">
        <f t="shared" si="3"/>
        <v>Medium</v>
      </c>
      <c r="O90" s="2">
        <v>43930</v>
      </c>
      <c r="P90" s="9">
        <v>6600</v>
      </c>
    </row>
    <row r="91" spans="1:16" x14ac:dyDescent="0.25">
      <c r="A91" t="s">
        <v>112</v>
      </c>
      <c r="B91" s="2">
        <v>43931</v>
      </c>
      <c r="C91">
        <v>2020</v>
      </c>
      <c r="D91" t="str">
        <f t="shared" si="2"/>
        <v>Apr</v>
      </c>
      <c r="E91" t="s">
        <v>14</v>
      </c>
      <c r="F91" t="s">
        <v>2048</v>
      </c>
      <c r="G91" t="s">
        <v>20</v>
      </c>
      <c r="H91" t="s">
        <v>25</v>
      </c>
      <c r="I91">
        <v>6</v>
      </c>
      <c r="J91" s="9">
        <v>14000</v>
      </c>
      <c r="K91" s="7">
        <v>0.25</v>
      </c>
      <c r="L91" s="9">
        <v>10500</v>
      </c>
      <c r="M91" s="10">
        <f>Sales_Data3[[#This Row],[Profit]]/Sales_Data3[[#This Row],[Sales]]</f>
        <v>0.75</v>
      </c>
      <c r="N91" t="str">
        <f t="shared" si="3"/>
        <v>High</v>
      </c>
      <c r="O91" s="2">
        <v>43931</v>
      </c>
      <c r="P91" s="9">
        <v>14000</v>
      </c>
    </row>
    <row r="92" spans="1:16" x14ac:dyDescent="0.25">
      <c r="A92" t="s">
        <v>113</v>
      </c>
      <c r="B92" s="2">
        <v>43932</v>
      </c>
      <c r="C92">
        <v>2020</v>
      </c>
      <c r="D92" t="str">
        <f t="shared" si="2"/>
        <v>Apr</v>
      </c>
      <c r="E92" t="s">
        <v>12</v>
      </c>
      <c r="F92" t="s">
        <v>15</v>
      </c>
      <c r="G92" t="s">
        <v>21</v>
      </c>
      <c r="H92" t="s">
        <v>23</v>
      </c>
      <c r="I92">
        <v>8</v>
      </c>
      <c r="J92" s="9">
        <v>9400</v>
      </c>
      <c r="K92" s="7">
        <v>0.05</v>
      </c>
      <c r="L92" s="9">
        <v>8930</v>
      </c>
      <c r="M92" s="10">
        <f>Sales_Data3[[#This Row],[Profit]]/Sales_Data3[[#This Row],[Sales]]</f>
        <v>0.95</v>
      </c>
      <c r="N92" t="str">
        <f t="shared" si="3"/>
        <v>Medium</v>
      </c>
      <c r="O92" s="2">
        <v>43932</v>
      </c>
      <c r="P92" s="9">
        <v>9400</v>
      </c>
    </row>
    <row r="93" spans="1:16" x14ac:dyDescent="0.25">
      <c r="A93" t="s">
        <v>114</v>
      </c>
      <c r="B93" s="2">
        <v>43933</v>
      </c>
      <c r="C93">
        <v>2020</v>
      </c>
      <c r="D93" t="str">
        <f t="shared" si="2"/>
        <v>Apr</v>
      </c>
      <c r="E93" t="s">
        <v>12</v>
      </c>
      <c r="F93" t="s">
        <v>17</v>
      </c>
      <c r="G93" t="s">
        <v>22</v>
      </c>
      <c r="H93" t="s">
        <v>23</v>
      </c>
      <c r="I93">
        <v>2</v>
      </c>
      <c r="J93" s="9">
        <v>4800</v>
      </c>
      <c r="K93" s="7">
        <v>0.1</v>
      </c>
      <c r="L93" s="9">
        <v>4320</v>
      </c>
      <c r="M93" s="10">
        <f>Sales_Data3[[#This Row],[Profit]]/Sales_Data3[[#This Row],[Sales]]</f>
        <v>0.9</v>
      </c>
      <c r="N93" t="str">
        <f t="shared" si="3"/>
        <v>Low</v>
      </c>
      <c r="O93" s="2">
        <v>43933</v>
      </c>
      <c r="P93" s="9">
        <v>4800</v>
      </c>
    </row>
    <row r="94" spans="1:16" x14ac:dyDescent="0.25">
      <c r="A94" t="s">
        <v>115</v>
      </c>
      <c r="B94" s="2">
        <v>43934</v>
      </c>
      <c r="C94">
        <v>2020</v>
      </c>
      <c r="D94" t="str">
        <f t="shared" si="2"/>
        <v>Apr</v>
      </c>
      <c r="E94" t="s">
        <v>12</v>
      </c>
      <c r="F94" t="s">
        <v>2023</v>
      </c>
      <c r="G94" t="s">
        <v>19</v>
      </c>
      <c r="H94" t="s">
        <v>23</v>
      </c>
      <c r="I94">
        <v>6</v>
      </c>
      <c r="J94" s="9">
        <v>14700</v>
      </c>
      <c r="K94" s="7">
        <v>0.15000000000000002</v>
      </c>
      <c r="L94" s="9">
        <v>12495</v>
      </c>
      <c r="M94" s="10">
        <f>Sales_Data3[[#This Row],[Profit]]/Sales_Data3[[#This Row],[Sales]]</f>
        <v>0.85</v>
      </c>
      <c r="N94" t="str">
        <f t="shared" si="3"/>
        <v>High</v>
      </c>
      <c r="O94" s="2">
        <v>43934</v>
      </c>
      <c r="P94" s="9">
        <v>14700</v>
      </c>
    </row>
    <row r="95" spans="1:16" x14ac:dyDescent="0.25">
      <c r="A95" t="s">
        <v>116</v>
      </c>
      <c r="B95" s="2">
        <v>43935</v>
      </c>
      <c r="C95">
        <v>2020</v>
      </c>
      <c r="D95" t="str">
        <f t="shared" si="2"/>
        <v>Apr</v>
      </c>
      <c r="E95" t="s">
        <v>12</v>
      </c>
      <c r="F95" t="s">
        <v>18</v>
      </c>
      <c r="G95" t="s">
        <v>20</v>
      </c>
      <c r="H95" t="s">
        <v>23</v>
      </c>
      <c r="I95">
        <v>4</v>
      </c>
      <c r="J95" s="9">
        <v>10200</v>
      </c>
      <c r="K95" s="7">
        <v>0.2</v>
      </c>
      <c r="L95" s="9">
        <v>8160</v>
      </c>
      <c r="M95" s="10">
        <f>Sales_Data3[[#This Row],[Profit]]/Sales_Data3[[#This Row],[Sales]]</f>
        <v>0.8</v>
      </c>
      <c r="N95" t="str">
        <f t="shared" si="3"/>
        <v>High</v>
      </c>
      <c r="O95" s="2">
        <v>43935</v>
      </c>
      <c r="P95" s="9">
        <v>10200</v>
      </c>
    </row>
    <row r="96" spans="1:16" x14ac:dyDescent="0.25">
      <c r="A96" t="s">
        <v>117</v>
      </c>
      <c r="B96" s="2">
        <v>43936</v>
      </c>
      <c r="C96">
        <v>2020</v>
      </c>
      <c r="D96" t="str">
        <f t="shared" si="2"/>
        <v>Apr</v>
      </c>
      <c r="E96" t="s">
        <v>12</v>
      </c>
      <c r="F96" t="s">
        <v>2024</v>
      </c>
      <c r="G96" t="s">
        <v>21</v>
      </c>
      <c r="H96" t="s">
        <v>23</v>
      </c>
      <c r="I96">
        <v>3</v>
      </c>
      <c r="J96" s="9">
        <v>11100</v>
      </c>
      <c r="K96" s="7">
        <v>0.25</v>
      </c>
      <c r="L96" s="9">
        <v>8325</v>
      </c>
      <c r="M96" s="10">
        <f>Sales_Data3[[#This Row],[Profit]]/Sales_Data3[[#This Row],[Sales]]</f>
        <v>0.75</v>
      </c>
      <c r="N96" t="str">
        <f t="shared" si="3"/>
        <v>High</v>
      </c>
      <c r="O96" s="2">
        <v>43936</v>
      </c>
      <c r="P96" s="9">
        <v>11100</v>
      </c>
    </row>
    <row r="97" spans="1:16" x14ac:dyDescent="0.25">
      <c r="A97" t="s">
        <v>118</v>
      </c>
      <c r="B97" s="2">
        <v>43937</v>
      </c>
      <c r="C97">
        <v>2020</v>
      </c>
      <c r="D97" t="str">
        <f t="shared" si="2"/>
        <v>Apr</v>
      </c>
      <c r="E97" t="s">
        <v>12</v>
      </c>
      <c r="F97" t="s">
        <v>2025</v>
      </c>
      <c r="G97" t="s">
        <v>22</v>
      </c>
      <c r="H97" t="s">
        <v>23</v>
      </c>
      <c r="I97">
        <v>6</v>
      </c>
      <c r="J97" s="9">
        <v>7400</v>
      </c>
      <c r="K97" s="7">
        <v>0.05</v>
      </c>
      <c r="L97" s="9">
        <v>7030</v>
      </c>
      <c r="M97" s="10">
        <f>Sales_Data3[[#This Row],[Profit]]/Sales_Data3[[#This Row],[Sales]]</f>
        <v>0.95</v>
      </c>
      <c r="N97" t="str">
        <f t="shared" si="3"/>
        <v>Medium</v>
      </c>
      <c r="O97" s="2">
        <v>43937</v>
      </c>
      <c r="P97" s="9">
        <v>7400</v>
      </c>
    </row>
    <row r="98" spans="1:16" x14ac:dyDescent="0.25">
      <c r="A98" t="s">
        <v>119</v>
      </c>
      <c r="B98" s="2">
        <v>43938</v>
      </c>
      <c r="C98">
        <v>2020</v>
      </c>
      <c r="D98" t="str">
        <f t="shared" si="2"/>
        <v>Apr</v>
      </c>
      <c r="E98" t="s">
        <v>12</v>
      </c>
      <c r="F98" t="s">
        <v>2026</v>
      </c>
      <c r="G98" t="s">
        <v>19</v>
      </c>
      <c r="H98" t="s">
        <v>23</v>
      </c>
      <c r="I98">
        <v>5</v>
      </c>
      <c r="J98" s="9">
        <v>7400</v>
      </c>
      <c r="K98" s="7">
        <v>0.1</v>
      </c>
      <c r="L98" s="9">
        <v>6660</v>
      </c>
      <c r="M98" s="10">
        <f>Sales_Data3[[#This Row],[Profit]]/Sales_Data3[[#This Row],[Sales]]</f>
        <v>0.9</v>
      </c>
      <c r="N98" t="str">
        <f t="shared" si="3"/>
        <v>Medium</v>
      </c>
      <c r="O98" s="2">
        <v>43938</v>
      </c>
      <c r="P98" s="9">
        <v>7400</v>
      </c>
    </row>
    <row r="99" spans="1:16" x14ac:dyDescent="0.25">
      <c r="A99" t="s">
        <v>120</v>
      </c>
      <c r="B99" s="2">
        <v>43939</v>
      </c>
      <c r="C99">
        <v>2020</v>
      </c>
      <c r="D99" t="str">
        <f t="shared" si="2"/>
        <v>Apr</v>
      </c>
      <c r="E99" t="s">
        <v>12</v>
      </c>
      <c r="F99" t="s">
        <v>2027</v>
      </c>
      <c r="G99" t="s">
        <v>20</v>
      </c>
      <c r="H99" t="s">
        <v>23</v>
      </c>
      <c r="I99">
        <v>8</v>
      </c>
      <c r="J99" s="9">
        <v>8000</v>
      </c>
      <c r="K99" s="7">
        <v>0.15000000000000002</v>
      </c>
      <c r="L99" s="9">
        <v>6800</v>
      </c>
      <c r="M99" s="10">
        <f>Sales_Data3[[#This Row],[Profit]]/Sales_Data3[[#This Row],[Sales]]</f>
        <v>0.85</v>
      </c>
      <c r="N99" t="str">
        <f t="shared" si="3"/>
        <v>Medium</v>
      </c>
      <c r="O99" s="2">
        <v>43939</v>
      </c>
      <c r="P99" s="9">
        <v>8000</v>
      </c>
    </row>
    <row r="100" spans="1:16" x14ac:dyDescent="0.25">
      <c r="A100" t="s">
        <v>121</v>
      </c>
      <c r="B100" s="2">
        <v>43940</v>
      </c>
      <c r="C100">
        <v>2020</v>
      </c>
      <c r="D100" t="str">
        <f t="shared" si="2"/>
        <v>Apr</v>
      </c>
      <c r="E100" t="s">
        <v>12</v>
      </c>
      <c r="F100" t="s">
        <v>2028</v>
      </c>
      <c r="G100" t="s">
        <v>21</v>
      </c>
      <c r="H100" t="s">
        <v>23</v>
      </c>
      <c r="I100">
        <v>8</v>
      </c>
      <c r="J100" s="9">
        <v>7600</v>
      </c>
      <c r="K100" s="7">
        <v>0.2</v>
      </c>
      <c r="L100" s="9">
        <v>6080</v>
      </c>
      <c r="M100" s="10">
        <f>Sales_Data3[[#This Row],[Profit]]/Sales_Data3[[#This Row],[Sales]]</f>
        <v>0.8</v>
      </c>
      <c r="N100" t="str">
        <f t="shared" si="3"/>
        <v>Medium</v>
      </c>
      <c r="O100" s="2">
        <v>43940</v>
      </c>
      <c r="P100" s="9">
        <v>7600</v>
      </c>
    </row>
    <row r="101" spans="1:16" x14ac:dyDescent="0.25">
      <c r="A101" t="s">
        <v>122</v>
      </c>
      <c r="B101" s="2">
        <v>43941</v>
      </c>
      <c r="C101">
        <v>2020</v>
      </c>
      <c r="D101" t="str">
        <f t="shared" si="2"/>
        <v>Apr</v>
      </c>
      <c r="E101" t="s">
        <v>12</v>
      </c>
      <c r="F101" t="s">
        <v>2029</v>
      </c>
      <c r="G101" t="s">
        <v>22</v>
      </c>
      <c r="H101" t="s">
        <v>23</v>
      </c>
      <c r="I101">
        <v>4</v>
      </c>
      <c r="J101" s="9">
        <v>10800</v>
      </c>
      <c r="K101" s="7">
        <v>0.25</v>
      </c>
      <c r="L101" s="9">
        <v>8100</v>
      </c>
      <c r="M101" s="10">
        <f>Sales_Data3[[#This Row],[Profit]]/Sales_Data3[[#This Row],[Sales]]</f>
        <v>0.75</v>
      </c>
      <c r="N101" t="str">
        <f t="shared" si="3"/>
        <v>High</v>
      </c>
      <c r="O101" s="2">
        <v>43941</v>
      </c>
      <c r="P101" s="9">
        <v>10800</v>
      </c>
    </row>
    <row r="102" spans="1:16" x14ac:dyDescent="0.25">
      <c r="A102" t="s">
        <v>123</v>
      </c>
      <c r="B102" s="2">
        <v>43942</v>
      </c>
      <c r="C102">
        <v>2020</v>
      </c>
      <c r="D102" t="str">
        <f t="shared" si="2"/>
        <v>Apr</v>
      </c>
      <c r="E102" t="s">
        <v>13</v>
      </c>
      <c r="F102" t="s">
        <v>16</v>
      </c>
      <c r="G102" t="s">
        <v>19</v>
      </c>
      <c r="H102" t="s">
        <v>24</v>
      </c>
      <c r="I102">
        <v>3</v>
      </c>
      <c r="J102" s="9">
        <v>13900</v>
      </c>
      <c r="K102" s="7">
        <v>0.05</v>
      </c>
      <c r="L102" s="9">
        <v>13205</v>
      </c>
      <c r="M102" s="10">
        <f>Sales_Data3[[#This Row],[Profit]]/Sales_Data3[[#This Row],[Sales]]</f>
        <v>0.95</v>
      </c>
      <c r="N102" t="str">
        <f t="shared" si="3"/>
        <v>High</v>
      </c>
      <c r="O102" s="2">
        <v>43942</v>
      </c>
      <c r="P102" s="9">
        <v>13900</v>
      </c>
    </row>
    <row r="103" spans="1:16" x14ac:dyDescent="0.25">
      <c r="A103" t="s">
        <v>124</v>
      </c>
      <c r="B103" s="2">
        <v>43943</v>
      </c>
      <c r="C103">
        <v>2020</v>
      </c>
      <c r="D103" t="str">
        <f t="shared" si="2"/>
        <v>Apr</v>
      </c>
      <c r="E103" t="s">
        <v>13</v>
      </c>
      <c r="F103" t="s">
        <v>2030</v>
      </c>
      <c r="G103" t="s">
        <v>20</v>
      </c>
      <c r="H103" t="s">
        <v>24</v>
      </c>
      <c r="I103">
        <v>7</v>
      </c>
      <c r="J103" s="9">
        <v>6600</v>
      </c>
      <c r="K103" s="7">
        <v>0.1</v>
      </c>
      <c r="L103" s="9">
        <v>5940</v>
      </c>
      <c r="M103" s="10">
        <f>Sales_Data3[[#This Row],[Profit]]/Sales_Data3[[#This Row],[Sales]]</f>
        <v>0.9</v>
      </c>
      <c r="N103" t="str">
        <f t="shared" si="3"/>
        <v>Medium</v>
      </c>
      <c r="O103" s="2">
        <v>43943</v>
      </c>
      <c r="P103" s="9">
        <v>6600</v>
      </c>
    </row>
    <row r="104" spans="1:16" x14ac:dyDescent="0.25">
      <c r="A104" t="s">
        <v>125</v>
      </c>
      <c r="B104" s="2">
        <v>43944</v>
      </c>
      <c r="C104">
        <v>2020</v>
      </c>
      <c r="D104" t="str">
        <f t="shared" si="2"/>
        <v>Apr</v>
      </c>
      <c r="E104" t="s">
        <v>13</v>
      </c>
      <c r="F104" t="s">
        <v>2031</v>
      </c>
      <c r="G104" t="s">
        <v>21</v>
      </c>
      <c r="H104" t="s">
        <v>24</v>
      </c>
      <c r="I104">
        <v>4</v>
      </c>
      <c r="J104" s="9">
        <v>9200</v>
      </c>
      <c r="K104" s="7">
        <v>0.15000000000000002</v>
      </c>
      <c r="L104" s="9">
        <v>7820</v>
      </c>
      <c r="M104" s="10">
        <f>Sales_Data3[[#This Row],[Profit]]/Sales_Data3[[#This Row],[Sales]]</f>
        <v>0.85</v>
      </c>
      <c r="N104" t="str">
        <f t="shared" si="3"/>
        <v>Medium</v>
      </c>
      <c r="O104" s="2">
        <v>43944</v>
      </c>
      <c r="P104" s="9">
        <v>9200</v>
      </c>
    </row>
    <row r="105" spans="1:16" x14ac:dyDescent="0.25">
      <c r="A105" t="s">
        <v>126</v>
      </c>
      <c r="B105" s="2">
        <v>43945</v>
      </c>
      <c r="C105">
        <v>2020</v>
      </c>
      <c r="D105" t="str">
        <f t="shared" si="2"/>
        <v>Apr</v>
      </c>
      <c r="E105" t="s">
        <v>13</v>
      </c>
      <c r="F105" t="s">
        <v>2032</v>
      </c>
      <c r="G105" t="s">
        <v>22</v>
      </c>
      <c r="H105" t="s">
        <v>24</v>
      </c>
      <c r="I105">
        <v>9</v>
      </c>
      <c r="J105" s="9">
        <v>5100</v>
      </c>
      <c r="K105" s="7">
        <v>0.2</v>
      </c>
      <c r="L105" s="9">
        <v>4080</v>
      </c>
      <c r="M105" s="10">
        <f>Sales_Data3[[#This Row],[Profit]]/Sales_Data3[[#This Row],[Sales]]</f>
        <v>0.8</v>
      </c>
      <c r="N105" t="str">
        <f t="shared" si="3"/>
        <v>Medium</v>
      </c>
      <c r="O105" s="2">
        <v>43945</v>
      </c>
      <c r="P105" s="9">
        <v>5100</v>
      </c>
    </row>
    <row r="106" spans="1:16" x14ac:dyDescent="0.25">
      <c r="A106" t="s">
        <v>127</v>
      </c>
      <c r="B106" s="2">
        <v>43946</v>
      </c>
      <c r="C106">
        <v>2020</v>
      </c>
      <c r="D106" t="str">
        <f t="shared" si="2"/>
        <v>Apr</v>
      </c>
      <c r="E106" t="s">
        <v>13</v>
      </c>
      <c r="F106" t="s">
        <v>2033</v>
      </c>
      <c r="G106" t="s">
        <v>19</v>
      </c>
      <c r="H106" t="s">
        <v>24</v>
      </c>
      <c r="I106">
        <v>9</v>
      </c>
      <c r="J106" s="9">
        <v>11900</v>
      </c>
      <c r="K106" s="7">
        <v>0.25</v>
      </c>
      <c r="L106" s="9">
        <v>8925</v>
      </c>
      <c r="M106" s="10">
        <f>Sales_Data3[[#This Row],[Profit]]/Sales_Data3[[#This Row],[Sales]]</f>
        <v>0.75</v>
      </c>
      <c r="N106" t="str">
        <f t="shared" si="3"/>
        <v>High</v>
      </c>
      <c r="O106" s="2">
        <v>43946</v>
      </c>
      <c r="P106" s="9">
        <v>11900</v>
      </c>
    </row>
    <row r="107" spans="1:16" x14ac:dyDescent="0.25">
      <c r="A107" t="s">
        <v>128</v>
      </c>
      <c r="B107" s="2">
        <v>43947</v>
      </c>
      <c r="C107">
        <v>2020</v>
      </c>
      <c r="D107" t="str">
        <f t="shared" si="2"/>
        <v>Apr</v>
      </c>
      <c r="E107" t="s">
        <v>13</v>
      </c>
      <c r="F107" t="s">
        <v>2034</v>
      </c>
      <c r="G107" t="s">
        <v>20</v>
      </c>
      <c r="H107" t="s">
        <v>24</v>
      </c>
      <c r="I107">
        <v>4</v>
      </c>
      <c r="J107" s="9">
        <v>13000</v>
      </c>
      <c r="K107" s="7">
        <v>0.05</v>
      </c>
      <c r="L107" s="9">
        <v>12350</v>
      </c>
      <c r="M107" s="10">
        <f>Sales_Data3[[#This Row],[Profit]]/Sales_Data3[[#This Row],[Sales]]</f>
        <v>0.95</v>
      </c>
      <c r="N107" t="str">
        <f t="shared" si="3"/>
        <v>High</v>
      </c>
      <c r="O107" s="2">
        <v>43947</v>
      </c>
      <c r="P107" s="9">
        <v>13000</v>
      </c>
    </row>
    <row r="108" spans="1:16" x14ac:dyDescent="0.25">
      <c r="A108" t="s">
        <v>129</v>
      </c>
      <c r="B108" s="2">
        <v>43948</v>
      </c>
      <c r="C108">
        <v>2020</v>
      </c>
      <c r="D108" t="str">
        <f t="shared" si="2"/>
        <v>Apr</v>
      </c>
      <c r="E108" t="s">
        <v>13</v>
      </c>
      <c r="F108" t="s">
        <v>2035</v>
      </c>
      <c r="G108" t="s">
        <v>21</v>
      </c>
      <c r="H108" t="s">
        <v>24</v>
      </c>
      <c r="I108">
        <v>8</v>
      </c>
      <c r="J108" s="9">
        <v>10000</v>
      </c>
      <c r="K108" s="7">
        <v>0.1</v>
      </c>
      <c r="L108" s="9">
        <v>9000</v>
      </c>
      <c r="M108" s="10">
        <f>Sales_Data3[[#This Row],[Profit]]/Sales_Data3[[#This Row],[Sales]]</f>
        <v>0.9</v>
      </c>
      <c r="N108" t="str">
        <f t="shared" si="3"/>
        <v>Medium</v>
      </c>
      <c r="O108" s="2">
        <v>43948</v>
      </c>
      <c r="P108" s="9">
        <v>10000</v>
      </c>
    </row>
    <row r="109" spans="1:16" x14ac:dyDescent="0.25">
      <c r="A109" t="s">
        <v>130</v>
      </c>
      <c r="B109" s="2">
        <v>43949</v>
      </c>
      <c r="C109">
        <v>2020</v>
      </c>
      <c r="D109" t="str">
        <f t="shared" si="2"/>
        <v>Apr</v>
      </c>
      <c r="E109" t="s">
        <v>13</v>
      </c>
      <c r="F109" t="s">
        <v>2036</v>
      </c>
      <c r="G109" t="s">
        <v>22</v>
      </c>
      <c r="H109" t="s">
        <v>24</v>
      </c>
      <c r="I109">
        <v>7</v>
      </c>
      <c r="J109" s="9">
        <v>10400</v>
      </c>
      <c r="K109" s="7">
        <v>0.15000000000000002</v>
      </c>
      <c r="L109" s="9">
        <v>8840</v>
      </c>
      <c r="M109" s="10">
        <f>Sales_Data3[[#This Row],[Profit]]/Sales_Data3[[#This Row],[Sales]]</f>
        <v>0.85</v>
      </c>
      <c r="N109" t="str">
        <f t="shared" si="3"/>
        <v>High</v>
      </c>
      <c r="O109" s="2">
        <v>43949</v>
      </c>
      <c r="P109" s="9">
        <v>10400</v>
      </c>
    </row>
    <row r="110" spans="1:16" x14ac:dyDescent="0.25">
      <c r="A110" t="s">
        <v>131</v>
      </c>
      <c r="B110" s="2">
        <v>43950</v>
      </c>
      <c r="C110">
        <v>2020</v>
      </c>
      <c r="D110" t="str">
        <f t="shared" si="2"/>
        <v>Apr</v>
      </c>
      <c r="E110" t="s">
        <v>13</v>
      </c>
      <c r="F110" t="s">
        <v>2037</v>
      </c>
      <c r="G110" t="s">
        <v>19</v>
      </c>
      <c r="H110" t="s">
        <v>24</v>
      </c>
      <c r="I110">
        <v>10</v>
      </c>
      <c r="J110" s="9">
        <v>8400</v>
      </c>
      <c r="K110" s="7">
        <v>0.2</v>
      </c>
      <c r="L110" s="9">
        <v>6720</v>
      </c>
      <c r="M110" s="10">
        <f>Sales_Data3[[#This Row],[Profit]]/Sales_Data3[[#This Row],[Sales]]</f>
        <v>0.8</v>
      </c>
      <c r="N110" t="str">
        <f t="shared" si="3"/>
        <v>Medium</v>
      </c>
      <c r="O110" s="2">
        <v>43950</v>
      </c>
      <c r="P110" s="9">
        <v>8400</v>
      </c>
    </row>
    <row r="111" spans="1:16" x14ac:dyDescent="0.25">
      <c r="A111" t="s">
        <v>132</v>
      </c>
      <c r="B111" s="2">
        <v>43951</v>
      </c>
      <c r="C111">
        <v>2020</v>
      </c>
      <c r="D111" t="str">
        <f t="shared" si="2"/>
        <v>Apr</v>
      </c>
      <c r="E111" t="s">
        <v>13</v>
      </c>
      <c r="F111" t="s">
        <v>2038</v>
      </c>
      <c r="G111" t="s">
        <v>20</v>
      </c>
      <c r="H111" t="s">
        <v>24</v>
      </c>
      <c r="I111">
        <v>6</v>
      </c>
      <c r="J111" s="9">
        <v>12300</v>
      </c>
      <c r="K111" s="7">
        <v>0.25</v>
      </c>
      <c r="L111" s="9">
        <v>9225</v>
      </c>
      <c r="M111" s="10">
        <f>Sales_Data3[[#This Row],[Profit]]/Sales_Data3[[#This Row],[Sales]]</f>
        <v>0.75</v>
      </c>
      <c r="N111" t="str">
        <f t="shared" si="3"/>
        <v>High</v>
      </c>
      <c r="O111" s="2">
        <v>43951</v>
      </c>
      <c r="P111" s="9">
        <v>12300</v>
      </c>
    </row>
    <row r="112" spans="1:16" x14ac:dyDescent="0.25">
      <c r="A112" t="s">
        <v>133</v>
      </c>
      <c r="B112" s="2">
        <v>43952</v>
      </c>
      <c r="C112">
        <v>2020</v>
      </c>
      <c r="D112" t="str">
        <f t="shared" si="2"/>
        <v>May</v>
      </c>
      <c r="E112" t="s">
        <v>14</v>
      </c>
      <c r="F112" t="s">
        <v>2039</v>
      </c>
      <c r="G112" t="s">
        <v>21</v>
      </c>
      <c r="H112" t="s">
        <v>25</v>
      </c>
      <c r="I112">
        <v>4</v>
      </c>
      <c r="J112" s="9">
        <v>10400</v>
      </c>
      <c r="K112" s="7">
        <v>0.05</v>
      </c>
      <c r="L112" s="9">
        <v>9880</v>
      </c>
      <c r="M112" s="10">
        <f>Sales_Data3[[#This Row],[Profit]]/Sales_Data3[[#This Row],[Sales]]</f>
        <v>0.95</v>
      </c>
      <c r="N112" t="str">
        <f t="shared" si="3"/>
        <v>High</v>
      </c>
      <c r="O112" s="2">
        <v>43952</v>
      </c>
      <c r="P112" s="9">
        <v>10400</v>
      </c>
    </row>
    <row r="113" spans="1:16" x14ac:dyDescent="0.25">
      <c r="A113" t="s">
        <v>134</v>
      </c>
      <c r="B113" s="2">
        <v>43953</v>
      </c>
      <c r="C113">
        <v>2020</v>
      </c>
      <c r="D113" t="str">
        <f t="shared" si="2"/>
        <v>May</v>
      </c>
      <c r="E113" t="s">
        <v>14</v>
      </c>
      <c r="F113" t="s">
        <v>2040</v>
      </c>
      <c r="G113" t="s">
        <v>22</v>
      </c>
      <c r="H113" t="s">
        <v>25</v>
      </c>
      <c r="I113">
        <v>9</v>
      </c>
      <c r="J113" s="9">
        <v>13500</v>
      </c>
      <c r="K113" s="7">
        <v>0.1</v>
      </c>
      <c r="L113" s="9">
        <v>12150</v>
      </c>
      <c r="M113" s="10">
        <f>Sales_Data3[[#This Row],[Profit]]/Sales_Data3[[#This Row],[Sales]]</f>
        <v>0.9</v>
      </c>
      <c r="N113" t="str">
        <f t="shared" si="3"/>
        <v>High</v>
      </c>
      <c r="O113" s="2">
        <v>43953</v>
      </c>
      <c r="P113" s="9">
        <v>13500</v>
      </c>
    </row>
    <row r="114" spans="1:16" x14ac:dyDescent="0.25">
      <c r="A114" t="s">
        <v>135</v>
      </c>
      <c r="B114" s="2">
        <v>43954</v>
      </c>
      <c r="C114">
        <v>2020</v>
      </c>
      <c r="D114" t="str">
        <f t="shared" si="2"/>
        <v>May</v>
      </c>
      <c r="E114" t="s">
        <v>14</v>
      </c>
      <c r="F114" t="s">
        <v>2041</v>
      </c>
      <c r="G114" t="s">
        <v>19</v>
      </c>
      <c r="H114" t="s">
        <v>25</v>
      </c>
      <c r="I114">
        <v>7</v>
      </c>
      <c r="J114" s="9">
        <v>10300</v>
      </c>
      <c r="K114" s="7">
        <v>0.15000000000000002</v>
      </c>
      <c r="L114" s="9">
        <v>8755</v>
      </c>
      <c r="M114" s="10">
        <f>Sales_Data3[[#This Row],[Profit]]/Sales_Data3[[#This Row],[Sales]]</f>
        <v>0.85</v>
      </c>
      <c r="N114" t="str">
        <f t="shared" si="3"/>
        <v>High</v>
      </c>
      <c r="O114" s="2">
        <v>43954</v>
      </c>
      <c r="P114" s="9">
        <v>10300</v>
      </c>
    </row>
    <row r="115" spans="1:16" x14ac:dyDescent="0.25">
      <c r="A115" t="s">
        <v>136</v>
      </c>
      <c r="B115" s="2">
        <v>43955</v>
      </c>
      <c r="C115">
        <v>2020</v>
      </c>
      <c r="D115" t="str">
        <f t="shared" si="2"/>
        <v>May</v>
      </c>
      <c r="E115" t="s">
        <v>14</v>
      </c>
      <c r="F115" t="s">
        <v>2042</v>
      </c>
      <c r="G115" t="s">
        <v>20</v>
      </c>
      <c r="H115" t="s">
        <v>25</v>
      </c>
      <c r="I115">
        <v>8</v>
      </c>
      <c r="J115" s="9">
        <v>11700</v>
      </c>
      <c r="K115" s="7">
        <v>0.2</v>
      </c>
      <c r="L115" s="9">
        <v>9360</v>
      </c>
      <c r="M115" s="10">
        <f>Sales_Data3[[#This Row],[Profit]]/Sales_Data3[[#This Row],[Sales]]</f>
        <v>0.8</v>
      </c>
      <c r="N115" t="str">
        <f t="shared" si="3"/>
        <v>High</v>
      </c>
      <c r="O115" s="2">
        <v>43955</v>
      </c>
      <c r="P115" s="9">
        <v>11700</v>
      </c>
    </row>
    <row r="116" spans="1:16" x14ac:dyDescent="0.25">
      <c r="A116" t="s">
        <v>137</v>
      </c>
      <c r="B116" s="2">
        <v>43956</v>
      </c>
      <c r="C116">
        <v>2020</v>
      </c>
      <c r="D116" t="str">
        <f t="shared" si="2"/>
        <v>May</v>
      </c>
      <c r="E116" t="s">
        <v>14</v>
      </c>
      <c r="F116" t="s">
        <v>2043</v>
      </c>
      <c r="G116" t="s">
        <v>21</v>
      </c>
      <c r="H116" t="s">
        <v>25</v>
      </c>
      <c r="I116">
        <v>2</v>
      </c>
      <c r="J116" s="9">
        <v>10400</v>
      </c>
      <c r="K116" s="7">
        <v>0.25</v>
      </c>
      <c r="L116" s="9">
        <v>7800</v>
      </c>
      <c r="M116" s="10">
        <f>Sales_Data3[[#This Row],[Profit]]/Sales_Data3[[#This Row],[Sales]]</f>
        <v>0.75</v>
      </c>
      <c r="N116" t="str">
        <f t="shared" si="3"/>
        <v>High</v>
      </c>
      <c r="O116" s="2">
        <v>43956</v>
      </c>
      <c r="P116" s="9">
        <v>10400</v>
      </c>
    </row>
    <row r="117" spans="1:16" x14ac:dyDescent="0.25">
      <c r="A117" t="s">
        <v>138</v>
      </c>
      <c r="B117" s="2">
        <v>43957</v>
      </c>
      <c r="C117">
        <v>2020</v>
      </c>
      <c r="D117" t="str">
        <f t="shared" si="2"/>
        <v>May</v>
      </c>
      <c r="E117" t="s">
        <v>14</v>
      </c>
      <c r="F117" t="s">
        <v>2044</v>
      </c>
      <c r="G117" t="s">
        <v>22</v>
      </c>
      <c r="H117" t="s">
        <v>25</v>
      </c>
      <c r="I117">
        <v>2</v>
      </c>
      <c r="J117" s="9">
        <v>5400</v>
      </c>
      <c r="K117" s="7">
        <v>0.05</v>
      </c>
      <c r="L117" s="9">
        <v>5130</v>
      </c>
      <c r="M117" s="10">
        <f>Sales_Data3[[#This Row],[Profit]]/Sales_Data3[[#This Row],[Sales]]</f>
        <v>0.95</v>
      </c>
      <c r="N117" t="str">
        <f t="shared" si="3"/>
        <v>Medium</v>
      </c>
      <c r="O117" s="2">
        <v>43957</v>
      </c>
      <c r="P117" s="9">
        <v>5400</v>
      </c>
    </row>
    <row r="118" spans="1:16" x14ac:dyDescent="0.25">
      <c r="A118" t="s">
        <v>139</v>
      </c>
      <c r="B118" s="2">
        <v>43958</v>
      </c>
      <c r="C118">
        <v>2020</v>
      </c>
      <c r="D118" t="str">
        <f t="shared" si="2"/>
        <v>May</v>
      </c>
      <c r="E118" t="s">
        <v>14</v>
      </c>
      <c r="F118" t="s">
        <v>2045</v>
      </c>
      <c r="G118" t="s">
        <v>19</v>
      </c>
      <c r="H118" t="s">
        <v>25</v>
      </c>
      <c r="I118">
        <v>7</v>
      </c>
      <c r="J118" s="9">
        <v>4400</v>
      </c>
      <c r="K118" s="7">
        <v>0.1</v>
      </c>
      <c r="L118" s="9">
        <v>3960</v>
      </c>
      <c r="M118" s="10">
        <f>Sales_Data3[[#This Row],[Profit]]/Sales_Data3[[#This Row],[Sales]]</f>
        <v>0.9</v>
      </c>
      <c r="N118" t="str">
        <f t="shared" si="3"/>
        <v>Low</v>
      </c>
      <c r="O118" s="2">
        <v>43958</v>
      </c>
      <c r="P118" s="9">
        <v>4400</v>
      </c>
    </row>
    <row r="119" spans="1:16" x14ac:dyDescent="0.25">
      <c r="A119" t="s">
        <v>140</v>
      </c>
      <c r="B119" s="2">
        <v>43959</v>
      </c>
      <c r="C119">
        <v>2020</v>
      </c>
      <c r="D119" t="str">
        <f t="shared" si="2"/>
        <v>May</v>
      </c>
      <c r="E119" t="s">
        <v>14</v>
      </c>
      <c r="F119" t="s">
        <v>2046</v>
      </c>
      <c r="G119" t="s">
        <v>20</v>
      </c>
      <c r="H119" t="s">
        <v>25</v>
      </c>
      <c r="I119">
        <v>10</v>
      </c>
      <c r="J119" s="9">
        <v>13700</v>
      </c>
      <c r="K119" s="7">
        <v>0.15000000000000002</v>
      </c>
      <c r="L119" s="9">
        <v>11645</v>
      </c>
      <c r="M119" s="10">
        <f>Sales_Data3[[#This Row],[Profit]]/Sales_Data3[[#This Row],[Sales]]</f>
        <v>0.85</v>
      </c>
      <c r="N119" t="str">
        <f t="shared" si="3"/>
        <v>High</v>
      </c>
      <c r="O119" s="2">
        <v>43959</v>
      </c>
      <c r="P119" s="9">
        <v>13700</v>
      </c>
    </row>
    <row r="120" spans="1:16" x14ac:dyDescent="0.25">
      <c r="A120" t="s">
        <v>141</v>
      </c>
      <c r="B120" s="2">
        <v>43960</v>
      </c>
      <c r="C120">
        <v>2020</v>
      </c>
      <c r="D120" t="str">
        <f t="shared" si="2"/>
        <v>May</v>
      </c>
      <c r="E120" t="s">
        <v>14</v>
      </c>
      <c r="F120" t="s">
        <v>2047</v>
      </c>
      <c r="G120" t="s">
        <v>21</v>
      </c>
      <c r="H120" t="s">
        <v>25</v>
      </c>
      <c r="I120">
        <v>2</v>
      </c>
      <c r="J120" s="9">
        <v>8700</v>
      </c>
      <c r="K120" s="7">
        <v>0.2</v>
      </c>
      <c r="L120" s="9">
        <v>6960</v>
      </c>
      <c r="M120" s="10">
        <f>Sales_Data3[[#This Row],[Profit]]/Sales_Data3[[#This Row],[Sales]]</f>
        <v>0.8</v>
      </c>
      <c r="N120" t="str">
        <f t="shared" si="3"/>
        <v>Medium</v>
      </c>
      <c r="O120" s="2">
        <v>43960</v>
      </c>
      <c r="P120" s="9">
        <v>8700</v>
      </c>
    </row>
    <row r="121" spans="1:16" x14ac:dyDescent="0.25">
      <c r="A121" t="s">
        <v>142</v>
      </c>
      <c r="B121" s="2">
        <v>43961</v>
      </c>
      <c r="C121">
        <v>2020</v>
      </c>
      <c r="D121" t="str">
        <f t="shared" si="2"/>
        <v>May</v>
      </c>
      <c r="E121" t="s">
        <v>14</v>
      </c>
      <c r="F121" t="s">
        <v>2048</v>
      </c>
      <c r="G121" t="s">
        <v>22</v>
      </c>
      <c r="H121" t="s">
        <v>25</v>
      </c>
      <c r="I121">
        <v>3</v>
      </c>
      <c r="J121" s="9">
        <v>10500</v>
      </c>
      <c r="K121" s="7">
        <v>0.25</v>
      </c>
      <c r="L121" s="9">
        <v>7875</v>
      </c>
      <c r="M121" s="10">
        <f>Sales_Data3[[#This Row],[Profit]]/Sales_Data3[[#This Row],[Sales]]</f>
        <v>0.75</v>
      </c>
      <c r="N121" t="str">
        <f t="shared" si="3"/>
        <v>High</v>
      </c>
      <c r="O121" s="2">
        <v>43961</v>
      </c>
      <c r="P121" s="9">
        <v>10500</v>
      </c>
    </row>
    <row r="122" spans="1:16" x14ac:dyDescent="0.25">
      <c r="A122" t="s">
        <v>143</v>
      </c>
      <c r="B122" s="2">
        <v>43962</v>
      </c>
      <c r="C122">
        <v>2020</v>
      </c>
      <c r="D122" t="str">
        <f t="shared" si="2"/>
        <v>May</v>
      </c>
      <c r="E122" t="s">
        <v>12</v>
      </c>
      <c r="F122" t="s">
        <v>15</v>
      </c>
      <c r="G122" t="s">
        <v>19</v>
      </c>
      <c r="H122" t="s">
        <v>23</v>
      </c>
      <c r="I122">
        <v>7</v>
      </c>
      <c r="J122" s="9">
        <v>11800</v>
      </c>
      <c r="K122" s="7">
        <v>0.05</v>
      </c>
      <c r="L122" s="9">
        <v>11210</v>
      </c>
      <c r="M122" s="10">
        <f>Sales_Data3[[#This Row],[Profit]]/Sales_Data3[[#This Row],[Sales]]</f>
        <v>0.95</v>
      </c>
      <c r="N122" t="str">
        <f t="shared" si="3"/>
        <v>High</v>
      </c>
      <c r="O122" s="2">
        <v>43962</v>
      </c>
      <c r="P122" s="9">
        <v>11800</v>
      </c>
    </row>
    <row r="123" spans="1:16" x14ac:dyDescent="0.25">
      <c r="A123" t="s">
        <v>144</v>
      </c>
      <c r="B123" s="2">
        <v>43963</v>
      </c>
      <c r="C123">
        <v>2020</v>
      </c>
      <c r="D123" t="str">
        <f t="shared" si="2"/>
        <v>May</v>
      </c>
      <c r="E123" t="s">
        <v>12</v>
      </c>
      <c r="F123" t="s">
        <v>17</v>
      </c>
      <c r="G123" t="s">
        <v>20</v>
      </c>
      <c r="H123" t="s">
        <v>23</v>
      </c>
      <c r="I123">
        <v>3</v>
      </c>
      <c r="J123" s="9">
        <v>5500</v>
      </c>
      <c r="K123" s="7">
        <v>0.1</v>
      </c>
      <c r="L123" s="9">
        <v>4950</v>
      </c>
      <c r="M123" s="10">
        <f>Sales_Data3[[#This Row],[Profit]]/Sales_Data3[[#This Row],[Sales]]</f>
        <v>0.9</v>
      </c>
      <c r="N123" t="str">
        <f t="shared" si="3"/>
        <v>Medium</v>
      </c>
      <c r="O123" s="2">
        <v>43963</v>
      </c>
      <c r="P123" s="9">
        <v>5500</v>
      </c>
    </row>
    <row r="124" spans="1:16" x14ac:dyDescent="0.25">
      <c r="A124" t="s">
        <v>145</v>
      </c>
      <c r="B124" s="2">
        <v>43964</v>
      </c>
      <c r="C124">
        <v>2020</v>
      </c>
      <c r="D124" t="str">
        <f t="shared" si="2"/>
        <v>May</v>
      </c>
      <c r="E124" t="s">
        <v>12</v>
      </c>
      <c r="F124" t="s">
        <v>2023</v>
      </c>
      <c r="G124" t="s">
        <v>21</v>
      </c>
      <c r="H124" t="s">
        <v>23</v>
      </c>
      <c r="I124">
        <v>2</v>
      </c>
      <c r="J124" s="9">
        <v>14900</v>
      </c>
      <c r="K124" s="7">
        <v>0.15000000000000002</v>
      </c>
      <c r="L124" s="9">
        <v>12665</v>
      </c>
      <c r="M124" s="10">
        <f>Sales_Data3[[#This Row],[Profit]]/Sales_Data3[[#This Row],[Sales]]</f>
        <v>0.85</v>
      </c>
      <c r="N124" t="str">
        <f t="shared" si="3"/>
        <v>High</v>
      </c>
      <c r="O124" s="2">
        <v>43964</v>
      </c>
      <c r="P124" s="9">
        <v>14900</v>
      </c>
    </row>
    <row r="125" spans="1:16" x14ac:dyDescent="0.25">
      <c r="A125" t="s">
        <v>146</v>
      </c>
      <c r="B125" s="2">
        <v>43965</v>
      </c>
      <c r="C125">
        <v>2020</v>
      </c>
      <c r="D125" t="str">
        <f t="shared" si="2"/>
        <v>May</v>
      </c>
      <c r="E125" t="s">
        <v>12</v>
      </c>
      <c r="F125" t="s">
        <v>18</v>
      </c>
      <c r="G125" t="s">
        <v>22</v>
      </c>
      <c r="H125" t="s">
        <v>23</v>
      </c>
      <c r="I125">
        <v>2</v>
      </c>
      <c r="J125" s="9">
        <v>4800</v>
      </c>
      <c r="K125" s="7">
        <v>0.2</v>
      </c>
      <c r="L125" s="9">
        <v>3840</v>
      </c>
      <c r="M125" s="10">
        <f>Sales_Data3[[#This Row],[Profit]]/Sales_Data3[[#This Row],[Sales]]</f>
        <v>0.8</v>
      </c>
      <c r="N125" t="str">
        <f t="shared" si="3"/>
        <v>Low</v>
      </c>
      <c r="O125" s="2">
        <v>43965</v>
      </c>
      <c r="P125" s="9">
        <v>4800</v>
      </c>
    </row>
    <row r="126" spans="1:16" x14ac:dyDescent="0.25">
      <c r="A126" t="s">
        <v>147</v>
      </c>
      <c r="B126" s="2">
        <v>43966</v>
      </c>
      <c r="C126">
        <v>2020</v>
      </c>
      <c r="D126" t="str">
        <f t="shared" si="2"/>
        <v>May</v>
      </c>
      <c r="E126" t="s">
        <v>12</v>
      </c>
      <c r="F126" t="s">
        <v>2024</v>
      </c>
      <c r="G126" t="s">
        <v>19</v>
      </c>
      <c r="H126" t="s">
        <v>23</v>
      </c>
      <c r="I126">
        <v>9</v>
      </c>
      <c r="J126" s="9">
        <v>14300</v>
      </c>
      <c r="K126" s="7">
        <v>0.25</v>
      </c>
      <c r="L126" s="9">
        <v>10725</v>
      </c>
      <c r="M126" s="10">
        <f>Sales_Data3[[#This Row],[Profit]]/Sales_Data3[[#This Row],[Sales]]</f>
        <v>0.75</v>
      </c>
      <c r="N126" t="str">
        <f t="shared" si="3"/>
        <v>High</v>
      </c>
      <c r="O126" s="2">
        <v>43966</v>
      </c>
      <c r="P126" s="9">
        <v>14300</v>
      </c>
    </row>
    <row r="127" spans="1:16" x14ac:dyDescent="0.25">
      <c r="A127" t="s">
        <v>148</v>
      </c>
      <c r="B127" s="2">
        <v>43967</v>
      </c>
      <c r="C127">
        <v>2020</v>
      </c>
      <c r="D127" t="str">
        <f t="shared" si="2"/>
        <v>May</v>
      </c>
      <c r="E127" t="s">
        <v>12</v>
      </c>
      <c r="F127" t="s">
        <v>2025</v>
      </c>
      <c r="G127" t="s">
        <v>20</v>
      </c>
      <c r="H127" t="s">
        <v>23</v>
      </c>
      <c r="I127">
        <v>6</v>
      </c>
      <c r="J127" s="9">
        <v>9700</v>
      </c>
      <c r="K127" s="7">
        <v>0.05</v>
      </c>
      <c r="L127" s="9">
        <v>9215</v>
      </c>
      <c r="M127" s="10">
        <f>Sales_Data3[[#This Row],[Profit]]/Sales_Data3[[#This Row],[Sales]]</f>
        <v>0.95</v>
      </c>
      <c r="N127" t="str">
        <f t="shared" si="3"/>
        <v>Medium</v>
      </c>
      <c r="O127" s="2">
        <v>43967</v>
      </c>
      <c r="P127" s="9">
        <v>9700</v>
      </c>
    </row>
    <row r="128" spans="1:16" x14ac:dyDescent="0.25">
      <c r="A128" t="s">
        <v>149</v>
      </c>
      <c r="B128" s="2">
        <v>43968</v>
      </c>
      <c r="C128">
        <v>2020</v>
      </c>
      <c r="D128" t="str">
        <f t="shared" si="2"/>
        <v>May</v>
      </c>
      <c r="E128" t="s">
        <v>12</v>
      </c>
      <c r="F128" t="s">
        <v>2026</v>
      </c>
      <c r="G128" t="s">
        <v>21</v>
      </c>
      <c r="H128" t="s">
        <v>23</v>
      </c>
      <c r="I128">
        <v>4</v>
      </c>
      <c r="J128" s="9">
        <v>5800</v>
      </c>
      <c r="K128" s="7">
        <v>0.1</v>
      </c>
      <c r="L128" s="9">
        <v>5220</v>
      </c>
      <c r="M128" s="10">
        <f>Sales_Data3[[#This Row],[Profit]]/Sales_Data3[[#This Row],[Sales]]</f>
        <v>0.9</v>
      </c>
      <c r="N128" t="str">
        <f t="shared" si="3"/>
        <v>Medium</v>
      </c>
      <c r="O128" s="2">
        <v>43968</v>
      </c>
      <c r="P128" s="9">
        <v>5800</v>
      </c>
    </row>
    <row r="129" spans="1:16" x14ac:dyDescent="0.25">
      <c r="A129" t="s">
        <v>150</v>
      </c>
      <c r="B129" s="2">
        <v>43969</v>
      </c>
      <c r="C129">
        <v>2020</v>
      </c>
      <c r="D129" t="str">
        <f t="shared" si="2"/>
        <v>May</v>
      </c>
      <c r="E129" t="s">
        <v>12</v>
      </c>
      <c r="F129" t="s">
        <v>2027</v>
      </c>
      <c r="G129" t="s">
        <v>22</v>
      </c>
      <c r="H129" t="s">
        <v>23</v>
      </c>
      <c r="I129">
        <v>9</v>
      </c>
      <c r="J129" s="9">
        <v>9400</v>
      </c>
      <c r="K129" s="7">
        <v>0.15000000000000002</v>
      </c>
      <c r="L129" s="9">
        <v>7990</v>
      </c>
      <c r="M129" s="10">
        <f>Sales_Data3[[#This Row],[Profit]]/Sales_Data3[[#This Row],[Sales]]</f>
        <v>0.85</v>
      </c>
      <c r="N129" t="str">
        <f t="shared" si="3"/>
        <v>Medium</v>
      </c>
      <c r="O129" s="2">
        <v>43969</v>
      </c>
      <c r="P129" s="9">
        <v>9400</v>
      </c>
    </row>
    <row r="130" spans="1:16" x14ac:dyDescent="0.25">
      <c r="A130" t="s">
        <v>151</v>
      </c>
      <c r="B130" s="2">
        <v>43970</v>
      </c>
      <c r="C130">
        <v>2020</v>
      </c>
      <c r="D130" t="str">
        <f t="shared" ref="D130:D193" si="4">TEXT(B130,"MMM")</f>
        <v>May</v>
      </c>
      <c r="E130" t="s">
        <v>12</v>
      </c>
      <c r="F130" t="s">
        <v>2028</v>
      </c>
      <c r="G130" t="s">
        <v>19</v>
      </c>
      <c r="H130" t="s">
        <v>23</v>
      </c>
      <c r="I130">
        <v>7</v>
      </c>
      <c r="J130" s="9">
        <v>5500</v>
      </c>
      <c r="K130" s="7">
        <v>0.2</v>
      </c>
      <c r="L130" s="9">
        <v>4400</v>
      </c>
      <c r="M130" s="10">
        <f>Sales_Data3[[#This Row],[Profit]]/Sales_Data3[[#This Row],[Sales]]</f>
        <v>0.8</v>
      </c>
      <c r="N130" t="str">
        <f t="shared" ref="N130:N193" si="5">IF(J130&gt;10000,"High",IF(J130&gt;5000,"Medium","Low"))</f>
        <v>Medium</v>
      </c>
      <c r="O130" s="2">
        <v>43970</v>
      </c>
      <c r="P130" s="9">
        <v>5500</v>
      </c>
    </row>
    <row r="131" spans="1:16" x14ac:dyDescent="0.25">
      <c r="A131" t="s">
        <v>152</v>
      </c>
      <c r="B131" s="2">
        <v>43971</v>
      </c>
      <c r="C131">
        <v>2020</v>
      </c>
      <c r="D131" t="str">
        <f t="shared" si="4"/>
        <v>May</v>
      </c>
      <c r="E131" t="s">
        <v>12</v>
      </c>
      <c r="F131" t="s">
        <v>2029</v>
      </c>
      <c r="G131" t="s">
        <v>20</v>
      </c>
      <c r="H131" t="s">
        <v>23</v>
      </c>
      <c r="I131">
        <v>10</v>
      </c>
      <c r="J131" s="9">
        <v>10900</v>
      </c>
      <c r="K131" s="7">
        <v>0.25</v>
      </c>
      <c r="L131" s="9">
        <v>8175</v>
      </c>
      <c r="M131" s="10">
        <f>Sales_Data3[[#This Row],[Profit]]/Sales_Data3[[#This Row],[Sales]]</f>
        <v>0.75</v>
      </c>
      <c r="N131" t="str">
        <f t="shared" si="5"/>
        <v>High</v>
      </c>
      <c r="O131" s="2">
        <v>43971</v>
      </c>
      <c r="P131" s="9">
        <v>10900</v>
      </c>
    </row>
    <row r="132" spans="1:16" x14ac:dyDescent="0.25">
      <c r="A132" t="s">
        <v>153</v>
      </c>
      <c r="B132" s="2">
        <v>43972</v>
      </c>
      <c r="C132">
        <v>2020</v>
      </c>
      <c r="D132" t="str">
        <f t="shared" si="4"/>
        <v>May</v>
      </c>
      <c r="E132" t="s">
        <v>13</v>
      </c>
      <c r="F132" t="s">
        <v>16</v>
      </c>
      <c r="G132" t="s">
        <v>21</v>
      </c>
      <c r="H132" t="s">
        <v>24</v>
      </c>
      <c r="I132">
        <v>4</v>
      </c>
      <c r="J132" s="9">
        <v>11700</v>
      </c>
      <c r="K132" s="7">
        <v>0.05</v>
      </c>
      <c r="L132" s="9">
        <v>11115</v>
      </c>
      <c r="M132" s="10">
        <f>Sales_Data3[[#This Row],[Profit]]/Sales_Data3[[#This Row],[Sales]]</f>
        <v>0.95</v>
      </c>
      <c r="N132" t="str">
        <f t="shared" si="5"/>
        <v>High</v>
      </c>
      <c r="O132" s="2">
        <v>43972</v>
      </c>
      <c r="P132" s="9">
        <v>11700</v>
      </c>
    </row>
    <row r="133" spans="1:16" x14ac:dyDescent="0.25">
      <c r="A133" t="s">
        <v>154</v>
      </c>
      <c r="B133" s="2">
        <v>43973</v>
      </c>
      <c r="C133">
        <v>2020</v>
      </c>
      <c r="D133" t="str">
        <f t="shared" si="4"/>
        <v>May</v>
      </c>
      <c r="E133" t="s">
        <v>13</v>
      </c>
      <c r="F133" t="s">
        <v>2030</v>
      </c>
      <c r="G133" t="s">
        <v>22</v>
      </c>
      <c r="H133" t="s">
        <v>24</v>
      </c>
      <c r="I133">
        <v>6</v>
      </c>
      <c r="J133" s="9">
        <v>9500</v>
      </c>
      <c r="K133" s="7">
        <v>0.1</v>
      </c>
      <c r="L133" s="9">
        <v>8550</v>
      </c>
      <c r="M133" s="10">
        <f>Sales_Data3[[#This Row],[Profit]]/Sales_Data3[[#This Row],[Sales]]</f>
        <v>0.9</v>
      </c>
      <c r="N133" t="str">
        <f t="shared" si="5"/>
        <v>Medium</v>
      </c>
      <c r="O133" s="2">
        <v>43973</v>
      </c>
      <c r="P133" s="9">
        <v>9500</v>
      </c>
    </row>
    <row r="134" spans="1:16" x14ac:dyDescent="0.25">
      <c r="A134" t="s">
        <v>155</v>
      </c>
      <c r="B134" s="2">
        <v>43974</v>
      </c>
      <c r="C134">
        <v>2020</v>
      </c>
      <c r="D134" t="str">
        <f t="shared" si="4"/>
        <v>May</v>
      </c>
      <c r="E134" t="s">
        <v>13</v>
      </c>
      <c r="F134" t="s">
        <v>2031</v>
      </c>
      <c r="G134" t="s">
        <v>19</v>
      </c>
      <c r="H134" t="s">
        <v>24</v>
      </c>
      <c r="I134">
        <v>9</v>
      </c>
      <c r="J134" s="9">
        <v>9600</v>
      </c>
      <c r="K134" s="7">
        <v>0.15000000000000002</v>
      </c>
      <c r="L134" s="9">
        <v>8160</v>
      </c>
      <c r="M134" s="10">
        <f>Sales_Data3[[#This Row],[Profit]]/Sales_Data3[[#This Row],[Sales]]</f>
        <v>0.85</v>
      </c>
      <c r="N134" t="str">
        <f t="shared" si="5"/>
        <v>Medium</v>
      </c>
      <c r="O134" s="2">
        <v>43974</v>
      </c>
      <c r="P134" s="9">
        <v>9600</v>
      </c>
    </row>
    <row r="135" spans="1:16" x14ac:dyDescent="0.25">
      <c r="A135" t="s">
        <v>156</v>
      </c>
      <c r="B135" s="2">
        <v>43975</v>
      </c>
      <c r="C135">
        <v>2020</v>
      </c>
      <c r="D135" t="str">
        <f t="shared" si="4"/>
        <v>May</v>
      </c>
      <c r="E135" t="s">
        <v>13</v>
      </c>
      <c r="F135" t="s">
        <v>2032</v>
      </c>
      <c r="G135" t="s">
        <v>20</v>
      </c>
      <c r="H135" t="s">
        <v>24</v>
      </c>
      <c r="I135">
        <v>9</v>
      </c>
      <c r="J135" s="9">
        <v>11600</v>
      </c>
      <c r="K135" s="7">
        <v>0.2</v>
      </c>
      <c r="L135" s="9">
        <v>9280</v>
      </c>
      <c r="M135" s="10">
        <f>Sales_Data3[[#This Row],[Profit]]/Sales_Data3[[#This Row],[Sales]]</f>
        <v>0.8</v>
      </c>
      <c r="N135" t="str">
        <f t="shared" si="5"/>
        <v>High</v>
      </c>
      <c r="O135" s="2">
        <v>43975</v>
      </c>
      <c r="P135" s="9">
        <v>11600</v>
      </c>
    </row>
    <row r="136" spans="1:16" x14ac:dyDescent="0.25">
      <c r="A136" t="s">
        <v>157</v>
      </c>
      <c r="B136" s="2">
        <v>43976</v>
      </c>
      <c r="C136">
        <v>2020</v>
      </c>
      <c r="D136" t="str">
        <f t="shared" si="4"/>
        <v>May</v>
      </c>
      <c r="E136" t="s">
        <v>13</v>
      </c>
      <c r="F136" t="s">
        <v>2033</v>
      </c>
      <c r="G136" t="s">
        <v>21</v>
      </c>
      <c r="H136" t="s">
        <v>24</v>
      </c>
      <c r="I136">
        <v>5</v>
      </c>
      <c r="J136" s="9">
        <v>5700</v>
      </c>
      <c r="K136" s="7">
        <v>0.25</v>
      </c>
      <c r="L136" s="9">
        <v>4275</v>
      </c>
      <c r="M136" s="10">
        <f>Sales_Data3[[#This Row],[Profit]]/Sales_Data3[[#This Row],[Sales]]</f>
        <v>0.75</v>
      </c>
      <c r="N136" t="str">
        <f t="shared" si="5"/>
        <v>Medium</v>
      </c>
      <c r="O136" s="2">
        <v>43976</v>
      </c>
      <c r="P136" s="9">
        <v>5700</v>
      </c>
    </row>
    <row r="137" spans="1:16" x14ac:dyDescent="0.25">
      <c r="A137" t="s">
        <v>158</v>
      </c>
      <c r="B137" s="2">
        <v>43977</v>
      </c>
      <c r="C137">
        <v>2020</v>
      </c>
      <c r="D137" t="str">
        <f t="shared" si="4"/>
        <v>May</v>
      </c>
      <c r="E137" t="s">
        <v>13</v>
      </c>
      <c r="F137" t="s">
        <v>2034</v>
      </c>
      <c r="G137" t="s">
        <v>22</v>
      </c>
      <c r="H137" t="s">
        <v>24</v>
      </c>
      <c r="I137">
        <v>4</v>
      </c>
      <c r="J137" s="9">
        <v>13200</v>
      </c>
      <c r="K137" s="7">
        <v>0.05</v>
      </c>
      <c r="L137" s="9">
        <v>12540</v>
      </c>
      <c r="M137" s="10">
        <f>Sales_Data3[[#This Row],[Profit]]/Sales_Data3[[#This Row],[Sales]]</f>
        <v>0.95</v>
      </c>
      <c r="N137" t="str">
        <f t="shared" si="5"/>
        <v>High</v>
      </c>
      <c r="O137" s="2">
        <v>43977</v>
      </c>
      <c r="P137" s="9">
        <v>13200</v>
      </c>
    </row>
    <row r="138" spans="1:16" x14ac:dyDescent="0.25">
      <c r="A138" t="s">
        <v>159</v>
      </c>
      <c r="B138" s="2">
        <v>43978</v>
      </c>
      <c r="C138">
        <v>2020</v>
      </c>
      <c r="D138" t="str">
        <f t="shared" si="4"/>
        <v>May</v>
      </c>
      <c r="E138" t="s">
        <v>13</v>
      </c>
      <c r="F138" t="s">
        <v>2035</v>
      </c>
      <c r="G138" t="s">
        <v>19</v>
      </c>
      <c r="H138" t="s">
        <v>24</v>
      </c>
      <c r="I138">
        <v>9</v>
      </c>
      <c r="J138" s="9">
        <v>9800</v>
      </c>
      <c r="K138" s="7">
        <v>0.1</v>
      </c>
      <c r="L138" s="9">
        <v>8820</v>
      </c>
      <c r="M138" s="10">
        <f>Sales_Data3[[#This Row],[Profit]]/Sales_Data3[[#This Row],[Sales]]</f>
        <v>0.9</v>
      </c>
      <c r="N138" t="str">
        <f t="shared" si="5"/>
        <v>Medium</v>
      </c>
      <c r="O138" s="2">
        <v>43978</v>
      </c>
      <c r="P138" s="9">
        <v>9800</v>
      </c>
    </row>
    <row r="139" spans="1:16" x14ac:dyDescent="0.25">
      <c r="A139" t="s">
        <v>160</v>
      </c>
      <c r="B139" s="2">
        <v>43979</v>
      </c>
      <c r="C139">
        <v>2020</v>
      </c>
      <c r="D139" t="str">
        <f t="shared" si="4"/>
        <v>May</v>
      </c>
      <c r="E139" t="s">
        <v>13</v>
      </c>
      <c r="F139" t="s">
        <v>2036</v>
      </c>
      <c r="G139" t="s">
        <v>20</v>
      </c>
      <c r="H139" t="s">
        <v>24</v>
      </c>
      <c r="I139">
        <v>8</v>
      </c>
      <c r="J139" s="9">
        <v>14600</v>
      </c>
      <c r="K139" s="7">
        <v>0.15000000000000002</v>
      </c>
      <c r="L139" s="9">
        <v>12410</v>
      </c>
      <c r="M139" s="10">
        <f>Sales_Data3[[#This Row],[Profit]]/Sales_Data3[[#This Row],[Sales]]</f>
        <v>0.85</v>
      </c>
      <c r="N139" t="str">
        <f t="shared" si="5"/>
        <v>High</v>
      </c>
      <c r="O139" s="2">
        <v>43979</v>
      </c>
      <c r="P139" s="9">
        <v>14600</v>
      </c>
    </row>
    <row r="140" spans="1:16" x14ac:dyDescent="0.25">
      <c r="A140" t="s">
        <v>161</v>
      </c>
      <c r="B140" s="2">
        <v>43980</v>
      </c>
      <c r="C140">
        <v>2020</v>
      </c>
      <c r="D140" t="str">
        <f t="shared" si="4"/>
        <v>May</v>
      </c>
      <c r="E140" t="s">
        <v>13</v>
      </c>
      <c r="F140" t="s">
        <v>2037</v>
      </c>
      <c r="G140" t="s">
        <v>21</v>
      </c>
      <c r="H140" t="s">
        <v>24</v>
      </c>
      <c r="I140">
        <v>10</v>
      </c>
      <c r="J140" s="9">
        <v>4600</v>
      </c>
      <c r="K140" s="7">
        <v>0.2</v>
      </c>
      <c r="L140" s="9">
        <v>3680</v>
      </c>
      <c r="M140" s="10">
        <f>Sales_Data3[[#This Row],[Profit]]/Sales_Data3[[#This Row],[Sales]]</f>
        <v>0.8</v>
      </c>
      <c r="N140" t="str">
        <f t="shared" si="5"/>
        <v>Low</v>
      </c>
      <c r="O140" s="2">
        <v>43980</v>
      </c>
      <c r="P140" s="9">
        <v>4600</v>
      </c>
    </row>
    <row r="141" spans="1:16" x14ac:dyDescent="0.25">
      <c r="A141" t="s">
        <v>162</v>
      </c>
      <c r="B141" s="2">
        <v>43981</v>
      </c>
      <c r="C141">
        <v>2020</v>
      </c>
      <c r="D141" t="str">
        <f t="shared" si="4"/>
        <v>May</v>
      </c>
      <c r="E141" t="s">
        <v>13</v>
      </c>
      <c r="F141" t="s">
        <v>2038</v>
      </c>
      <c r="G141" t="s">
        <v>22</v>
      </c>
      <c r="H141" t="s">
        <v>24</v>
      </c>
      <c r="I141">
        <v>7</v>
      </c>
      <c r="J141" s="9">
        <v>4000</v>
      </c>
      <c r="K141" s="7">
        <v>0.25</v>
      </c>
      <c r="L141" s="9">
        <v>3000</v>
      </c>
      <c r="M141" s="10">
        <f>Sales_Data3[[#This Row],[Profit]]/Sales_Data3[[#This Row],[Sales]]</f>
        <v>0.75</v>
      </c>
      <c r="N141" t="str">
        <f t="shared" si="5"/>
        <v>Low</v>
      </c>
      <c r="O141" s="2">
        <v>43981</v>
      </c>
      <c r="P141" s="9">
        <v>4000</v>
      </c>
    </row>
    <row r="142" spans="1:16" x14ac:dyDescent="0.25">
      <c r="A142" t="s">
        <v>163</v>
      </c>
      <c r="B142" s="2">
        <v>43982</v>
      </c>
      <c r="C142">
        <v>2020</v>
      </c>
      <c r="D142" t="str">
        <f t="shared" si="4"/>
        <v>May</v>
      </c>
      <c r="E142" t="s">
        <v>14</v>
      </c>
      <c r="F142" t="s">
        <v>2039</v>
      </c>
      <c r="G142" t="s">
        <v>19</v>
      </c>
      <c r="H142" t="s">
        <v>25</v>
      </c>
      <c r="I142">
        <v>1</v>
      </c>
      <c r="J142" s="9">
        <v>9100</v>
      </c>
      <c r="K142" s="7">
        <v>0.05</v>
      </c>
      <c r="L142" s="9">
        <v>8645</v>
      </c>
      <c r="M142" s="10">
        <f>Sales_Data3[[#This Row],[Profit]]/Sales_Data3[[#This Row],[Sales]]</f>
        <v>0.95</v>
      </c>
      <c r="N142" t="str">
        <f t="shared" si="5"/>
        <v>Medium</v>
      </c>
      <c r="O142" s="2">
        <v>43982</v>
      </c>
      <c r="P142" s="9">
        <v>9100</v>
      </c>
    </row>
    <row r="143" spans="1:16" x14ac:dyDescent="0.25">
      <c r="A143" t="s">
        <v>164</v>
      </c>
      <c r="B143" s="2">
        <v>43983</v>
      </c>
      <c r="C143">
        <v>2020</v>
      </c>
      <c r="D143" t="str">
        <f t="shared" si="4"/>
        <v>Jun</v>
      </c>
      <c r="E143" t="s">
        <v>14</v>
      </c>
      <c r="F143" t="s">
        <v>2040</v>
      </c>
      <c r="G143" t="s">
        <v>20</v>
      </c>
      <c r="H143" t="s">
        <v>25</v>
      </c>
      <c r="I143">
        <v>6</v>
      </c>
      <c r="J143" s="9">
        <v>6300</v>
      </c>
      <c r="K143" s="7">
        <v>0.1</v>
      </c>
      <c r="L143" s="9">
        <v>5670</v>
      </c>
      <c r="M143" s="10">
        <f>Sales_Data3[[#This Row],[Profit]]/Sales_Data3[[#This Row],[Sales]]</f>
        <v>0.9</v>
      </c>
      <c r="N143" t="str">
        <f t="shared" si="5"/>
        <v>Medium</v>
      </c>
      <c r="O143" s="2">
        <v>43983</v>
      </c>
      <c r="P143" s="9">
        <v>6300</v>
      </c>
    </row>
    <row r="144" spans="1:16" x14ac:dyDescent="0.25">
      <c r="A144" t="s">
        <v>165</v>
      </c>
      <c r="B144" s="2">
        <v>43984</v>
      </c>
      <c r="C144">
        <v>2020</v>
      </c>
      <c r="D144" t="str">
        <f t="shared" si="4"/>
        <v>Jun</v>
      </c>
      <c r="E144" t="s">
        <v>14</v>
      </c>
      <c r="F144" t="s">
        <v>2041</v>
      </c>
      <c r="G144" t="s">
        <v>21</v>
      </c>
      <c r="H144" t="s">
        <v>25</v>
      </c>
      <c r="I144">
        <v>4</v>
      </c>
      <c r="J144" s="9">
        <v>10700</v>
      </c>
      <c r="K144" s="7">
        <v>0.15000000000000002</v>
      </c>
      <c r="L144" s="9">
        <v>9095</v>
      </c>
      <c r="M144" s="10">
        <f>Sales_Data3[[#This Row],[Profit]]/Sales_Data3[[#This Row],[Sales]]</f>
        <v>0.85</v>
      </c>
      <c r="N144" t="str">
        <f t="shared" si="5"/>
        <v>High</v>
      </c>
      <c r="O144" s="2">
        <v>43984</v>
      </c>
      <c r="P144" s="9">
        <v>10700</v>
      </c>
    </row>
    <row r="145" spans="1:16" x14ac:dyDescent="0.25">
      <c r="A145" t="s">
        <v>166</v>
      </c>
      <c r="B145" s="2">
        <v>43985</v>
      </c>
      <c r="C145">
        <v>2020</v>
      </c>
      <c r="D145" t="str">
        <f t="shared" si="4"/>
        <v>Jun</v>
      </c>
      <c r="E145" t="s">
        <v>14</v>
      </c>
      <c r="F145" t="s">
        <v>2042</v>
      </c>
      <c r="G145" t="s">
        <v>22</v>
      </c>
      <c r="H145" t="s">
        <v>25</v>
      </c>
      <c r="I145">
        <v>2</v>
      </c>
      <c r="J145" s="9">
        <v>6500</v>
      </c>
      <c r="K145" s="7">
        <v>0.2</v>
      </c>
      <c r="L145" s="9">
        <v>5200</v>
      </c>
      <c r="M145" s="10">
        <f>Sales_Data3[[#This Row],[Profit]]/Sales_Data3[[#This Row],[Sales]]</f>
        <v>0.8</v>
      </c>
      <c r="N145" t="str">
        <f t="shared" si="5"/>
        <v>Medium</v>
      </c>
      <c r="O145" s="2">
        <v>43985</v>
      </c>
      <c r="P145" s="9">
        <v>6500</v>
      </c>
    </row>
    <row r="146" spans="1:16" x14ac:dyDescent="0.25">
      <c r="A146" t="s">
        <v>167</v>
      </c>
      <c r="B146" s="2">
        <v>43986</v>
      </c>
      <c r="C146">
        <v>2020</v>
      </c>
      <c r="D146" t="str">
        <f t="shared" si="4"/>
        <v>Jun</v>
      </c>
      <c r="E146" t="s">
        <v>14</v>
      </c>
      <c r="F146" t="s">
        <v>2043</v>
      </c>
      <c r="G146" t="s">
        <v>19</v>
      </c>
      <c r="H146" t="s">
        <v>25</v>
      </c>
      <c r="I146">
        <v>4</v>
      </c>
      <c r="J146" s="9">
        <v>5100</v>
      </c>
      <c r="K146" s="7">
        <v>0.25</v>
      </c>
      <c r="L146" s="9">
        <v>3825</v>
      </c>
      <c r="M146" s="10">
        <f>Sales_Data3[[#This Row],[Profit]]/Sales_Data3[[#This Row],[Sales]]</f>
        <v>0.75</v>
      </c>
      <c r="N146" t="str">
        <f t="shared" si="5"/>
        <v>Medium</v>
      </c>
      <c r="O146" s="2">
        <v>43986</v>
      </c>
      <c r="P146" s="9">
        <v>5100</v>
      </c>
    </row>
    <row r="147" spans="1:16" x14ac:dyDescent="0.25">
      <c r="A147" t="s">
        <v>168</v>
      </c>
      <c r="B147" s="2">
        <v>43987</v>
      </c>
      <c r="C147">
        <v>2020</v>
      </c>
      <c r="D147" t="str">
        <f t="shared" si="4"/>
        <v>Jun</v>
      </c>
      <c r="E147" t="s">
        <v>14</v>
      </c>
      <c r="F147" t="s">
        <v>2044</v>
      </c>
      <c r="G147" t="s">
        <v>20</v>
      </c>
      <c r="H147" t="s">
        <v>25</v>
      </c>
      <c r="I147">
        <v>8</v>
      </c>
      <c r="J147" s="9">
        <v>14700</v>
      </c>
      <c r="K147" s="7">
        <v>0.05</v>
      </c>
      <c r="L147" s="9">
        <v>13965</v>
      </c>
      <c r="M147" s="10">
        <f>Sales_Data3[[#This Row],[Profit]]/Sales_Data3[[#This Row],[Sales]]</f>
        <v>0.95</v>
      </c>
      <c r="N147" t="str">
        <f t="shared" si="5"/>
        <v>High</v>
      </c>
      <c r="O147" s="2">
        <v>43987</v>
      </c>
      <c r="P147" s="9">
        <v>14700</v>
      </c>
    </row>
    <row r="148" spans="1:16" x14ac:dyDescent="0.25">
      <c r="A148" t="s">
        <v>169</v>
      </c>
      <c r="B148" s="2">
        <v>43988</v>
      </c>
      <c r="C148">
        <v>2020</v>
      </c>
      <c r="D148" t="str">
        <f t="shared" si="4"/>
        <v>Jun</v>
      </c>
      <c r="E148" t="s">
        <v>14</v>
      </c>
      <c r="F148" t="s">
        <v>2045</v>
      </c>
      <c r="G148" t="s">
        <v>21</v>
      </c>
      <c r="H148" t="s">
        <v>25</v>
      </c>
      <c r="I148">
        <v>7</v>
      </c>
      <c r="J148" s="9">
        <v>9600</v>
      </c>
      <c r="K148" s="7">
        <v>0.1</v>
      </c>
      <c r="L148" s="9">
        <v>8640</v>
      </c>
      <c r="M148" s="10">
        <f>Sales_Data3[[#This Row],[Profit]]/Sales_Data3[[#This Row],[Sales]]</f>
        <v>0.9</v>
      </c>
      <c r="N148" t="str">
        <f t="shared" si="5"/>
        <v>Medium</v>
      </c>
      <c r="O148" s="2">
        <v>43988</v>
      </c>
      <c r="P148" s="9">
        <v>9600</v>
      </c>
    </row>
    <row r="149" spans="1:16" x14ac:dyDescent="0.25">
      <c r="A149" t="s">
        <v>170</v>
      </c>
      <c r="B149" s="2">
        <v>43989</v>
      </c>
      <c r="C149">
        <v>2020</v>
      </c>
      <c r="D149" t="str">
        <f t="shared" si="4"/>
        <v>Jun</v>
      </c>
      <c r="E149" t="s">
        <v>14</v>
      </c>
      <c r="F149" t="s">
        <v>2046</v>
      </c>
      <c r="G149" t="s">
        <v>22</v>
      </c>
      <c r="H149" t="s">
        <v>25</v>
      </c>
      <c r="I149">
        <v>4</v>
      </c>
      <c r="J149" s="9">
        <v>8900</v>
      </c>
      <c r="K149" s="7">
        <v>0.15000000000000002</v>
      </c>
      <c r="L149" s="9">
        <v>7565</v>
      </c>
      <c r="M149" s="10">
        <f>Sales_Data3[[#This Row],[Profit]]/Sales_Data3[[#This Row],[Sales]]</f>
        <v>0.85</v>
      </c>
      <c r="N149" t="str">
        <f t="shared" si="5"/>
        <v>Medium</v>
      </c>
      <c r="O149" s="2">
        <v>43989</v>
      </c>
      <c r="P149" s="9">
        <v>8900</v>
      </c>
    </row>
    <row r="150" spans="1:16" x14ac:dyDescent="0.25">
      <c r="A150" t="s">
        <v>171</v>
      </c>
      <c r="B150" s="2">
        <v>43990</v>
      </c>
      <c r="C150">
        <v>2020</v>
      </c>
      <c r="D150" t="str">
        <f t="shared" si="4"/>
        <v>Jun</v>
      </c>
      <c r="E150" t="s">
        <v>14</v>
      </c>
      <c r="F150" t="s">
        <v>2047</v>
      </c>
      <c r="G150" t="s">
        <v>19</v>
      </c>
      <c r="H150" t="s">
        <v>25</v>
      </c>
      <c r="I150">
        <v>1</v>
      </c>
      <c r="J150" s="9">
        <v>5000</v>
      </c>
      <c r="K150" s="7">
        <v>0.2</v>
      </c>
      <c r="L150" s="9">
        <v>4000</v>
      </c>
      <c r="M150" s="10">
        <f>Sales_Data3[[#This Row],[Profit]]/Sales_Data3[[#This Row],[Sales]]</f>
        <v>0.8</v>
      </c>
      <c r="N150" t="str">
        <f t="shared" si="5"/>
        <v>Low</v>
      </c>
      <c r="O150" s="2">
        <v>43990</v>
      </c>
      <c r="P150" s="9">
        <v>5000</v>
      </c>
    </row>
    <row r="151" spans="1:16" x14ac:dyDescent="0.25">
      <c r="A151" t="s">
        <v>172</v>
      </c>
      <c r="B151" s="2">
        <v>43991</v>
      </c>
      <c r="C151">
        <v>2020</v>
      </c>
      <c r="D151" t="str">
        <f t="shared" si="4"/>
        <v>Jun</v>
      </c>
      <c r="E151" t="s">
        <v>14</v>
      </c>
      <c r="F151" t="s">
        <v>2048</v>
      </c>
      <c r="G151" t="s">
        <v>20</v>
      </c>
      <c r="H151" t="s">
        <v>25</v>
      </c>
      <c r="I151">
        <v>7</v>
      </c>
      <c r="J151" s="9">
        <v>9200</v>
      </c>
      <c r="K151" s="7">
        <v>0.25</v>
      </c>
      <c r="L151" s="9">
        <v>6900</v>
      </c>
      <c r="M151" s="10">
        <f>Sales_Data3[[#This Row],[Profit]]/Sales_Data3[[#This Row],[Sales]]</f>
        <v>0.75</v>
      </c>
      <c r="N151" t="str">
        <f t="shared" si="5"/>
        <v>Medium</v>
      </c>
      <c r="O151" s="2">
        <v>43991</v>
      </c>
      <c r="P151" s="9">
        <v>9200</v>
      </c>
    </row>
    <row r="152" spans="1:16" x14ac:dyDescent="0.25">
      <c r="A152" t="s">
        <v>173</v>
      </c>
      <c r="B152" s="2">
        <v>43992</v>
      </c>
      <c r="C152">
        <v>2020</v>
      </c>
      <c r="D152" t="str">
        <f t="shared" si="4"/>
        <v>Jun</v>
      </c>
      <c r="E152" t="s">
        <v>12</v>
      </c>
      <c r="F152" t="s">
        <v>15</v>
      </c>
      <c r="G152" t="s">
        <v>21</v>
      </c>
      <c r="H152" t="s">
        <v>23</v>
      </c>
      <c r="I152">
        <v>4</v>
      </c>
      <c r="J152" s="9">
        <v>4400</v>
      </c>
      <c r="K152" s="7">
        <v>0.05</v>
      </c>
      <c r="L152" s="9">
        <v>4180</v>
      </c>
      <c r="M152" s="10">
        <f>Sales_Data3[[#This Row],[Profit]]/Sales_Data3[[#This Row],[Sales]]</f>
        <v>0.95</v>
      </c>
      <c r="N152" t="str">
        <f t="shared" si="5"/>
        <v>Low</v>
      </c>
      <c r="O152" s="2">
        <v>43992</v>
      </c>
      <c r="P152" s="9">
        <v>4400</v>
      </c>
    </row>
    <row r="153" spans="1:16" x14ac:dyDescent="0.25">
      <c r="A153" t="s">
        <v>174</v>
      </c>
      <c r="B153" s="2">
        <v>43993</v>
      </c>
      <c r="C153">
        <v>2020</v>
      </c>
      <c r="D153" t="str">
        <f t="shared" si="4"/>
        <v>Jun</v>
      </c>
      <c r="E153" t="s">
        <v>12</v>
      </c>
      <c r="F153" t="s">
        <v>17</v>
      </c>
      <c r="G153" t="s">
        <v>22</v>
      </c>
      <c r="H153" t="s">
        <v>23</v>
      </c>
      <c r="I153">
        <v>2</v>
      </c>
      <c r="J153" s="9">
        <v>5700</v>
      </c>
      <c r="K153" s="7">
        <v>0.1</v>
      </c>
      <c r="L153" s="9">
        <v>5130</v>
      </c>
      <c r="M153" s="10">
        <f>Sales_Data3[[#This Row],[Profit]]/Sales_Data3[[#This Row],[Sales]]</f>
        <v>0.9</v>
      </c>
      <c r="N153" t="str">
        <f t="shared" si="5"/>
        <v>Medium</v>
      </c>
      <c r="O153" s="2">
        <v>43993</v>
      </c>
      <c r="P153" s="9">
        <v>5700</v>
      </c>
    </row>
    <row r="154" spans="1:16" x14ac:dyDescent="0.25">
      <c r="A154" t="s">
        <v>175</v>
      </c>
      <c r="B154" s="2">
        <v>43994</v>
      </c>
      <c r="C154">
        <v>2020</v>
      </c>
      <c r="D154" t="str">
        <f t="shared" si="4"/>
        <v>Jun</v>
      </c>
      <c r="E154" t="s">
        <v>12</v>
      </c>
      <c r="F154" t="s">
        <v>2023</v>
      </c>
      <c r="G154" t="s">
        <v>19</v>
      </c>
      <c r="H154" t="s">
        <v>23</v>
      </c>
      <c r="I154">
        <v>6</v>
      </c>
      <c r="J154" s="9">
        <v>8800</v>
      </c>
      <c r="K154" s="7">
        <v>0.15000000000000002</v>
      </c>
      <c r="L154" s="9">
        <v>7480</v>
      </c>
      <c r="M154" s="10">
        <f>Sales_Data3[[#This Row],[Profit]]/Sales_Data3[[#This Row],[Sales]]</f>
        <v>0.85</v>
      </c>
      <c r="N154" t="str">
        <f t="shared" si="5"/>
        <v>Medium</v>
      </c>
      <c r="O154" s="2">
        <v>43994</v>
      </c>
      <c r="P154" s="9">
        <v>8800</v>
      </c>
    </row>
    <row r="155" spans="1:16" x14ac:dyDescent="0.25">
      <c r="A155" t="s">
        <v>176</v>
      </c>
      <c r="B155" s="2">
        <v>43995</v>
      </c>
      <c r="C155">
        <v>2020</v>
      </c>
      <c r="D155" t="str">
        <f t="shared" si="4"/>
        <v>Jun</v>
      </c>
      <c r="E155" t="s">
        <v>12</v>
      </c>
      <c r="F155" t="s">
        <v>18</v>
      </c>
      <c r="G155" t="s">
        <v>20</v>
      </c>
      <c r="H155" t="s">
        <v>23</v>
      </c>
      <c r="I155">
        <v>5</v>
      </c>
      <c r="J155" s="9">
        <v>8300</v>
      </c>
      <c r="K155" s="7">
        <v>0.2</v>
      </c>
      <c r="L155" s="9">
        <v>6640</v>
      </c>
      <c r="M155" s="10">
        <f>Sales_Data3[[#This Row],[Profit]]/Sales_Data3[[#This Row],[Sales]]</f>
        <v>0.8</v>
      </c>
      <c r="N155" t="str">
        <f t="shared" si="5"/>
        <v>Medium</v>
      </c>
      <c r="O155" s="2">
        <v>43995</v>
      </c>
      <c r="P155" s="9">
        <v>8300</v>
      </c>
    </row>
    <row r="156" spans="1:16" x14ac:dyDescent="0.25">
      <c r="A156" t="s">
        <v>177</v>
      </c>
      <c r="B156" s="2">
        <v>43996</v>
      </c>
      <c r="C156">
        <v>2020</v>
      </c>
      <c r="D156" t="str">
        <f t="shared" si="4"/>
        <v>Jun</v>
      </c>
      <c r="E156" t="s">
        <v>12</v>
      </c>
      <c r="F156" t="s">
        <v>2024</v>
      </c>
      <c r="G156" t="s">
        <v>21</v>
      </c>
      <c r="H156" t="s">
        <v>23</v>
      </c>
      <c r="I156">
        <v>8</v>
      </c>
      <c r="J156" s="9">
        <v>6000</v>
      </c>
      <c r="K156" s="7">
        <v>0.25</v>
      </c>
      <c r="L156" s="9">
        <v>4500</v>
      </c>
      <c r="M156" s="10">
        <f>Sales_Data3[[#This Row],[Profit]]/Sales_Data3[[#This Row],[Sales]]</f>
        <v>0.75</v>
      </c>
      <c r="N156" t="str">
        <f t="shared" si="5"/>
        <v>Medium</v>
      </c>
      <c r="O156" s="2">
        <v>43996</v>
      </c>
      <c r="P156" s="9">
        <v>6000</v>
      </c>
    </row>
    <row r="157" spans="1:16" x14ac:dyDescent="0.25">
      <c r="A157" t="s">
        <v>178</v>
      </c>
      <c r="B157" s="2">
        <v>43997</v>
      </c>
      <c r="C157">
        <v>2020</v>
      </c>
      <c r="D157" t="str">
        <f t="shared" si="4"/>
        <v>Jun</v>
      </c>
      <c r="E157" t="s">
        <v>12</v>
      </c>
      <c r="F157" t="s">
        <v>2025</v>
      </c>
      <c r="G157" t="s">
        <v>22</v>
      </c>
      <c r="H157" t="s">
        <v>23</v>
      </c>
      <c r="I157">
        <v>9</v>
      </c>
      <c r="J157" s="9">
        <v>6800</v>
      </c>
      <c r="K157" s="7">
        <v>0.05</v>
      </c>
      <c r="L157" s="9">
        <v>6460</v>
      </c>
      <c r="M157" s="10">
        <f>Sales_Data3[[#This Row],[Profit]]/Sales_Data3[[#This Row],[Sales]]</f>
        <v>0.95</v>
      </c>
      <c r="N157" t="str">
        <f t="shared" si="5"/>
        <v>Medium</v>
      </c>
      <c r="O157" s="2">
        <v>43997</v>
      </c>
      <c r="P157" s="9">
        <v>6800</v>
      </c>
    </row>
    <row r="158" spans="1:16" x14ac:dyDescent="0.25">
      <c r="A158" t="s">
        <v>179</v>
      </c>
      <c r="B158" s="2">
        <v>43998</v>
      </c>
      <c r="C158">
        <v>2020</v>
      </c>
      <c r="D158" t="str">
        <f t="shared" si="4"/>
        <v>Jun</v>
      </c>
      <c r="E158" t="s">
        <v>12</v>
      </c>
      <c r="F158" t="s">
        <v>2026</v>
      </c>
      <c r="G158" t="s">
        <v>19</v>
      </c>
      <c r="H158" t="s">
        <v>23</v>
      </c>
      <c r="I158">
        <v>8</v>
      </c>
      <c r="J158" s="9">
        <v>12300</v>
      </c>
      <c r="K158" s="7">
        <v>0.1</v>
      </c>
      <c r="L158" s="9">
        <v>11070</v>
      </c>
      <c r="M158" s="10">
        <f>Sales_Data3[[#This Row],[Profit]]/Sales_Data3[[#This Row],[Sales]]</f>
        <v>0.9</v>
      </c>
      <c r="N158" t="str">
        <f t="shared" si="5"/>
        <v>High</v>
      </c>
      <c r="O158" s="2">
        <v>43998</v>
      </c>
      <c r="P158" s="9">
        <v>12300</v>
      </c>
    </row>
    <row r="159" spans="1:16" x14ac:dyDescent="0.25">
      <c r="A159" t="s">
        <v>180</v>
      </c>
      <c r="B159" s="2">
        <v>43999</v>
      </c>
      <c r="C159">
        <v>2020</v>
      </c>
      <c r="D159" t="str">
        <f t="shared" si="4"/>
        <v>Jun</v>
      </c>
      <c r="E159" t="s">
        <v>12</v>
      </c>
      <c r="F159" t="s">
        <v>2027</v>
      </c>
      <c r="G159" t="s">
        <v>20</v>
      </c>
      <c r="H159" t="s">
        <v>23</v>
      </c>
      <c r="I159">
        <v>7</v>
      </c>
      <c r="J159" s="9">
        <v>8600</v>
      </c>
      <c r="K159" s="7">
        <v>0.15000000000000002</v>
      </c>
      <c r="L159" s="9">
        <v>7310</v>
      </c>
      <c r="M159" s="10">
        <f>Sales_Data3[[#This Row],[Profit]]/Sales_Data3[[#This Row],[Sales]]</f>
        <v>0.85</v>
      </c>
      <c r="N159" t="str">
        <f t="shared" si="5"/>
        <v>Medium</v>
      </c>
      <c r="O159" s="2">
        <v>43999</v>
      </c>
      <c r="P159" s="9">
        <v>8600</v>
      </c>
    </row>
    <row r="160" spans="1:16" x14ac:dyDescent="0.25">
      <c r="A160" t="s">
        <v>181</v>
      </c>
      <c r="B160" s="2">
        <v>44000</v>
      </c>
      <c r="C160">
        <v>2020</v>
      </c>
      <c r="D160" t="str">
        <f t="shared" si="4"/>
        <v>Jun</v>
      </c>
      <c r="E160" t="s">
        <v>12</v>
      </c>
      <c r="F160" t="s">
        <v>2028</v>
      </c>
      <c r="G160" t="s">
        <v>21</v>
      </c>
      <c r="H160" t="s">
        <v>23</v>
      </c>
      <c r="I160">
        <v>1</v>
      </c>
      <c r="J160" s="9">
        <v>7200</v>
      </c>
      <c r="K160" s="7">
        <v>0.2</v>
      </c>
      <c r="L160" s="9">
        <v>5760</v>
      </c>
      <c r="M160" s="10">
        <f>Sales_Data3[[#This Row],[Profit]]/Sales_Data3[[#This Row],[Sales]]</f>
        <v>0.8</v>
      </c>
      <c r="N160" t="str">
        <f t="shared" si="5"/>
        <v>Medium</v>
      </c>
      <c r="O160" s="2">
        <v>44000</v>
      </c>
      <c r="P160" s="9">
        <v>7200</v>
      </c>
    </row>
    <row r="161" spans="1:16" x14ac:dyDescent="0.25">
      <c r="A161" t="s">
        <v>182</v>
      </c>
      <c r="B161" s="2">
        <v>44001</v>
      </c>
      <c r="C161">
        <v>2020</v>
      </c>
      <c r="D161" t="str">
        <f t="shared" si="4"/>
        <v>Jun</v>
      </c>
      <c r="E161" t="s">
        <v>12</v>
      </c>
      <c r="F161" t="s">
        <v>2029</v>
      </c>
      <c r="G161" t="s">
        <v>22</v>
      </c>
      <c r="H161" t="s">
        <v>23</v>
      </c>
      <c r="I161">
        <v>8</v>
      </c>
      <c r="J161" s="9">
        <v>8300</v>
      </c>
      <c r="K161" s="7">
        <v>0.25</v>
      </c>
      <c r="L161" s="9">
        <v>6225</v>
      </c>
      <c r="M161" s="10">
        <f>Sales_Data3[[#This Row],[Profit]]/Sales_Data3[[#This Row],[Sales]]</f>
        <v>0.75</v>
      </c>
      <c r="N161" t="str">
        <f t="shared" si="5"/>
        <v>Medium</v>
      </c>
      <c r="O161" s="2">
        <v>44001</v>
      </c>
      <c r="P161" s="9">
        <v>8300</v>
      </c>
    </row>
    <row r="162" spans="1:16" x14ac:dyDescent="0.25">
      <c r="A162" t="s">
        <v>183</v>
      </c>
      <c r="B162" s="2">
        <v>44002</v>
      </c>
      <c r="C162">
        <v>2020</v>
      </c>
      <c r="D162" t="str">
        <f t="shared" si="4"/>
        <v>Jun</v>
      </c>
      <c r="E162" t="s">
        <v>13</v>
      </c>
      <c r="F162" t="s">
        <v>16</v>
      </c>
      <c r="G162" t="s">
        <v>19</v>
      </c>
      <c r="H162" t="s">
        <v>24</v>
      </c>
      <c r="I162">
        <v>9</v>
      </c>
      <c r="J162" s="9">
        <v>9000</v>
      </c>
      <c r="K162" s="7">
        <v>0.05</v>
      </c>
      <c r="L162" s="9">
        <v>8550</v>
      </c>
      <c r="M162" s="10">
        <f>Sales_Data3[[#This Row],[Profit]]/Sales_Data3[[#This Row],[Sales]]</f>
        <v>0.95</v>
      </c>
      <c r="N162" t="str">
        <f t="shared" si="5"/>
        <v>Medium</v>
      </c>
      <c r="O162" s="2">
        <v>44002</v>
      </c>
      <c r="P162" s="9">
        <v>9000</v>
      </c>
    </row>
    <row r="163" spans="1:16" x14ac:dyDescent="0.25">
      <c r="A163" t="s">
        <v>184</v>
      </c>
      <c r="B163" s="2">
        <v>44003</v>
      </c>
      <c r="C163">
        <v>2020</v>
      </c>
      <c r="D163" t="str">
        <f t="shared" si="4"/>
        <v>Jun</v>
      </c>
      <c r="E163" t="s">
        <v>13</v>
      </c>
      <c r="F163" t="s">
        <v>2030</v>
      </c>
      <c r="G163" t="s">
        <v>20</v>
      </c>
      <c r="H163" t="s">
        <v>24</v>
      </c>
      <c r="I163">
        <v>3</v>
      </c>
      <c r="J163" s="9">
        <v>10300</v>
      </c>
      <c r="K163" s="7">
        <v>0.1</v>
      </c>
      <c r="L163" s="9">
        <v>9270</v>
      </c>
      <c r="M163" s="10">
        <f>Sales_Data3[[#This Row],[Profit]]/Sales_Data3[[#This Row],[Sales]]</f>
        <v>0.9</v>
      </c>
      <c r="N163" t="str">
        <f t="shared" si="5"/>
        <v>High</v>
      </c>
      <c r="O163" s="2">
        <v>44003</v>
      </c>
      <c r="P163" s="9">
        <v>10300</v>
      </c>
    </row>
    <row r="164" spans="1:16" x14ac:dyDescent="0.25">
      <c r="A164" t="s">
        <v>185</v>
      </c>
      <c r="B164" s="2">
        <v>44004</v>
      </c>
      <c r="C164">
        <v>2020</v>
      </c>
      <c r="D164" t="str">
        <f t="shared" si="4"/>
        <v>Jun</v>
      </c>
      <c r="E164" t="s">
        <v>13</v>
      </c>
      <c r="F164" t="s">
        <v>2031</v>
      </c>
      <c r="G164" t="s">
        <v>21</v>
      </c>
      <c r="H164" t="s">
        <v>24</v>
      </c>
      <c r="I164">
        <v>3</v>
      </c>
      <c r="J164" s="9">
        <v>10100</v>
      </c>
      <c r="K164" s="7">
        <v>0.15000000000000002</v>
      </c>
      <c r="L164" s="9">
        <v>8585</v>
      </c>
      <c r="M164" s="10">
        <f>Sales_Data3[[#This Row],[Profit]]/Sales_Data3[[#This Row],[Sales]]</f>
        <v>0.85</v>
      </c>
      <c r="N164" t="str">
        <f t="shared" si="5"/>
        <v>High</v>
      </c>
      <c r="O164" s="2">
        <v>44004</v>
      </c>
      <c r="P164" s="9">
        <v>10100</v>
      </c>
    </row>
    <row r="165" spans="1:16" x14ac:dyDescent="0.25">
      <c r="A165" t="s">
        <v>186</v>
      </c>
      <c r="B165" s="2">
        <v>44005</v>
      </c>
      <c r="C165">
        <v>2020</v>
      </c>
      <c r="D165" t="str">
        <f t="shared" si="4"/>
        <v>Jun</v>
      </c>
      <c r="E165" t="s">
        <v>13</v>
      </c>
      <c r="F165" t="s">
        <v>2032</v>
      </c>
      <c r="G165" t="s">
        <v>22</v>
      </c>
      <c r="H165" t="s">
        <v>24</v>
      </c>
      <c r="I165">
        <v>1</v>
      </c>
      <c r="J165" s="9">
        <v>7700</v>
      </c>
      <c r="K165" s="7">
        <v>0.2</v>
      </c>
      <c r="L165" s="9">
        <v>6160</v>
      </c>
      <c r="M165" s="10">
        <f>Sales_Data3[[#This Row],[Profit]]/Sales_Data3[[#This Row],[Sales]]</f>
        <v>0.8</v>
      </c>
      <c r="N165" t="str">
        <f t="shared" si="5"/>
        <v>Medium</v>
      </c>
      <c r="O165" s="2">
        <v>44005</v>
      </c>
      <c r="P165" s="9">
        <v>7700</v>
      </c>
    </row>
    <row r="166" spans="1:16" x14ac:dyDescent="0.25">
      <c r="A166" t="s">
        <v>187</v>
      </c>
      <c r="B166" s="2">
        <v>44006</v>
      </c>
      <c r="C166">
        <v>2020</v>
      </c>
      <c r="D166" t="str">
        <f t="shared" si="4"/>
        <v>Jun</v>
      </c>
      <c r="E166" t="s">
        <v>13</v>
      </c>
      <c r="F166" t="s">
        <v>2033</v>
      </c>
      <c r="G166" t="s">
        <v>19</v>
      </c>
      <c r="H166" t="s">
        <v>24</v>
      </c>
      <c r="I166">
        <v>5</v>
      </c>
      <c r="J166" s="9">
        <v>14000</v>
      </c>
      <c r="K166" s="7">
        <v>0.25</v>
      </c>
      <c r="L166" s="9">
        <v>10500</v>
      </c>
      <c r="M166" s="10">
        <f>Sales_Data3[[#This Row],[Profit]]/Sales_Data3[[#This Row],[Sales]]</f>
        <v>0.75</v>
      </c>
      <c r="N166" t="str">
        <f t="shared" si="5"/>
        <v>High</v>
      </c>
      <c r="O166" s="2">
        <v>44006</v>
      </c>
      <c r="P166" s="9">
        <v>14000</v>
      </c>
    </row>
    <row r="167" spans="1:16" x14ac:dyDescent="0.25">
      <c r="A167" t="s">
        <v>188</v>
      </c>
      <c r="B167" s="2">
        <v>44007</v>
      </c>
      <c r="C167">
        <v>2020</v>
      </c>
      <c r="D167" t="str">
        <f t="shared" si="4"/>
        <v>Jun</v>
      </c>
      <c r="E167" t="s">
        <v>13</v>
      </c>
      <c r="F167" t="s">
        <v>2034</v>
      </c>
      <c r="G167" t="s">
        <v>20</v>
      </c>
      <c r="H167" t="s">
        <v>24</v>
      </c>
      <c r="I167">
        <v>8</v>
      </c>
      <c r="J167" s="9">
        <v>13400</v>
      </c>
      <c r="K167" s="7">
        <v>0.05</v>
      </c>
      <c r="L167" s="9">
        <v>12730</v>
      </c>
      <c r="M167" s="10">
        <f>Sales_Data3[[#This Row],[Profit]]/Sales_Data3[[#This Row],[Sales]]</f>
        <v>0.95</v>
      </c>
      <c r="N167" t="str">
        <f t="shared" si="5"/>
        <v>High</v>
      </c>
      <c r="O167" s="2">
        <v>44007</v>
      </c>
      <c r="P167" s="9">
        <v>13400</v>
      </c>
    </row>
    <row r="168" spans="1:16" x14ac:dyDescent="0.25">
      <c r="A168" t="s">
        <v>189</v>
      </c>
      <c r="B168" s="2">
        <v>44008</v>
      </c>
      <c r="C168">
        <v>2020</v>
      </c>
      <c r="D168" t="str">
        <f t="shared" si="4"/>
        <v>Jun</v>
      </c>
      <c r="E168" t="s">
        <v>13</v>
      </c>
      <c r="F168" t="s">
        <v>2035</v>
      </c>
      <c r="G168" t="s">
        <v>21</v>
      </c>
      <c r="H168" t="s">
        <v>24</v>
      </c>
      <c r="I168">
        <v>9</v>
      </c>
      <c r="J168" s="9">
        <v>4600</v>
      </c>
      <c r="K168" s="7">
        <v>0.1</v>
      </c>
      <c r="L168" s="9">
        <v>4140</v>
      </c>
      <c r="M168" s="10">
        <f>Sales_Data3[[#This Row],[Profit]]/Sales_Data3[[#This Row],[Sales]]</f>
        <v>0.9</v>
      </c>
      <c r="N168" t="str">
        <f t="shared" si="5"/>
        <v>Low</v>
      </c>
      <c r="O168" s="2">
        <v>44008</v>
      </c>
      <c r="P168" s="9">
        <v>4600</v>
      </c>
    </row>
    <row r="169" spans="1:16" x14ac:dyDescent="0.25">
      <c r="A169" t="s">
        <v>190</v>
      </c>
      <c r="B169" s="2">
        <v>44009</v>
      </c>
      <c r="C169">
        <v>2020</v>
      </c>
      <c r="D169" t="str">
        <f t="shared" si="4"/>
        <v>Jun</v>
      </c>
      <c r="E169" t="s">
        <v>13</v>
      </c>
      <c r="F169" t="s">
        <v>2036</v>
      </c>
      <c r="G169" t="s">
        <v>22</v>
      </c>
      <c r="H169" t="s">
        <v>24</v>
      </c>
      <c r="I169">
        <v>10</v>
      </c>
      <c r="J169" s="9">
        <v>12400</v>
      </c>
      <c r="K169" s="7">
        <v>0.15000000000000002</v>
      </c>
      <c r="L169" s="9">
        <v>10540</v>
      </c>
      <c r="M169" s="10">
        <f>Sales_Data3[[#This Row],[Profit]]/Sales_Data3[[#This Row],[Sales]]</f>
        <v>0.85</v>
      </c>
      <c r="N169" t="str">
        <f t="shared" si="5"/>
        <v>High</v>
      </c>
      <c r="O169" s="2">
        <v>44009</v>
      </c>
      <c r="P169" s="9">
        <v>12400</v>
      </c>
    </row>
    <row r="170" spans="1:16" x14ac:dyDescent="0.25">
      <c r="A170" t="s">
        <v>191</v>
      </c>
      <c r="B170" s="2">
        <v>44010</v>
      </c>
      <c r="C170">
        <v>2020</v>
      </c>
      <c r="D170" t="str">
        <f t="shared" si="4"/>
        <v>Jun</v>
      </c>
      <c r="E170" t="s">
        <v>13</v>
      </c>
      <c r="F170" t="s">
        <v>2037</v>
      </c>
      <c r="G170" t="s">
        <v>19</v>
      </c>
      <c r="H170" t="s">
        <v>24</v>
      </c>
      <c r="I170">
        <v>7</v>
      </c>
      <c r="J170" s="9">
        <v>14000</v>
      </c>
      <c r="K170" s="7">
        <v>0.2</v>
      </c>
      <c r="L170" s="9">
        <v>11200</v>
      </c>
      <c r="M170" s="10">
        <f>Sales_Data3[[#This Row],[Profit]]/Sales_Data3[[#This Row],[Sales]]</f>
        <v>0.8</v>
      </c>
      <c r="N170" t="str">
        <f t="shared" si="5"/>
        <v>High</v>
      </c>
      <c r="O170" s="2">
        <v>44010</v>
      </c>
      <c r="P170" s="9">
        <v>14000</v>
      </c>
    </row>
    <row r="171" spans="1:16" x14ac:dyDescent="0.25">
      <c r="A171" t="s">
        <v>192</v>
      </c>
      <c r="B171" s="2">
        <v>44011</v>
      </c>
      <c r="C171">
        <v>2020</v>
      </c>
      <c r="D171" t="str">
        <f t="shared" si="4"/>
        <v>Jun</v>
      </c>
      <c r="E171" t="s">
        <v>13</v>
      </c>
      <c r="F171" t="s">
        <v>2038</v>
      </c>
      <c r="G171" t="s">
        <v>20</v>
      </c>
      <c r="H171" t="s">
        <v>24</v>
      </c>
      <c r="I171">
        <v>4</v>
      </c>
      <c r="J171" s="9">
        <v>7200</v>
      </c>
      <c r="K171" s="7">
        <v>0.25</v>
      </c>
      <c r="L171" s="9">
        <v>5400</v>
      </c>
      <c r="M171" s="10">
        <f>Sales_Data3[[#This Row],[Profit]]/Sales_Data3[[#This Row],[Sales]]</f>
        <v>0.75</v>
      </c>
      <c r="N171" t="str">
        <f t="shared" si="5"/>
        <v>Medium</v>
      </c>
      <c r="O171" s="2">
        <v>44011</v>
      </c>
      <c r="P171" s="9">
        <v>7200</v>
      </c>
    </row>
    <row r="172" spans="1:16" x14ac:dyDescent="0.25">
      <c r="A172" t="s">
        <v>193</v>
      </c>
      <c r="B172" s="2">
        <v>44012</v>
      </c>
      <c r="C172">
        <v>2020</v>
      </c>
      <c r="D172" t="str">
        <f t="shared" si="4"/>
        <v>Jun</v>
      </c>
      <c r="E172" t="s">
        <v>14</v>
      </c>
      <c r="F172" t="s">
        <v>2039</v>
      </c>
      <c r="G172" t="s">
        <v>21</v>
      </c>
      <c r="H172" t="s">
        <v>25</v>
      </c>
      <c r="I172">
        <v>7</v>
      </c>
      <c r="J172" s="9">
        <v>10700</v>
      </c>
      <c r="K172" s="7">
        <v>0.05</v>
      </c>
      <c r="L172" s="9">
        <v>10165</v>
      </c>
      <c r="M172" s="10">
        <f>Sales_Data3[[#This Row],[Profit]]/Sales_Data3[[#This Row],[Sales]]</f>
        <v>0.95</v>
      </c>
      <c r="N172" t="str">
        <f t="shared" si="5"/>
        <v>High</v>
      </c>
      <c r="O172" s="2">
        <v>44012</v>
      </c>
      <c r="P172" s="9">
        <v>10700</v>
      </c>
    </row>
    <row r="173" spans="1:16" x14ac:dyDescent="0.25">
      <c r="A173" t="s">
        <v>194</v>
      </c>
      <c r="B173" s="2">
        <v>44013</v>
      </c>
      <c r="C173">
        <v>2020</v>
      </c>
      <c r="D173" t="str">
        <f t="shared" si="4"/>
        <v>Jul</v>
      </c>
      <c r="E173" t="s">
        <v>14</v>
      </c>
      <c r="F173" t="s">
        <v>2040</v>
      </c>
      <c r="G173" t="s">
        <v>22</v>
      </c>
      <c r="H173" t="s">
        <v>25</v>
      </c>
      <c r="I173">
        <v>4</v>
      </c>
      <c r="J173" s="9">
        <v>6900</v>
      </c>
      <c r="K173" s="7">
        <v>0.1</v>
      </c>
      <c r="L173" s="9">
        <v>6210</v>
      </c>
      <c r="M173" s="10">
        <f>Sales_Data3[[#This Row],[Profit]]/Sales_Data3[[#This Row],[Sales]]</f>
        <v>0.9</v>
      </c>
      <c r="N173" t="str">
        <f t="shared" si="5"/>
        <v>Medium</v>
      </c>
      <c r="O173" s="2">
        <v>44013</v>
      </c>
      <c r="P173" s="9">
        <v>6900</v>
      </c>
    </row>
    <row r="174" spans="1:16" x14ac:dyDescent="0.25">
      <c r="A174" t="s">
        <v>195</v>
      </c>
      <c r="B174" s="2">
        <v>44014</v>
      </c>
      <c r="C174">
        <v>2020</v>
      </c>
      <c r="D174" t="str">
        <f t="shared" si="4"/>
        <v>Jul</v>
      </c>
      <c r="E174" t="s">
        <v>14</v>
      </c>
      <c r="F174" t="s">
        <v>2041</v>
      </c>
      <c r="G174" t="s">
        <v>19</v>
      </c>
      <c r="H174" t="s">
        <v>25</v>
      </c>
      <c r="I174">
        <v>1</v>
      </c>
      <c r="J174" s="9">
        <v>8500</v>
      </c>
      <c r="K174" s="7">
        <v>0.15000000000000002</v>
      </c>
      <c r="L174" s="9">
        <v>7225</v>
      </c>
      <c r="M174" s="10">
        <f>Sales_Data3[[#This Row],[Profit]]/Sales_Data3[[#This Row],[Sales]]</f>
        <v>0.85</v>
      </c>
      <c r="N174" t="str">
        <f t="shared" si="5"/>
        <v>Medium</v>
      </c>
      <c r="O174" s="2">
        <v>44014</v>
      </c>
      <c r="P174" s="9">
        <v>8500</v>
      </c>
    </row>
    <row r="175" spans="1:16" x14ac:dyDescent="0.25">
      <c r="A175" t="s">
        <v>196</v>
      </c>
      <c r="B175" s="2">
        <v>44015</v>
      </c>
      <c r="C175">
        <v>2020</v>
      </c>
      <c r="D175" t="str">
        <f t="shared" si="4"/>
        <v>Jul</v>
      </c>
      <c r="E175" t="s">
        <v>14</v>
      </c>
      <c r="F175" t="s">
        <v>2042</v>
      </c>
      <c r="G175" t="s">
        <v>20</v>
      </c>
      <c r="H175" t="s">
        <v>25</v>
      </c>
      <c r="I175">
        <v>9</v>
      </c>
      <c r="J175" s="9">
        <v>13500</v>
      </c>
      <c r="K175" s="7">
        <v>0.2</v>
      </c>
      <c r="L175" s="9">
        <v>10800</v>
      </c>
      <c r="M175" s="10">
        <f>Sales_Data3[[#This Row],[Profit]]/Sales_Data3[[#This Row],[Sales]]</f>
        <v>0.8</v>
      </c>
      <c r="N175" t="str">
        <f t="shared" si="5"/>
        <v>High</v>
      </c>
      <c r="O175" s="2">
        <v>44015</v>
      </c>
      <c r="P175" s="9">
        <v>13500</v>
      </c>
    </row>
    <row r="176" spans="1:16" x14ac:dyDescent="0.25">
      <c r="A176" t="s">
        <v>197</v>
      </c>
      <c r="B176" s="2">
        <v>44016</v>
      </c>
      <c r="C176">
        <v>2020</v>
      </c>
      <c r="D176" t="str">
        <f t="shared" si="4"/>
        <v>Jul</v>
      </c>
      <c r="E176" t="s">
        <v>14</v>
      </c>
      <c r="F176" t="s">
        <v>2043</v>
      </c>
      <c r="G176" t="s">
        <v>21</v>
      </c>
      <c r="H176" t="s">
        <v>25</v>
      </c>
      <c r="I176">
        <v>4</v>
      </c>
      <c r="J176" s="9">
        <v>7900</v>
      </c>
      <c r="K176" s="7">
        <v>0.25</v>
      </c>
      <c r="L176" s="9">
        <v>5925</v>
      </c>
      <c r="M176" s="10">
        <f>Sales_Data3[[#This Row],[Profit]]/Sales_Data3[[#This Row],[Sales]]</f>
        <v>0.75</v>
      </c>
      <c r="N176" t="str">
        <f t="shared" si="5"/>
        <v>Medium</v>
      </c>
      <c r="O176" s="2">
        <v>44016</v>
      </c>
      <c r="P176" s="9">
        <v>7900</v>
      </c>
    </row>
    <row r="177" spans="1:16" x14ac:dyDescent="0.25">
      <c r="A177" t="s">
        <v>198</v>
      </c>
      <c r="B177" s="2">
        <v>44017</v>
      </c>
      <c r="C177">
        <v>2020</v>
      </c>
      <c r="D177" t="str">
        <f t="shared" si="4"/>
        <v>Jul</v>
      </c>
      <c r="E177" t="s">
        <v>14</v>
      </c>
      <c r="F177" t="s">
        <v>2044</v>
      </c>
      <c r="G177" t="s">
        <v>22</v>
      </c>
      <c r="H177" t="s">
        <v>25</v>
      </c>
      <c r="I177">
        <v>4</v>
      </c>
      <c r="J177" s="9">
        <v>12100</v>
      </c>
      <c r="K177" s="7">
        <v>0.05</v>
      </c>
      <c r="L177" s="9">
        <v>11495</v>
      </c>
      <c r="M177" s="10">
        <f>Sales_Data3[[#This Row],[Profit]]/Sales_Data3[[#This Row],[Sales]]</f>
        <v>0.95</v>
      </c>
      <c r="N177" t="str">
        <f t="shared" si="5"/>
        <v>High</v>
      </c>
      <c r="O177" s="2">
        <v>44017</v>
      </c>
      <c r="P177" s="9">
        <v>12100</v>
      </c>
    </row>
    <row r="178" spans="1:16" x14ac:dyDescent="0.25">
      <c r="A178" t="s">
        <v>199</v>
      </c>
      <c r="B178" s="2">
        <v>44018</v>
      </c>
      <c r="C178">
        <v>2020</v>
      </c>
      <c r="D178" t="str">
        <f t="shared" si="4"/>
        <v>Jul</v>
      </c>
      <c r="E178" t="s">
        <v>14</v>
      </c>
      <c r="F178" t="s">
        <v>2045</v>
      </c>
      <c r="G178" t="s">
        <v>19</v>
      </c>
      <c r="H178" t="s">
        <v>25</v>
      </c>
      <c r="I178">
        <v>9</v>
      </c>
      <c r="J178" s="9">
        <v>13800</v>
      </c>
      <c r="K178" s="7">
        <v>0.1</v>
      </c>
      <c r="L178" s="9">
        <v>12420</v>
      </c>
      <c r="M178" s="10">
        <f>Sales_Data3[[#This Row],[Profit]]/Sales_Data3[[#This Row],[Sales]]</f>
        <v>0.9</v>
      </c>
      <c r="N178" t="str">
        <f t="shared" si="5"/>
        <v>High</v>
      </c>
      <c r="O178" s="2">
        <v>44018</v>
      </c>
      <c r="P178" s="9">
        <v>13800</v>
      </c>
    </row>
    <row r="179" spans="1:16" x14ac:dyDescent="0.25">
      <c r="A179" t="s">
        <v>200</v>
      </c>
      <c r="B179" s="2">
        <v>44019</v>
      </c>
      <c r="C179">
        <v>2020</v>
      </c>
      <c r="D179" t="str">
        <f t="shared" si="4"/>
        <v>Jul</v>
      </c>
      <c r="E179" t="s">
        <v>14</v>
      </c>
      <c r="F179" t="s">
        <v>2046</v>
      </c>
      <c r="G179" t="s">
        <v>20</v>
      </c>
      <c r="H179" t="s">
        <v>25</v>
      </c>
      <c r="I179">
        <v>9</v>
      </c>
      <c r="J179" s="9">
        <v>6100</v>
      </c>
      <c r="K179" s="7">
        <v>0.15000000000000002</v>
      </c>
      <c r="L179" s="9">
        <v>5185</v>
      </c>
      <c r="M179" s="10">
        <f>Sales_Data3[[#This Row],[Profit]]/Sales_Data3[[#This Row],[Sales]]</f>
        <v>0.85</v>
      </c>
      <c r="N179" t="str">
        <f t="shared" si="5"/>
        <v>Medium</v>
      </c>
      <c r="O179" s="2">
        <v>44019</v>
      </c>
      <c r="P179" s="9">
        <v>6100</v>
      </c>
    </row>
    <row r="180" spans="1:16" x14ac:dyDescent="0.25">
      <c r="A180" t="s">
        <v>201</v>
      </c>
      <c r="B180" s="2">
        <v>44020</v>
      </c>
      <c r="C180">
        <v>2020</v>
      </c>
      <c r="D180" t="str">
        <f t="shared" si="4"/>
        <v>Jul</v>
      </c>
      <c r="E180" t="s">
        <v>14</v>
      </c>
      <c r="F180" t="s">
        <v>2047</v>
      </c>
      <c r="G180" t="s">
        <v>21</v>
      </c>
      <c r="H180" t="s">
        <v>25</v>
      </c>
      <c r="I180">
        <v>6</v>
      </c>
      <c r="J180" s="9">
        <v>13000</v>
      </c>
      <c r="K180" s="7">
        <v>0.2</v>
      </c>
      <c r="L180" s="9">
        <v>10400</v>
      </c>
      <c r="M180" s="10">
        <f>Sales_Data3[[#This Row],[Profit]]/Sales_Data3[[#This Row],[Sales]]</f>
        <v>0.8</v>
      </c>
      <c r="N180" t="str">
        <f t="shared" si="5"/>
        <v>High</v>
      </c>
      <c r="O180" s="2">
        <v>44020</v>
      </c>
      <c r="P180" s="9">
        <v>13000</v>
      </c>
    </row>
    <row r="181" spans="1:16" x14ac:dyDescent="0.25">
      <c r="A181" t="s">
        <v>202</v>
      </c>
      <c r="B181" s="2">
        <v>44021</v>
      </c>
      <c r="C181">
        <v>2020</v>
      </c>
      <c r="D181" t="str">
        <f t="shared" si="4"/>
        <v>Jul</v>
      </c>
      <c r="E181" t="s">
        <v>14</v>
      </c>
      <c r="F181" t="s">
        <v>2048</v>
      </c>
      <c r="G181" t="s">
        <v>22</v>
      </c>
      <c r="H181" t="s">
        <v>25</v>
      </c>
      <c r="I181">
        <v>7</v>
      </c>
      <c r="J181" s="9">
        <v>6500</v>
      </c>
      <c r="K181" s="7">
        <v>0.25</v>
      </c>
      <c r="L181" s="9">
        <v>4875</v>
      </c>
      <c r="M181" s="10">
        <f>Sales_Data3[[#This Row],[Profit]]/Sales_Data3[[#This Row],[Sales]]</f>
        <v>0.75</v>
      </c>
      <c r="N181" t="str">
        <f t="shared" si="5"/>
        <v>Medium</v>
      </c>
      <c r="O181" s="2">
        <v>44021</v>
      </c>
      <c r="P181" s="9">
        <v>6500</v>
      </c>
    </row>
    <row r="182" spans="1:16" x14ac:dyDescent="0.25">
      <c r="A182" t="s">
        <v>203</v>
      </c>
      <c r="B182" s="2">
        <v>44022</v>
      </c>
      <c r="C182">
        <v>2020</v>
      </c>
      <c r="D182" t="str">
        <f t="shared" si="4"/>
        <v>Jul</v>
      </c>
      <c r="E182" t="s">
        <v>12</v>
      </c>
      <c r="F182" t="s">
        <v>15</v>
      </c>
      <c r="G182" t="s">
        <v>19</v>
      </c>
      <c r="H182" t="s">
        <v>23</v>
      </c>
      <c r="I182">
        <v>10</v>
      </c>
      <c r="J182" s="9">
        <v>8500</v>
      </c>
      <c r="K182" s="7">
        <v>0.05</v>
      </c>
      <c r="L182" s="9">
        <v>8075</v>
      </c>
      <c r="M182" s="10">
        <f>Sales_Data3[[#This Row],[Profit]]/Sales_Data3[[#This Row],[Sales]]</f>
        <v>0.95</v>
      </c>
      <c r="N182" t="str">
        <f t="shared" si="5"/>
        <v>Medium</v>
      </c>
      <c r="O182" s="2">
        <v>44022</v>
      </c>
      <c r="P182" s="9">
        <v>8500</v>
      </c>
    </row>
    <row r="183" spans="1:16" x14ac:dyDescent="0.25">
      <c r="A183" t="s">
        <v>204</v>
      </c>
      <c r="B183" s="2">
        <v>44023</v>
      </c>
      <c r="C183">
        <v>2020</v>
      </c>
      <c r="D183" t="str">
        <f t="shared" si="4"/>
        <v>Jul</v>
      </c>
      <c r="E183" t="s">
        <v>12</v>
      </c>
      <c r="F183" t="s">
        <v>17</v>
      </c>
      <c r="G183" t="s">
        <v>20</v>
      </c>
      <c r="H183" t="s">
        <v>23</v>
      </c>
      <c r="I183">
        <v>10</v>
      </c>
      <c r="J183" s="9">
        <v>9400</v>
      </c>
      <c r="K183" s="7">
        <v>0.1</v>
      </c>
      <c r="L183" s="9">
        <v>8460</v>
      </c>
      <c r="M183" s="10">
        <f>Sales_Data3[[#This Row],[Profit]]/Sales_Data3[[#This Row],[Sales]]</f>
        <v>0.9</v>
      </c>
      <c r="N183" t="str">
        <f t="shared" si="5"/>
        <v>Medium</v>
      </c>
      <c r="O183" s="2">
        <v>44023</v>
      </c>
      <c r="P183" s="9">
        <v>9400</v>
      </c>
    </row>
    <row r="184" spans="1:16" x14ac:dyDescent="0.25">
      <c r="A184" t="s">
        <v>205</v>
      </c>
      <c r="B184" s="2">
        <v>44024</v>
      </c>
      <c r="C184">
        <v>2020</v>
      </c>
      <c r="D184" t="str">
        <f t="shared" si="4"/>
        <v>Jul</v>
      </c>
      <c r="E184" t="s">
        <v>12</v>
      </c>
      <c r="F184" t="s">
        <v>2023</v>
      </c>
      <c r="G184" t="s">
        <v>21</v>
      </c>
      <c r="H184" t="s">
        <v>23</v>
      </c>
      <c r="I184">
        <v>4</v>
      </c>
      <c r="J184" s="9">
        <v>12900</v>
      </c>
      <c r="K184" s="7">
        <v>0.15000000000000002</v>
      </c>
      <c r="L184" s="9">
        <v>10965</v>
      </c>
      <c r="M184" s="10">
        <f>Sales_Data3[[#This Row],[Profit]]/Sales_Data3[[#This Row],[Sales]]</f>
        <v>0.85</v>
      </c>
      <c r="N184" t="str">
        <f t="shared" si="5"/>
        <v>High</v>
      </c>
      <c r="O184" s="2">
        <v>44024</v>
      </c>
      <c r="P184" s="9">
        <v>12900</v>
      </c>
    </row>
    <row r="185" spans="1:16" x14ac:dyDescent="0.25">
      <c r="A185" t="s">
        <v>206</v>
      </c>
      <c r="B185" s="2">
        <v>44025</v>
      </c>
      <c r="C185">
        <v>2020</v>
      </c>
      <c r="D185" t="str">
        <f t="shared" si="4"/>
        <v>Jul</v>
      </c>
      <c r="E185" t="s">
        <v>12</v>
      </c>
      <c r="F185" t="s">
        <v>18</v>
      </c>
      <c r="G185" t="s">
        <v>22</v>
      </c>
      <c r="H185" t="s">
        <v>23</v>
      </c>
      <c r="I185">
        <v>2</v>
      </c>
      <c r="J185" s="9">
        <v>14200</v>
      </c>
      <c r="K185" s="7">
        <v>0.2</v>
      </c>
      <c r="L185" s="9">
        <v>11360</v>
      </c>
      <c r="M185" s="10">
        <f>Sales_Data3[[#This Row],[Profit]]/Sales_Data3[[#This Row],[Sales]]</f>
        <v>0.8</v>
      </c>
      <c r="N185" t="str">
        <f t="shared" si="5"/>
        <v>High</v>
      </c>
      <c r="O185" s="2">
        <v>44025</v>
      </c>
      <c r="P185" s="9">
        <v>14200</v>
      </c>
    </row>
    <row r="186" spans="1:16" x14ac:dyDescent="0.25">
      <c r="A186" t="s">
        <v>207</v>
      </c>
      <c r="B186" s="2">
        <v>44026</v>
      </c>
      <c r="C186">
        <v>2020</v>
      </c>
      <c r="D186" t="str">
        <f t="shared" si="4"/>
        <v>Jul</v>
      </c>
      <c r="E186" t="s">
        <v>12</v>
      </c>
      <c r="F186" t="s">
        <v>2024</v>
      </c>
      <c r="G186" t="s">
        <v>19</v>
      </c>
      <c r="H186" t="s">
        <v>23</v>
      </c>
      <c r="I186">
        <v>9</v>
      </c>
      <c r="J186" s="9">
        <v>7200</v>
      </c>
      <c r="K186" s="7">
        <v>0.25</v>
      </c>
      <c r="L186" s="9">
        <v>5400</v>
      </c>
      <c r="M186" s="10">
        <f>Sales_Data3[[#This Row],[Profit]]/Sales_Data3[[#This Row],[Sales]]</f>
        <v>0.75</v>
      </c>
      <c r="N186" t="str">
        <f t="shared" si="5"/>
        <v>Medium</v>
      </c>
      <c r="O186" s="2">
        <v>44026</v>
      </c>
      <c r="P186" s="9">
        <v>7200</v>
      </c>
    </row>
    <row r="187" spans="1:16" x14ac:dyDescent="0.25">
      <c r="A187" t="s">
        <v>208</v>
      </c>
      <c r="B187" s="2">
        <v>44027</v>
      </c>
      <c r="C187">
        <v>2020</v>
      </c>
      <c r="D187" t="str">
        <f t="shared" si="4"/>
        <v>Jul</v>
      </c>
      <c r="E187" t="s">
        <v>12</v>
      </c>
      <c r="F187" t="s">
        <v>2025</v>
      </c>
      <c r="G187" t="s">
        <v>20</v>
      </c>
      <c r="H187" t="s">
        <v>23</v>
      </c>
      <c r="I187">
        <v>3</v>
      </c>
      <c r="J187" s="9">
        <v>7300</v>
      </c>
      <c r="K187" s="7">
        <v>0.05</v>
      </c>
      <c r="L187" s="9">
        <v>6935</v>
      </c>
      <c r="M187" s="10">
        <f>Sales_Data3[[#This Row],[Profit]]/Sales_Data3[[#This Row],[Sales]]</f>
        <v>0.95</v>
      </c>
      <c r="N187" t="str">
        <f t="shared" si="5"/>
        <v>Medium</v>
      </c>
      <c r="O187" s="2">
        <v>44027</v>
      </c>
      <c r="P187" s="9">
        <v>7300</v>
      </c>
    </row>
    <row r="188" spans="1:16" x14ac:dyDescent="0.25">
      <c r="A188" t="s">
        <v>209</v>
      </c>
      <c r="B188" s="2">
        <v>44028</v>
      </c>
      <c r="C188">
        <v>2020</v>
      </c>
      <c r="D188" t="str">
        <f t="shared" si="4"/>
        <v>Jul</v>
      </c>
      <c r="E188" t="s">
        <v>12</v>
      </c>
      <c r="F188" t="s">
        <v>2026</v>
      </c>
      <c r="G188" t="s">
        <v>21</v>
      </c>
      <c r="H188" t="s">
        <v>23</v>
      </c>
      <c r="I188">
        <v>4</v>
      </c>
      <c r="J188" s="9">
        <v>10600</v>
      </c>
      <c r="K188" s="7">
        <v>0.1</v>
      </c>
      <c r="L188" s="9">
        <v>9540</v>
      </c>
      <c r="M188" s="10">
        <f>Sales_Data3[[#This Row],[Profit]]/Sales_Data3[[#This Row],[Sales]]</f>
        <v>0.9</v>
      </c>
      <c r="N188" t="str">
        <f t="shared" si="5"/>
        <v>High</v>
      </c>
      <c r="O188" s="2">
        <v>44028</v>
      </c>
      <c r="P188" s="9">
        <v>10600</v>
      </c>
    </row>
    <row r="189" spans="1:16" x14ac:dyDescent="0.25">
      <c r="A189" t="s">
        <v>210</v>
      </c>
      <c r="B189" s="2">
        <v>44029</v>
      </c>
      <c r="C189">
        <v>2020</v>
      </c>
      <c r="D189" t="str">
        <f t="shared" si="4"/>
        <v>Jul</v>
      </c>
      <c r="E189" t="s">
        <v>12</v>
      </c>
      <c r="F189" t="s">
        <v>2027</v>
      </c>
      <c r="G189" t="s">
        <v>22</v>
      </c>
      <c r="H189" t="s">
        <v>23</v>
      </c>
      <c r="I189">
        <v>5</v>
      </c>
      <c r="J189" s="9">
        <v>14000</v>
      </c>
      <c r="K189" s="7">
        <v>0.15000000000000002</v>
      </c>
      <c r="L189" s="9">
        <v>11900</v>
      </c>
      <c r="M189" s="10">
        <f>Sales_Data3[[#This Row],[Profit]]/Sales_Data3[[#This Row],[Sales]]</f>
        <v>0.85</v>
      </c>
      <c r="N189" t="str">
        <f t="shared" si="5"/>
        <v>High</v>
      </c>
      <c r="O189" s="2">
        <v>44029</v>
      </c>
      <c r="P189" s="9">
        <v>14000</v>
      </c>
    </row>
    <row r="190" spans="1:16" x14ac:dyDescent="0.25">
      <c r="A190" t="s">
        <v>211</v>
      </c>
      <c r="B190" s="2">
        <v>44030</v>
      </c>
      <c r="C190">
        <v>2020</v>
      </c>
      <c r="D190" t="str">
        <f t="shared" si="4"/>
        <v>Jul</v>
      </c>
      <c r="E190" t="s">
        <v>12</v>
      </c>
      <c r="F190" t="s">
        <v>2028</v>
      </c>
      <c r="G190" t="s">
        <v>19</v>
      </c>
      <c r="H190" t="s">
        <v>23</v>
      </c>
      <c r="I190">
        <v>2</v>
      </c>
      <c r="J190" s="9">
        <v>11200</v>
      </c>
      <c r="K190" s="7">
        <v>0.2</v>
      </c>
      <c r="L190" s="9">
        <v>8960</v>
      </c>
      <c r="M190" s="10">
        <f>Sales_Data3[[#This Row],[Profit]]/Sales_Data3[[#This Row],[Sales]]</f>
        <v>0.8</v>
      </c>
      <c r="N190" t="str">
        <f t="shared" si="5"/>
        <v>High</v>
      </c>
      <c r="O190" s="2">
        <v>44030</v>
      </c>
      <c r="P190" s="9">
        <v>11200</v>
      </c>
    </row>
    <row r="191" spans="1:16" x14ac:dyDescent="0.25">
      <c r="A191" t="s">
        <v>212</v>
      </c>
      <c r="B191" s="2">
        <v>44031</v>
      </c>
      <c r="C191">
        <v>2020</v>
      </c>
      <c r="D191" t="str">
        <f t="shared" si="4"/>
        <v>Jul</v>
      </c>
      <c r="E191" t="s">
        <v>12</v>
      </c>
      <c r="F191" t="s">
        <v>2029</v>
      </c>
      <c r="G191" t="s">
        <v>20</v>
      </c>
      <c r="H191" t="s">
        <v>23</v>
      </c>
      <c r="I191">
        <v>4</v>
      </c>
      <c r="J191" s="9">
        <v>14800</v>
      </c>
      <c r="K191" s="7">
        <v>0.25</v>
      </c>
      <c r="L191" s="9">
        <v>11100</v>
      </c>
      <c r="M191" s="10">
        <f>Sales_Data3[[#This Row],[Profit]]/Sales_Data3[[#This Row],[Sales]]</f>
        <v>0.75</v>
      </c>
      <c r="N191" t="str">
        <f t="shared" si="5"/>
        <v>High</v>
      </c>
      <c r="O191" s="2">
        <v>44031</v>
      </c>
      <c r="P191" s="9">
        <v>14800</v>
      </c>
    </row>
    <row r="192" spans="1:16" x14ac:dyDescent="0.25">
      <c r="A192" t="s">
        <v>213</v>
      </c>
      <c r="B192" s="2">
        <v>44032</v>
      </c>
      <c r="C192">
        <v>2020</v>
      </c>
      <c r="D192" t="str">
        <f t="shared" si="4"/>
        <v>Jul</v>
      </c>
      <c r="E192" t="s">
        <v>13</v>
      </c>
      <c r="F192" t="s">
        <v>16</v>
      </c>
      <c r="G192" t="s">
        <v>21</v>
      </c>
      <c r="H192" t="s">
        <v>24</v>
      </c>
      <c r="I192">
        <v>3</v>
      </c>
      <c r="J192" s="9">
        <v>8700</v>
      </c>
      <c r="K192" s="7">
        <v>0.05</v>
      </c>
      <c r="L192" s="9">
        <v>8265</v>
      </c>
      <c r="M192" s="10">
        <f>Sales_Data3[[#This Row],[Profit]]/Sales_Data3[[#This Row],[Sales]]</f>
        <v>0.95</v>
      </c>
      <c r="N192" t="str">
        <f t="shared" si="5"/>
        <v>Medium</v>
      </c>
      <c r="O192" s="2">
        <v>44032</v>
      </c>
      <c r="P192" s="9">
        <v>8700</v>
      </c>
    </row>
    <row r="193" spans="1:16" x14ac:dyDescent="0.25">
      <c r="A193" t="s">
        <v>214</v>
      </c>
      <c r="B193" s="2">
        <v>44033</v>
      </c>
      <c r="C193">
        <v>2020</v>
      </c>
      <c r="D193" t="str">
        <f t="shared" si="4"/>
        <v>Jul</v>
      </c>
      <c r="E193" t="s">
        <v>13</v>
      </c>
      <c r="F193" t="s">
        <v>2030</v>
      </c>
      <c r="G193" t="s">
        <v>22</v>
      </c>
      <c r="H193" t="s">
        <v>24</v>
      </c>
      <c r="I193">
        <v>2</v>
      </c>
      <c r="J193" s="9">
        <v>8700</v>
      </c>
      <c r="K193" s="7">
        <v>0.1</v>
      </c>
      <c r="L193" s="9">
        <v>7830</v>
      </c>
      <c r="M193" s="10">
        <f>Sales_Data3[[#This Row],[Profit]]/Sales_Data3[[#This Row],[Sales]]</f>
        <v>0.9</v>
      </c>
      <c r="N193" t="str">
        <f t="shared" si="5"/>
        <v>Medium</v>
      </c>
      <c r="O193" s="2">
        <v>44033</v>
      </c>
      <c r="P193" s="9">
        <v>8700</v>
      </c>
    </row>
    <row r="194" spans="1:16" x14ac:dyDescent="0.25">
      <c r="A194" t="s">
        <v>215</v>
      </c>
      <c r="B194" s="2">
        <v>44034</v>
      </c>
      <c r="C194">
        <v>2020</v>
      </c>
      <c r="D194" t="str">
        <f t="shared" ref="D194:D257" si="6">TEXT(B194,"MMM")</f>
        <v>Jul</v>
      </c>
      <c r="E194" t="s">
        <v>13</v>
      </c>
      <c r="F194" t="s">
        <v>2031</v>
      </c>
      <c r="G194" t="s">
        <v>19</v>
      </c>
      <c r="H194" t="s">
        <v>24</v>
      </c>
      <c r="I194">
        <v>1</v>
      </c>
      <c r="J194" s="9">
        <v>14800</v>
      </c>
      <c r="K194" s="7">
        <v>0.15000000000000002</v>
      </c>
      <c r="L194" s="9">
        <v>12580</v>
      </c>
      <c r="M194" s="10">
        <f>Sales_Data3[[#This Row],[Profit]]/Sales_Data3[[#This Row],[Sales]]</f>
        <v>0.85</v>
      </c>
      <c r="N194" t="str">
        <f t="shared" ref="N194:N257" si="7">IF(J194&gt;10000,"High",IF(J194&gt;5000,"Medium","Low"))</f>
        <v>High</v>
      </c>
      <c r="O194" s="2">
        <v>44034</v>
      </c>
      <c r="P194" s="9">
        <v>14800</v>
      </c>
    </row>
    <row r="195" spans="1:16" x14ac:dyDescent="0.25">
      <c r="A195" t="s">
        <v>216</v>
      </c>
      <c r="B195" s="2">
        <v>44035</v>
      </c>
      <c r="C195">
        <v>2020</v>
      </c>
      <c r="D195" t="str">
        <f t="shared" si="6"/>
        <v>Jul</v>
      </c>
      <c r="E195" t="s">
        <v>13</v>
      </c>
      <c r="F195" t="s">
        <v>2032</v>
      </c>
      <c r="G195" t="s">
        <v>20</v>
      </c>
      <c r="H195" t="s">
        <v>24</v>
      </c>
      <c r="I195">
        <v>2</v>
      </c>
      <c r="J195" s="9">
        <v>12700</v>
      </c>
      <c r="K195" s="7">
        <v>0.2</v>
      </c>
      <c r="L195" s="9">
        <v>10160</v>
      </c>
      <c r="M195" s="10">
        <f>Sales_Data3[[#This Row],[Profit]]/Sales_Data3[[#This Row],[Sales]]</f>
        <v>0.8</v>
      </c>
      <c r="N195" t="str">
        <f t="shared" si="7"/>
        <v>High</v>
      </c>
      <c r="O195" s="2">
        <v>44035</v>
      </c>
      <c r="P195" s="9">
        <v>12700</v>
      </c>
    </row>
    <row r="196" spans="1:16" x14ac:dyDescent="0.25">
      <c r="A196" t="s">
        <v>217</v>
      </c>
      <c r="B196" s="2">
        <v>44036</v>
      </c>
      <c r="C196">
        <v>2020</v>
      </c>
      <c r="D196" t="str">
        <f t="shared" si="6"/>
        <v>Jul</v>
      </c>
      <c r="E196" t="s">
        <v>13</v>
      </c>
      <c r="F196" t="s">
        <v>2033</v>
      </c>
      <c r="G196" t="s">
        <v>21</v>
      </c>
      <c r="H196" t="s">
        <v>24</v>
      </c>
      <c r="I196">
        <v>10</v>
      </c>
      <c r="J196" s="9">
        <v>10300</v>
      </c>
      <c r="K196" s="7">
        <v>0.25</v>
      </c>
      <c r="L196" s="9">
        <v>7725</v>
      </c>
      <c r="M196" s="10">
        <f>Sales_Data3[[#This Row],[Profit]]/Sales_Data3[[#This Row],[Sales]]</f>
        <v>0.75</v>
      </c>
      <c r="N196" t="str">
        <f t="shared" si="7"/>
        <v>High</v>
      </c>
      <c r="O196" s="2">
        <v>44036</v>
      </c>
      <c r="P196" s="9">
        <v>10300</v>
      </c>
    </row>
    <row r="197" spans="1:16" x14ac:dyDescent="0.25">
      <c r="A197" t="s">
        <v>218</v>
      </c>
      <c r="B197" s="2">
        <v>44037</v>
      </c>
      <c r="C197">
        <v>2020</v>
      </c>
      <c r="D197" t="str">
        <f t="shared" si="6"/>
        <v>Jul</v>
      </c>
      <c r="E197" t="s">
        <v>13</v>
      </c>
      <c r="F197" t="s">
        <v>2034</v>
      </c>
      <c r="G197" t="s">
        <v>22</v>
      </c>
      <c r="H197" t="s">
        <v>24</v>
      </c>
      <c r="I197">
        <v>9</v>
      </c>
      <c r="J197" s="9">
        <v>8500</v>
      </c>
      <c r="K197" s="7">
        <v>0.05</v>
      </c>
      <c r="L197" s="9">
        <v>8075</v>
      </c>
      <c r="M197" s="10">
        <f>Sales_Data3[[#This Row],[Profit]]/Sales_Data3[[#This Row],[Sales]]</f>
        <v>0.95</v>
      </c>
      <c r="N197" t="str">
        <f t="shared" si="7"/>
        <v>Medium</v>
      </c>
      <c r="O197" s="2">
        <v>44037</v>
      </c>
      <c r="P197" s="9">
        <v>8500</v>
      </c>
    </row>
    <row r="198" spans="1:16" x14ac:dyDescent="0.25">
      <c r="A198" t="s">
        <v>219</v>
      </c>
      <c r="B198" s="2">
        <v>44038</v>
      </c>
      <c r="C198">
        <v>2020</v>
      </c>
      <c r="D198" t="str">
        <f t="shared" si="6"/>
        <v>Jul</v>
      </c>
      <c r="E198" t="s">
        <v>13</v>
      </c>
      <c r="F198" t="s">
        <v>2035</v>
      </c>
      <c r="G198" t="s">
        <v>19</v>
      </c>
      <c r="H198" t="s">
        <v>24</v>
      </c>
      <c r="I198">
        <v>1</v>
      </c>
      <c r="J198" s="9">
        <v>11900</v>
      </c>
      <c r="K198" s="7">
        <v>0.1</v>
      </c>
      <c r="L198" s="9">
        <v>10710</v>
      </c>
      <c r="M198" s="10">
        <f>Sales_Data3[[#This Row],[Profit]]/Sales_Data3[[#This Row],[Sales]]</f>
        <v>0.9</v>
      </c>
      <c r="N198" t="str">
        <f t="shared" si="7"/>
        <v>High</v>
      </c>
      <c r="O198" s="2">
        <v>44038</v>
      </c>
      <c r="P198" s="9">
        <v>11900</v>
      </c>
    </row>
    <row r="199" spans="1:16" x14ac:dyDescent="0.25">
      <c r="A199" t="s">
        <v>220</v>
      </c>
      <c r="B199" s="2">
        <v>44039</v>
      </c>
      <c r="C199">
        <v>2020</v>
      </c>
      <c r="D199" t="str">
        <f t="shared" si="6"/>
        <v>Jul</v>
      </c>
      <c r="E199" t="s">
        <v>13</v>
      </c>
      <c r="F199" t="s">
        <v>2036</v>
      </c>
      <c r="G199" t="s">
        <v>20</v>
      </c>
      <c r="H199" t="s">
        <v>24</v>
      </c>
      <c r="I199">
        <v>8</v>
      </c>
      <c r="J199" s="9">
        <v>10300</v>
      </c>
      <c r="K199" s="7">
        <v>0.15000000000000002</v>
      </c>
      <c r="L199" s="9">
        <v>8755</v>
      </c>
      <c r="M199" s="10">
        <f>Sales_Data3[[#This Row],[Profit]]/Sales_Data3[[#This Row],[Sales]]</f>
        <v>0.85</v>
      </c>
      <c r="N199" t="str">
        <f t="shared" si="7"/>
        <v>High</v>
      </c>
      <c r="O199" s="2">
        <v>44039</v>
      </c>
      <c r="P199" s="9">
        <v>10300</v>
      </c>
    </row>
    <row r="200" spans="1:16" x14ac:dyDescent="0.25">
      <c r="A200" t="s">
        <v>221</v>
      </c>
      <c r="B200" s="2">
        <v>44040</v>
      </c>
      <c r="C200">
        <v>2020</v>
      </c>
      <c r="D200" t="str">
        <f t="shared" si="6"/>
        <v>Jul</v>
      </c>
      <c r="E200" t="s">
        <v>13</v>
      </c>
      <c r="F200" t="s">
        <v>2037</v>
      </c>
      <c r="G200" t="s">
        <v>21</v>
      </c>
      <c r="H200" t="s">
        <v>24</v>
      </c>
      <c r="I200">
        <v>7</v>
      </c>
      <c r="J200" s="9">
        <v>5600</v>
      </c>
      <c r="K200" s="7">
        <v>0.2</v>
      </c>
      <c r="L200" s="9">
        <v>4480</v>
      </c>
      <c r="M200" s="10">
        <f>Sales_Data3[[#This Row],[Profit]]/Sales_Data3[[#This Row],[Sales]]</f>
        <v>0.8</v>
      </c>
      <c r="N200" t="str">
        <f t="shared" si="7"/>
        <v>Medium</v>
      </c>
      <c r="O200" s="2">
        <v>44040</v>
      </c>
      <c r="P200" s="9">
        <v>5600</v>
      </c>
    </row>
    <row r="201" spans="1:16" x14ac:dyDescent="0.25">
      <c r="A201" t="s">
        <v>222</v>
      </c>
      <c r="B201" s="2">
        <v>44041</v>
      </c>
      <c r="C201">
        <v>2020</v>
      </c>
      <c r="D201" t="str">
        <f t="shared" si="6"/>
        <v>Jul</v>
      </c>
      <c r="E201" t="s">
        <v>13</v>
      </c>
      <c r="F201" t="s">
        <v>2038</v>
      </c>
      <c r="G201" t="s">
        <v>22</v>
      </c>
      <c r="H201" t="s">
        <v>24</v>
      </c>
      <c r="I201">
        <v>3</v>
      </c>
      <c r="J201" s="9">
        <v>10900</v>
      </c>
      <c r="K201" s="7">
        <v>0.25</v>
      </c>
      <c r="L201" s="9">
        <v>8175</v>
      </c>
      <c r="M201" s="10">
        <f>Sales_Data3[[#This Row],[Profit]]/Sales_Data3[[#This Row],[Sales]]</f>
        <v>0.75</v>
      </c>
      <c r="N201" t="str">
        <f t="shared" si="7"/>
        <v>High</v>
      </c>
      <c r="O201" s="2">
        <v>44041</v>
      </c>
      <c r="P201" s="9">
        <v>10900</v>
      </c>
    </row>
    <row r="202" spans="1:16" x14ac:dyDescent="0.25">
      <c r="A202" t="s">
        <v>223</v>
      </c>
      <c r="B202" s="2">
        <v>44042</v>
      </c>
      <c r="C202">
        <v>2020</v>
      </c>
      <c r="D202" t="str">
        <f t="shared" si="6"/>
        <v>Jul</v>
      </c>
      <c r="E202" t="s">
        <v>14</v>
      </c>
      <c r="F202" t="s">
        <v>2039</v>
      </c>
      <c r="G202" t="s">
        <v>19</v>
      </c>
      <c r="H202" t="s">
        <v>25</v>
      </c>
      <c r="I202">
        <v>2</v>
      </c>
      <c r="J202" s="9">
        <v>8600</v>
      </c>
      <c r="K202" s="7">
        <v>0.05</v>
      </c>
      <c r="L202" s="9">
        <v>8170</v>
      </c>
      <c r="M202" s="10">
        <f>Sales_Data3[[#This Row],[Profit]]/Sales_Data3[[#This Row],[Sales]]</f>
        <v>0.95</v>
      </c>
      <c r="N202" t="str">
        <f t="shared" si="7"/>
        <v>Medium</v>
      </c>
      <c r="O202" s="2">
        <v>44042</v>
      </c>
      <c r="P202" s="9">
        <v>8600</v>
      </c>
    </row>
    <row r="203" spans="1:16" x14ac:dyDescent="0.25">
      <c r="A203" t="s">
        <v>224</v>
      </c>
      <c r="B203" s="2">
        <v>44043</v>
      </c>
      <c r="C203">
        <v>2020</v>
      </c>
      <c r="D203" t="str">
        <f t="shared" si="6"/>
        <v>Jul</v>
      </c>
      <c r="E203" t="s">
        <v>14</v>
      </c>
      <c r="F203" t="s">
        <v>2040</v>
      </c>
      <c r="G203" t="s">
        <v>20</v>
      </c>
      <c r="H203" t="s">
        <v>25</v>
      </c>
      <c r="I203">
        <v>2</v>
      </c>
      <c r="J203" s="9">
        <v>9400</v>
      </c>
      <c r="K203" s="7">
        <v>0.1</v>
      </c>
      <c r="L203" s="9">
        <v>8460</v>
      </c>
      <c r="M203" s="10">
        <f>Sales_Data3[[#This Row],[Profit]]/Sales_Data3[[#This Row],[Sales]]</f>
        <v>0.9</v>
      </c>
      <c r="N203" t="str">
        <f t="shared" si="7"/>
        <v>Medium</v>
      </c>
      <c r="O203" s="2">
        <v>44043</v>
      </c>
      <c r="P203" s="9">
        <v>9400</v>
      </c>
    </row>
    <row r="204" spans="1:16" x14ac:dyDescent="0.25">
      <c r="A204" t="s">
        <v>225</v>
      </c>
      <c r="B204" s="2">
        <v>44044</v>
      </c>
      <c r="C204">
        <v>2020</v>
      </c>
      <c r="D204" t="str">
        <f t="shared" si="6"/>
        <v>Aug</v>
      </c>
      <c r="E204" t="s">
        <v>14</v>
      </c>
      <c r="F204" t="s">
        <v>2041</v>
      </c>
      <c r="G204" t="s">
        <v>21</v>
      </c>
      <c r="H204" t="s">
        <v>25</v>
      </c>
      <c r="I204">
        <v>4</v>
      </c>
      <c r="J204" s="9">
        <v>11800</v>
      </c>
      <c r="K204" s="7">
        <v>0.15000000000000002</v>
      </c>
      <c r="L204" s="9">
        <v>10030</v>
      </c>
      <c r="M204" s="10">
        <f>Sales_Data3[[#This Row],[Profit]]/Sales_Data3[[#This Row],[Sales]]</f>
        <v>0.85</v>
      </c>
      <c r="N204" t="str">
        <f t="shared" si="7"/>
        <v>High</v>
      </c>
      <c r="O204" s="2">
        <v>44044</v>
      </c>
      <c r="P204" s="9">
        <v>11800</v>
      </c>
    </row>
    <row r="205" spans="1:16" x14ac:dyDescent="0.25">
      <c r="A205" t="s">
        <v>226</v>
      </c>
      <c r="B205" s="2">
        <v>44045</v>
      </c>
      <c r="C205">
        <v>2020</v>
      </c>
      <c r="D205" t="str">
        <f t="shared" si="6"/>
        <v>Aug</v>
      </c>
      <c r="E205" t="s">
        <v>14</v>
      </c>
      <c r="F205" t="s">
        <v>2042</v>
      </c>
      <c r="G205" t="s">
        <v>22</v>
      </c>
      <c r="H205" t="s">
        <v>25</v>
      </c>
      <c r="I205">
        <v>1</v>
      </c>
      <c r="J205" s="9">
        <v>10800</v>
      </c>
      <c r="K205" s="7">
        <v>0.2</v>
      </c>
      <c r="L205" s="9">
        <v>8640</v>
      </c>
      <c r="M205" s="10">
        <f>Sales_Data3[[#This Row],[Profit]]/Sales_Data3[[#This Row],[Sales]]</f>
        <v>0.8</v>
      </c>
      <c r="N205" t="str">
        <f t="shared" si="7"/>
        <v>High</v>
      </c>
      <c r="O205" s="2">
        <v>44045</v>
      </c>
      <c r="P205" s="9">
        <v>10800</v>
      </c>
    </row>
    <row r="206" spans="1:16" x14ac:dyDescent="0.25">
      <c r="A206" t="s">
        <v>227</v>
      </c>
      <c r="B206" s="2">
        <v>44046</v>
      </c>
      <c r="C206">
        <v>2020</v>
      </c>
      <c r="D206" t="str">
        <f t="shared" si="6"/>
        <v>Aug</v>
      </c>
      <c r="E206" t="s">
        <v>14</v>
      </c>
      <c r="F206" t="s">
        <v>2043</v>
      </c>
      <c r="G206" t="s">
        <v>19</v>
      </c>
      <c r="H206" t="s">
        <v>25</v>
      </c>
      <c r="I206">
        <v>7</v>
      </c>
      <c r="J206" s="9">
        <v>6500</v>
      </c>
      <c r="K206" s="7">
        <v>0.25</v>
      </c>
      <c r="L206" s="9">
        <v>4875</v>
      </c>
      <c r="M206" s="10">
        <f>Sales_Data3[[#This Row],[Profit]]/Sales_Data3[[#This Row],[Sales]]</f>
        <v>0.75</v>
      </c>
      <c r="N206" t="str">
        <f t="shared" si="7"/>
        <v>Medium</v>
      </c>
      <c r="O206" s="2">
        <v>44046</v>
      </c>
      <c r="P206" s="9">
        <v>6500</v>
      </c>
    </row>
    <row r="207" spans="1:16" x14ac:dyDescent="0.25">
      <c r="A207" t="s">
        <v>228</v>
      </c>
      <c r="B207" s="2">
        <v>44047</v>
      </c>
      <c r="C207">
        <v>2020</v>
      </c>
      <c r="D207" t="str">
        <f t="shared" si="6"/>
        <v>Aug</v>
      </c>
      <c r="E207" t="s">
        <v>14</v>
      </c>
      <c r="F207" t="s">
        <v>2044</v>
      </c>
      <c r="G207" t="s">
        <v>20</v>
      </c>
      <c r="H207" t="s">
        <v>25</v>
      </c>
      <c r="I207">
        <v>4</v>
      </c>
      <c r="J207" s="9">
        <v>5000</v>
      </c>
      <c r="K207" s="7">
        <v>0.05</v>
      </c>
      <c r="L207" s="9">
        <v>4750</v>
      </c>
      <c r="M207" s="10">
        <f>Sales_Data3[[#This Row],[Profit]]/Sales_Data3[[#This Row],[Sales]]</f>
        <v>0.95</v>
      </c>
      <c r="N207" t="str">
        <f t="shared" si="7"/>
        <v>Low</v>
      </c>
      <c r="O207" s="2">
        <v>44047</v>
      </c>
      <c r="P207" s="9">
        <v>5000</v>
      </c>
    </row>
    <row r="208" spans="1:16" x14ac:dyDescent="0.25">
      <c r="A208" t="s">
        <v>229</v>
      </c>
      <c r="B208" s="2">
        <v>44048</v>
      </c>
      <c r="C208">
        <v>2020</v>
      </c>
      <c r="D208" t="str">
        <f t="shared" si="6"/>
        <v>Aug</v>
      </c>
      <c r="E208" t="s">
        <v>14</v>
      </c>
      <c r="F208" t="s">
        <v>2045</v>
      </c>
      <c r="G208" t="s">
        <v>21</v>
      </c>
      <c r="H208" t="s">
        <v>25</v>
      </c>
      <c r="I208">
        <v>2</v>
      </c>
      <c r="J208" s="9">
        <v>4300</v>
      </c>
      <c r="K208" s="7">
        <v>0.1</v>
      </c>
      <c r="L208" s="9">
        <v>3870</v>
      </c>
      <c r="M208" s="10">
        <f>Sales_Data3[[#This Row],[Profit]]/Sales_Data3[[#This Row],[Sales]]</f>
        <v>0.9</v>
      </c>
      <c r="N208" t="str">
        <f t="shared" si="7"/>
        <v>Low</v>
      </c>
      <c r="O208" s="2">
        <v>44048</v>
      </c>
      <c r="P208" s="9">
        <v>4300</v>
      </c>
    </row>
    <row r="209" spans="1:16" x14ac:dyDescent="0.25">
      <c r="A209" t="s">
        <v>230</v>
      </c>
      <c r="B209" s="2">
        <v>44049</v>
      </c>
      <c r="C209">
        <v>2020</v>
      </c>
      <c r="D209" t="str">
        <f t="shared" si="6"/>
        <v>Aug</v>
      </c>
      <c r="E209" t="s">
        <v>14</v>
      </c>
      <c r="F209" t="s">
        <v>2046</v>
      </c>
      <c r="G209" t="s">
        <v>22</v>
      </c>
      <c r="H209" t="s">
        <v>25</v>
      </c>
      <c r="I209">
        <v>4</v>
      </c>
      <c r="J209" s="9">
        <v>11700</v>
      </c>
      <c r="K209" s="7">
        <v>0.15000000000000002</v>
      </c>
      <c r="L209" s="9">
        <v>9945</v>
      </c>
      <c r="M209" s="10">
        <f>Sales_Data3[[#This Row],[Profit]]/Sales_Data3[[#This Row],[Sales]]</f>
        <v>0.85</v>
      </c>
      <c r="N209" t="str">
        <f t="shared" si="7"/>
        <v>High</v>
      </c>
      <c r="O209" s="2">
        <v>44049</v>
      </c>
      <c r="P209" s="9">
        <v>11700</v>
      </c>
    </row>
    <row r="210" spans="1:16" x14ac:dyDescent="0.25">
      <c r="A210" t="s">
        <v>231</v>
      </c>
      <c r="B210" s="2">
        <v>44050</v>
      </c>
      <c r="C210">
        <v>2020</v>
      </c>
      <c r="D210" t="str">
        <f t="shared" si="6"/>
        <v>Aug</v>
      </c>
      <c r="E210" t="s">
        <v>14</v>
      </c>
      <c r="F210" t="s">
        <v>2047</v>
      </c>
      <c r="G210" t="s">
        <v>19</v>
      </c>
      <c r="H210" t="s">
        <v>25</v>
      </c>
      <c r="I210">
        <v>10</v>
      </c>
      <c r="J210" s="9">
        <v>10600</v>
      </c>
      <c r="K210" s="7">
        <v>0.2</v>
      </c>
      <c r="L210" s="9">
        <v>8480</v>
      </c>
      <c r="M210" s="10">
        <f>Sales_Data3[[#This Row],[Profit]]/Sales_Data3[[#This Row],[Sales]]</f>
        <v>0.8</v>
      </c>
      <c r="N210" t="str">
        <f t="shared" si="7"/>
        <v>High</v>
      </c>
      <c r="O210" s="2">
        <v>44050</v>
      </c>
      <c r="P210" s="9">
        <v>10600</v>
      </c>
    </row>
    <row r="211" spans="1:16" x14ac:dyDescent="0.25">
      <c r="A211" t="s">
        <v>232</v>
      </c>
      <c r="B211" s="2">
        <v>44051</v>
      </c>
      <c r="C211">
        <v>2020</v>
      </c>
      <c r="D211" t="str">
        <f t="shared" si="6"/>
        <v>Aug</v>
      </c>
      <c r="E211" t="s">
        <v>14</v>
      </c>
      <c r="F211" t="s">
        <v>2048</v>
      </c>
      <c r="G211" t="s">
        <v>20</v>
      </c>
      <c r="H211" t="s">
        <v>25</v>
      </c>
      <c r="I211">
        <v>4</v>
      </c>
      <c r="J211" s="9">
        <v>14500</v>
      </c>
      <c r="K211" s="7">
        <v>0.25</v>
      </c>
      <c r="L211" s="9">
        <v>10875</v>
      </c>
      <c r="M211" s="10">
        <f>Sales_Data3[[#This Row],[Profit]]/Sales_Data3[[#This Row],[Sales]]</f>
        <v>0.75</v>
      </c>
      <c r="N211" t="str">
        <f t="shared" si="7"/>
        <v>High</v>
      </c>
      <c r="O211" s="2">
        <v>44051</v>
      </c>
      <c r="P211" s="9">
        <v>14500</v>
      </c>
    </row>
    <row r="212" spans="1:16" x14ac:dyDescent="0.25">
      <c r="A212" t="s">
        <v>233</v>
      </c>
      <c r="B212" s="2">
        <v>44052</v>
      </c>
      <c r="C212">
        <v>2020</v>
      </c>
      <c r="D212" t="str">
        <f t="shared" si="6"/>
        <v>Aug</v>
      </c>
      <c r="E212" t="s">
        <v>12</v>
      </c>
      <c r="F212" t="s">
        <v>15</v>
      </c>
      <c r="G212" t="s">
        <v>21</v>
      </c>
      <c r="H212" t="s">
        <v>23</v>
      </c>
      <c r="I212">
        <v>9</v>
      </c>
      <c r="J212" s="9">
        <v>14600</v>
      </c>
      <c r="K212" s="7">
        <v>0.05</v>
      </c>
      <c r="L212" s="9">
        <v>13870</v>
      </c>
      <c r="M212" s="10">
        <f>Sales_Data3[[#This Row],[Profit]]/Sales_Data3[[#This Row],[Sales]]</f>
        <v>0.95</v>
      </c>
      <c r="N212" t="str">
        <f t="shared" si="7"/>
        <v>High</v>
      </c>
      <c r="O212" s="2">
        <v>44052</v>
      </c>
      <c r="P212" s="9">
        <v>14600</v>
      </c>
    </row>
    <row r="213" spans="1:16" x14ac:dyDescent="0.25">
      <c r="A213" t="s">
        <v>234</v>
      </c>
      <c r="B213" s="2">
        <v>44053</v>
      </c>
      <c r="C213">
        <v>2020</v>
      </c>
      <c r="D213" t="str">
        <f t="shared" si="6"/>
        <v>Aug</v>
      </c>
      <c r="E213" t="s">
        <v>12</v>
      </c>
      <c r="F213" t="s">
        <v>17</v>
      </c>
      <c r="G213" t="s">
        <v>22</v>
      </c>
      <c r="H213" t="s">
        <v>23</v>
      </c>
      <c r="I213">
        <v>2</v>
      </c>
      <c r="J213" s="9">
        <v>11700</v>
      </c>
      <c r="K213" s="7">
        <v>0.1</v>
      </c>
      <c r="L213" s="9">
        <v>10530</v>
      </c>
      <c r="M213" s="10">
        <f>Sales_Data3[[#This Row],[Profit]]/Sales_Data3[[#This Row],[Sales]]</f>
        <v>0.9</v>
      </c>
      <c r="N213" t="str">
        <f t="shared" si="7"/>
        <v>High</v>
      </c>
      <c r="O213" s="2">
        <v>44053</v>
      </c>
      <c r="P213" s="9">
        <v>11700</v>
      </c>
    </row>
    <row r="214" spans="1:16" x14ac:dyDescent="0.25">
      <c r="A214" t="s">
        <v>235</v>
      </c>
      <c r="B214" s="2">
        <v>44054</v>
      </c>
      <c r="C214">
        <v>2020</v>
      </c>
      <c r="D214" t="str">
        <f t="shared" si="6"/>
        <v>Aug</v>
      </c>
      <c r="E214" t="s">
        <v>12</v>
      </c>
      <c r="F214" t="s">
        <v>2023</v>
      </c>
      <c r="G214" t="s">
        <v>19</v>
      </c>
      <c r="H214" t="s">
        <v>23</v>
      </c>
      <c r="I214">
        <v>3</v>
      </c>
      <c r="J214" s="9">
        <v>11000</v>
      </c>
      <c r="K214" s="7">
        <v>0.15000000000000002</v>
      </c>
      <c r="L214" s="9">
        <v>9350</v>
      </c>
      <c r="M214" s="10">
        <f>Sales_Data3[[#This Row],[Profit]]/Sales_Data3[[#This Row],[Sales]]</f>
        <v>0.85</v>
      </c>
      <c r="N214" t="str">
        <f t="shared" si="7"/>
        <v>High</v>
      </c>
      <c r="O214" s="2">
        <v>44054</v>
      </c>
      <c r="P214" s="9">
        <v>11000</v>
      </c>
    </row>
    <row r="215" spans="1:16" x14ac:dyDescent="0.25">
      <c r="A215" t="s">
        <v>236</v>
      </c>
      <c r="B215" s="2">
        <v>44055</v>
      </c>
      <c r="C215">
        <v>2020</v>
      </c>
      <c r="D215" t="str">
        <f t="shared" si="6"/>
        <v>Aug</v>
      </c>
      <c r="E215" t="s">
        <v>12</v>
      </c>
      <c r="F215" t="s">
        <v>18</v>
      </c>
      <c r="G215" t="s">
        <v>20</v>
      </c>
      <c r="H215" t="s">
        <v>23</v>
      </c>
      <c r="I215">
        <v>9</v>
      </c>
      <c r="J215" s="9">
        <v>6700</v>
      </c>
      <c r="K215" s="7">
        <v>0.2</v>
      </c>
      <c r="L215" s="9">
        <v>5360</v>
      </c>
      <c r="M215" s="10">
        <f>Sales_Data3[[#This Row],[Profit]]/Sales_Data3[[#This Row],[Sales]]</f>
        <v>0.8</v>
      </c>
      <c r="N215" t="str">
        <f t="shared" si="7"/>
        <v>Medium</v>
      </c>
      <c r="O215" s="2">
        <v>44055</v>
      </c>
      <c r="P215" s="9">
        <v>6700</v>
      </c>
    </row>
    <row r="216" spans="1:16" x14ac:dyDescent="0.25">
      <c r="A216" t="s">
        <v>237</v>
      </c>
      <c r="B216" s="2">
        <v>44056</v>
      </c>
      <c r="C216">
        <v>2020</v>
      </c>
      <c r="D216" t="str">
        <f t="shared" si="6"/>
        <v>Aug</v>
      </c>
      <c r="E216" t="s">
        <v>12</v>
      </c>
      <c r="F216" t="s">
        <v>2024</v>
      </c>
      <c r="G216" t="s">
        <v>21</v>
      </c>
      <c r="H216" t="s">
        <v>23</v>
      </c>
      <c r="I216">
        <v>2</v>
      </c>
      <c r="J216" s="9">
        <v>10600</v>
      </c>
      <c r="K216" s="7">
        <v>0.25</v>
      </c>
      <c r="L216" s="9">
        <v>7950</v>
      </c>
      <c r="M216" s="10">
        <f>Sales_Data3[[#This Row],[Profit]]/Sales_Data3[[#This Row],[Sales]]</f>
        <v>0.75</v>
      </c>
      <c r="N216" t="str">
        <f t="shared" si="7"/>
        <v>High</v>
      </c>
      <c r="O216" s="2">
        <v>44056</v>
      </c>
      <c r="P216" s="9">
        <v>10600</v>
      </c>
    </row>
    <row r="217" spans="1:16" x14ac:dyDescent="0.25">
      <c r="A217" t="s">
        <v>238</v>
      </c>
      <c r="B217" s="2">
        <v>44057</v>
      </c>
      <c r="C217">
        <v>2020</v>
      </c>
      <c r="D217" t="str">
        <f t="shared" si="6"/>
        <v>Aug</v>
      </c>
      <c r="E217" t="s">
        <v>12</v>
      </c>
      <c r="F217" t="s">
        <v>2025</v>
      </c>
      <c r="G217" t="s">
        <v>22</v>
      </c>
      <c r="H217" t="s">
        <v>23</v>
      </c>
      <c r="I217">
        <v>1</v>
      </c>
      <c r="J217" s="9">
        <v>11300</v>
      </c>
      <c r="K217" s="7">
        <v>0.05</v>
      </c>
      <c r="L217" s="9">
        <v>10735</v>
      </c>
      <c r="M217" s="10">
        <f>Sales_Data3[[#This Row],[Profit]]/Sales_Data3[[#This Row],[Sales]]</f>
        <v>0.95</v>
      </c>
      <c r="N217" t="str">
        <f t="shared" si="7"/>
        <v>High</v>
      </c>
      <c r="O217" s="2">
        <v>44057</v>
      </c>
      <c r="P217" s="9">
        <v>11300</v>
      </c>
    </row>
    <row r="218" spans="1:16" x14ac:dyDescent="0.25">
      <c r="A218" t="s">
        <v>239</v>
      </c>
      <c r="B218" s="2">
        <v>44058</v>
      </c>
      <c r="C218">
        <v>2020</v>
      </c>
      <c r="D218" t="str">
        <f t="shared" si="6"/>
        <v>Aug</v>
      </c>
      <c r="E218" t="s">
        <v>12</v>
      </c>
      <c r="F218" t="s">
        <v>2026</v>
      </c>
      <c r="G218" t="s">
        <v>19</v>
      </c>
      <c r="H218" t="s">
        <v>23</v>
      </c>
      <c r="I218">
        <v>4</v>
      </c>
      <c r="J218" s="9">
        <v>6400</v>
      </c>
      <c r="K218" s="7">
        <v>0.1</v>
      </c>
      <c r="L218" s="9">
        <v>5760</v>
      </c>
      <c r="M218" s="10">
        <f>Sales_Data3[[#This Row],[Profit]]/Sales_Data3[[#This Row],[Sales]]</f>
        <v>0.9</v>
      </c>
      <c r="N218" t="str">
        <f t="shared" si="7"/>
        <v>Medium</v>
      </c>
      <c r="O218" s="2">
        <v>44058</v>
      </c>
      <c r="P218" s="9">
        <v>6400</v>
      </c>
    </row>
    <row r="219" spans="1:16" x14ac:dyDescent="0.25">
      <c r="A219" t="s">
        <v>240</v>
      </c>
      <c r="B219" s="2">
        <v>44059</v>
      </c>
      <c r="C219">
        <v>2020</v>
      </c>
      <c r="D219" t="str">
        <f t="shared" si="6"/>
        <v>Aug</v>
      </c>
      <c r="E219" t="s">
        <v>12</v>
      </c>
      <c r="F219" t="s">
        <v>2027</v>
      </c>
      <c r="G219" t="s">
        <v>20</v>
      </c>
      <c r="H219" t="s">
        <v>23</v>
      </c>
      <c r="I219">
        <v>2</v>
      </c>
      <c r="J219" s="9">
        <v>6600</v>
      </c>
      <c r="K219" s="7">
        <v>0.15000000000000002</v>
      </c>
      <c r="L219" s="9">
        <v>5610</v>
      </c>
      <c r="M219" s="10">
        <f>Sales_Data3[[#This Row],[Profit]]/Sales_Data3[[#This Row],[Sales]]</f>
        <v>0.85</v>
      </c>
      <c r="N219" t="str">
        <f t="shared" si="7"/>
        <v>Medium</v>
      </c>
      <c r="O219" s="2">
        <v>44059</v>
      </c>
      <c r="P219" s="9">
        <v>6600</v>
      </c>
    </row>
    <row r="220" spans="1:16" x14ac:dyDescent="0.25">
      <c r="A220" t="s">
        <v>241</v>
      </c>
      <c r="B220" s="2">
        <v>44060</v>
      </c>
      <c r="C220">
        <v>2020</v>
      </c>
      <c r="D220" t="str">
        <f t="shared" si="6"/>
        <v>Aug</v>
      </c>
      <c r="E220" t="s">
        <v>12</v>
      </c>
      <c r="F220" t="s">
        <v>2028</v>
      </c>
      <c r="G220" t="s">
        <v>21</v>
      </c>
      <c r="H220" t="s">
        <v>23</v>
      </c>
      <c r="I220">
        <v>5</v>
      </c>
      <c r="J220" s="9">
        <v>11700</v>
      </c>
      <c r="K220" s="7">
        <v>0.2</v>
      </c>
      <c r="L220" s="9">
        <v>9360</v>
      </c>
      <c r="M220" s="10">
        <f>Sales_Data3[[#This Row],[Profit]]/Sales_Data3[[#This Row],[Sales]]</f>
        <v>0.8</v>
      </c>
      <c r="N220" t="str">
        <f t="shared" si="7"/>
        <v>High</v>
      </c>
      <c r="O220" s="2">
        <v>44060</v>
      </c>
      <c r="P220" s="9">
        <v>11700</v>
      </c>
    </row>
    <row r="221" spans="1:16" x14ac:dyDescent="0.25">
      <c r="A221" t="s">
        <v>242</v>
      </c>
      <c r="B221" s="2">
        <v>44061</v>
      </c>
      <c r="C221">
        <v>2020</v>
      </c>
      <c r="D221" t="str">
        <f t="shared" si="6"/>
        <v>Aug</v>
      </c>
      <c r="E221" t="s">
        <v>12</v>
      </c>
      <c r="F221" t="s">
        <v>2029</v>
      </c>
      <c r="G221" t="s">
        <v>22</v>
      </c>
      <c r="H221" t="s">
        <v>23</v>
      </c>
      <c r="I221">
        <v>6</v>
      </c>
      <c r="J221" s="9">
        <v>13300</v>
      </c>
      <c r="K221" s="7">
        <v>0.25</v>
      </c>
      <c r="L221" s="9">
        <v>9975</v>
      </c>
      <c r="M221" s="10">
        <f>Sales_Data3[[#This Row],[Profit]]/Sales_Data3[[#This Row],[Sales]]</f>
        <v>0.75</v>
      </c>
      <c r="N221" t="str">
        <f t="shared" si="7"/>
        <v>High</v>
      </c>
      <c r="O221" s="2">
        <v>44061</v>
      </c>
      <c r="P221" s="9">
        <v>13300</v>
      </c>
    </row>
    <row r="222" spans="1:16" x14ac:dyDescent="0.25">
      <c r="A222" t="s">
        <v>243</v>
      </c>
      <c r="B222" s="2">
        <v>44062</v>
      </c>
      <c r="C222">
        <v>2020</v>
      </c>
      <c r="D222" t="str">
        <f t="shared" si="6"/>
        <v>Aug</v>
      </c>
      <c r="E222" t="s">
        <v>13</v>
      </c>
      <c r="F222" t="s">
        <v>16</v>
      </c>
      <c r="G222" t="s">
        <v>19</v>
      </c>
      <c r="H222" t="s">
        <v>24</v>
      </c>
      <c r="I222">
        <v>6</v>
      </c>
      <c r="J222" s="9">
        <v>9100</v>
      </c>
      <c r="K222" s="7">
        <v>0.05</v>
      </c>
      <c r="L222" s="9">
        <v>8645</v>
      </c>
      <c r="M222" s="10">
        <f>Sales_Data3[[#This Row],[Profit]]/Sales_Data3[[#This Row],[Sales]]</f>
        <v>0.95</v>
      </c>
      <c r="N222" t="str">
        <f t="shared" si="7"/>
        <v>Medium</v>
      </c>
      <c r="O222" s="2">
        <v>44062</v>
      </c>
      <c r="P222" s="9">
        <v>9100</v>
      </c>
    </row>
    <row r="223" spans="1:16" x14ac:dyDescent="0.25">
      <c r="A223" t="s">
        <v>244</v>
      </c>
      <c r="B223" s="2">
        <v>44063</v>
      </c>
      <c r="C223">
        <v>2020</v>
      </c>
      <c r="D223" t="str">
        <f t="shared" si="6"/>
        <v>Aug</v>
      </c>
      <c r="E223" t="s">
        <v>13</v>
      </c>
      <c r="F223" t="s">
        <v>2030</v>
      </c>
      <c r="G223" t="s">
        <v>20</v>
      </c>
      <c r="H223" t="s">
        <v>24</v>
      </c>
      <c r="I223">
        <v>1</v>
      </c>
      <c r="J223" s="9">
        <v>10100</v>
      </c>
      <c r="K223" s="7">
        <v>0.1</v>
      </c>
      <c r="L223" s="9">
        <v>9090</v>
      </c>
      <c r="M223" s="10">
        <f>Sales_Data3[[#This Row],[Profit]]/Sales_Data3[[#This Row],[Sales]]</f>
        <v>0.9</v>
      </c>
      <c r="N223" t="str">
        <f t="shared" si="7"/>
        <v>High</v>
      </c>
      <c r="O223" s="2">
        <v>44063</v>
      </c>
      <c r="P223" s="9">
        <v>10100</v>
      </c>
    </row>
    <row r="224" spans="1:16" x14ac:dyDescent="0.25">
      <c r="A224" t="s">
        <v>245</v>
      </c>
      <c r="B224" s="2">
        <v>44064</v>
      </c>
      <c r="C224">
        <v>2020</v>
      </c>
      <c r="D224" t="str">
        <f t="shared" si="6"/>
        <v>Aug</v>
      </c>
      <c r="E224" t="s">
        <v>13</v>
      </c>
      <c r="F224" t="s">
        <v>2031</v>
      </c>
      <c r="G224" t="s">
        <v>21</v>
      </c>
      <c r="H224" t="s">
        <v>24</v>
      </c>
      <c r="I224">
        <v>5</v>
      </c>
      <c r="J224" s="9">
        <v>4200</v>
      </c>
      <c r="K224" s="7">
        <v>0.15000000000000002</v>
      </c>
      <c r="L224" s="9">
        <v>3570</v>
      </c>
      <c r="M224" s="10">
        <f>Sales_Data3[[#This Row],[Profit]]/Sales_Data3[[#This Row],[Sales]]</f>
        <v>0.85</v>
      </c>
      <c r="N224" t="str">
        <f t="shared" si="7"/>
        <v>Low</v>
      </c>
      <c r="O224" s="2">
        <v>44064</v>
      </c>
      <c r="P224" s="9">
        <v>4200</v>
      </c>
    </row>
    <row r="225" spans="1:16" x14ac:dyDescent="0.25">
      <c r="A225" t="s">
        <v>246</v>
      </c>
      <c r="B225" s="2">
        <v>44065</v>
      </c>
      <c r="C225">
        <v>2020</v>
      </c>
      <c r="D225" t="str">
        <f t="shared" si="6"/>
        <v>Aug</v>
      </c>
      <c r="E225" t="s">
        <v>13</v>
      </c>
      <c r="F225" t="s">
        <v>2032</v>
      </c>
      <c r="G225" t="s">
        <v>22</v>
      </c>
      <c r="H225" t="s">
        <v>24</v>
      </c>
      <c r="I225">
        <v>1</v>
      </c>
      <c r="J225" s="9">
        <v>13000</v>
      </c>
      <c r="K225" s="7">
        <v>0.2</v>
      </c>
      <c r="L225" s="9">
        <v>10400</v>
      </c>
      <c r="M225" s="10">
        <f>Sales_Data3[[#This Row],[Profit]]/Sales_Data3[[#This Row],[Sales]]</f>
        <v>0.8</v>
      </c>
      <c r="N225" t="str">
        <f t="shared" si="7"/>
        <v>High</v>
      </c>
      <c r="O225" s="2">
        <v>44065</v>
      </c>
      <c r="P225" s="9">
        <v>13000</v>
      </c>
    </row>
    <row r="226" spans="1:16" x14ac:dyDescent="0.25">
      <c r="A226" t="s">
        <v>247</v>
      </c>
      <c r="B226" s="2">
        <v>44066</v>
      </c>
      <c r="C226">
        <v>2020</v>
      </c>
      <c r="D226" t="str">
        <f t="shared" si="6"/>
        <v>Aug</v>
      </c>
      <c r="E226" t="s">
        <v>13</v>
      </c>
      <c r="F226" t="s">
        <v>2033</v>
      </c>
      <c r="G226" t="s">
        <v>19</v>
      </c>
      <c r="H226" t="s">
        <v>24</v>
      </c>
      <c r="I226">
        <v>6</v>
      </c>
      <c r="J226" s="9">
        <v>11500</v>
      </c>
      <c r="K226" s="7">
        <v>0.25</v>
      </c>
      <c r="L226" s="9">
        <v>8625</v>
      </c>
      <c r="M226" s="10">
        <f>Sales_Data3[[#This Row],[Profit]]/Sales_Data3[[#This Row],[Sales]]</f>
        <v>0.75</v>
      </c>
      <c r="N226" t="str">
        <f t="shared" si="7"/>
        <v>High</v>
      </c>
      <c r="O226" s="2">
        <v>44066</v>
      </c>
      <c r="P226" s="9">
        <v>11500</v>
      </c>
    </row>
    <row r="227" spans="1:16" x14ac:dyDescent="0.25">
      <c r="A227" t="s">
        <v>248</v>
      </c>
      <c r="B227" s="2">
        <v>44067</v>
      </c>
      <c r="C227">
        <v>2020</v>
      </c>
      <c r="D227" t="str">
        <f t="shared" si="6"/>
        <v>Aug</v>
      </c>
      <c r="E227" t="s">
        <v>13</v>
      </c>
      <c r="F227" t="s">
        <v>2034</v>
      </c>
      <c r="G227" t="s">
        <v>20</v>
      </c>
      <c r="H227" t="s">
        <v>24</v>
      </c>
      <c r="I227">
        <v>4</v>
      </c>
      <c r="J227" s="9">
        <v>6700</v>
      </c>
      <c r="K227" s="7">
        <v>0.05</v>
      </c>
      <c r="L227" s="9">
        <v>6365</v>
      </c>
      <c r="M227" s="10">
        <f>Sales_Data3[[#This Row],[Profit]]/Sales_Data3[[#This Row],[Sales]]</f>
        <v>0.95</v>
      </c>
      <c r="N227" t="str">
        <f t="shared" si="7"/>
        <v>Medium</v>
      </c>
      <c r="O227" s="2">
        <v>44067</v>
      </c>
      <c r="P227" s="9">
        <v>6700</v>
      </c>
    </row>
    <row r="228" spans="1:16" x14ac:dyDescent="0.25">
      <c r="A228" t="s">
        <v>249</v>
      </c>
      <c r="B228" s="2">
        <v>44068</v>
      </c>
      <c r="C228">
        <v>2020</v>
      </c>
      <c r="D228" t="str">
        <f t="shared" si="6"/>
        <v>Aug</v>
      </c>
      <c r="E228" t="s">
        <v>13</v>
      </c>
      <c r="F228" t="s">
        <v>2035</v>
      </c>
      <c r="G228" t="s">
        <v>21</v>
      </c>
      <c r="H228" t="s">
        <v>24</v>
      </c>
      <c r="I228">
        <v>7</v>
      </c>
      <c r="J228" s="9">
        <v>8400</v>
      </c>
      <c r="K228" s="7">
        <v>0.1</v>
      </c>
      <c r="L228" s="9">
        <v>7560</v>
      </c>
      <c r="M228" s="10">
        <f>Sales_Data3[[#This Row],[Profit]]/Sales_Data3[[#This Row],[Sales]]</f>
        <v>0.9</v>
      </c>
      <c r="N228" t="str">
        <f t="shared" si="7"/>
        <v>Medium</v>
      </c>
      <c r="O228" s="2">
        <v>44068</v>
      </c>
      <c r="P228" s="9">
        <v>8400</v>
      </c>
    </row>
    <row r="229" spans="1:16" x14ac:dyDescent="0.25">
      <c r="A229" t="s">
        <v>250</v>
      </c>
      <c r="B229" s="2">
        <v>44069</v>
      </c>
      <c r="C229">
        <v>2020</v>
      </c>
      <c r="D229" t="str">
        <f t="shared" si="6"/>
        <v>Aug</v>
      </c>
      <c r="E229" t="s">
        <v>13</v>
      </c>
      <c r="F229" t="s">
        <v>2036</v>
      </c>
      <c r="G229" t="s">
        <v>22</v>
      </c>
      <c r="H229" t="s">
        <v>24</v>
      </c>
      <c r="I229">
        <v>10</v>
      </c>
      <c r="J229" s="9">
        <v>12400</v>
      </c>
      <c r="K229" s="7">
        <v>0.15000000000000002</v>
      </c>
      <c r="L229" s="9">
        <v>10540</v>
      </c>
      <c r="M229" s="10">
        <f>Sales_Data3[[#This Row],[Profit]]/Sales_Data3[[#This Row],[Sales]]</f>
        <v>0.85</v>
      </c>
      <c r="N229" t="str">
        <f t="shared" si="7"/>
        <v>High</v>
      </c>
      <c r="O229" s="2">
        <v>44069</v>
      </c>
      <c r="P229" s="9">
        <v>12400</v>
      </c>
    </row>
    <row r="230" spans="1:16" x14ac:dyDescent="0.25">
      <c r="A230" t="s">
        <v>251</v>
      </c>
      <c r="B230" s="2">
        <v>44070</v>
      </c>
      <c r="C230">
        <v>2020</v>
      </c>
      <c r="D230" t="str">
        <f t="shared" si="6"/>
        <v>Aug</v>
      </c>
      <c r="E230" t="s">
        <v>13</v>
      </c>
      <c r="F230" t="s">
        <v>2037</v>
      </c>
      <c r="G230" t="s">
        <v>19</v>
      </c>
      <c r="H230" t="s">
        <v>24</v>
      </c>
      <c r="I230">
        <v>10</v>
      </c>
      <c r="J230" s="9">
        <v>12300</v>
      </c>
      <c r="K230" s="7">
        <v>0.2</v>
      </c>
      <c r="L230" s="9">
        <v>9840</v>
      </c>
      <c r="M230" s="10">
        <f>Sales_Data3[[#This Row],[Profit]]/Sales_Data3[[#This Row],[Sales]]</f>
        <v>0.8</v>
      </c>
      <c r="N230" t="str">
        <f t="shared" si="7"/>
        <v>High</v>
      </c>
      <c r="O230" s="2">
        <v>44070</v>
      </c>
      <c r="P230" s="9">
        <v>12300</v>
      </c>
    </row>
    <row r="231" spans="1:16" x14ac:dyDescent="0.25">
      <c r="A231" t="s">
        <v>252</v>
      </c>
      <c r="B231" s="2">
        <v>44071</v>
      </c>
      <c r="C231">
        <v>2020</v>
      </c>
      <c r="D231" t="str">
        <f t="shared" si="6"/>
        <v>Aug</v>
      </c>
      <c r="E231" t="s">
        <v>13</v>
      </c>
      <c r="F231" t="s">
        <v>2038</v>
      </c>
      <c r="G231" t="s">
        <v>20</v>
      </c>
      <c r="H231" t="s">
        <v>24</v>
      </c>
      <c r="I231">
        <v>4</v>
      </c>
      <c r="J231" s="9">
        <v>14500</v>
      </c>
      <c r="K231" s="7">
        <v>0.25</v>
      </c>
      <c r="L231" s="9">
        <v>10875</v>
      </c>
      <c r="M231" s="10">
        <f>Sales_Data3[[#This Row],[Profit]]/Sales_Data3[[#This Row],[Sales]]</f>
        <v>0.75</v>
      </c>
      <c r="N231" t="str">
        <f t="shared" si="7"/>
        <v>High</v>
      </c>
      <c r="O231" s="2">
        <v>44071</v>
      </c>
      <c r="P231" s="9">
        <v>14500</v>
      </c>
    </row>
    <row r="232" spans="1:16" x14ac:dyDescent="0.25">
      <c r="A232" t="s">
        <v>253</v>
      </c>
      <c r="B232" s="2">
        <v>44072</v>
      </c>
      <c r="C232">
        <v>2020</v>
      </c>
      <c r="D232" t="str">
        <f t="shared" si="6"/>
        <v>Aug</v>
      </c>
      <c r="E232" t="s">
        <v>14</v>
      </c>
      <c r="F232" t="s">
        <v>2039</v>
      </c>
      <c r="G232" t="s">
        <v>21</v>
      </c>
      <c r="H232" t="s">
        <v>25</v>
      </c>
      <c r="I232">
        <v>2</v>
      </c>
      <c r="J232" s="9">
        <v>9800</v>
      </c>
      <c r="K232" s="7">
        <v>0.05</v>
      </c>
      <c r="L232" s="9">
        <v>9310</v>
      </c>
      <c r="M232" s="10">
        <f>Sales_Data3[[#This Row],[Profit]]/Sales_Data3[[#This Row],[Sales]]</f>
        <v>0.95</v>
      </c>
      <c r="N232" t="str">
        <f t="shared" si="7"/>
        <v>Medium</v>
      </c>
      <c r="O232" s="2">
        <v>44072</v>
      </c>
      <c r="P232" s="9">
        <v>9800</v>
      </c>
    </row>
    <row r="233" spans="1:16" x14ac:dyDescent="0.25">
      <c r="A233" t="s">
        <v>254</v>
      </c>
      <c r="B233" s="2">
        <v>44073</v>
      </c>
      <c r="C233">
        <v>2020</v>
      </c>
      <c r="D233" t="str">
        <f t="shared" si="6"/>
        <v>Aug</v>
      </c>
      <c r="E233" t="s">
        <v>14</v>
      </c>
      <c r="F233" t="s">
        <v>2040</v>
      </c>
      <c r="G233" t="s">
        <v>22</v>
      </c>
      <c r="H233" t="s">
        <v>25</v>
      </c>
      <c r="I233">
        <v>4</v>
      </c>
      <c r="J233" s="9">
        <v>12200</v>
      </c>
      <c r="K233" s="7">
        <v>0.1</v>
      </c>
      <c r="L233" s="9">
        <v>10980</v>
      </c>
      <c r="M233" s="10">
        <f>Sales_Data3[[#This Row],[Profit]]/Sales_Data3[[#This Row],[Sales]]</f>
        <v>0.9</v>
      </c>
      <c r="N233" t="str">
        <f t="shared" si="7"/>
        <v>High</v>
      </c>
      <c r="O233" s="2">
        <v>44073</v>
      </c>
      <c r="P233" s="9">
        <v>12200</v>
      </c>
    </row>
    <row r="234" spans="1:16" x14ac:dyDescent="0.25">
      <c r="A234" t="s">
        <v>255</v>
      </c>
      <c r="B234" s="2">
        <v>44074</v>
      </c>
      <c r="C234">
        <v>2020</v>
      </c>
      <c r="D234" t="str">
        <f t="shared" si="6"/>
        <v>Aug</v>
      </c>
      <c r="E234" t="s">
        <v>14</v>
      </c>
      <c r="F234" t="s">
        <v>2041</v>
      </c>
      <c r="G234" t="s">
        <v>19</v>
      </c>
      <c r="H234" t="s">
        <v>25</v>
      </c>
      <c r="I234">
        <v>4</v>
      </c>
      <c r="J234" s="9">
        <v>4200</v>
      </c>
      <c r="K234" s="7">
        <v>0.15000000000000002</v>
      </c>
      <c r="L234" s="9">
        <v>3570</v>
      </c>
      <c r="M234" s="10">
        <f>Sales_Data3[[#This Row],[Profit]]/Sales_Data3[[#This Row],[Sales]]</f>
        <v>0.85</v>
      </c>
      <c r="N234" t="str">
        <f t="shared" si="7"/>
        <v>Low</v>
      </c>
      <c r="O234" s="2">
        <v>44074</v>
      </c>
      <c r="P234" s="9">
        <v>4200</v>
      </c>
    </row>
    <row r="235" spans="1:16" x14ac:dyDescent="0.25">
      <c r="A235" t="s">
        <v>256</v>
      </c>
      <c r="B235" s="2">
        <v>44075</v>
      </c>
      <c r="C235">
        <v>2020</v>
      </c>
      <c r="D235" t="str">
        <f t="shared" si="6"/>
        <v>Sep</v>
      </c>
      <c r="E235" t="s">
        <v>14</v>
      </c>
      <c r="F235" t="s">
        <v>2042</v>
      </c>
      <c r="G235" t="s">
        <v>20</v>
      </c>
      <c r="H235" t="s">
        <v>25</v>
      </c>
      <c r="I235">
        <v>7</v>
      </c>
      <c r="J235" s="9">
        <v>5800</v>
      </c>
      <c r="K235" s="7">
        <v>0.2</v>
      </c>
      <c r="L235" s="9">
        <v>4640</v>
      </c>
      <c r="M235" s="10">
        <f>Sales_Data3[[#This Row],[Profit]]/Sales_Data3[[#This Row],[Sales]]</f>
        <v>0.8</v>
      </c>
      <c r="N235" t="str">
        <f t="shared" si="7"/>
        <v>Medium</v>
      </c>
      <c r="O235" s="2">
        <v>44075</v>
      </c>
      <c r="P235" s="9">
        <v>5800</v>
      </c>
    </row>
    <row r="236" spans="1:16" x14ac:dyDescent="0.25">
      <c r="A236" t="s">
        <v>257</v>
      </c>
      <c r="B236" s="2">
        <v>44076</v>
      </c>
      <c r="C236">
        <v>2020</v>
      </c>
      <c r="D236" t="str">
        <f t="shared" si="6"/>
        <v>Sep</v>
      </c>
      <c r="E236" t="s">
        <v>14</v>
      </c>
      <c r="F236" t="s">
        <v>2043</v>
      </c>
      <c r="G236" t="s">
        <v>21</v>
      </c>
      <c r="H236" t="s">
        <v>25</v>
      </c>
      <c r="I236">
        <v>4</v>
      </c>
      <c r="J236" s="9">
        <v>6800</v>
      </c>
      <c r="K236" s="7">
        <v>0.25</v>
      </c>
      <c r="L236" s="9">
        <v>5100</v>
      </c>
      <c r="M236" s="10">
        <f>Sales_Data3[[#This Row],[Profit]]/Sales_Data3[[#This Row],[Sales]]</f>
        <v>0.75</v>
      </c>
      <c r="N236" t="str">
        <f t="shared" si="7"/>
        <v>Medium</v>
      </c>
      <c r="O236" s="2">
        <v>44076</v>
      </c>
      <c r="P236" s="9">
        <v>6800</v>
      </c>
    </row>
    <row r="237" spans="1:16" x14ac:dyDescent="0.25">
      <c r="A237" t="s">
        <v>258</v>
      </c>
      <c r="B237" s="2">
        <v>44077</v>
      </c>
      <c r="C237">
        <v>2020</v>
      </c>
      <c r="D237" t="str">
        <f t="shared" si="6"/>
        <v>Sep</v>
      </c>
      <c r="E237" t="s">
        <v>14</v>
      </c>
      <c r="F237" t="s">
        <v>2044</v>
      </c>
      <c r="G237" t="s">
        <v>22</v>
      </c>
      <c r="H237" t="s">
        <v>25</v>
      </c>
      <c r="I237">
        <v>10</v>
      </c>
      <c r="J237" s="9">
        <v>10300</v>
      </c>
      <c r="K237" s="7">
        <v>0.05</v>
      </c>
      <c r="L237" s="9">
        <v>9785</v>
      </c>
      <c r="M237" s="10">
        <f>Sales_Data3[[#This Row],[Profit]]/Sales_Data3[[#This Row],[Sales]]</f>
        <v>0.95</v>
      </c>
      <c r="N237" t="str">
        <f t="shared" si="7"/>
        <v>High</v>
      </c>
      <c r="O237" s="2">
        <v>44077</v>
      </c>
      <c r="P237" s="9">
        <v>10300</v>
      </c>
    </row>
    <row r="238" spans="1:16" x14ac:dyDescent="0.25">
      <c r="A238" t="s">
        <v>259</v>
      </c>
      <c r="B238" s="2">
        <v>44078</v>
      </c>
      <c r="C238">
        <v>2020</v>
      </c>
      <c r="D238" t="str">
        <f t="shared" si="6"/>
        <v>Sep</v>
      </c>
      <c r="E238" t="s">
        <v>14</v>
      </c>
      <c r="F238" t="s">
        <v>2045</v>
      </c>
      <c r="G238" t="s">
        <v>19</v>
      </c>
      <c r="H238" t="s">
        <v>25</v>
      </c>
      <c r="I238">
        <v>4</v>
      </c>
      <c r="J238" s="9">
        <v>10800</v>
      </c>
      <c r="K238" s="7">
        <v>0.1</v>
      </c>
      <c r="L238" s="9">
        <v>9720</v>
      </c>
      <c r="M238" s="10">
        <f>Sales_Data3[[#This Row],[Profit]]/Sales_Data3[[#This Row],[Sales]]</f>
        <v>0.9</v>
      </c>
      <c r="N238" t="str">
        <f t="shared" si="7"/>
        <v>High</v>
      </c>
      <c r="O238" s="2">
        <v>44078</v>
      </c>
      <c r="P238" s="9">
        <v>10800</v>
      </c>
    </row>
    <row r="239" spans="1:16" x14ac:dyDescent="0.25">
      <c r="A239" t="s">
        <v>260</v>
      </c>
      <c r="B239" s="2">
        <v>44079</v>
      </c>
      <c r="C239">
        <v>2020</v>
      </c>
      <c r="D239" t="str">
        <f t="shared" si="6"/>
        <v>Sep</v>
      </c>
      <c r="E239" t="s">
        <v>14</v>
      </c>
      <c r="F239" t="s">
        <v>2046</v>
      </c>
      <c r="G239" t="s">
        <v>20</v>
      </c>
      <c r="H239" t="s">
        <v>25</v>
      </c>
      <c r="I239">
        <v>4</v>
      </c>
      <c r="J239" s="9">
        <v>7500</v>
      </c>
      <c r="K239" s="7">
        <v>0.15000000000000002</v>
      </c>
      <c r="L239" s="9">
        <v>6375</v>
      </c>
      <c r="M239" s="10">
        <f>Sales_Data3[[#This Row],[Profit]]/Sales_Data3[[#This Row],[Sales]]</f>
        <v>0.85</v>
      </c>
      <c r="N239" t="str">
        <f t="shared" si="7"/>
        <v>Medium</v>
      </c>
      <c r="O239" s="2">
        <v>44079</v>
      </c>
      <c r="P239" s="9">
        <v>7500</v>
      </c>
    </row>
    <row r="240" spans="1:16" x14ac:dyDescent="0.25">
      <c r="A240" t="s">
        <v>261</v>
      </c>
      <c r="B240" s="2">
        <v>44080</v>
      </c>
      <c r="C240">
        <v>2020</v>
      </c>
      <c r="D240" t="str">
        <f t="shared" si="6"/>
        <v>Sep</v>
      </c>
      <c r="E240" t="s">
        <v>14</v>
      </c>
      <c r="F240" t="s">
        <v>2047</v>
      </c>
      <c r="G240" t="s">
        <v>21</v>
      </c>
      <c r="H240" t="s">
        <v>25</v>
      </c>
      <c r="I240">
        <v>8</v>
      </c>
      <c r="J240" s="9">
        <v>6800</v>
      </c>
      <c r="K240" s="7">
        <v>0.2</v>
      </c>
      <c r="L240" s="9">
        <v>5440</v>
      </c>
      <c r="M240" s="10">
        <f>Sales_Data3[[#This Row],[Profit]]/Sales_Data3[[#This Row],[Sales]]</f>
        <v>0.8</v>
      </c>
      <c r="N240" t="str">
        <f t="shared" si="7"/>
        <v>Medium</v>
      </c>
      <c r="O240" s="2">
        <v>44080</v>
      </c>
      <c r="P240" s="9">
        <v>6800</v>
      </c>
    </row>
    <row r="241" spans="1:16" x14ac:dyDescent="0.25">
      <c r="A241" t="s">
        <v>262</v>
      </c>
      <c r="B241" s="2">
        <v>44081</v>
      </c>
      <c r="C241">
        <v>2020</v>
      </c>
      <c r="D241" t="str">
        <f t="shared" si="6"/>
        <v>Sep</v>
      </c>
      <c r="E241" t="s">
        <v>14</v>
      </c>
      <c r="F241" t="s">
        <v>2048</v>
      </c>
      <c r="G241" t="s">
        <v>22</v>
      </c>
      <c r="H241" t="s">
        <v>25</v>
      </c>
      <c r="I241">
        <v>1</v>
      </c>
      <c r="J241" s="9">
        <v>4900</v>
      </c>
      <c r="K241" s="7">
        <v>0.25</v>
      </c>
      <c r="L241" s="9">
        <v>3675</v>
      </c>
      <c r="M241" s="10">
        <f>Sales_Data3[[#This Row],[Profit]]/Sales_Data3[[#This Row],[Sales]]</f>
        <v>0.75</v>
      </c>
      <c r="N241" t="str">
        <f t="shared" si="7"/>
        <v>Low</v>
      </c>
      <c r="O241" s="2">
        <v>44081</v>
      </c>
      <c r="P241" s="9">
        <v>4900</v>
      </c>
    </row>
    <row r="242" spans="1:16" x14ac:dyDescent="0.25">
      <c r="A242" t="s">
        <v>263</v>
      </c>
      <c r="B242" s="2">
        <v>44082</v>
      </c>
      <c r="C242">
        <v>2020</v>
      </c>
      <c r="D242" t="str">
        <f t="shared" si="6"/>
        <v>Sep</v>
      </c>
      <c r="E242" t="s">
        <v>12</v>
      </c>
      <c r="F242" t="s">
        <v>15</v>
      </c>
      <c r="G242" t="s">
        <v>19</v>
      </c>
      <c r="H242" t="s">
        <v>23</v>
      </c>
      <c r="I242">
        <v>9</v>
      </c>
      <c r="J242" s="9">
        <v>8700</v>
      </c>
      <c r="K242" s="7">
        <v>0.05</v>
      </c>
      <c r="L242" s="9">
        <v>8265</v>
      </c>
      <c r="M242" s="10">
        <f>Sales_Data3[[#This Row],[Profit]]/Sales_Data3[[#This Row],[Sales]]</f>
        <v>0.95</v>
      </c>
      <c r="N242" t="str">
        <f t="shared" si="7"/>
        <v>Medium</v>
      </c>
      <c r="O242" s="2">
        <v>44082</v>
      </c>
      <c r="P242" s="9">
        <v>8700</v>
      </c>
    </row>
    <row r="243" spans="1:16" x14ac:dyDescent="0.25">
      <c r="A243" t="s">
        <v>264</v>
      </c>
      <c r="B243" s="2">
        <v>44083</v>
      </c>
      <c r="C243">
        <v>2020</v>
      </c>
      <c r="D243" t="str">
        <f t="shared" si="6"/>
        <v>Sep</v>
      </c>
      <c r="E243" t="s">
        <v>12</v>
      </c>
      <c r="F243" t="s">
        <v>17</v>
      </c>
      <c r="G243" t="s">
        <v>20</v>
      </c>
      <c r="H243" t="s">
        <v>23</v>
      </c>
      <c r="I243">
        <v>8</v>
      </c>
      <c r="J243" s="9">
        <v>5500</v>
      </c>
      <c r="K243" s="7">
        <v>0.1</v>
      </c>
      <c r="L243" s="9">
        <v>4950</v>
      </c>
      <c r="M243" s="10">
        <f>Sales_Data3[[#This Row],[Profit]]/Sales_Data3[[#This Row],[Sales]]</f>
        <v>0.9</v>
      </c>
      <c r="N243" t="str">
        <f t="shared" si="7"/>
        <v>Medium</v>
      </c>
      <c r="O243" s="2">
        <v>44083</v>
      </c>
      <c r="P243" s="9">
        <v>5500</v>
      </c>
    </row>
    <row r="244" spans="1:16" x14ac:dyDescent="0.25">
      <c r="A244" t="s">
        <v>265</v>
      </c>
      <c r="B244" s="2">
        <v>44084</v>
      </c>
      <c r="C244">
        <v>2020</v>
      </c>
      <c r="D244" t="str">
        <f t="shared" si="6"/>
        <v>Sep</v>
      </c>
      <c r="E244" t="s">
        <v>12</v>
      </c>
      <c r="F244" t="s">
        <v>2023</v>
      </c>
      <c r="G244" t="s">
        <v>21</v>
      </c>
      <c r="H244" t="s">
        <v>23</v>
      </c>
      <c r="I244">
        <v>3</v>
      </c>
      <c r="J244" s="9">
        <v>14500</v>
      </c>
      <c r="K244" s="7">
        <v>0.15000000000000002</v>
      </c>
      <c r="L244" s="9">
        <v>12325</v>
      </c>
      <c r="M244" s="10">
        <f>Sales_Data3[[#This Row],[Profit]]/Sales_Data3[[#This Row],[Sales]]</f>
        <v>0.85</v>
      </c>
      <c r="N244" t="str">
        <f t="shared" si="7"/>
        <v>High</v>
      </c>
      <c r="O244" s="2">
        <v>44084</v>
      </c>
      <c r="P244" s="9">
        <v>14500</v>
      </c>
    </row>
    <row r="245" spans="1:16" x14ac:dyDescent="0.25">
      <c r="A245" t="s">
        <v>266</v>
      </c>
      <c r="B245" s="2">
        <v>44085</v>
      </c>
      <c r="C245">
        <v>2020</v>
      </c>
      <c r="D245" t="str">
        <f t="shared" si="6"/>
        <v>Sep</v>
      </c>
      <c r="E245" t="s">
        <v>12</v>
      </c>
      <c r="F245" t="s">
        <v>18</v>
      </c>
      <c r="G245" t="s">
        <v>22</v>
      </c>
      <c r="H245" t="s">
        <v>23</v>
      </c>
      <c r="I245">
        <v>3</v>
      </c>
      <c r="J245" s="9">
        <v>10700</v>
      </c>
      <c r="K245" s="7">
        <v>0.2</v>
      </c>
      <c r="L245" s="9">
        <v>8560</v>
      </c>
      <c r="M245" s="10">
        <f>Sales_Data3[[#This Row],[Profit]]/Sales_Data3[[#This Row],[Sales]]</f>
        <v>0.8</v>
      </c>
      <c r="N245" t="str">
        <f t="shared" si="7"/>
        <v>High</v>
      </c>
      <c r="O245" s="2">
        <v>44085</v>
      </c>
      <c r="P245" s="9">
        <v>10700</v>
      </c>
    </row>
    <row r="246" spans="1:16" x14ac:dyDescent="0.25">
      <c r="A246" t="s">
        <v>267</v>
      </c>
      <c r="B246" s="2">
        <v>44086</v>
      </c>
      <c r="C246">
        <v>2020</v>
      </c>
      <c r="D246" t="str">
        <f t="shared" si="6"/>
        <v>Sep</v>
      </c>
      <c r="E246" t="s">
        <v>12</v>
      </c>
      <c r="F246" t="s">
        <v>2024</v>
      </c>
      <c r="G246" t="s">
        <v>19</v>
      </c>
      <c r="H246" t="s">
        <v>23</v>
      </c>
      <c r="I246">
        <v>2</v>
      </c>
      <c r="J246" s="9">
        <v>6800</v>
      </c>
      <c r="K246" s="7">
        <v>0.25</v>
      </c>
      <c r="L246" s="9">
        <v>5100</v>
      </c>
      <c r="M246" s="10">
        <f>Sales_Data3[[#This Row],[Profit]]/Sales_Data3[[#This Row],[Sales]]</f>
        <v>0.75</v>
      </c>
      <c r="N246" t="str">
        <f t="shared" si="7"/>
        <v>Medium</v>
      </c>
      <c r="O246" s="2">
        <v>44086</v>
      </c>
      <c r="P246" s="9">
        <v>6800</v>
      </c>
    </row>
    <row r="247" spans="1:16" x14ac:dyDescent="0.25">
      <c r="A247" t="s">
        <v>268</v>
      </c>
      <c r="B247" s="2">
        <v>44087</v>
      </c>
      <c r="C247">
        <v>2020</v>
      </c>
      <c r="D247" t="str">
        <f t="shared" si="6"/>
        <v>Sep</v>
      </c>
      <c r="E247" t="s">
        <v>12</v>
      </c>
      <c r="F247" t="s">
        <v>2025</v>
      </c>
      <c r="G247" t="s">
        <v>20</v>
      </c>
      <c r="H247" t="s">
        <v>23</v>
      </c>
      <c r="I247">
        <v>1</v>
      </c>
      <c r="J247" s="9">
        <v>5700</v>
      </c>
      <c r="K247" s="7">
        <v>0.05</v>
      </c>
      <c r="L247" s="9">
        <v>5415</v>
      </c>
      <c r="M247" s="10">
        <f>Sales_Data3[[#This Row],[Profit]]/Sales_Data3[[#This Row],[Sales]]</f>
        <v>0.95</v>
      </c>
      <c r="N247" t="str">
        <f t="shared" si="7"/>
        <v>Medium</v>
      </c>
      <c r="O247" s="2">
        <v>44087</v>
      </c>
      <c r="P247" s="9">
        <v>5700</v>
      </c>
    </row>
    <row r="248" spans="1:16" x14ac:dyDescent="0.25">
      <c r="A248" t="s">
        <v>269</v>
      </c>
      <c r="B248" s="2">
        <v>44088</v>
      </c>
      <c r="C248">
        <v>2020</v>
      </c>
      <c r="D248" t="str">
        <f t="shared" si="6"/>
        <v>Sep</v>
      </c>
      <c r="E248" t="s">
        <v>12</v>
      </c>
      <c r="F248" t="s">
        <v>2026</v>
      </c>
      <c r="G248" t="s">
        <v>21</v>
      </c>
      <c r="H248" t="s">
        <v>23</v>
      </c>
      <c r="I248">
        <v>9</v>
      </c>
      <c r="J248" s="9">
        <v>4300</v>
      </c>
      <c r="K248" s="7">
        <v>0.1</v>
      </c>
      <c r="L248" s="9">
        <v>3870</v>
      </c>
      <c r="M248" s="10">
        <f>Sales_Data3[[#This Row],[Profit]]/Sales_Data3[[#This Row],[Sales]]</f>
        <v>0.9</v>
      </c>
      <c r="N248" t="str">
        <f t="shared" si="7"/>
        <v>Low</v>
      </c>
      <c r="O248" s="2">
        <v>44088</v>
      </c>
      <c r="P248" s="9">
        <v>4300</v>
      </c>
    </row>
    <row r="249" spans="1:16" x14ac:dyDescent="0.25">
      <c r="A249" t="s">
        <v>270</v>
      </c>
      <c r="B249" s="2">
        <v>44089</v>
      </c>
      <c r="C249">
        <v>2020</v>
      </c>
      <c r="D249" t="str">
        <f t="shared" si="6"/>
        <v>Sep</v>
      </c>
      <c r="E249" t="s">
        <v>12</v>
      </c>
      <c r="F249" t="s">
        <v>2027</v>
      </c>
      <c r="G249" t="s">
        <v>22</v>
      </c>
      <c r="H249" t="s">
        <v>23</v>
      </c>
      <c r="I249">
        <v>8</v>
      </c>
      <c r="J249" s="9">
        <v>14600</v>
      </c>
      <c r="K249" s="7">
        <v>0.15000000000000002</v>
      </c>
      <c r="L249" s="9">
        <v>12410</v>
      </c>
      <c r="M249" s="10">
        <f>Sales_Data3[[#This Row],[Profit]]/Sales_Data3[[#This Row],[Sales]]</f>
        <v>0.85</v>
      </c>
      <c r="N249" t="str">
        <f t="shared" si="7"/>
        <v>High</v>
      </c>
      <c r="O249" s="2">
        <v>44089</v>
      </c>
      <c r="P249" s="9">
        <v>14600</v>
      </c>
    </row>
    <row r="250" spans="1:16" x14ac:dyDescent="0.25">
      <c r="A250" t="s">
        <v>271</v>
      </c>
      <c r="B250" s="2">
        <v>44090</v>
      </c>
      <c r="C250">
        <v>2020</v>
      </c>
      <c r="D250" t="str">
        <f t="shared" si="6"/>
        <v>Sep</v>
      </c>
      <c r="E250" t="s">
        <v>12</v>
      </c>
      <c r="F250" t="s">
        <v>2028</v>
      </c>
      <c r="G250" t="s">
        <v>19</v>
      </c>
      <c r="H250" t="s">
        <v>23</v>
      </c>
      <c r="I250">
        <v>3</v>
      </c>
      <c r="J250" s="9">
        <v>11400</v>
      </c>
      <c r="K250" s="7">
        <v>0.2</v>
      </c>
      <c r="L250" s="9">
        <v>9120</v>
      </c>
      <c r="M250" s="10">
        <f>Sales_Data3[[#This Row],[Profit]]/Sales_Data3[[#This Row],[Sales]]</f>
        <v>0.8</v>
      </c>
      <c r="N250" t="str">
        <f t="shared" si="7"/>
        <v>High</v>
      </c>
      <c r="O250" s="2">
        <v>44090</v>
      </c>
      <c r="P250" s="9">
        <v>11400</v>
      </c>
    </row>
    <row r="251" spans="1:16" x14ac:dyDescent="0.25">
      <c r="A251" t="s">
        <v>272</v>
      </c>
      <c r="B251" s="2">
        <v>44091</v>
      </c>
      <c r="C251">
        <v>2020</v>
      </c>
      <c r="D251" t="str">
        <f t="shared" si="6"/>
        <v>Sep</v>
      </c>
      <c r="E251" t="s">
        <v>12</v>
      </c>
      <c r="F251" t="s">
        <v>2029</v>
      </c>
      <c r="G251" t="s">
        <v>20</v>
      </c>
      <c r="H251" t="s">
        <v>23</v>
      </c>
      <c r="I251">
        <v>10</v>
      </c>
      <c r="J251" s="9">
        <v>12500</v>
      </c>
      <c r="K251" s="7">
        <v>0.25</v>
      </c>
      <c r="L251" s="9">
        <v>9375</v>
      </c>
      <c r="M251" s="10">
        <f>Sales_Data3[[#This Row],[Profit]]/Sales_Data3[[#This Row],[Sales]]</f>
        <v>0.75</v>
      </c>
      <c r="N251" t="str">
        <f t="shared" si="7"/>
        <v>High</v>
      </c>
      <c r="O251" s="2">
        <v>44091</v>
      </c>
      <c r="P251" s="9">
        <v>12500</v>
      </c>
    </row>
    <row r="252" spans="1:16" x14ac:dyDescent="0.25">
      <c r="A252" t="s">
        <v>273</v>
      </c>
      <c r="B252" s="2">
        <v>44092</v>
      </c>
      <c r="C252">
        <v>2020</v>
      </c>
      <c r="D252" t="str">
        <f t="shared" si="6"/>
        <v>Sep</v>
      </c>
      <c r="E252" t="s">
        <v>13</v>
      </c>
      <c r="F252" t="s">
        <v>16</v>
      </c>
      <c r="G252" t="s">
        <v>21</v>
      </c>
      <c r="H252" t="s">
        <v>24</v>
      </c>
      <c r="I252">
        <v>9</v>
      </c>
      <c r="J252" s="9">
        <v>9400</v>
      </c>
      <c r="K252" s="7">
        <v>0.05</v>
      </c>
      <c r="L252" s="9">
        <v>8930</v>
      </c>
      <c r="M252" s="10">
        <f>Sales_Data3[[#This Row],[Profit]]/Sales_Data3[[#This Row],[Sales]]</f>
        <v>0.95</v>
      </c>
      <c r="N252" t="str">
        <f t="shared" si="7"/>
        <v>Medium</v>
      </c>
      <c r="O252" s="2">
        <v>44092</v>
      </c>
      <c r="P252" s="9">
        <v>9400</v>
      </c>
    </row>
    <row r="253" spans="1:16" x14ac:dyDescent="0.25">
      <c r="A253" t="s">
        <v>274</v>
      </c>
      <c r="B253" s="2">
        <v>44093</v>
      </c>
      <c r="C253">
        <v>2020</v>
      </c>
      <c r="D253" t="str">
        <f t="shared" si="6"/>
        <v>Sep</v>
      </c>
      <c r="E253" t="s">
        <v>13</v>
      </c>
      <c r="F253" t="s">
        <v>2030</v>
      </c>
      <c r="G253" t="s">
        <v>22</v>
      </c>
      <c r="H253" t="s">
        <v>24</v>
      </c>
      <c r="I253">
        <v>9</v>
      </c>
      <c r="J253" s="9">
        <v>10400</v>
      </c>
      <c r="K253" s="7">
        <v>0.1</v>
      </c>
      <c r="L253" s="9">
        <v>9360</v>
      </c>
      <c r="M253" s="10">
        <f>Sales_Data3[[#This Row],[Profit]]/Sales_Data3[[#This Row],[Sales]]</f>
        <v>0.9</v>
      </c>
      <c r="N253" t="str">
        <f t="shared" si="7"/>
        <v>High</v>
      </c>
      <c r="O253" s="2">
        <v>44093</v>
      </c>
      <c r="P253" s="9">
        <v>10400</v>
      </c>
    </row>
    <row r="254" spans="1:16" x14ac:dyDescent="0.25">
      <c r="A254" t="s">
        <v>275</v>
      </c>
      <c r="B254" s="2">
        <v>44094</v>
      </c>
      <c r="C254">
        <v>2020</v>
      </c>
      <c r="D254" t="str">
        <f t="shared" si="6"/>
        <v>Sep</v>
      </c>
      <c r="E254" t="s">
        <v>13</v>
      </c>
      <c r="F254" t="s">
        <v>2031</v>
      </c>
      <c r="G254" t="s">
        <v>19</v>
      </c>
      <c r="H254" t="s">
        <v>24</v>
      </c>
      <c r="I254">
        <v>1</v>
      </c>
      <c r="J254" s="9">
        <v>12500</v>
      </c>
      <c r="K254" s="7">
        <v>0.15000000000000002</v>
      </c>
      <c r="L254" s="9">
        <v>10625</v>
      </c>
      <c r="M254" s="10">
        <f>Sales_Data3[[#This Row],[Profit]]/Sales_Data3[[#This Row],[Sales]]</f>
        <v>0.85</v>
      </c>
      <c r="N254" t="str">
        <f t="shared" si="7"/>
        <v>High</v>
      </c>
      <c r="O254" s="2">
        <v>44094</v>
      </c>
      <c r="P254" s="9">
        <v>12500</v>
      </c>
    </row>
    <row r="255" spans="1:16" x14ac:dyDescent="0.25">
      <c r="A255" t="s">
        <v>276</v>
      </c>
      <c r="B255" s="2">
        <v>44095</v>
      </c>
      <c r="C255">
        <v>2020</v>
      </c>
      <c r="D255" t="str">
        <f t="shared" si="6"/>
        <v>Sep</v>
      </c>
      <c r="E255" t="s">
        <v>13</v>
      </c>
      <c r="F255" t="s">
        <v>2032</v>
      </c>
      <c r="G255" t="s">
        <v>20</v>
      </c>
      <c r="H255" t="s">
        <v>24</v>
      </c>
      <c r="I255">
        <v>5</v>
      </c>
      <c r="J255" s="9">
        <v>5600</v>
      </c>
      <c r="K255" s="7">
        <v>0.2</v>
      </c>
      <c r="L255" s="9">
        <v>4480</v>
      </c>
      <c r="M255" s="10">
        <f>Sales_Data3[[#This Row],[Profit]]/Sales_Data3[[#This Row],[Sales]]</f>
        <v>0.8</v>
      </c>
      <c r="N255" t="str">
        <f t="shared" si="7"/>
        <v>Medium</v>
      </c>
      <c r="O255" s="2">
        <v>44095</v>
      </c>
      <c r="P255" s="9">
        <v>5600</v>
      </c>
    </row>
    <row r="256" spans="1:16" x14ac:dyDescent="0.25">
      <c r="A256" t="s">
        <v>277</v>
      </c>
      <c r="B256" s="2">
        <v>44096</v>
      </c>
      <c r="C256">
        <v>2020</v>
      </c>
      <c r="D256" t="str">
        <f t="shared" si="6"/>
        <v>Sep</v>
      </c>
      <c r="E256" t="s">
        <v>13</v>
      </c>
      <c r="F256" t="s">
        <v>2033</v>
      </c>
      <c r="G256" t="s">
        <v>21</v>
      </c>
      <c r="H256" t="s">
        <v>24</v>
      </c>
      <c r="I256">
        <v>10</v>
      </c>
      <c r="J256" s="9">
        <v>4700</v>
      </c>
      <c r="K256" s="7">
        <v>0.25</v>
      </c>
      <c r="L256" s="9">
        <v>3525</v>
      </c>
      <c r="M256" s="10">
        <f>Sales_Data3[[#This Row],[Profit]]/Sales_Data3[[#This Row],[Sales]]</f>
        <v>0.75</v>
      </c>
      <c r="N256" t="str">
        <f t="shared" si="7"/>
        <v>Low</v>
      </c>
      <c r="O256" s="2">
        <v>44096</v>
      </c>
      <c r="P256" s="9">
        <v>4700</v>
      </c>
    </row>
    <row r="257" spans="1:16" x14ac:dyDescent="0.25">
      <c r="A257" t="s">
        <v>278</v>
      </c>
      <c r="B257" s="2">
        <v>44097</v>
      </c>
      <c r="C257">
        <v>2020</v>
      </c>
      <c r="D257" t="str">
        <f t="shared" si="6"/>
        <v>Sep</v>
      </c>
      <c r="E257" t="s">
        <v>13</v>
      </c>
      <c r="F257" t="s">
        <v>2034</v>
      </c>
      <c r="G257" t="s">
        <v>22</v>
      </c>
      <c r="H257" t="s">
        <v>24</v>
      </c>
      <c r="I257">
        <v>1</v>
      </c>
      <c r="J257" s="9">
        <v>11500</v>
      </c>
      <c r="K257" s="7">
        <v>0.05</v>
      </c>
      <c r="L257" s="9">
        <v>10925</v>
      </c>
      <c r="M257" s="10">
        <f>Sales_Data3[[#This Row],[Profit]]/Sales_Data3[[#This Row],[Sales]]</f>
        <v>0.95</v>
      </c>
      <c r="N257" t="str">
        <f t="shared" si="7"/>
        <v>High</v>
      </c>
      <c r="O257" s="2">
        <v>44097</v>
      </c>
      <c r="P257" s="9">
        <v>11500</v>
      </c>
    </row>
    <row r="258" spans="1:16" x14ac:dyDescent="0.25">
      <c r="A258" t="s">
        <v>279</v>
      </c>
      <c r="B258" s="2">
        <v>44098</v>
      </c>
      <c r="C258">
        <v>2020</v>
      </c>
      <c r="D258" t="str">
        <f t="shared" ref="D258:D321" si="8">TEXT(B258,"MMM")</f>
        <v>Sep</v>
      </c>
      <c r="E258" t="s">
        <v>13</v>
      </c>
      <c r="F258" t="s">
        <v>2035</v>
      </c>
      <c r="G258" t="s">
        <v>19</v>
      </c>
      <c r="H258" t="s">
        <v>24</v>
      </c>
      <c r="I258">
        <v>2</v>
      </c>
      <c r="J258" s="9">
        <v>12500</v>
      </c>
      <c r="K258" s="7">
        <v>0.1</v>
      </c>
      <c r="L258" s="9">
        <v>11250</v>
      </c>
      <c r="M258" s="10">
        <f>Sales_Data3[[#This Row],[Profit]]/Sales_Data3[[#This Row],[Sales]]</f>
        <v>0.9</v>
      </c>
      <c r="N258" t="str">
        <f t="shared" ref="N258:N321" si="9">IF(J258&gt;10000,"High",IF(J258&gt;5000,"Medium","Low"))</f>
        <v>High</v>
      </c>
      <c r="O258" s="2">
        <v>44098</v>
      </c>
      <c r="P258" s="9">
        <v>12500</v>
      </c>
    </row>
    <row r="259" spans="1:16" x14ac:dyDescent="0.25">
      <c r="A259" t="s">
        <v>280</v>
      </c>
      <c r="B259" s="2">
        <v>44099</v>
      </c>
      <c r="C259">
        <v>2020</v>
      </c>
      <c r="D259" t="str">
        <f t="shared" si="8"/>
        <v>Sep</v>
      </c>
      <c r="E259" t="s">
        <v>13</v>
      </c>
      <c r="F259" t="s">
        <v>2036</v>
      </c>
      <c r="G259" t="s">
        <v>20</v>
      </c>
      <c r="H259" t="s">
        <v>24</v>
      </c>
      <c r="I259">
        <v>6</v>
      </c>
      <c r="J259" s="9">
        <v>11900</v>
      </c>
      <c r="K259" s="7">
        <v>0.15000000000000002</v>
      </c>
      <c r="L259" s="9">
        <v>10115</v>
      </c>
      <c r="M259" s="10">
        <f>Sales_Data3[[#This Row],[Profit]]/Sales_Data3[[#This Row],[Sales]]</f>
        <v>0.85</v>
      </c>
      <c r="N259" t="str">
        <f t="shared" si="9"/>
        <v>High</v>
      </c>
      <c r="O259" s="2">
        <v>44099</v>
      </c>
      <c r="P259" s="9">
        <v>11900</v>
      </c>
    </row>
    <row r="260" spans="1:16" x14ac:dyDescent="0.25">
      <c r="A260" t="s">
        <v>281</v>
      </c>
      <c r="B260" s="2">
        <v>44100</v>
      </c>
      <c r="C260">
        <v>2020</v>
      </c>
      <c r="D260" t="str">
        <f t="shared" si="8"/>
        <v>Sep</v>
      </c>
      <c r="E260" t="s">
        <v>13</v>
      </c>
      <c r="F260" t="s">
        <v>2037</v>
      </c>
      <c r="G260" t="s">
        <v>21</v>
      </c>
      <c r="H260" t="s">
        <v>24</v>
      </c>
      <c r="I260">
        <v>9</v>
      </c>
      <c r="J260" s="9">
        <v>14400</v>
      </c>
      <c r="K260" s="7">
        <v>0.2</v>
      </c>
      <c r="L260" s="9">
        <v>11520</v>
      </c>
      <c r="M260" s="10">
        <f>Sales_Data3[[#This Row],[Profit]]/Sales_Data3[[#This Row],[Sales]]</f>
        <v>0.8</v>
      </c>
      <c r="N260" t="str">
        <f t="shared" si="9"/>
        <v>High</v>
      </c>
      <c r="O260" s="2">
        <v>44100</v>
      </c>
      <c r="P260" s="9">
        <v>14400</v>
      </c>
    </row>
    <row r="261" spans="1:16" x14ac:dyDescent="0.25">
      <c r="A261" t="s">
        <v>282</v>
      </c>
      <c r="B261" s="2">
        <v>44101</v>
      </c>
      <c r="C261">
        <v>2020</v>
      </c>
      <c r="D261" t="str">
        <f t="shared" si="8"/>
        <v>Sep</v>
      </c>
      <c r="E261" t="s">
        <v>13</v>
      </c>
      <c r="F261" t="s">
        <v>2038</v>
      </c>
      <c r="G261" t="s">
        <v>22</v>
      </c>
      <c r="H261" t="s">
        <v>24</v>
      </c>
      <c r="I261">
        <v>8</v>
      </c>
      <c r="J261" s="9">
        <v>11900</v>
      </c>
      <c r="K261" s="7">
        <v>0.25</v>
      </c>
      <c r="L261" s="9">
        <v>8925</v>
      </c>
      <c r="M261" s="10">
        <f>Sales_Data3[[#This Row],[Profit]]/Sales_Data3[[#This Row],[Sales]]</f>
        <v>0.75</v>
      </c>
      <c r="N261" t="str">
        <f t="shared" si="9"/>
        <v>High</v>
      </c>
      <c r="O261" s="2">
        <v>44101</v>
      </c>
      <c r="P261" s="9">
        <v>11900</v>
      </c>
    </row>
    <row r="262" spans="1:16" x14ac:dyDescent="0.25">
      <c r="A262" t="s">
        <v>283</v>
      </c>
      <c r="B262" s="2">
        <v>44102</v>
      </c>
      <c r="C262">
        <v>2020</v>
      </c>
      <c r="D262" t="str">
        <f t="shared" si="8"/>
        <v>Sep</v>
      </c>
      <c r="E262" t="s">
        <v>14</v>
      </c>
      <c r="F262" t="s">
        <v>2039</v>
      </c>
      <c r="G262" t="s">
        <v>19</v>
      </c>
      <c r="H262" t="s">
        <v>25</v>
      </c>
      <c r="I262">
        <v>9</v>
      </c>
      <c r="J262" s="9">
        <v>11900</v>
      </c>
      <c r="K262" s="7">
        <v>0.05</v>
      </c>
      <c r="L262" s="9">
        <v>11305</v>
      </c>
      <c r="M262" s="10">
        <f>Sales_Data3[[#This Row],[Profit]]/Sales_Data3[[#This Row],[Sales]]</f>
        <v>0.95</v>
      </c>
      <c r="N262" t="str">
        <f t="shared" si="9"/>
        <v>High</v>
      </c>
      <c r="O262" s="2">
        <v>44102</v>
      </c>
      <c r="P262" s="9">
        <v>11900</v>
      </c>
    </row>
    <row r="263" spans="1:16" x14ac:dyDescent="0.25">
      <c r="A263" t="s">
        <v>284</v>
      </c>
      <c r="B263" s="2">
        <v>44103</v>
      </c>
      <c r="C263">
        <v>2020</v>
      </c>
      <c r="D263" t="str">
        <f t="shared" si="8"/>
        <v>Sep</v>
      </c>
      <c r="E263" t="s">
        <v>14</v>
      </c>
      <c r="F263" t="s">
        <v>2040</v>
      </c>
      <c r="G263" t="s">
        <v>20</v>
      </c>
      <c r="H263" t="s">
        <v>25</v>
      </c>
      <c r="I263">
        <v>3</v>
      </c>
      <c r="J263" s="9">
        <v>9000</v>
      </c>
      <c r="K263" s="7">
        <v>0.1</v>
      </c>
      <c r="L263" s="9">
        <v>8100</v>
      </c>
      <c r="M263" s="10">
        <f>Sales_Data3[[#This Row],[Profit]]/Sales_Data3[[#This Row],[Sales]]</f>
        <v>0.9</v>
      </c>
      <c r="N263" t="str">
        <f t="shared" si="9"/>
        <v>Medium</v>
      </c>
      <c r="O263" s="2">
        <v>44103</v>
      </c>
      <c r="P263" s="9">
        <v>9000</v>
      </c>
    </row>
    <row r="264" spans="1:16" x14ac:dyDescent="0.25">
      <c r="A264" t="s">
        <v>285</v>
      </c>
      <c r="B264" s="2">
        <v>44104</v>
      </c>
      <c r="C264">
        <v>2020</v>
      </c>
      <c r="D264" t="str">
        <f t="shared" si="8"/>
        <v>Sep</v>
      </c>
      <c r="E264" t="s">
        <v>14</v>
      </c>
      <c r="F264" t="s">
        <v>2041</v>
      </c>
      <c r="G264" t="s">
        <v>21</v>
      </c>
      <c r="H264" t="s">
        <v>25</v>
      </c>
      <c r="I264">
        <v>10</v>
      </c>
      <c r="J264" s="9">
        <v>8100</v>
      </c>
      <c r="K264" s="7">
        <v>0.15000000000000002</v>
      </c>
      <c r="L264" s="9">
        <v>6885</v>
      </c>
      <c r="M264" s="10">
        <f>Sales_Data3[[#This Row],[Profit]]/Sales_Data3[[#This Row],[Sales]]</f>
        <v>0.85</v>
      </c>
      <c r="N264" t="str">
        <f t="shared" si="9"/>
        <v>Medium</v>
      </c>
      <c r="O264" s="2">
        <v>44104</v>
      </c>
      <c r="P264" s="9">
        <v>8100</v>
      </c>
    </row>
    <row r="265" spans="1:16" x14ac:dyDescent="0.25">
      <c r="A265" t="s">
        <v>286</v>
      </c>
      <c r="B265" s="2">
        <v>44105</v>
      </c>
      <c r="C265">
        <v>2020</v>
      </c>
      <c r="D265" t="str">
        <f t="shared" si="8"/>
        <v>Oct</v>
      </c>
      <c r="E265" t="s">
        <v>14</v>
      </c>
      <c r="F265" t="s">
        <v>2042</v>
      </c>
      <c r="G265" t="s">
        <v>22</v>
      </c>
      <c r="H265" t="s">
        <v>25</v>
      </c>
      <c r="I265">
        <v>10</v>
      </c>
      <c r="J265" s="9">
        <v>12800</v>
      </c>
      <c r="K265" s="7">
        <v>0.2</v>
      </c>
      <c r="L265" s="9">
        <v>10240</v>
      </c>
      <c r="M265" s="10">
        <f>Sales_Data3[[#This Row],[Profit]]/Sales_Data3[[#This Row],[Sales]]</f>
        <v>0.8</v>
      </c>
      <c r="N265" t="str">
        <f t="shared" si="9"/>
        <v>High</v>
      </c>
      <c r="O265" s="2">
        <v>44105</v>
      </c>
      <c r="P265" s="9">
        <v>12800</v>
      </c>
    </row>
    <row r="266" spans="1:16" x14ac:dyDescent="0.25">
      <c r="A266" t="s">
        <v>287</v>
      </c>
      <c r="B266" s="2">
        <v>44106</v>
      </c>
      <c r="C266">
        <v>2020</v>
      </c>
      <c r="D266" t="str">
        <f t="shared" si="8"/>
        <v>Oct</v>
      </c>
      <c r="E266" t="s">
        <v>14</v>
      </c>
      <c r="F266" t="s">
        <v>2043</v>
      </c>
      <c r="G266" t="s">
        <v>19</v>
      </c>
      <c r="H266" t="s">
        <v>25</v>
      </c>
      <c r="I266">
        <v>8</v>
      </c>
      <c r="J266" s="9">
        <v>4200</v>
      </c>
      <c r="K266" s="7">
        <v>0.25</v>
      </c>
      <c r="L266" s="9">
        <v>3150</v>
      </c>
      <c r="M266" s="10">
        <f>Sales_Data3[[#This Row],[Profit]]/Sales_Data3[[#This Row],[Sales]]</f>
        <v>0.75</v>
      </c>
      <c r="N266" t="str">
        <f t="shared" si="9"/>
        <v>Low</v>
      </c>
      <c r="O266" s="2">
        <v>44106</v>
      </c>
      <c r="P266" s="9">
        <v>4200</v>
      </c>
    </row>
    <row r="267" spans="1:16" x14ac:dyDescent="0.25">
      <c r="A267" t="s">
        <v>288</v>
      </c>
      <c r="B267" s="2">
        <v>44107</v>
      </c>
      <c r="C267">
        <v>2020</v>
      </c>
      <c r="D267" t="str">
        <f t="shared" si="8"/>
        <v>Oct</v>
      </c>
      <c r="E267" t="s">
        <v>14</v>
      </c>
      <c r="F267" t="s">
        <v>2044</v>
      </c>
      <c r="G267" t="s">
        <v>20</v>
      </c>
      <c r="H267" t="s">
        <v>25</v>
      </c>
      <c r="I267">
        <v>6</v>
      </c>
      <c r="J267" s="9">
        <v>13400</v>
      </c>
      <c r="K267" s="7">
        <v>0.05</v>
      </c>
      <c r="L267" s="9">
        <v>12730</v>
      </c>
      <c r="M267" s="10">
        <f>Sales_Data3[[#This Row],[Profit]]/Sales_Data3[[#This Row],[Sales]]</f>
        <v>0.95</v>
      </c>
      <c r="N267" t="str">
        <f t="shared" si="9"/>
        <v>High</v>
      </c>
      <c r="O267" s="2">
        <v>44107</v>
      </c>
      <c r="P267" s="9">
        <v>13400</v>
      </c>
    </row>
    <row r="268" spans="1:16" x14ac:dyDescent="0.25">
      <c r="A268" t="s">
        <v>289</v>
      </c>
      <c r="B268" s="2">
        <v>44108</v>
      </c>
      <c r="C268">
        <v>2020</v>
      </c>
      <c r="D268" t="str">
        <f t="shared" si="8"/>
        <v>Oct</v>
      </c>
      <c r="E268" t="s">
        <v>14</v>
      </c>
      <c r="F268" t="s">
        <v>2045</v>
      </c>
      <c r="G268" t="s">
        <v>21</v>
      </c>
      <c r="H268" t="s">
        <v>25</v>
      </c>
      <c r="I268">
        <v>4</v>
      </c>
      <c r="J268" s="9">
        <v>4200</v>
      </c>
      <c r="K268" s="7">
        <v>0.1</v>
      </c>
      <c r="L268" s="9">
        <v>3780</v>
      </c>
      <c r="M268" s="10">
        <f>Sales_Data3[[#This Row],[Profit]]/Sales_Data3[[#This Row],[Sales]]</f>
        <v>0.9</v>
      </c>
      <c r="N268" t="str">
        <f t="shared" si="9"/>
        <v>Low</v>
      </c>
      <c r="O268" s="2">
        <v>44108</v>
      </c>
      <c r="P268" s="9">
        <v>4200</v>
      </c>
    </row>
    <row r="269" spans="1:16" x14ac:dyDescent="0.25">
      <c r="A269" t="s">
        <v>290</v>
      </c>
      <c r="B269" s="2">
        <v>44109</v>
      </c>
      <c r="C269">
        <v>2020</v>
      </c>
      <c r="D269" t="str">
        <f t="shared" si="8"/>
        <v>Oct</v>
      </c>
      <c r="E269" t="s">
        <v>14</v>
      </c>
      <c r="F269" t="s">
        <v>2046</v>
      </c>
      <c r="G269" t="s">
        <v>22</v>
      </c>
      <c r="H269" t="s">
        <v>25</v>
      </c>
      <c r="I269">
        <v>3</v>
      </c>
      <c r="J269" s="9">
        <v>13800</v>
      </c>
      <c r="K269" s="7">
        <v>0.15000000000000002</v>
      </c>
      <c r="L269" s="9">
        <v>11730</v>
      </c>
      <c r="M269" s="10">
        <f>Sales_Data3[[#This Row],[Profit]]/Sales_Data3[[#This Row],[Sales]]</f>
        <v>0.85</v>
      </c>
      <c r="N269" t="str">
        <f t="shared" si="9"/>
        <v>High</v>
      </c>
      <c r="O269" s="2">
        <v>44109</v>
      </c>
      <c r="P269" s="9">
        <v>13800</v>
      </c>
    </row>
    <row r="270" spans="1:16" x14ac:dyDescent="0.25">
      <c r="A270" t="s">
        <v>291</v>
      </c>
      <c r="B270" s="2">
        <v>44110</v>
      </c>
      <c r="C270">
        <v>2020</v>
      </c>
      <c r="D270" t="str">
        <f t="shared" si="8"/>
        <v>Oct</v>
      </c>
      <c r="E270" t="s">
        <v>14</v>
      </c>
      <c r="F270" t="s">
        <v>2047</v>
      </c>
      <c r="G270" t="s">
        <v>19</v>
      </c>
      <c r="H270" t="s">
        <v>25</v>
      </c>
      <c r="I270">
        <v>2</v>
      </c>
      <c r="J270" s="9">
        <v>7400</v>
      </c>
      <c r="K270" s="7">
        <v>0.2</v>
      </c>
      <c r="L270" s="9">
        <v>5920</v>
      </c>
      <c r="M270" s="10">
        <f>Sales_Data3[[#This Row],[Profit]]/Sales_Data3[[#This Row],[Sales]]</f>
        <v>0.8</v>
      </c>
      <c r="N270" t="str">
        <f t="shared" si="9"/>
        <v>Medium</v>
      </c>
      <c r="O270" s="2">
        <v>44110</v>
      </c>
      <c r="P270" s="9">
        <v>7400</v>
      </c>
    </row>
    <row r="271" spans="1:16" x14ac:dyDescent="0.25">
      <c r="A271" t="s">
        <v>292</v>
      </c>
      <c r="B271" s="2">
        <v>44111</v>
      </c>
      <c r="C271">
        <v>2020</v>
      </c>
      <c r="D271" t="str">
        <f t="shared" si="8"/>
        <v>Oct</v>
      </c>
      <c r="E271" t="s">
        <v>14</v>
      </c>
      <c r="F271" t="s">
        <v>2048</v>
      </c>
      <c r="G271" t="s">
        <v>20</v>
      </c>
      <c r="H271" t="s">
        <v>25</v>
      </c>
      <c r="I271">
        <v>8</v>
      </c>
      <c r="J271" s="9">
        <v>10900</v>
      </c>
      <c r="K271" s="7">
        <v>0.25</v>
      </c>
      <c r="L271" s="9">
        <v>8175</v>
      </c>
      <c r="M271" s="10">
        <f>Sales_Data3[[#This Row],[Profit]]/Sales_Data3[[#This Row],[Sales]]</f>
        <v>0.75</v>
      </c>
      <c r="N271" t="str">
        <f t="shared" si="9"/>
        <v>High</v>
      </c>
      <c r="O271" s="2">
        <v>44111</v>
      </c>
      <c r="P271" s="9">
        <v>10900</v>
      </c>
    </row>
    <row r="272" spans="1:16" x14ac:dyDescent="0.25">
      <c r="A272" t="s">
        <v>293</v>
      </c>
      <c r="B272" s="2">
        <v>44112</v>
      </c>
      <c r="C272">
        <v>2020</v>
      </c>
      <c r="D272" t="str">
        <f t="shared" si="8"/>
        <v>Oct</v>
      </c>
      <c r="E272" t="s">
        <v>12</v>
      </c>
      <c r="F272" t="s">
        <v>15</v>
      </c>
      <c r="G272" t="s">
        <v>21</v>
      </c>
      <c r="H272" t="s">
        <v>23</v>
      </c>
      <c r="I272">
        <v>8</v>
      </c>
      <c r="J272" s="9">
        <v>11000</v>
      </c>
      <c r="K272" s="7">
        <v>0.05</v>
      </c>
      <c r="L272" s="9">
        <v>10450</v>
      </c>
      <c r="M272" s="10">
        <f>Sales_Data3[[#This Row],[Profit]]/Sales_Data3[[#This Row],[Sales]]</f>
        <v>0.95</v>
      </c>
      <c r="N272" t="str">
        <f t="shared" si="9"/>
        <v>High</v>
      </c>
      <c r="O272" s="2">
        <v>44112</v>
      </c>
      <c r="P272" s="9">
        <v>11000</v>
      </c>
    </row>
    <row r="273" spans="1:16" x14ac:dyDescent="0.25">
      <c r="A273" t="s">
        <v>294</v>
      </c>
      <c r="B273" s="2">
        <v>44113</v>
      </c>
      <c r="C273">
        <v>2020</v>
      </c>
      <c r="D273" t="str">
        <f t="shared" si="8"/>
        <v>Oct</v>
      </c>
      <c r="E273" t="s">
        <v>12</v>
      </c>
      <c r="F273" t="s">
        <v>17</v>
      </c>
      <c r="G273" t="s">
        <v>22</v>
      </c>
      <c r="H273" t="s">
        <v>23</v>
      </c>
      <c r="I273">
        <v>6</v>
      </c>
      <c r="J273" s="9">
        <v>7400</v>
      </c>
      <c r="K273" s="7">
        <v>0.1</v>
      </c>
      <c r="L273" s="9">
        <v>6660</v>
      </c>
      <c r="M273" s="10">
        <f>Sales_Data3[[#This Row],[Profit]]/Sales_Data3[[#This Row],[Sales]]</f>
        <v>0.9</v>
      </c>
      <c r="N273" t="str">
        <f t="shared" si="9"/>
        <v>Medium</v>
      </c>
      <c r="O273" s="2">
        <v>44113</v>
      </c>
      <c r="P273" s="9">
        <v>7400</v>
      </c>
    </row>
    <row r="274" spans="1:16" x14ac:dyDescent="0.25">
      <c r="A274" t="s">
        <v>295</v>
      </c>
      <c r="B274" s="2">
        <v>44114</v>
      </c>
      <c r="C274">
        <v>2020</v>
      </c>
      <c r="D274" t="str">
        <f t="shared" si="8"/>
        <v>Oct</v>
      </c>
      <c r="E274" t="s">
        <v>12</v>
      </c>
      <c r="F274" t="s">
        <v>2023</v>
      </c>
      <c r="G274" t="s">
        <v>19</v>
      </c>
      <c r="H274" t="s">
        <v>23</v>
      </c>
      <c r="I274">
        <v>6</v>
      </c>
      <c r="J274" s="9">
        <v>7100</v>
      </c>
      <c r="K274" s="7">
        <v>0.15000000000000002</v>
      </c>
      <c r="L274" s="9">
        <v>6035</v>
      </c>
      <c r="M274" s="10">
        <f>Sales_Data3[[#This Row],[Profit]]/Sales_Data3[[#This Row],[Sales]]</f>
        <v>0.85</v>
      </c>
      <c r="N274" t="str">
        <f t="shared" si="9"/>
        <v>Medium</v>
      </c>
      <c r="O274" s="2">
        <v>44114</v>
      </c>
      <c r="P274" s="9">
        <v>7100</v>
      </c>
    </row>
    <row r="275" spans="1:16" x14ac:dyDescent="0.25">
      <c r="A275" t="s">
        <v>296</v>
      </c>
      <c r="B275" s="2">
        <v>44115</v>
      </c>
      <c r="C275">
        <v>2020</v>
      </c>
      <c r="D275" t="str">
        <f t="shared" si="8"/>
        <v>Oct</v>
      </c>
      <c r="E275" t="s">
        <v>12</v>
      </c>
      <c r="F275" t="s">
        <v>18</v>
      </c>
      <c r="G275" t="s">
        <v>20</v>
      </c>
      <c r="H275" t="s">
        <v>23</v>
      </c>
      <c r="I275">
        <v>3</v>
      </c>
      <c r="J275" s="9">
        <v>10000</v>
      </c>
      <c r="K275" s="7">
        <v>0.2</v>
      </c>
      <c r="L275" s="9">
        <v>8000</v>
      </c>
      <c r="M275" s="10">
        <f>Sales_Data3[[#This Row],[Profit]]/Sales_Data3[[#This Row],[Sales]]</f>
        <v>0.8</v>
      </c>
      <c r="N275" t="str">
        <f t="shared" si="9"/>
        <v>Medium</v>
      </c>
      <c r="O275" s="2">
        <v>44115</v>
      </c>
      <c r="P275" s="9">
        <v>10000</v>
      </c>
    </row>
    <row r="276" spans="1:16" x14ac:dyDescent="0.25">
      <c r="A276" t="s">
        <v>297</v>
      </c>
      <c r="B276" s="2">
        <v>44116</v>
      </c>
      <c r="C276">
        <v>2020</v>
      </c>
      <c r="D276" t="str">
        <f t="shared" si="8"/>
        <v>Oct</v>
      </c>
      <c r="E276" t="s">
        <v>12</v>
      </c>
      <c r="F276" t="s">
        <v>2024</v>
      </c>
      <c r="G276" t="s">
        <v>21</v>
      </c>
      <c r="H276" t="s">
        <v>23</v>
      </c>
      <c r="I276">
        <v>4</v>
      </c>
      <c r="J276" s="9">
        <v>12800</v>
      </c>
      <c r="K276" s="7">
        <v>0.25</v>
      </c>
      <c r="L276" s="9">
        <v>9600</v>
      </c>
      <c r="M276" s="10">
        <f>Sales_Data3[[#This Row],[Profit]]/Sales_Data3[[#This Row],[Sales]]</f>
        <v>0.75</v>
      </c>
      <c r="N276" t="str">
        <f t="shared" si="9"/>
        <v>High</v>
      </c>
      <c r="O276" s="2">
        <v>44116</v>
      </c>
      <c r="P276" s="9">
        <v>12800</v>
      </c>
    </row>
    <row r="277" spans="1:16" x14ac:dyDescent="0.25">
      <c r="A277" t="s">
        <v>298</v>
      </c>
      <c r="B277" s="2">
        <v>44117</v>
      </c>
      <c r="C277">
        <v>2020</v>
      </c>
      <c r="D277" t="str">
        <f t="shared" si="8"/>
        <v>Oct</v>
      </c>
      <c r="E277" t="s">
        <v>12</v>
      </c>
      <c r="F277" t="s">
        <v>2025</v>
      </c>
      <c r="G277" t="s">
        <v>22</v>
      </c>
      <c r="H277" t="s">
        <v>23</v>
      </c>
      <c r="I277">
        <v>2</v>
      </c>
      <c r="J277" s="9">
        <v>4900</v>
      </c>
      <c r="K277" s="7">
        <v>0.05</v>
      </c>
      <c r="L277" s="9">
        <v>4655</v>
      </c>
      <c r="M277" s="10">
        <f>Sales_Data3[[#This Row],[Profit]]/Sales_Data3[[#This Row],[Sales]]</f>
        <v>0.95</v>
      </c>
      <c r="N277" t="str">
        <f t="shared" si="9"/>
        <v>Low</v>
      </c>
      <c r="O277" s="2">
        <v>44117</v>
      </c>
      <c r="P277" s="9">
        <v>4900</v>
      </c>
    </row>
    <row r="278" spans="1:16" x14ac:dyDescent="0.25">
      <c r="A278" t="s">
        <v>299</v>
      </c>
      <c r="B278" s="2">
        <v>44118</v>
      </c>
      <c r="C278">
        <v>2020</v>
      </c>
      <c r="D278" t="str">
        <f t="shared" si="8"/>
        <v>Oct</v>
      </c>
      <c r="E278" t="s">
        <v>12</v>
      </c>
      <c r="F278" t="s">
        <v>2026</v>
      </c>
      <c r="G278" t="s">
        <v>19</v>
      </c>
      <c r="H278" t="s">
        <v>23</v>
      </c>
      <c r="I278">
        <v>2</v>
      </c>
      <c r="J278" s="9">
        <v>7400</v>
      </c>
      <c r="K278" s="7">
        <v>0.1</v>
      </c>
      <c r="L278" s="9">
        <v>6660</v>
      </c>
      <c r="M278" s="10">
        <f>Sales_Data3[[#This Row],[Profit]]/Sales_Data3[[#This Row],[Sales]]</f>
        <v>0.9</v>
      </c>
      <c r="N278" t="str">
        <f t="shared" si="9"/>
        <v>Medium</v>
      </c>
      <c r="O278" s="2">
        <v>44118</v>
      </c>
      <c r="P278" s="9">
        <v>7400</v>
      </c>
    </row>
    <row r="279" spans="1:16" x14ac:dyDescent="0.25">
      <c r="A279" t="s">
        <v>300</v>
      </c>
      <c r="B279" s="2">
        <v>44119</v>
      </c>
      <c r="C279">
        <v>2020</v>
      </c>
      <c r="D279" t="str">
        <f t="shared" si="8"/>
        <v>Oct</v>
      </c>
      <c r="E279" t="s">
        <v>12</v>
      </c>
      <c r="F279" t="s">
        <v>2027</v>
      </c>
      <c r="G279" t="s">
        <v>20</v>
      </c>
      <c r="H279" t="s">
        <v>23</v>
      </c>
      <c r="I279">
        <v>4</v>
      </c>
      <c r="J279" s="9">
        <v>4200</v>
      </c>
      <c r="K279" s="7">
        <v>0.15000000000000002</v>
      </c>
      <c r="L279" s="9">
        <v>3570</v>
      </c>
      <c r="M279" s="10">
        <f>Sales_Data3[[#This Row],[Profit]]/Sales_Data3[[#This Row],[Sales]]</f>
        <v>0.85</v>
      </c>
      <c r="N279" t="str">
        <f t="shared" si="9"/>
        <v>Low</v>
      </c>
      <c r="O279" s="2">
        <v>44119</v>
      </c>
      <c r="P279" s="9">
        <v>4200</v>
      </c>
    </row>
    <row r="280" spans="1:16" x14ac:dyDescent="0.25">
      <c r="A280" t="s">
        <v>301</v>
      </c>
      <c r="B280" s="2">
        <v>44120</v>
      </c>
      <c r="C280">
        <v>2020</v>
      </c>
      <c r="D280" t="str">
        <f t="shared" si="8"/>
        <v>Oct</v>
      </c>
      <c r="E280" t="s">
        <v>12</v>
      </c>
      <c r="F280" t="s">
        <v>2028</v>
      </c>
      <c r="G280" t="s">
        <v>21</v>
      </c>
      <c r="H280" t="s">
        <v>23</v>
      </c>
      <c r="I280">
        <v>6</v>
      </c>
      <c r="J280" s="9">
        <v>5600</v>
      </c>
      <c r="K280" s="7">
        <v>0.2</v>
      </c>
      <c r="L280" s="9">
        <v>4480</v>
      </c>
      <c r="M280" s="10">
        <f>Sales_Data3[[#This Row],[Profit]]/Sales_Data3[[#This Row],[Sales]]</f>
        <v>0.8</v>
      </c>
      <c r="N280" t="str">
        <f t="shared" si="9"/>
        <v>Medium</v>
      </c>
      <c r="O280" s="2">
        <v>44120</v>
      </c>
      <c r="P280" s="9">
        <v>5600</v>
      </c>
    </row>
    <row r="281" spans="1:16" x14ac:dyDescent="0.25">
      <c r="A281" t="s">
        <v>302</v>
      </c>
      <c r="B281" s="2">
        <v>44121</v>
      </c>
      <c r="C281">
        <v>2020</v>
      </c>
      <c r="D281" t="str">
        <f t="shared" si="8"/>
        <v>Oct</v>
      </c>
      <c r="E281" t="s">
        <v>12</v>
      </c>
      <c r="F281" t="s">
        <v>2029</v>
      </c>
      <c r="G281" t="s">
        <v>22</v>
      </c>
      <c r="H281" t="s">
        <v>23</v>
      </c>
      <c r="I281">
        <v>3</v>
      </c>
      <c r="J281" s="9">
        <v>9200</v>
      </c>
      <c r="K281" s="7">
        <v>0.25</v>
      </c>
      <c r="L281" s="9">
        <v>6900</v>
      </c>
      <c r="M281" s="10">
        <f>Sales_Data3[[#This Row],[Profit]]/Sales_Data3[[#This Row],[Sales]]</f>
        <v>0.75</v>
      </c>
      <c r="N281" t="str">
        <f t="shared" si="9"/>
        <v>Medium</v>
      </c>
      <c r="O281" s="2">
        <v>44121</v>
      </c>
      <c r="P281" s="9">
        <v>9200</v>
      </c>
    </row>
    <row r="282" spans="1:16" x14ac:dyDescent="0.25">
      <c r="A282" t="s">
        <v>303</v>
      </c>
      <c r="B282" s="2">
        <v>44122</v>
      </c>
      <c r="C282">
        <v>2020</v>
      </c>
      <c r="D282" t="str">
        <f t="shared" si="8"/>
        <v>Oct</v>
      </c>
      <c r="E282" t="s">
        <v>13</v>
      </c>
      <c r="F282" t="s">
        <v>16</v>
      </c>
      <c r="G282" t="s">
        <v>19</v>
      </c>
      <c r="H282" t="s">
        <v>24</v>
      </c>
      <c r="I282">
        <v>7</v>
      </c>
      <c r="J282" s="9">
        <v>6800</v>
      </c>
      <c r="K282" s="7">
        <v>0.05</v>
      </c>
      <c r="L282" s="9">
        <v>6460</v>
      </c>
      <c r="M282" s="10">
        <f>Sales_Data3[[#This Row],[Profit]]/Sales_Data3[[#This Row],[Sales]]</f>
        <v>0.95</v>
      </c>
      <c r="N282" t="str">
        <f t="shared" si="9"/>
        <v>Medium</v>
      </c>
      <c r="O282" s="2">
        <v>44122</v>
      </c>
      <c r="P282" s="9">
        <v>6800</v>
      </c>
    </row>
    <row r="283" spans="1:16" x14ac:dyDescent="0.25">
      <c r="A283" t="s">
        <v>304</v>
      </c>
      <c r="B283" s="2">
        <v>44123</v>
      </c>
      <c r="C283">
        <v>2020</v>
      </c>
      <c r="D283" t="str">
        <f t="shared" si="8"/>
        <v>Oct</v>
      </c>
      <c r="E283" t="s">
        <v>13</v>
      </c>
      <c r="F283" t="s">
        <v>2030</v>
      </c>
      <c r="G283" t="s">
        <v>20</v>
      </c>
      <c r="H283" t="s">
        <v>24</v>
      </c>
      <c r="I283">
        <v>1</v>
      </c>
      <c r="J283" s="9">
        <v>6300</v>
      </c>
      <c r="K283" s="7">
        <v>0.1</v>
      </c>
      <c r="L283" s="9">
        <v>5670</v>
      </c>
      <c r="M283" s="10">
        <f>Sales_Data3[[#This Row],[Profit]]/Sales_Data3[[#This Row],[Sales]]</f>
        <v>0.9</v>
      </c>
      <c r="N283" t="str">
        <f t="shared" si="9"/>
        <v>Medium</v>
      </c>
      <c r="O283" s="2">
        <v>44123</v>
      </c>
      <c r="P283" s="9">
        <v>6300</v>
      </c>
    </row>
    <row r="284" spans="1:16" x14ac:dyDescent="0.25">
      <c r="A284" t="s">
        <v>305</v>
      </c>
      <c r="B284" s="2">
        <v>44124</v>
      </c>
      <c r="C284">
        <v>2020</v>
      </c>
      <c r="D284" t="str">
        <f t="shared" si="8"/>
        <v>Oct</v>
      </c>
      <c r="E284" t="s">
        <v>13</v>
      </c>
      <c r="F284" t="s">
        <v>2031</v>
      </c>
      <c r="G284" t="s">
        <v>21</v>
      </c>
      <c r="H284" t="s">
        <v>24</v>
      </c>
      <c r="I284">
        <v>6</v>
      </c>
      <c r="J284" s="9">
        <v>11800</v>
      </c>
      <c r="K284" s="7">
        <v>0.15000000000000002</v>
      </c>
      <c r="L284" s="9">
        <v>10030</v>
      </c>
      <c r="M284" s="10">
        <f>Sales_Data3[[#This Row],[Profit]]/Sales_Data3[[#This Row],[Sales]]</f>
        <v>0.85</v>
      </c>
      <c r="N284" t="str">
        <f t="shared" si="9"/>
        <v>High</v>
      </c>
      <c r="O284" s="2">
        <v>44124</v>
      </c>
      <c r="P284" s="9">
        <v>11800</v>
      </c>
    </row>
    <row r="285" spans="1:16" x14ac:dyDescent="0.25">
      <c r="A285" t="s">
        <v>306</v>
      </c>
      <c r="B285" s="2">
        <v>44125</v>
      </c>
      <c r="C285">
        <v>2020</v>
      </c>
      <c r="D285" t="str">
        <f t="shared" si="8"/>
        <v>Oct</v>
      </c>
      <c r="E285" t="s">
        <v>13</v>
      </c>
      <c r="F285" t="s">
        <v>2032</v>
      </c>
      <c r="G285" t="s">
        <v>22</v>
      </c>
      <c r="H285" t="s">
        <v>24</v>
      </c>
      <c r="I285">
        <v>8</v>
      </c>
      <c r="J285" s="9">
        <v>5500</v>
      </c>
      <c r="K285" s="7">
        <v>0.2</v>
      </c>
      <c r="L285" s="9">
        <v>4400</v>
      </c>
      <c r="M285" s="10">
        <f>Sales_Data3[[#This Row],[Profit]]/Sales_Data3[[#This Row],[Sales]]</f>
        <v>0.8</v>
      </c>
      <c r="N285" t="str">
        <f t="shared" si="9"/>
        <v>Medium</v>
      </c>
      <c r="O285" s="2">
        <v>44125</v>
      </c>
      <c r="P285" s="9">
        <v>5500</v>
      </c>
    </row>
    <row r="286" spans="1:16" x14ac:dyDescent="0.25">
      <c r="A286" t="s">
        <v>307</v>
      </c>
      <c r="B286" s="2">
        <v>44126</v>
      </c>
      <c r="C286">
        <v>2020</v>
      </c>
      <c r="D286" t="str">
        <f t="shared" si="8"/>
        <v>Oct</v>
      </c>
      <c r="E286" t="s">
        <v>13</v>
      </c>
      <c r="F286" t="s">
        <v>2033</v>
      </c>
      <c r="G286" t="s">
        <v>19</v>
      </c>
      <c r="H286" t="s">
        <v>24</v>
      </c>
      <c r="I286">
        <v>2</v>
      </c>
      <c r="J286" s="9">
        <v>4700</v>
      </c>
      <c r="K286" s="7">
        <v>0.25</v>
      </c>
      <c r="L286" s="9">
        <v>3525</v>
      </c>
      <c r="M286" s="10">
        <f>Sales_Data3[[#This Row],[Profit]]/Sales_Data3[[#This Row],[Sales]]</f>
        <v>0.75</v>
      </c>
      <c r="N286" t="str">
        <f t="shared" si="9"/>
        <v>Low</v>
      </c>
      <c r="O286" s="2">
        <v>44126</v>
      </c>
      <c r="P286" s="9">
        <v>4700</v>
      </c>
    </row>
    <row r="287" spans="1:16" x14ac:dyDescent="0.25">
      <c r="A287" t="s">
        <v>308</v>
      </c>
      <c r="B287" s="2">
        <v>44127</v>
      </c>
      <c r="C287">
        <v>2020</v>
      </c>
      <c r="D287" t="str">
        <f t="shared" si="8"/>
        <v>Oct</v>
      </c>
      <c r="E287" t="s">
        <v>13</v>
      </c>
      <c r="F287" t="s">
        <v>2034</v>
      </c>
      <c r="G287" t="s">
        <v>20</v>
      </c>
      <c r="H287" t="s">
        <v>24</v>
      </c>
      <c r="I287">
        <v>1</v>
      </c>
      <c r="J287" s="9">
        <v>6000</v>
      </c>
      <c r="K287" s="7">
        <v>0.05</v>
      </c>
      <c r="L287" s="9">
        <v>5700</v>
      </c>
      <c r="M287" s="10">
        <f>Sales_Data3[[#This Row],[Profit]]/Sales_Data3[[#This Row],[Sales]]</f>
        <v>0.95</v>
      </c>
      <c r="N287" t="str">
        <f t="shared" si="9"/>
        <v>Medium</v>
      </c>
      <c r="O287" s="2">
        <v>44127</v>
      </c>
      <c r="P287" s="9">
        <v>6000</v>
      </c>
    </row>
    <row r="288" spans="1:16" x14ac:dyDescent="0.25">
      <c r="A288" t="s">
        <v>309</v>
      </c>
      <c r="B288" s="2">
        <v>44128</v>
      </c>
      <c r="C288">
        <v>2020</v>
      </c>
      <c r="D288" t="str">
        <f t="shared" si="8"/>
        <v>Oct</v>
      </c>
      <c r="E288" t="s">
        <v>13</v>
      </c>
      <c r="F288" t="s">
        <v>2035</v>
      </c>
      <c r="G288" t="s">
        <v>21</v>
      </c>
      <c r="H288" t="s">
        <v>24</v>
      </c>
      <c r="I288">
        <v>10</v>
      </c>
      <c r="J288" s="9">
        <v>13600</v>
      </c>
      <c r="K288" s="7">
        <v>0.1</v>
      </c>
      <c r="L288" s="9">
        <v>12240</v>
      </c>
      <c r="M288" s="10">
        <f>Sales_Data3[[#This Row],[Profit]]/Sales_Data3[[#This Row],[Sales]]</f>
        <v>0.9</v>
      </c>
      <c r="N288" t="str">
        <f t="shared" si="9"/>
        <v>High</v>
      </c>
      <c r="O288" s="2">
        <v>44128</v>
      </c>
      <c r="P288" s="9">
        <v>13600</v>
      </c>
    </row>
    <row r="289" spans="1:16" x14ac:dyDescent="0.25">
      <c r="A289" t="s">
        <v>310</v>
      </c>
      <c r="B289" s="2">
        <v>44129</v>
      </c>
      <c r="C289">
        <v>2020</v>
      </c>
      <c r="D289" t="str">
        <f t="shared" si="8"/>
        <v>Oct</v>
      </c>
      <c r="E289" t="s">
        <v>13</v>
      </c>
      <c r="F289" t="s">
        <v>2036</v>
      </c>
      <c r="G289" t="s">
        <v>22</v>
      </c>
      <c r="H289" t="s">
        <v>24</v>
      </c>
      <c r="I289">
        <v>5</v>
      </c>
      <c r="J289" s="9">
        <v>11300</v>
      </c>
      <c r="K289" s="7">
        <v>0.15000000000000002</v>
      </c>
      <c r="L289" s="9">
        <v>9605</v>
      </c>
      <c r="M289" s="10">
        <f>Sales_Data3[[#This Row],[Profit]]/Sales_Data3[[#This Row],[Sales]]</f>
        <v>0.85</v>
      </c>
      <c r="N289" t="str">
        <f t="shared" si="9"/>
        <v>High</v>
      </c>
      <c r="O289" s="2">
        <v>44129</v>
      </c>
      <c r="P289" s="9">
        <v>11300</v>
      </c>
    </row>
    <row r="290" spans="1:16" x14ac:dyDescent="0.25">
      <c r="A290" t="s">
        <v>311</v>
      </c>
      <c r="B290" s="2">
        <v>44130</v>
      </c>
      <c r="C290">
        <v>2020</v>
      </c>
      <c r="D290" t="str">
        <f t="shared" si="8"/>
        <v>Oct</v>
      </c>
      <c r="E290" t="s">
        <v>13</v>
      </c>
      <c r="F290" t="s">
        <v>2037</v>
      </c>
      <c r="G290" t="s">
        <v>19</v>
      </c>
      <c r="H290" t="s">
        <v>24</v>
      </c>
      <c r="I290">
        <v>2</v>
      </c>
      <c r="J290" s="9">
        <v>9900</v>
      </c>
      <c r="K290" s="7">
        <v>0.2</v>
      </c>
      <c r="L290" s="9">
        <v>7920</v>
      </c>
      <c r="M290" s="10">
        <f>Sales_Data3[[#This Row],[Profit]]/Sales_Data3[[#This Row],[Sales]]</f>
        <v>0.8</v>
      </c>
      <c r="N290" t="str">
        <f t="shared" si="9"/>
        <v>Medium</v>
      </c>
      <c r="O290" s="2">
        <v>44130</v>
      </c>
      <c r="P290" s="9">
        <v>9900</v>
      </c>
    </row>
    <row r="291" spans="1:16" x14ac:dyDescent="0.25">
      <c r="A291" t="s">
        <v>312</v>
      </c>
      <c r="B291" s="2">
        <v>44131</v>
      </c>
      <c r="C291">
        <v>2020</v>
      </c>
      <c r="D291" t="str">
        <f t="shared" si="8"/>
        <v>Oct</v>
      </c>
      <c r="E291" t="s">
        <v>13</v>
      </c>
      <c r="F291" t="s">
        <v>2038</v>
      </c>
      <c r="G291" t="s">
        <v>20</v>
      </c>
      <c r="H291" t="s">
        <v>24</v>
      </c>
      <c r="I291">
        <v>8</v>
      </c>
      <c r="J291" s="9">
        <v>5000</v>
      </c>
      <c r="K291" s="7">
        <v>0.25</v>
      </c>
      <c r="L291" s="9">
        <v>3750</v>
      </c>
      <c r="M291" s="10">
        <f>Sales_Data3[[#This Row],[Profit]]/Sales_Data3[[#This Row],[Sales]]</f>
        <v>0.75</v>
      </c>
      <c r="N291" t="str">
        <f t="shared" si="9"/>
        <v>Low</v>
      </c>
      <c r="O291" s="2">
        <v>44131</v>
      </c>
      <c r="P291" s="9">
        <v>5000</v>
      </c>
    </row>
    <row r="292" spans="1:16" x14ac:dyDescent="0.25">
      <c r="A292" t="s">
        <v>313</v>
      </c>
      <c r="B292" s="2">
        <v>44132</v>
      </c>
      <c r="C292">
        <v>2020</v>
      </c>
      <c r="D292" t="str">
        <f t="shared" si="8"/>
        <v>Oct</v>
      </c>
      <c r="E292" t="s">
        <v>14</v>
      </c>
      <c r="F292" t="s">
        <v>2039</v>
      </c>
      <c r="G292" t="s">
        <v>21</v>
      </c>
      <c r="H292" t="s">
        <v>25</v>
      </c>
      <c r="I292">
        <v>5</v>
      </c>
      <c r="J292" s="9">
        <v>11300</v>
      </c>
      <c r="K292" s="7">
        <v>0.05</v>
      </c>
      <c r="L292" s="9">
        <v>10735</v>
      </c>
      <c r="M292" s="10">
        <f>Sales_Data3[[#This Row],[Profit]]/Sales_Data3[[#This Row],[Sales]]</f>
        <v>0.95</v>
      </c>
      <c r="N292" t="str">
        <f t="shared" si="9"/>
        <v>High</v>
      </c>
      <c r="O292" s="2">
        <v>44132</v>
      </c>
      <c r="P292" s="9">
        <v>11300</v>
      </c>
    </row>
    <row r="293" spans="1:16" x14ac:dyDescent="0.25">
      <c r="A293" t="s">
        <v>314</v>
      </c>
      <c r="B293" s="2">
        <v>44133</v>
      </c>
      <c r="C293">
        <v>2020</v>
      </c>
      <c r="D293" t="str">
        <f t="shared" si="8"/>
        <v>Oct</v>
      </c>
      <c r="E293" t="s">
        <v>14</v>
      </c>
      <c r="F293" t="s">
        <v>2040</v>
      </c>
      <c r="G293" t="s">
        <v>22</v>
      </c>
      <c r="H293" t="s">
        <v>25</v>
      </c>
      <c r="I293">
        <v>8</v>
      </c>
      <c r="J293" s="9">
        <v>7700</v>
      </c>
      <c r="K293" s="7">
        <v>0.1</v>
      </c>
      <c r="L293" s="9">
        <v>6930</v>
      </c>
      <c r="M293" s="10">
        <f>Sales_Data3[[#This Row],[Profit]]/Sales_Data3[[#This Row],[Sales]]</f>
        <v>0.9</v>
      </c>
      <c r="N293" t="str">
        <f t="shared" si="9"/>
        <v>Medium</v>
      </c>
      <c r="O293" s="2">
        <v>44133</v>
      </c>
      <c r="P293" s="9">
        <v>7700</v>
      </c>
    </row>
    <row r="294" spans="1:16" x14ac:dyDescent="0.25">
      <c r="A294" t="s">
        <v>315</v>
      </c>
      <c r="B294" s="2">
        <v>44134</v>
      </c>
      <c r="C294">
        <v>2020</v>
      </c>
      <c r="D294" t="str">
        <f t="shared" si="8"/>
        <v>Oct</v>
      </c>
      <c r="E294" t="s">
        <v>14</v>
      </c>
      <c r="F294" t="s">
        <v>2041</v>
      </c>
      <c r="G294" t="s">
        <v>19</v>
      </c>
      <c r="H294" t="s">
        <v>25</v>
      </c>
      <c r="I294">
        <v>8</v>
      </c>
      <c r="J294" s="9">
        <v>7900</v>
      </c>
      <c r="K294" s="7">
        <v>0.15000000000000002</v>
      </c>
      <c r="L294" s="9">
        <v>6715</v>
      </c>
      <c r="M294" s="10">
        <f>Sales_Data3[[#This Row],[Profit]]/Sales_Data3[[#This Row],[Sales]]</f>
        <v>0.85</v>
      </c>
      <c r="N294" t="str">
        <f t="shared" si="9"/>
        <v>Medium</v>
      </c>
      <c r="O294" s="2">
        <v>44134</v>
      </c>
      <c r="P294" s="9">
        <v>7900</v>
      </c>
    </row>
    <row r="295" spans="1:16" x14ac:dyDescent="0.25">
      <c r="A295" t="s">
        <v>316</v>
      </c>
      <c r="B295" s="2">
        <v>44135</v>
      </c>
      <c r="C295">
        <v>2020</v>
      </c>
      <c r="D295" t="str">
        <f t="shared" si="8"/>
        <v>Oct</v>
      </c>
      <c r="E295" t="s">
        <v>14</v>
      </c>
      <c r="F295" t="s">
        <v>2042</v>
      </c>
      <c r="G295" t="s">
        <v>20</v>
      </c>
      <c r="H295" t="s">
        <v>25</v>
      </c>
      <c r="I295">
        <v>10</v>
      </c>
      <c r="J295" s="9">
        <v>9600</v>
      </c>
      <c r="K295" s="7">
        <v>0.2</v>
      </c>
      <c r="L295" s="9">
        <v>7680</v>
      </c>
      <c r="M295" s="10">
        <f>Sales_Data3[[#This Row],[Profit]]/Sales_Data3[[#This Row],[Sales]]</f>
        <v>0.8</v>
      </c>
      <c r="N295" t="str">
        <f t="shared" si="9"/>
        <v>Medium</v>
      </c>
      <c r="O295" s="2">
        <v>44135</v>
      </c>
      <c r="P295" s="9">
        <v>9600</v>
      </c>
    </row>
    <row r="296" spans="1:16" x14ac:dyDescent="0.25">
      <c r="A296" t="s">
        <v>317</v>
      </c>
      <c r="B296" s="2">
        <v>44136</v>
      </c>
      <c r="C296">
        <v>2020</v>
      </c>
      <c r="D296" t="str">
        <f t="shared" si="8"/>
        <v>Nov</v>
      </c>
      <c r="E296" t="s">
        <v>14</v>
      </c>
      <c r="F296" t="s">
        <v>2043</v>
      </c>
      <c r="G296" t="s">
        <v>21</v>
      </c>
      <c r="H296" t="s">
        <v>25</v>
      </c>
      <c r="I296">
        <v>8</v>
      </c>
      <c r="J296" s="9">
        <v>4700</v>
      </c>
      <c r="K296" s="7">
        <v>0.25</v>
      </c>
      <c r="L296" s="9">
        <v>3525</v>
      </c>
      <c r="M296" s="10">
        <f>Sales_Data3[[#This Row],[Profit]]/Sales_Data3[[#This Row],[Sales]]</f>
        <v>0.75</v>
      </c>
      <c r="N296" t="str">
        <f t="shared" si="9"/>
        <v>Low</v>
      </c>
      <c r="O296" s="2">
        <v>44136</v>
      </c>
      <c r="P296" s="9">
        <v>4700</v>
      </c>
    </row>
    <row r="297" spans="1:16" x14ac:dyDescent="0.25">
      <c r="A297" t="s">
        <v>318</v>
      </c>
      <c r="B297" s="2">
        <v>44137</v>
      </c>
      <c r="C297">
        <v>2020</v>
      </c>
      <c r="D297" t="str">
        <f t="shared" si="8"/>
        <v>Nov</v>
      </c>
      <c r="E297" t="s">
        <v>14</v>
      </c>
      <c r="F297" t="s">
        <v>2044</v>
      </c>
      <c r="G297" t="s">
        <v>22</v>
      </c>
      <c r="H297" t="s">
        <v>25</v>
      </c>
      <c r="I297">
        <v>3</v>
      </c>
      <c r="J297" s="9">
        <v>4700</v>
      </c>
      <c r="K297" s="7">
        <v>0.05</v>
      </c>
      <c r="L297" s="9">
        <v>4465</v>
      </c>
      <c r="M297" s="10">
        <f>Sales_Data3[[#This Row],[Profit]]/Sales_Data3[[#This Row],[Sales]]</f>
        <v>0.95</v>
      </c>
      <c r="N297" t="str">
        <f t="shared" si="9"/>
        <v>Low</v>
      </c>
      <c r="O297" s="2">
        <v>44137</v>
      </c>
      <c r="P297" s="9">
        <v>4700</v>
      </c>
    </row>
    <row r="298" spans="1:16" x14ac:dyDescent="0.25">
      <c r="A298" t="s">
        <v>319</v>
      </c>
      <c r="B298" s="2">
        <v>44138</v>
      </c>
      <c r="C298">
        <v>2020</v>
      </c>
      <c r="D298" t="str">
        <f t="shared" si="8"/>
        <v>Nov</v>
      </c>
      <c r="E298" t="s">
        <v>14</v>
      </c>
      <c r="F298" t="s">
        <v>2045</v>
      </c>
      <c r="G298" t="s">
        <v>19</v>
      </c>
      <c r="H298" t="s">
        <v>25</v>
      </c>
      <c r="I298">
        <v>3</v>
      </c>
      <c r="J298" s="9">
        <v>11900</v>
      </c>
      <c r="K298" s="7">
        <v>0.1</v>
      </c>
      <c r="L298" s="9">
        <v>10710</v>
      </c>
      <c r="M298" s="10">
        <f>Sales_Data3[[#This Row],[Profit]]/Sales_Data3[[#This Row],[Sales]]</f>
        <v>0.9</v>
      </c>
      <c r="N298" t="str">
        <f t="shared" si="9"/>
        <v>High</v>
      </c>
      <c r="O298" s="2">
        <v>44138</v>
      </c>
      <c r="P298" s="9">
        <v>11900</v>
      </c>
    </row>
    <row r="299" spans="1:16" x14ac:dyDescent="0.25">
      <c r="A299" t="s">
        <v>320</v>
      </c>
      <c r="B299" s="2">
        <v>44139</v>
      </c>
      <c r="C299">
        <v>2020</v>
      </c>
      <c r="D299" t="str">
        <f t="shared" si="8"/>
        <v>Nov</v>
      </c>
      <c r="E299" t="s">
        <v>14</v>
      </c>
      <c r="F299" t="s">
        <v>2046</v>
      </c>
      <c r="G299" t="s">
        <v>20</v>
      </c>
      <c r="H299" t="s">
        <v>25</v>
      </c>
      <c r="I299">
        <v>6</v>
      </c>
      <c r="J299" s="9">
        <v>14300</v>
      </c>
      <c r="K299" s="7">
        <v>0.15000000000000002</v>
      </c>
      <c r="L299" s="9">
        <v>12155</v>
      </c>
      <c r="M299" s="10">
        <f>Sales_Data3[[#This Row],[Profit]]/Sales_Data3[[#This Row],[Sales]]</f>
        <v>0.85</v>
      </c>
      <c r="N299" t="str">
        <f t="shared" si="9"/>
        <v>High</v>
      </c>
      <c r="O299" s="2">
        <v>44139</v>
      </c>
      <c r="P299" s="9">
        <v>14300</v>
      </c>
    </row>
    <row r="300" spans="1:16" x14ac:dyDescent="0.25">
      <c r="A300" t="s">
        <v>321</v>
      </c>
      <c r="B300" s="2">
        <v>44140</v>
      </c>
      <c r="C300">
        <v>2020</v>
      </c>
      <c r="D300" t="str">
        <f t="shared" si="8"/>
        <v>Nov</v>
      </c>
      <c r="E300" t="s">
        <v>14</v>
      </c>
      <c r="F300" t="s">
        <v>2047</v>
      </c>
      <c r="G300" t="s">
        <v>21</v>
      </c>
      <c r="H300" t="s">
        <v>25</v>
      </c>
      <c r="I300">
        <v>6</v>
      </c>
      <c r="J300" s="9">
        <v>13300</v>
      </c>
      <c r="K300" s="7">
        <v>0.2</v>
      </c>
      <c r="L300" s="9">
        <v>10640</v>
      </c>
      <c r="M300" s="10">
        <f>Sales_Data3[[#This Row],[Profit]]/Sales_Data3[[#This Row],[Sales]]</f>
        <v>0.8</v>
      </c>
      <c r="N300" t="str">
        <f t="shared" si="9"/>
        <v>High</v>
      </c>
      <c r="O300" s="2">
        <v>44140</v>
      </c>
      <c r="P300" s="9">
        <v>13300</v>
      </c>
    </row>
    <row r="301" spans="1:16" x14ac:dyDescent="0.25">
      <c r="A301" t="s">
        <v>322</v>
      </c>
      <c r="B301" s="2">
        <v>44141</v>
      </c>
      <c r="C301">
        <v>2020</v>
      </c>
      <c r="D301" t="str">
        <f t="shared" si="8"/>
        <v>Nov</v>
      </c>
      <c r="E301" t="s">
        <v>14</v>
      </c>
      <c r="F301" t="s">
        <v>2048</v>
      </c>
      <c r="G301" t="s">
        <v>22</v>
      </c>
      <c r="H301" t="s">
        <v>25</v>
      </c>
      <c r="I301">
        <v>10</v>
      </c>
      <c r="J301" s="9">
        <v>7500</v>
      </c>
      <c r="K301" s="7">
        <v>0.25</v>
      </c>
      <c r="L301" s="9">
        <v>5625</v>
      </c>
      <c r="M301" s="10">
        <f>Sales_Data3[[#This Row],[Profit]]/Sales_Data3[[#This Row],[Sales]]</f>
        <v>0.75</v>
      </c>
      <c r="N301" t="str">
        <f t="shared" si="9"/>
        <v>Medium</v>
      </c>
      <c r="O301" s="2">
        <v>44141</v>
      </c>
      <c r="P301" s="9">
        <v>7500</v>
      </c>
    </row>
    <row r="302" spans="1:16" x14ac:dyDescent="0.25">
      <c r="A302" t="s">
        <v>323</v>
      </c>
      <c r="B302" s="2">
        <v>44142</v>
      </c>
      <c r="C302">
        <v>2020</v>
      </c>
      <c r="D302" t="str">
        <f t="shared" si="8"/>
        <v>Nov</v>
      </c>
      <c r="E302" t="s">
        <v>12</v>
      </c>
      <c r="F302" t="s">
        <v>15</v>
      </c>
      <c r="G302" t="s">
        <v>19</v>
      </c>
      <c r="H302" t="s">
        <v>23</v>
      </c>
      <c r="I302">
        <v>2</v>
      </c>
      <c r="J302" s="9">
        <v>4900</v>
      </c>
      <c r="K302" s="7">
        <v>0.05</v>
      </c>
      <c r="L302" s="9">
        <v>4655</v>
      </c>
      <c r="M302" s="10">
        <f>Sales_Data3[[#This Row],[Profit]]/Sales_Data3[[#This Row],[Sales]]</f>
        <v>0.95</v>
      </c>
      <c r="N302" t="str">
        <f t="shared" si="9"/>
        <v>Low</v>
      </c>
      <c r="O302" s="2">
        <v>44142</v>
      </c>
      <c r="P302" s="9">
        <v>4900</v>
      </c>
    </row>
    <row r="303" spans="1:16" x14ac:dyDescent="0.25">
      <c r="A303" t="s">
        <v>324</v>
      </c>
      <c r="B303" s="2">
        <v>44143</v>
      </c>
      <c r="C303">
        <v>2020</v>
      </c>
      <c r="D303" t="str">
        <f t="shared" si="8"/>
        <v>Nov</v>
      </c>
      <c r="E303" t="s">
        <v>12</v>
      </c>
      <c r="F303" t="s">
        <v>17</v>
      </c>
      <c r="G303" t="s">
        <v>20</v>
      </c>
      <c r="H303" t="s">
        <v>23</v>
      </c>
      <c r="I303">
        <v>3</v>
      </c>
      <c r="J303" s="9">
        <v>5100</v>
      </c>
      <c r="K303" s="7">
        <v>0.1</v>
      </c>
      <c r="L303" s="9">
        <v>4590</v>
      </c>
      <c r="M303" s="10">
        <f>Sales_Data3[[#This Row],[Profit]]/Sales_Data3[[#This Row],[Sales]]</f>
        <v>0.9</v>
      </c>
      <c r="N303" t="str">
        <f t="shared" si="9"/>
        <v>Medium</v>
      </c>
      <c r="O303" s="2">
        <v>44143</v>
      </c>
      <c r="P303" s="9">
        <v>5100</v>
      </c>
    </row>
    <row r="304" spans="1:16" x14ac:dyDescent="0.25">
      <c r="A304" t="s">
        <v>325</v>
      </c>
      <c r="B304" s="2">
        <v>44144</v>
      </c>
      <c r="C304">
        <v>2020</v>
      </c>
      <c r="D304" t="str">
        <f t="shared" si="8"/>
        <v>Nov</v>
      </c>
      <c r="E304" t="s">
        <v>12</v>
      </c>
      <c r="F304" t="s">
        <v>2023</v>
      </c>
      <c r="G304" t="s">
        <v>21</v>
      </c>
      <c r="H304" t="s">
        <v>23</v>
      </c>
      <c r="I304">
        <v>2</v>
      </c>
      <c r="J304" s="9">
        <v>14300</v>
      </c>
      <c r="K304" s="7">
        <v>0.15000000000000002</v>
      </c>
      <c r="L304" s="9">
        <v>12155</v>
      </c>
      <c r="M304" s="10">
        <f>Sales_Data3[[#This Row],[Profit]]/Sales_Data3[[#This Row],[Sales]]</f>
        <v>0.85</v>
      </c>
      <c r="N304" t="str">
        <f t="shared" si="9"/>
        <v>High</v>
      </c>
      <c r="O304" s="2">
        <v>44144</v>
      </c>
      <c r="P304" s="9">
        <v>14300</v>
      </c>
    </row>
    <row r="305" spans="1:16" x14ac:dyDescent="0.25">
      <c r="A305" t="s">
        <v>326</v>
      </c>
      <c r="B305" s="2">
        <v>44145</v>
      </c>
      <c r="C305">
        <v>2020</v>
      </c>
      <c r="D305" t="str">
        <f t="shared" si="8"/>
        <v>Nov</v>
      </c>
      <c r="E305" t="s">
        <v>12</v>
      </c>
      <c r="F305" t="s">
        <v>18</v>
      </c>
      <c r="G305" t="s">
        <v>22</v>
      </c>
      <c r="H305" t="s">
        <v>23</v>
      </c>
      <c r="I305">
        <v>3</v>
      </c>
      <c r="J305" s="9">
        <v>7600</v>
      </c>
      <c r="K305" s="7">
        <v>0.2</v>
      </c>
      <c r="L305" s="9">
        <v>6080</v>
      </c>
      <c r="M305" s="10">
        <f>Sales_Data3[[#This Row],[Profit]]/Sales_Data3[[#This Row],[Sales]]</f>
        <v>0.8</v>
      </c>
      <c r="N305" t="str">
        <f t="shared" si="9"/>
        <v>Medium</v>
      </c>
      <c r="O305" s="2">
        <v>44145</v>
      </c>
      <c r="P305" s="9">
        <v>7600</v>
      </c>
    </row>
    <row r="306" spans="1:16" x14ac:dyDescent="0.25">
      <c r="A306" t="s">
        <v>327</v>
      </c>
      <c r="B306" s="2">
        <v>44146</v>
      </c>
      <c r="C306">
        <v>2020</v>
      </c>
      <c r="D306" t="str">
        <f t="shared" si="8"/>
        <v>Nov</v>
      </c>
      <c r="E306" t="s">
        <v>12</v>
      </c>
      <c r="F306" t="s">
        <v>2024</v>
      </c>
      <c r="G306" t="s">
        <v>19</v>
      </c>
      <c r="H306" t="s">
        <v>23</v>
      </c>
      <c r="I306">
        <v>7</v>
      </c>
      <c r="J306" s="9">
        <v>5900</v>
      </c>
      <c r="K306" s="7">
        <v>0.25</v>
      </c>
      <c r="L306" s="9">
        <v>4425</v>
      </c>
      <c r="M306" s="10">
        <f>Sales_Data3[[#This Row],[Profit]]/Sales_Data3[[#This Row],[Sales]]</f>
        <v>0.75</v>
      </c>
      <c r="N306" t="str">
        <f t="shared" si="9"/>
        <v>Medium</v>
      </c>
      <c r="O306" s="2">
        <v>44146</v>
      </c>
      <c r="P306" s="9">
        <v>5900</v>
      </c>
    </row>
    <row r="307" spans="1:16" x14ac:dyDescent="0.25">
      <c r="A307" t="s">
        <v>328</v>
      </c>
      <c r="B307" s="2">
        <v>44147</v>
      </c>
      <c r="C307">
        <v>2020</v>
      </c>
      <c r="D307" t="str">
        <f t="shared" si="8"/>
        <v>Nov</v>
      </c>
      <c r="E307" t="s">
        <v>12</v>
      </c>
      <c r="F307" t="s">
        <v>2025</v>
      </c>
      <c r="G307" t="s">
        <v>20</v>
      </c>
      <c r="H307" t="s">
        <v>23</v>
      </c>
      <c r="I307">
        <v>8</v>
      </c>
      <c r="J307" s="9">
        <v>4100</v>
      </c>
      <c r="K307" s="7">
        <v>0.05</v>
      </c>
      <c r="L307" s="9">
        <v>3895</v>
      </c>
      <c r="M307" s="10">
        <f>Sales_Data3[[#This Row],[Profit]]/Sales_Data3[[#This Row],[Sales]]</f>
        <v>0.95</v>
      </c>
      <c r="N307" t="str">
        <f t="shared" si="9"/>
        <v>Low</v>
      </c>
      <c r="O307" s="2">
        <v>44147</v>
      </c>
      <c r="P307" s="9">
        <v>4100</v>
      </c>
    </row>
    <row r="308" spans="1:16" x14ac:dyDescent="0.25">
      <c r="A308" t="s">
        <v>329</v>
      </c>
      <c r="B308" s="2">
        <v>44148</v>
      </c>
      <c r="C308">
        <v>2020</v>
      </c>
      <c r="D308" t="str">
        <f t="shared" si="8"/>
        <v>Nov</v>
      </c>
      <c r="E308" t="s">
        <v>12</v>
      </c>
      <c r="F308" t="s">
        <v>2026</v>
      </c>
      <c r="G308" t="s">
        <v>21</v>
      </c>
      <c r="H308" t="s">
        <v>23</v>
      </c>
      <c r="I308">
        <v>6</v>
      </c>
      <c r="J308" s="9">
        <v>10700</v>
      </c>
      <c r="K308" s="7">
        <v>0.1</v>
      </c>
      <c r="L308" s="9">
        <v>9630</v>
      </c>
      <c r="M308" s="10">
        <f>Sales_Data3[[#This Row],[Profit]]/Sales_Data3[[#This Row],[Sales]]</f>
        <v>0.9</v>
      </c>
      <c r="N308" t="str">
        <f t="shared" si="9"/>
        <v>High</v>
      </c>
      <c r="O308" s="2">
        <v>44148</v>
      </c>
      <c r="P308" s="9">
        <v>10700</v>
      </c>
    </row>
    <row r="309" spans="1:16" x14ac:dyDescent="0.25">
      <c r="A309" t="s">
        <v>330</v>
      </c>
      <c r="B309" s="2">
        <v>44149</v>
      </c>
      <c r="C309">
        <v>2020</v>
      </c>
      <c r="D309" t="str">
        <f t="shared" si="8"/>
        <v>Nov</v>
      </c>
      <c r="E309" t="s">
        <v>12</v>
      </c>
      <c r="F309" t="s">
        <v>2027</v>
      </c>
      <c r="G309" t="s">
        <v>22</v>
      </c>
      <c r="H309" t="s">
        <v>23</v>
      </c>
      <c r="I309">
        <v>10</v>
      </c>
      <c r="J309" s="9">
        <v>6600</v>
      </c>
      <c r="K309" s="7">
        <v>0.15000000000000002</v>
      </c>
      <c r="L309" s="9">
        <v>5610</v>
      </c>
      <c r="M309" s="10">
        <f>Sales_Data3[[#This Row],[Profit]]/Sales_Data3[[#This Row],[Sales]]</f>
        <v>0.85</v>
      </c>
      <c r="N309" t="str">
        <f t="shared" si="9"/>
        <v>Medium</v>
      </c>
      <c r="O309" s="2">
        <v>44149</v>
      </c>
      <c r="P309" s="9">
        <v>6600</v>
      </c>
    </row>
    <row r="310" spans="1:16" x14ac:dyDescent="0.25">
      <c r="A310" t="s">
        <v>331</v>
      </c>
      <c r="B310" s="2">
        <v>44150</v>
      </c>
      <c r="C310">
        <v>2020</v>
      </c>
      <c r="D310" t="str">
        <f t="shared" si="8"/>
        <v>Nov</v>
      </c>
      <c r="E310" t="s">
        <v>12</v>
      </c>
      <c r="F310" t="s">
        <v>2028</v>
      </c>
      <c r="G310" t="s">
        <v>19</v>
      </c>
      <c r="H310" t="s">
        <v>23</v>
      </c>
      <c r="I310">
        <v>1</v>
      </c>
      <c r="J310" s="9">
        <v>7400</v>
      </c>
      <c r="K310" s="7">
        <v>0.2</v>
      </c>
      <c r="L310" s="9">
        <v>5920</v>
      </c>
      <c r="M310" s="10">
        <f>Sales_Data3[[#This Row],[Profit]]/Sales_Data3[[#This Row],[Sales]]</f>
        <v>0.8</v>
      </c>
      <c r="N310" t="str">
        <f t="shared" si="9"/>
        <v>Medium</v>
      </c>
      <c r="O310" s="2">
        <v>44150</v>
      </c>
      <c r="P310" s="9">
        <v>7400</v>
      </c>
    </row>
    <row r="311" spans="1:16" x14ac:dyDescent="0.25">
      <c r="A311" t="s">
        <v>332</v>
      </c>
      <c r="B311" s="2">
        <v>44151</v>
      </c>
      <c r="C311">
        <v>2020</v>
      </c>
      <c r="D311" t="str">
        <f t="shared" si="8"/>
        <v>Nov</v>
      </c>
      <c r="E311" t="s">
        <v>12</v>
      </c>
      <c r="F311" t="s">
        <v>2029</v>
      </c>
      <c r="G311" t="s">
        <v>20</v>
      </c>
      <c r="H311" t="s">
        <v>23</v>
      </c>
      <c r="I311">
        <v>5</v>
      </c>
      <c r="J311" s="9">
        <v>13800</v>
      </c>
      <c r="K311" s="7">
        <v>0.25</v>
      </c>
      <c r="L311" s="9">
        <v>10350</v>
      </c>
      <c r="M311" s="10">
        <f>Sales_Data3[[#This Row],[Profit]]/Sales_Data3[[#This Row],[Sales]]</f>
        <v>0.75</v>
      </c>
      <c r="N311" t="str">
        <f t="shared" si="9"/>
        <v>High</v>
      </c>
      <c r="O311" s="2">
        <v>44151</v>
      </c>
      <c r="P311" s="9">
        <v>13800</v>
      </c>
    </row>
    <row r="312" spans="1:16" x14ac:dyDescent="0.25">
      <c r="A312" t="s">
        <v>333</v>
      </c>
      <c r="B312" s="2">
        <v>44152</v>
      </c>
      <c r="C312">
        <v>2020</v>
      </c>
      <c r="D312" t="str">
        <f t="shared" si="8"/>
        <v>Nov</v>
      </c>
      <c r="E312" t="s">
        <v>13</v>
      </c>
      <c r="F312" t="s">
        <v>16</v>
      </c>
      <c r="G312" t="s">
        <v>21</v>
      </c>
      <c r="H312" t="s">
        <v>24</v>
      </c>
      <c r="I312">
        <v>4</v>
      </c>
      <c r="J312" s="9">
        <v>9500</v>
      </c>
      <c r="K312" s="7">
        <v>0.05</v>
      </c>
      <c r="L312" s="9">
        <v>9025</v>
      </c>
      <c r="M312" s="10">
        <f>Sales_Data3[[#This Row],[Profit]]/Sales_Data3[[#This Row],[Sales]]</f>
        <v>0.95</v>
      </c>
      <c r="N312" t="str">
        <f t="shared" si="9"/>
        <v>Medium</v>
      </c>
      <c r="O312" s="2">
        <v>44152</v>
      </c>
      <c r="P312" s="9">
        <v>9500</v>
      </c>
    </row>
    <row r="313" spans="1:16" x14ac:dyDescent="0.25">
      <c r="A313" t="s">
        <v>334</v>
      </c>
      <c r="B313" s="2">
        <v>44153</v>
      </c>
      <c r="C313">
        <v>2020</v>
      </c>
      <c r="D313" t="str">
        <f t="shared" si="8"/>
        <v>Nov</v>
      </c>
      <c r="E313" t="s">
        <v>13</v>
      </c>
      <c r="F313" t="s">
        <v>2030</v>
      </c>
      <c r="G313" t="s">
        <v>22</v>
      </c>
      <c r="H313" t="s">
        <v>24</v>
      </c>
      <c r="I313">
        <v>8</v>
      </c>
      <c r="J313" s="9">
        <v>12100</v>
      </c>
      <c r="K313" s="7">
        <v>0.1</v>
      </c>
      <c r="L313" s="9">
        <v>10890</v>
      </c>
      <c r="M313" s="10">
        <f>Sales_Data3[[#This Row],[Profit]]/Sales_Data3[[#This Row],[Sales]]</f>
        <v>0.9</v>
      </c>
      <c r="N313" t="str">
        <f t="shared" si="9"/>
        <v>High</v>
      </c>
      <c r="O313" s="2">
        <v>44153</v>
      </c>
      <c r="P313" s="9">
        <v>12100</v>
      </c>
    </row>
    <row r="314" spans="1:16" x14ac:dyDescent="0.25">
      <c r="A314" t="s">
        <v>335</v>
      </c>
      <c r="B314" s="2">
        <v>44154</v>
      </c>
      <c r="C314">
        <v>2020</v>
      </c>
      <c r="D314" t="str">
        <f t="shared" si="8"/>
        <v>Nov</v>
      </c>
      <c r="E314" t="s">
        <v>13</v>
      </c>
      <c r="F314" t="s">
        <v>2031</v>
      </c>
      <c r="G314" t="s">
        <v>19</v>
      </c>
      <c r="H314" t="s">
        <v>24</v>
      </c>
      <c r="I314">
        <v>1</v>
      </c>
      <c r="J314" s="9">
        <v>11900</v>
      </c>
      <c r="K314" s="7">
        <v>0.15000000000000002</v>
      </c>
      <c r="L314" s="9">
        <v>10115</v>
      </c>
      <c r="M314" s="10">
        <f>Sales_Data3[[#This Row],[Profit]]/Sales_Data3[[#This Row],[Sales]]</f>
        <v>0.85</v>
      </c>
      <c r="N314" t="str">
        <f t="shared" si="9"/>
        <v>High</v>
      </c>
      <c r="O314" s="2">
        <v>44154</v>
      </c>
      <c r="P314" s="9">
        <v>11900</v>
      </c>
    </row>
    <row r="315" spans="1:16" x14ac:dyDescent="0.25">
      <c r="A315" t="s">
        <v>336</v>
      </c>
      <c r="B315" s="2">
        <v>44155</v>
      </c>
      <c r="C315">
        <v>2020</v>
      </c>
      <c r="D315" t="str">
        <f t="shared" si="8"/>
        <v>Nov</v>
      </c>
      <c r="E315" t="s">
        <v>13</v>
      </c>
      <c r="F315" t="s">
        <v>2032</v>
      </c>
      <c r="G315" t="s">
        <v>20</v>
      </c>
      <c r="H315" t="s">
        <v>24</v>
      </c>
      <c r="I315">
        <v>4</v>
      </c>
      <c r="J315" s="9">
        <v>14200</v>
      </c>
      <c r="K315" s="7">
        <v>0.2</v>
      </c>
      <c r="L315" s="9">
        <v>11360</v>
      </c>
      <c r="M315" s="10">
        <f>Sales_Data3[[#This Row],[Profit]]/Sales_Data3[[#This Row],[Sales]]</f>
        <v>0.8</v>
      </c>
      <c r="N315" t="str">
        <f t="shared" si="9"/>
        <v>High</v>
      </c>
      <c r="O315" s="2">
        <v>44155</v>
      </c>
      <c r="P315" s="9">
        <v>14200</v>
      </c>
    </row>
    <row r="316" spans="1:16" x14ac:dyDescent="0.25">
      <c r="A316" t="s">
        <v>337</v>
      </c>
      <c r="B316" s="2">
        <v>44156</v>
      </c>
      <c r="C316">
        <v>2020</v>
      </c>
      <c r="D316" t="str">
        <f t="shared" si="8"/>
        <v>Nov</v>
      </c>
      <c r="E316" t="s">
        <v>13</v>
      </c>
      <c r="F316" t="s">
        <v>2033</v>
      </c>
      <c r="G316" t="s">
        <v>21</v>
      </c>
      <c r="H316" t="s">
        <v>24</v>
      </c>
      <c r="I316">
        <v>8</v>
      </c>
      <c r="J316" s="9">
        <v>15000</v>
      </c>
      <c r="K316" s="7">
        <v>0.25</v>
      </c>
      <c r="L316" s="9">
        <v>11250</v>
      </c>
      <c r="M316" s="10">
        <f>Sales_Data3[[#This Row],[Profit]]/Sales_Data3[[#This Row],[Sales]]</f>
        <v>0.75</v>
      </c>
      <c r="N316" t="str">
        <f t="shared" si="9"/>
        <v>High</v>
      </c>
      <c r="O316" s="2">
        <v>44156</v>
      </c>
      <c r="P316" s="9">
        <v>15000</v>
      </c>
    </row>
    <row r="317" spans="1:16" x14ac:dyDescent="0.25">
      <c r="A317" t="s">
        <v>338</v>
      </c>
      <c r="B317" s="2">
        <v>44157</v>
      </c>
      <c r="C317">
        <v>2020</v>
      </c>
      <c r="D317" t="str">
        <f t="shared" si="8"/>
        <v>Nov</v>
      </c>
      <c r="E317" t="s">
        <v>13</v>
      </c>
      <c r="F317" t="s">
        <v>2034</v>
      </c>
      <c r="G317" t="s">
        <v>22</v>
      </c>
      <c r="H317" t="s">
        <v>24</v>
      </c>
      <c r="I317">
        <v>6</v>
      </c>
      <c r="J317" s="9">
        <v>12800</v>
      </c>
      <c r="K317" s="7">
        <v>0.05</v>
      </c>
      <c r="L317" s="9">
        <v>12160</v>
      </c>
      <c r="M317" s="10">
        <f>Sales_Data3[[#This Row],[Profit]]/Sales_Data3[[#This Row],[Sales]]</f>
        <v>0.95</v>
      </c>
      <c r="N317" t="str">
        <f t="shared" si="9"/>
        <v>High</v>
      </c>
      <c r="O317" s="2">
        <v>44157</v>
      </c>
      <c r="P317" s="9">
        <v>12800</v>
      </c>
    </row>
    <row r="318" spans="1:16" x14ac:dyDescent="0.25">
      <c r="A318" t="s">
        <v>339</v>
      </c>
      <c r="B318" s="2">
        <v>44158</v>
      </c>
      <c r="C318">
        <v>2020</v>
      </c>
      <c r="D318" t="str">
        <f t="shared" si="8"/>
        <v>Nov</v>
      </c>
      <c r="E318" t="s">
        <v>13</v>
      </c>
      <c r="F318" t="s">
        <v>2035</v>
      </c>
      <c r="G318" t="s">
        <v>19</v>
      </c>
      <c r="H318" t="s">
        <v>24</v>
      </c>
      <c r="I318">
        <v>7</v>
      </c>
      <c r="J318" s="9">
        <v>5000</v>
      </c>
      <c r="K318" s="7">
        <v>0.1</v>
      </c>
      <c r="L318" s="9">
        <v>4500</v>
      </c>
      <c r="M318" s="10">
        <f>Sales_Data3[[#This Row],[Profit]]/Sales_Data3[[#This Row],[Sales]]</f>
        <v>0.9</v>
      </c>
      <c r="N318" t="str">
        <f t="shared" si="9"/>
        <v>Low</v>
      </c>
      <c r="O318" s="2">
        <v>44158</v>
      </c>
      <c r="P318" s="9">
        <v>5000</v>
      </c>
    </row>
    <row r="319" spans="1:16" x14ac:dyDescent="0.25">
      <c r="A319" t="s">
        <v>340</v>
      </c>
      <c r="B319" s="2">
        <v>44159</v>
      </c>
      <c r="C319">
        <v>2020</v>
      </c>
      <c r="D319" t="str">
        <f t="shared" si="8"/>
        <v>Nov</v>
      </c>
      <c r="E319" t="s">
        <v>13</v>
      </c>
      <c r="F319" t="s">
        <v>2036</v>
      </c>
      <c r="G319" t="s">
        <v>20</v>
      </c>
      <c r="H319" t="s">
        <v>24</v>
      </c>
      <c r="I319">
        <v>2</v>
      </c>
      <c r="J319" s="9">
        <v>12700</v>
      </c>
      <c r="K319" s="7">
        <v>0.15000000000000002</v>
      </c>
      <c r="L319" s="9">
        <v>10795</v>
      </c>
      <c r="M319" s="10">
        <f>Sales_Data3[[#This Row],[Profit]]/Sales_Data3[[#This Row],[Sales]]</f>
        <v>0.85</v>
      </c>
      <c r="N319" t="str">
        <f t="shared" si="9"/>
        <v>High</v>
      </c>
      <c r="O319" s="2">
        <v>44159</v>
      </c>
      <c r="P319" s="9">
        <v>12700</v>
      </c>
    </row>
    <row r="320" spans="1:16" x14ac:dyDescent="0.25">
      <c r="A320" t="s">
        <v>341</v>
      </c>
      <c r="B320" s="2">
        <v>44160</v>
      </c>
      <c r="C320">
        <v>2020</v>
      </c>
      <c r="D320" t="str">
        <f t="shared" si="8"/>
        <v>Nov</v>
      </c>
      <c r="E320" t="s">
        <v>13</v>
      </c>
      <c r="F320" t="s">
        <v>2037</v>
      </c>
      <c r="G320" t="s">
        <v>21</v>
      </c>
      <c r="H320" t="s">
        <v>24</v>
      </c>
      <c r="I320">
        <v>5</v>
      </c>
      <c r="J320" s="9">
        <v>11600</v>
      </c>
      <c r="K320" s="7">
        <v>0.2</v>
      </c>
      <c r="L320" s="9">
        <v>9280</v>
      </c>
      <c r="M320" s="10">
        <f>Sales_Data3[[#This Row],[Profit]]/Sales_Data3[[#This Row],[Sales]]</f>
        <v>0.8</v>
      </c>
      <c r="N320" t="str">
        <f t="shared" si="9"/>
        <v>High</v>
      </c>
      <c r="O320" s="2">
        <v>44160</v>
      </c>
      <c r="P320" s="9">
        <v>11600</v>
      </c>
    </row>
    <row r="321" spans="1:16" x14ac:dyDescent="0.25">
      <c r="A321" t="s">
        <v>342</v>
      </c>
      <c r="B321" s="2">
        <v>44161</v>
      </c>
      <c r="C321">
        <v>2020</v>
      </c>
      <c r="D321" t="str">
        <f t="shared" si="8"/>
        <v>Nov</v>
      </c>
      <c r="E321" t="s">
        <v>13</v>
      </c>
      <c r="F321" t="s">
        <v>2038</v>
      </c>
      <c r="G321" t="s">
        <v>22</v>
      </c>
      <c r="H321" t="s">
        <v>24</v>
      </c>
      <c r="I321">
        <v>4</v>
      </c>
      <c r="J321" s="9">
        <v>10200</v>
      </c>
      <c r="K321" s="7">
        <v>0.25</v>
      </c>
      <c r="L321" s="9">
        <v>7650</v>
      </c>
      <c r="M321" s="10">
        <f>Sales_Data3[[#This Row],[Profit]]/Sales_Data3[[#This Row],[Sales]]</f>
        <v>0.75</v>
      </c>
      <c r="N321" t="str">
        <f t="shared" si="9"/>
        <v>High</v>
      </c>
      <c r="O321" s="2">
        <v>44161</v>
      </c>
      <c r="P321" s="9">
        <v>10200</v>
      </c>
    </row>
    <row r="322" spans="1:16" x14ac:dyDescent="0.25">
      <c r="A322" t="s">
        <v>343</v>
      </c>
      <c r="B322" s="2">
        <v>44162</v>
      </c>
      <c r="C322">
        <v>2020</v>
      </c>
      <c r="D322" t="str">
        <f t="shared" ref="D322:D385" si="10">TEXT(B322,"MMM")</f>
        <v>Nov</v>
      </c>
      <c r="E322" t="s">
        <v>14</v>
      </c>
      <c r="F322" t="s">
        <v>2039</v>
      </c>
      <c r="G322" t="s">
        <v>19</v>
      </c>
      <c r="H322" t="s">
        <v>25</v>
      </c>
      <c r="I322">
        <v>5</v>
      </c>
      <c r="J322" s="9">
        <v>14100</v>
      </c>
      <c r="K322" s="7">
        <v>0.05</v>
      </c>
      <c r="L322" s="9">
        <v>13395</v>
      </c>
      <c r="M322" s="10">
        <f>Sales_Data3[[#This Row],[Profit]]/Sales_Data3[[#This Row],[Sales]]</f>
        <v>0.95</v>
      </c>
      <c r="N322" t="str">
        <f t="shared" ref="N322:N385" si="11">IF(J322&gt;10000,"High",IF(J322&gt;5000,"Medium","Low"))</f>
        <v>High</v>
      </c>
      <c r="O322" s="2">
        <v>44162</v>
      </c>
      <c r="P322" s="9">
        <v>14100</v>
      </c>
    </row>
    <row r="323" spans="1:16" x14ac:dyDescent="0.25">
      <c r="A323" t="s">
        <v>344</v>
      </c>
      <c r="B323" s="2">
        <v>44163</v>
      </c>
      <c r="C323">
        <v>2020</v>
      </c>
      <c r="D323" t="str">
        <f t="shared" si="10"/>
        <v>Nov</v>
      </c>
      <c r="E323" t="s">
        <v>14</v>
      </c>
      <c r="F323" t="s">
        <v>2040</v>
      </c>
      <c r="G323" t="s">
        <v>20</v>
      </c>
      <c r="H323" t="s">
        <v>25</v>
      </c>
      <c r="I323">
        <v>2</v>
      </c>
      <c r="J323" s="9">
        <v>7900</v>
      </c>
      <c r="K323" s="7">
        <v>0.1</v>
      </c>
      <c r="L323" s="9">
        <v>7110</v>
      </c>
      <c r="M323" s="10">
        <f>Sales_Data3[[#This Row],[Profit]]/Sales_Data3[[#This Row],[Sales]]</f>
        <v>0.9</v>
      </c>
      <c r="N323" t="str">
        <f t="shared" si="11"/>
        <v>Medium</v>
      </c>
      <c r="O323" s="2">
        <v>44163</v>
      </c>
      <c r="P323" s="9">
        <v>7900</v>
      </c>
    </row>
    <row r="324" spans="1:16" x14ac:dyDescent="0.25">
      <c r="A324" t="s">
        <v>345</v>
      </c>
      <c r="B324" s="2">
        <v>44164</v>
      </c>
      <c r="C324">
        <v>2020</v>
      </c>
      <c r="D324" t="str">
        <f t="shared" si="10"/>
        <v>Nov</v>
      </c>
      <c r="E324" t="s">
        <v>14</v>
      </c>
      <c r="F324" t="s">
        <v>2041</v>
      </c>
      <c r="G324" t="s">
        <v>21</v>
      </c>
      <c r="H324" t="s">
        <v>25</v>
      </c>
      <c r="I324">
        <v>3</v>
      </c>
      <c r="J324" s="9">
        <v>14600</v>
      </c>
      <c r="K324" s="7">
        <v>0.15000000000000002</v>
      </c>
      <c r="L324" s="9">
        <v>12410</v>
      </c>
      <c r="M324" s="10">
        <f>Sales_Data3[[#This Row],[Profit]]/Sales_Data3[[#This Row],[Sales]]</f>
        <v>0.85</v>
      </c>
      <c r="N324" t="str">
        <f t="shared" si="11"/>
        <v>High</v>
      </c>
      <c r="O324" s="2">
        <v>44164</v>
      </c>
      <c r="P324" s="9">
        <v>14600</v>
      </c>
    </row>
    <row r="325" spans="1:16" x14ac:dyDescent="0.25">
      <c r="A325" t="s">
        <v>346</v>
      </c>
      <c r="B325" s="2">
        <v>44165</v>
      </c>
      <c r="C325">
        <v>2020</v>
      </c>
      <c r="D325" t="str">
        <f t="shared" si="10"/>
        <v>Nov</v>
      </c>
      <c r="E325" t="s">
        <v>14</v>
      </c>
      <c r="F325" t="s">
        <v>2042</v>
      </c>
      <c r="G325" t="s">
        <v>22</v>
      </c>
      <c r="H325" t="s">
        <v>25</v>
      </c>
      <c r="I325">
        <v>2</v>
      </c>
      <c r="J325" s="9">
        <v>7100</v>
      </c>
      <c r="K325" s="7">
        <v>0.2</v>
      </c>
      <c r="L325" s="9">
        <v>5680</v>
      </c>
      <c r="M325" s="10">
        <f>Sales_Data3[[#This Row],[Profit]]/Sales_Data3[[#This Row],[Sales]]</f>
        <v>0.8</v>
      </c>
      <c r="N325" t="str">
        <f t="shared" si="11"/>
        <v>Medium</v>
      </c>
      <c r="O325" s="2">
        <v>44165</v>
      </c>
      <c r="P325" s="9">
        <v>7100</v>
      </c>
    </row>
    <row r="326" spans="1:16" x14ac:dyDescent="0.25">
      <c r="A326" t="s">
        <v>347</v>
      </c>
      <c r="B326" s="2">
        <v>44166</v>
      </c>
      <c r="C326">
        <v>2020</v>
      </c>
      <c r="D326" t="str">
        <f t="shared" si="10"/>
        <v>Dec</v>
      </c>
      <c r="E326" t="s">
        <v>14</v>
      </c>
      <c r="F326" t="s">
        <v>2043</v>
      </c>
      <c r="G326" t="s">
        <v>19</v>
      </c>
      <c r="H326" t="s">
        <v>25</v>
      </c>
      <c r="I326">
        <v>9</v>
      </c>
      <c r="J326" s="9">
        <v>5700</v>
      </c>
      <c r="K326" s="7">
        <v>0.25</v>
      </c>
      <c r="L326" s="9">
        <v>4275</v>
      </c>
      <c r="M326" s="10">
        <f>Sales_Data3[[#This Row],[Profit]]/Sales_Data3[[#This Row],[Sales]]</f>
        <v>0.75</v>
      </c>
      <c r="N326" t="str">
        <f t="shared" si="11"/>
        <v>Medium</v>
      </c>
      <c r="O326" s="2">
        <v>44166</v>
      </c>
      <c r="P326" s="9">
        <v>5700</v>
      </c>
    </row>
    <row r="327" spans="1:16" x14ac:dyDescent="0.25">
      <c r="A327" t="s">
        <v>348</v>
      </c>
      <c r="B327" s="2">
        <v>44167</v>
      </c>
      <c r="C327">
        <v>2020</v>
      </c>
      <c r="D327" t="str">
        <f t="shared" si="10"/>
        <v>Dec</v>
      </c>
      <c r="E327" t="s">
        <v>14</v>
      </c>
      <c r="F327" t="s">
        <v>2044</v>
      </c>
      <c r="G327" t="s">
        <v>20</v>
      </c>
      <c r="H327" t="s">
        <v>25</v>
      </c>
      <c r="I327">
        <v>8</v>
      </c>
      <c r="J327" s="9">
        <v>11500</v>
      </c>
      <c r="K327" s="7">
        <v>0.05</v>
      </c>
      <c r="L327" s="9">
        <v>10925</v>
      </c>
      <c r="M327" s="10">
        <f>Sales_Data3[[#This Row],[Profit]]/Sales_Data3[[#This Row],[Sales]]</f>
        <v>0.95</v>
      </c>
      <c r="N327" t="str">
        <f t="shared" si="11"/>
        <v>High</v>
      </c>
      <c r="O327" s="2">
        <v>44167</v>
      </c>
      <c r="P327" s="9">
        <v>11500</v>
      </c>
    </row>
    <row r="328" spans="1:16" x14ac:dyDescent="0.25">
      <c r="A328" t="s">
        <v>349</v>
      </c>
      <c r="B328" s="2">
        <v>44168</v>
      </c>
      <c r="C328">
        <v>2020</v>
      </c>
      <c r="D328" t="str">
        <f t="shared" si="10"/>
        <v>Dec</v>
      </c>
      <c r="E328" t="s">
        <v>14</v>
      </c>
      <c r="F328" t="s">
        <v>2045</v>
      </c>
      <c r="G328" t="s">
        <v>21</v>
      </c>
      <c r="H328" t="s">
        <v>25</v>
      </c>
      <c r="I328">
        <v>2</v>
      </c>
      <c r="J328" s="9">
        <v>10900</v>
      </c>
      <c r="K328" s="7">
        <v>0.1</v>
      </c>
      <c r="L328" s="9">
        <v>9810</v>
      </c>
      <c r="M328" s="10">
        <f>Sales_Data3[[#This Row],[Profit]]/Sales_Data3[[#This Row],[Sales]]</f>
        <v>0.9</v>
      </c>
      <c r="N328" t="str">
        <f t="shared" si="11"/>
        <v>High</v>
      </c>
      <c r="O328" s="2">
        <v>44168</v>
      </c>
      <c r="P328" s="9">
        <v>10900</v>
      </c>
    </row>
    <row r="329" spans="1:16" x14ac:dyDescent="0.25">
      <c r="A329" t="s">
        <v>350</v>
      </c>
      <c r="B329" s="2">
        <v>44169</v>
      </c>
      <c r="C329">
        <v>2020</v>
      </c>
      <c r="D329" t="str">
        <f t="shared" si="10"/>
        <v>Dec</v>
      </c>
      <c r="E329" t="s">
        <v>14</v>
      </c>
      <c r="F329" t="s">
        <v>2046</v>
      </c>
      <c r="G329" t="s">
        <v>22</v>
      </c>
      <c r="H329" t="s">
        <v>25</v>
      </c>
      <c r="I329">
        <v>2</v>
      </c>
      <c r="J329" s="9">
        <v>12800</v>
      </c>
      <c r="K329" s="7">
        <v>0.15000000000000002</v>
      </c>
      <c r="L329" s="9">
        <v>10880</v>
      </c>
      <c r="M329" s="10">
        <f>Sales_Data3[[#This Row],[Profit]]/Sales_Data3[[#This Row],[Sales]]</f>
        <v>0.85</v>
      </c>
      <c r="N329" t="str">
        <f t="shared" si="11"/>
        <v>High</v>
      </c>
      <c r="O329" s="2">
        <v>44169</v>
      </c>
      <c r="P329" s="9">
        <v>12800</v>
      </c>
    </row>
    <row r="330" spans="1:16" x14ac:dyDescent="0.25">
      <c r="A330" t="s">
        <v>351</v>
      </c>
      <c r="B330" s="2">
        <v>44170</v>
      </c>
      <c r="C330">
        <v>2020</v>
      </c>
      <c r="D330" t="str">
        <f t="shared" si="10"/>
        <v>Dec</v>
      </c>
      <c r="E330" t="s">
        <v>14</v>
      </c>
      <c r="F330" t="s">
        <v>2047</v>
      </c>
      <c r="G330" t="s">
        <v>19</v>
      </c>
      <c r="H330" t="s">
        <v>25</v>
      </c>
      <c r="I330">
        <v>10</v>
      </c>
      <c r="J330" s="9">
        <v>4600</v>
      </c>
      <c r="K330" s="7">
        <v>0.2</v>
      </c>
      <c r="L330" s="9">
        <v>3680</v>
      </c>
      <c r="M330" s="10">
        <f>Sales_Data3[[#This Row],[Profit]]/Sales_Data3[[#This Row],[Sales]]</f>
        <v>0.8</v>
      </c>
      <c r="N330" t="str">
        <f t="shared" si="11"/>
        <v>Low</v>
      </c>
      <c r="O330" s="2">
        <v>44170</v>
      </c>
      <c r="P330" s="9">
        <v>4600</v>
      </c>
    </row>
    <row r="331" spans="1:16" x14ac:dyDescent="0.25">
      <c r="A331" t="s">
        <v>352</v>
      </c>
      <c r="B331" s="2">
        <v>44171</v>
      </c>
      <c r="C331">
        <v>2020</v>
      </c>
      <c r="D331" t="str">
        <f t="shared" si="10"/>
        <v>Dec</v>
      </c>
      <c r="E331" t="s">
        <v>14</v>
      </c>
      <c r="F331" t="s">
        <v>2048</v>
      </c>
      <c r="G331" t="s">
        <v>20</v>
      </c>
      <c r="H331" t="s">
        <v>25</v>
      </c>
      <c r="I331">
        <v>7</v>
      </c>
      <c r="J331" s="9">
        <v>11100</v>
      </c>
      <c r="K331" s="7">
        <v>0.25</v>
      </c>
      <c r="L331" s="9">
        <v>8325</v>
      </c>
      <c r="M331" s="10">
        <f>Sales_Data3[[#This Row],[Profit]]/Sales_Data3[[#This Row],[Sales]]</f>
        <v>0.75</v>
      </c>
      <c r="N331" t="str">
        <f t="shared" si="11"/>
        <v>High</v>
      </c>
      <c r="O331" s="2">
        <v>44171</v>
      </c>
      <c r="P331" s="9">
        <v>11100</v>
      </c>
    </row>
    <row r="332" spans="1:16" x14ac:dyDescent="0.25">
      <c r="A332" t="s">
        <v>353</v>
      </c>
      <c r="B332" s="2">
        <v>44172</v>
      </c>
      <c r="C332">
        <v>2020</v>
      </c>
      <c r="D332" t="str">
        <f t="shared" si="10"/>
        <v>Dec</v>
      </c>
      <c r="E332" t="s">
        <v>12</v>
      </c>
      <c r="F332" t="s">
        <v>15</v>
      </c>
      <c r="G332" t="s">
        <v>21</v>
      </c>
      <c r="H332" t="s">
        <v>23</v>
      </c>
      <c r="I332">
        <v>8</v>
      </c>
      <c r="J332" s="9">
        <v>7400</v>
      </c>
      <c r="K332" s="7">
        <v>0.05</v>
      </c>
      <c r="L332" s="9">
        <v>7030</v>
      </c>
      <c r="M332" s="10">
        <f>Sales_Data3[[#This Row],[Profit]]/Sales_Data3[[#This Row],[Sales]]</f>
        <v>0.95</v>
      </c>
      <c r="N332" t="str">
        <f t="shared" si="11"/>
        <v>Medium</v>
      </c>
      <c r="O332" s="2">
        <v>44172</v>
      </c>
      <c r="P332" s="9">
        <v>7400</v>
      </c>
    </row>
    <row r="333" spans="1:16" x14ac:dyDescent="0.25">
      <c r="A333" t="s">
        <v>354</v>
      </c>
      <c r="B333" s="2">
        <v>44173</v>
      </c>
      <c r="C333">
        <v>2020</v>
      </c>
      <c r="D333" t="str">
        <f t="shared" si="10"/>
        <v>Dec</v>
      </c>
      <c r="E333" t="s">
        <v>12</v>
      </c>
      <c r="F333" t="s">
        <v>17</v>
      </c>
      <c r="G333" t="s">
        <v>22</v>
      </c>
      <c r="H333" t="s">
        <v>23</v>
      </c>
      <c r="I333">
        <v>8</v>
      </c>
      <c r="J333" s="9">
        <v>6900</v>
      </c>
      <c r="K333" s="7">
        <v>0.1</v>
      </c>
      <c r="L333" s="9">
        <v>6210</v>
      </c>
      <c r="M333" s="10">
        <f>Sales_Data3[[#This Row],[Profit]]/Sales_Data3[[#This Row],[Sales]]</f>
        <v>0.9</v>
      </c>
      <c r="N333" t="str">
        <f t="shared" si="11"/>
        <v>Medium</v>
      </c>
      <c r="O333" s="2">
        <v>44173</v>
      </c>
      <c r="P333" s="9">
        <v>6900</v>
      </c>
    </row>
    <row r="334" spans="1:16" x14ac:dyDescent="0.25">
      <c r="A334" t="s">
        <v>355</v>
      </c>
      <c r="B334" s="2">
        <v>44174</v>
      </c>
      <c r="C334">
        <v>2020</v>
      </c>
      <c r="D334" t="str">
        <f t="shared" si="10"/>
        <v>Dec</v>
      </c>
      <c r="E334" t="s">
        <v>12</v>
      </c>
      <c r="F334" t="s">
        <v>2023</v>
      </c>
      <c r="G334" t="s">
        <v>19</v>
      </c>
      <c r="H334" t="s">
        <v>23</v>
      </c>
      <c r="I334">
        <v>7</v>
      </c>
      <c r="J334" s="9">
        <v>6700</v>
      </c>
      <c r="K334" s="7">
        <v>0.15000000000000002</v>
      </c>
      <c r="L334" s="9">
        <v>5695</v>
      </c>
      <c r="M334" s="10">
        <f>Sales_Data3[[#This Row],[Profit]]/Sales_Data3[[#This Row],[Sales]]</f>
        <v>0.85</v>
      </c>
      <c r="N334" t="str">
        <f t="shared" si="11"/>
        <v>Medium</v>
      </c>
      <c r="O334" s="2">
        <v>44174</v>
      </c>
      <c r="P334" s="9">
        <v>6700</v>
      </c>
    </row>
    <row r="335" spans="1:16" x14ac:dyDescent="0.25">
      <c r="A335" t="s">
        <v>356</v>
      </c>
      <c r="B335" s="2">
        <v>44175</v>
      </c>
      <c r="C335">
        <v>2020</v>
      </c>
      <c r="D335" t="str">
        <f t="shared" si="10"/>
        <v>Dec</v>
      </c>
      <c r="E335" t="s">
        <v>12</v>
      </c>
      <c r="F335" t="s">
        <v>18</v>
      </c>
      <c r="G335" t="s">
        <v>20</v>
      </c>
      <c r="H335" t="s">
        <v>23</v>
      </c>
      <c r="I335">
        <v>4</v>
      </c>
      <c r="J335" s="9">
        <v>4900</v>
      </c>
      <c r="K335" s="7">
        <v>0.2</v>
      </c>
      <c r="L335" s="9">
        <v>3920</v>
      </c>
      <c r="M335" s="10">
        <f>Sales_Data3[[#This Row],[Profit]]/Sales_Data3[[#This Row],[Sales]]</f>
        <v>0.8</v>
      </c>
      <c r="N335" t="str">
        <f t="shared" si="11"/>
        <v>Low</v>
      </c>
      <c r="O335" s="2">
        <v>44175</v>
      </c>
      <c r="P335" s="9">
        <v>4900</v>
      </c>
    </row>
    <row r="336" spans="1:16" x14ac:dyDescent="0.25">
      <c r="A336" t="s">
        <v>357</v>
      </c>
      <c r="B336" s="2">
        <v>44176</v>
      </c>
      <c r="C336">
        <v>2020</v>
      </c>
      <c r="D336" t="str">
        <f t="shared" si="10"/>
        <v>Dec</v>
      </c>
      <c r="E336" t="s">
        <v>12</v>
      </c>
      <c r="F336" t="s">
        <v>2024</v>
      </c>
      <c r="G336" t="s">
        <v>21</v>
      </c>
      <c r="H336" t="s">
        <v>23</v>
      </c>
      <c r="I336">
        <v>6</v>
      </c>
      <c r="J336" s="9">
        <v>11100</v>
      </c>
      <c r="K336" s="7">
        <v>0.25</v>
      </c>
      <c r="L336" s="9">
        <v>8325</v>
      </c>
      <c r="M336" s="10">
        <f>Sales_Data3[[#This Row],[Profit]]/Sales_Data3[[#This Row],[Sales]]</f>
        <v>0.75</v>
      </c>
      <c r="N336" t="str">
        <f t="shared" si="11"/>
        <v>High</v>
      </c>
      <c r="O336" s="2">
        <v>44176</v>
      </c>
      <c r="P336" s="9">
        <v>11100</v>
      </c>
    </row>
    <row r="337" spans="1:16" x14ac:dyDescent="0.25">
      <c r="A337" t="s">
        <v>358</v>
      </c>
      <c r="B337" s="2">
        <v>44177</v>
      </c>
      <c r="C337">
        <v>2020</v>
      </c>
      <c r="D337" t="str">
        <f t="shared" si="10"/>
        <v>Dec</v>
      </c>
      <c r="E337" t="s">
        <v>12</v>
      </c>
      <c r="F337" t="s">
        <v>2025</v>
      </c>
      <c r="G337" t="s">
        <v>22</v>
      </c>
      <c r="H337" t="s">
        <v>23</v>
      </c>
      <c r="I337">
        <v>7</v>
      </c>
      <c r="J337" s="9">
        <v>13200</v>
      </c>
      <c r="K337" s="7">
        <v>0.05</v>
      </c>
      <c r="L337" s="9">
        <v>12540</v>
      </c>
      <c r="M337" s="10">
        <f>Sales_Data3[[#This Row],[Profit]]/Sales_Data3[[#This Row],[Sales]]</f>
        <v>0.95</v>
      </c>
      <c r="N337" t="str">
        <f t="shared" si="11"/>
        <v>High</v>
      </c>
      <c r="O337" s="2">
        <v>44177</v>
      </c>
      <c r="P337" s="9">
        <v>13200</v>
      </c>
    </row>
    <row r="338" spans="1:16" x14ac:dyDescent="0.25">
      <c r="A338" t="s">
        <v>359</v>
      </c>
      <c r="B338" s="2">
        <v>44178</v>
      </c>
      <c r="C338">
        <v>2020</v>
      </c>
      <c r="D338" t="str">
        <f t="shared" si="10"/>
        <v>Dec</v>
      </c>
      <c r="E338" t="s">
        <v>12</v>
      </c>
      <c r="F338" t="s">
        <v>2026</v>
      </c>
      <c r="G338" t="s">
        <v>19</v>
      </c>
      <c r="H338" t="s">
        <v>23</v>
      </c>
      <c r="I338">
        <v>3</v>
      </c>
      <c r="J338" s="9">
        <v>5000</v>
      </c>
      <c r="K338" s="7">
        <v>0.1</v>
      </c>
      <c r="L338" s="9">
        <v>4500</v>
      </c>
      <c r="M338" s="10">
        <f>Sales_Data3[[#This Row],[Profit]]/Sales_Data3[[#This Row],[Sales]]</f>
        <v>0.9</v>
      </c>
      <c r="N338" t="str">
        <f t="shared" si="11"/>
        <v>Low</v>
      </c>
      <c r="O338" s="2">
        <v>44178</v>
      </c>
      <c r="P338" s="9">
        <v>5000</v>
      </c>
    </row>
    <row r="339" spans="1:16" x14ac:dyDescent="0.25">
      <c r="A339" t="s">
        <v>360</v>
      </c>
      <c r="B339" s="2">
        <v>44179</v>
      </c>
      <c r="C339">
        <v>2020</v>
      </c>
      <c r="D339" t="str">
        <f t="shared" si="10"/>
        <v>Dec</v>
      </c>
      <c r="E339" t="s">
        <v>12</v>
      </c>
      <c r="F339" t="s">
        <v>2027</v>
      </c>
      <c r="G339" t="s">
        <v>20</v>
      </c>
      <c r="H339" t="s">
        <v>23</v>
      </c>
      <c r="I339">
        <v>9</v>
      </c>
      <c r="J339" s="9">
        <v>5600</v>
      </c>
      <c r="K339" s="7">
        <v>0.15000000000000002</v>
      </c>
      <c r="L339" s="9">
        <v>4760</v>
      </c>
      <c r="M339" s="10">
        <f>Sales_Data3[[#This Row],[Profit]]/Sales_Data3[[#This Row],[Sales]]</f>
        <v>0.85</v>
      </c>
      <c r="N339" t="str">
        <f t="shared" si="11"/>
        <v>Medium</v>
      </c>
      <c r="O339" s="2">
        <v>44179</v>
      </c>
      <c r="P339" s="9">
        <v>5600</v>
      </c>
    </row>
    <row r="340" spans="1:16" x14ac:dyDescent="0.25">
      <c r="A340" t="s">
        <v>361</v>
      </c>
      <c r="B340" s="2">
        <v>44180</v>
      </c>
      <c r="C340">
        <v>2020</v>
      </c>
      <c r="D340" t="str">
        <f t="shared" si="10"/>
        <v>Dec</v>
      </c>
      <c r="E340" t="s">
        <v>12</v>
      </c>
      <c r="F340" t="s">
        <v>2028</v>
      </c>
      <c r="G340" t="s">
        <v>21</v>
      </c>
      <c r="H340" t="s">
        <v>23</v>
      </c>
      <c r="I340">
        <v>3</v>
      </c>
      <c r="J340" s="9">
        <v>10100</v>
      </c>
      <c r="K340" s="7">
        <v>0.2</v>
      </c>
      <c r="L340" s="9">
        <v>8080</v>
      </c>
      <c r="M340" s="10">
        <f>Sales_Data3[[#This Row],[Profit]]/Sales_Data3[[#This Row],[Sales]]</f>
        <v>0.8</v>
      </c>
      <c r="N340" t="str">
        <f t="shared" si="11"/>
        <v>High</v>
      </c>
      <c r="O340" s="2">
        <v>44180</v>
      </c>
      <c r="P340" s="9">
        <v>10100</v>
      </c>
    </row>
    <row r="341" spans="1:16" x14ac:dyDescent="0.25">
      <c r="A341" t="s">
        <v>362</v>
      </c>
      <c r="B341" s="2">
        <v>44181</v>
      </c>
      <c r="C341">
        <v>2020</v>
      </c>
      <c r="D341" t="str">
        <f t="shared" si="10"/>
        <v>Dec</v>
      </c>
      <c r="E341" t="s">
        <v>12</v>
      </c>
      <c r="F341" t="s">
        <v>2029</v>
      </c>
      <c r="G341" t="s">
        <v>22</v>
      </c>
      <c r="H341" t="s">
        <v>23</v>
      </c>
      <c r="I341">
        <v>2</v>
      </c>
      <c r="J341" s="9">
        <v>7600</v>
      </c>
      <c r="K341" s="7">
        <v>0.25</v>
      </c>
      <c r="L341" s="9">
        <v>5700</v>
      </c>
      <c r="M341" s="10">
        <f>Sales_Data3[[#This Row],[Profit]]/Sales_Data3[[#This Row],[Sales]]</f>
        <v>0.75</v>
      </c>
      <c r="N341" t="str">
        <f t="shared" si="11"/>
        <v>Medium</v>
      </c>
      <c r="O341" s="2">
        <v>44181</v>
      </c>
      <c r="P341" s="9">
        <v>7600</v>
      </c>
    </row>
    <row r="342" spans="1:16" x14ac:dyDescent="0.25">
      <c r="A342" t="s">
        <v>363</v>
      </c>
      <c r="B342" s="2">
        <v>44182</v>
      </c>
      <c r="C342">
        <v>2020</v>
      </c>
      <c r="D342" t="str">
        <f t="shared" si="10"/>
        <v>Dec</v>
      </c>
      <c r="E342" t="s">
        <v>13</v>
      </c>
      <c r="F342" t="s">
        <v>16</v>
      </c>
      <c r="G342" t="s">
        <v>19</v>
      </c>
      <c r="H342" t="s">
        <v>24</v>
      </c>
      <c r="I342">
        <v>10</v>
      </c>
      <c r="J342" s="9">
        <v>14200</v>
      </c>
      <c r="K342" s="7">
        <v>0.05</v>
      </c>
      <c r="L342" s="9">
        <v>13490</v>
      </c>
      <c r="M342" s="10">
        <f>Sales_Data3[[#This Row],[Profit]]/Sales_Data3[[#This Row],[Sales]]</f>
        <v>0.95</v>
      </c>
      <c r="N342" t="str">
        <f t="shared" si="11"/>
        <v>High</v>
      </c>
      <c r="O342" s="2">
        <v>44182</v>
      </c>
      <c r="P342" s="9">
        <v>14200</v>
      </c>
    </row>
    <row r="343" spans="1:16" x14ac:dyDescent="0.25">
      <c r="A343" t="s">
        <v>364</v>
      </c>
      <c r="B343" s="2">
        <v>44183</v>
      </c>
      <c r="C343">
        <v>2020</v>
      </c>
      <c r="D343" t="str">
        <f t="shared" si="10"/>
        <v>Dec</v>
      </c>
      <c r="E343" t="s">
        <v>13</v>
      </c>
      <c r="F343" t="s">
        <v>2030</v>
      </c>
      <c r="G343" t="s">
        <v>20</v>
      </c>
      <c r="H343" t="s">
        <v>24</v>
      </c>
      <c r="I343">
        <v>8</v>
      </c>
      <c r="J343" s="9">
        <v>4200</v>
      </c>
      <c r="K343" s="7">
        <v>0.1</v>
      </c>
      <c r="L343" s="9">
        <v>3780</v>
      </c>
      <c r="M343" s="10">
        <f>Sales_Data3[[#This Row],[Profit]]/Sales_Data3[[#This Row],[Sales]]</f>
        <v>0.9</v>
      </c>
      <c r="N343" t="str">
        <f t="shared" si="11"/>
        <v>Low</v>
      </c>
      <c r="O343" s="2">
        <v>44183</v>
      </c>
      <c r="P343" s="9">
        <v>4200</v>
      </c>
    </row>
    <row r="344" spans="1:16" x14ac:dyDescent="0.25">
      <c r="A344" t="s">
        <v>365</v>
      </c>
      <c r="B344" s="2">
        <v>44184</v>
      </c>
      <c r="C344">
        <v>2020</v>
      </c>
      <c r="D344" t="str">
        <f t="shared" si="10"/>
        <v>Dec</v>
      </c>
      <c r="E344" t="s">
        <v>13</v>
      </c>
      <c r="F344" t="s">
        <v>2031</v>
      </c>
      <c r="G344" t="s">
        <v>21</v>
      </c>
      <c r="H344" t="s">
        <v>24</v>
      </c>
      <c r="I344">
        <v>9</v>
      </c>
      <c r="J344" s="9">
        <v>8600</v>
      </c>
      <c r="K344" s="7">
        <v>0.15000000000000002</v>
      </c>
      <c r="L344" s="9">
        <v>7310</v>
      </c>
      <c r="M344" s="10">
        <f>Sales_Data3[[#This Row],[Profit]]/Sales_Data3[[#This Row],[Sales]]</f>
        <v>0.85</v>
      </c>
      <c r="N344" t="str">
        <f t="shared" si="11"/>
        <v>Medium</v>
      </c>
      <c r="O344" s="2">
        <v>44184</v>
      </c>
      <c r="P344" s="9">
        <v>8600</v>
      </c>
    </row>
    <row r="345" spans="1:16" x14ac:dyDescent="0.25">
      <c r="A345" t="s">
        <v>366</v>
      </c>
      <c r="B345" s="2">
        <v>44185</v>
      </c>
      <c r="C345">
        <v>2020</v>
      </c>
      <c r="D345" t="str">
        <f t="shared" si="10"/>
        <v>Dec</v>
      </c>
      <c r="E345" t="s">
        <v>13</v>
      </c>
      <c r="F345" t="s">
        <v>2032</v>
      </c>
      <c r="G345" t="s">
        <v>22</v>
      </c>
      <c r="H345" t="s">
        <v>24</v>
      </c>
      <c r="I345">
        <v>1</v>
      </c>
      <c r="J345" s="9">
        <v>6600</v>
      </c>
      <c r="K345" s="7">
        <v>0.2</v>
      </c>
      <c r="L345" s="9">
        <v>5280</v>
      </c>
      <c r="M345" s="10">
        <f>Sales_Data3[[#This Row],[Profit]]/Sales_Data3[[#This Row],[Sales]]</f>
        <v>0.8</v>
      </c>
      <c r="N345" t="str">
        <f t="shared" si="11"/>
        <v>Medium</v>
      </c>
      <c r="O345" s="2">
        <v>44185</v>
      </c>
      <c r="P345" s="9">
        <v>6600</v>
      </c>
    </row>
    <row r="346" spans="1:16" x14ac:dyDescent="0.25">
      <c r="A346" t="s">
        <v>367</v>
      </c>
      <c r="B346" s="2">
        <v>44186</v>
      </c>
      <c r="C346">
        <v>2020</v>
      </c>
      <c r="D346" t="str">
        <f t="shared" si="10"/>
        <v>Dec</v>
      </c>
      <c r="E346" t="s">
        <v>13</v>
      </c>
      <c r="F346" t="s">
        <v>2033</v>
      </c>
      <c r="G346" t="s">
        <v>19</v>
      </c>
      <c r="H346" t="s">
        <v>24</v>
      </c>
      <c r="I346">
        <v>1</v>
      </c>
      <c r="J346" s="9">
        <v>4100</v>
      </c>
      <c r="K346" s="7">
        <v>0.25</v>
      </c>
      <c r="L346" s="9">
        <v>3075</v>
      </c>
      <c r="M346" s="10">
        <f>Sales_Data3[[#This Row],[Profit]]/Sales_Data3[[#This Row],[Sales]]</f>
        <v>0.75</v>
      </c>
      <c r="N346" t="str">
        <f t="shared" si="11"/>
        <v>Low</v>
      </c>
      <c r="O346" s="2">
        <v>44186</v>
      </c>
      <c r="P346" s="9">
        <v>4100</v>
      </c>
    </row>
    <row r="347" spans="1:16" x14ac:dyDescent="0.25">
      <c r="A347" t="s">
        <v>368</v>
      </c>
      <c r="B347" s="2">
        <v>44187</v>
      </c>
      <c r="C347">
        <v>2020</v>
      </c>
      <c r="D347" t="str">
        <f t="shared" si="10"/>
        <v>Dec</v>
      </c>
      <c r="E347" t="s">
        <v>13</v>
      </c>
      <c r="F347" t="s">
        <v>2034</v>
      </c>
      <c r="G347" t="s">
        <v>20</v>
      </c>
      <c r="H347" t="s">
        <v>24</v>
      </c>
      <c r="I347">
        <v>9</v>
      </c>
      <c r="J347" s="9">
        <v>11400</v>
      </c>
      <c r="K347" s="7">
        <v>0.05</v>
      </c>
      <c r="L347" s="9">
        <v>10830</v>
      </c>
      <c r="M347" s="10">
        <f>Sales_Data3[[#This Row],[Profit]]/Sales_Data3[[#This Row],[Sales]]</f>
        <v>0.95</v>
      </c>
      <c r="N347" t="str">
        <f t="shared" si="11"/>
        <v>High</v>
      </c>
      <c r="O347" s="2">
        <v>44187</v>
      </c>
      <c r="P347" s="9">
        <v>11400</v>
      </c>
    </row>
    <row r="348" spans="1:16" x14ac:dyDescent="0.25">
      <c r="A348" t="s">
        <v>369</v>
      </c>
      <c r="B348" s="2">
        <v>44188</v>
      </c>
      <c r="C348">
        <v>2020</v>
      </c>
      <c r="D348" t="str">
        <f t="shared" si="10"/>
        <v>Dec</v>
      </c>
      <c r="E348" t="s">
        <v>13</v>
      </c>
      <c r="F348" t="s">
        <v>2035</v>
      </c>
      <c r="G348" t="s">
        <v>21</v>
      </c>
      <c r="H348" t="s">
        <v>24</v>
      </c>
      <c r="I348">
        <v>2</v>
      </c>
      <c r="J348" s="9">
        <v>12300</v>
      </c>
      <c r="K348" s="7">
        <v>0.1</v>
      </c>
      <c r="L348" s="9">
        <v>11070</v>
      </c>
      <c r="M348" s="10">
        <f>Sales_Data3[[#This Row],[Profit]]/Sales_Data3[[#This Row],[Sales]]</f>
        <v>0.9</v>
      </c>
      <c r="N348" t="str">
        <f t="shared" si="11"/>
        <v>High</v>
      </c>
      <c r="O348" s="2">
        <v>44188</v>
      </c>
      <c r="P348" s="9">
        <v>12300</v>
      </c>
    </row>
    <row r="349" spans="1:16" x14ac:dyDescent="0.25">
      <c r="A349" t="s">
        <v>370</v>
      </c>
      <c r="B349" s="2">
        <v>44189</v>
      </c>
      <c r="C349">
        <v>2020</v>
      </c>
      <c r="D349" t="str">
        <f t="shared" si="10"/>
        <v>Dec</v>
      </c>
      <c r="E349" t="s">
        <v>13</v>
      </c>
      <c r="F349" t="s">
        <v>2036</v>
      </c>
      <c r="G349" t="s">
        <v>22</v>
      </c>
      <c r="H349" t="s">
        <v>24</v>
      </c>
      <c r="I349">
        <v>10</v>
      </c>
      <c r="J349" s="9">
        <v>5700</v>
      </c>
      <c r="K349" s="7">
        <v>0.15000000000000002</v>
      </c>
      <c r="L349" s="9">
        <v>4845</v>
      </c>
      <c r="M349" s="10">
        <f>Sales_Data3[[#This Row],[Profit]]/Sales_Data3[[#This Row],[Sales]]</f>
        <v>0.85</v>
      </c>
      <c r="N349" t="str">
        <f t="shared" si="11"/>
        <v>Medium</v>
      </c>
      <c r="O349" s="2">
        <v>44189</v>
      </c>
      <c r="P349" s="9">
        <v>5700</v>
      </c>
    </row>
    <row r="350" spans="1:16" x14ac:dyDescent="0.25">
      <c r="A350" t="s">
        <v>371</v>
      </c>
      <c r="B350" s="2">
        <v>44190</v>
      </c>
      <c r="C350">
        <v>2020</v>
      </c>
      <c r="D350" t="str">
        <f t="shared" si="10"/>
        <v>Dec</v>
      </c>
      <c r="E350" t="s">
        <v>13</v>
      </c>
      <c r="F350" t="s">
        <v>2037</v>
      </c>
      <c r="G350" t="s">
        <v>19</v>
      </c>
      <c r="H350" t="s">
        <v>24</v>
      </c>
      <c r="I350">
        <v>4</v>
      </c>
      <c r="J350" s="9">
        <v>7200</v>
      </c>
      <c r="K350" s="7">
        <v>0.2</v>
      </c>
      <c r="L350" s="9">
        <v>5760</v>
      </c>
      <c r="M350" s="10">
        <f>Sales_Data3[[#This Row],[Profit]]/Sales_Data3[[#This Row],[Sales]]</f>
        <v>0.8</v>
      </c>
      <c r="N350" t="str">
        <f t="shared" si="11"/>
        <v>Medium</v>
      </c>
      <c r="O350" s="2">
        <v>44190</v>
      </c>
      <c r="P350" s="9">
        <v>7200</v>
      </c>
    </row>
    <row r="351" spans="1:16" x14ac:dyDescent="0.25">
      <c r="A351" t="s">
        <v>372</v>
      </c>
      <c r="B351" s="2">
        <v>44191</v>
      </c>
      <c r="C351">
        <v>2020</v>
      </c>
      <c r="D351" t="str">
        <f t="shared" si="10"/>
        <v>Dec</v>
      </c>
      <c r="E351" t="s">
        <v>13</v>
      </c>
      <c r="F351" t="s">
        <v>2038</v>
      </c>
      <c r="G351" t="s">
        <v>20</v>
      </c>
      <c r="H351" t="s">
        <v>24</v>
      </c>
      <c r="I351">
        <v>9</v>
      </c>
      <c r="J351" s="9">
        <v>4100</v>
      </c>
      <c r="K351" s="7">
        <v>0.25</v>
      </c>
      <c r="L351" s="9">
        <v>3075</v>
      </c>
      <c r="M351" s="10">
        <f>Sales_Data3[[#This Row],[Profit]]/Sales_Data3[[#This Row],[Sales]]</f>
        <v>0.75</v>
      </c>
      <c r="N351" t="str">
        <f t="shared" si="11"/>
        <v>Low</v>
      </c>
      <c r="O351" s="2">
        <v>44191</v>
      </c>
      <c r="P351" s="9">
        <v>4100</v>
      </c>
    </row>
    <row r="352" spans="1:16" x14ac:dyDescent="0.25">
      <c r="A352" t="s">
        <v>373</v>
      </c>
      <c r="B352" s="2">
        <v>44192</v>
      </c>
      <c r="C352">
        <v>2020</v>
      </c>
      <c r="D352" t="str">
        <f t="shared" si="10"/>
        <v>Dec</v>
      </c>
      <c r="E352" t="s">
        <v>14</v>
      </c>
      <c r="F352" t="s">
        <v>2039</v>
      </c>
      <c r="G352" t="s">
        <v>21</v>
      </c>
      <c r="H352" t="s">
        <v>25</v>
      </c>
      <c r="I352">
        <v>6</v>
      </c>
      <c r="J352" s="9">
        <v>14100</v>
      </c>
      <c r="K352" s="7">
        <v>0.05</v>
      </c>
      <c r="L352" s="9">
        <v>13395</v>
      </c>
      <c r="M352" s="10">
        <f>Sales_Data3[[#This Row],[Profit]]/Sales_Data3[[#This Row],[Sales]]</f>
        <v>0.95</v>
      </c>
      <c r="N352" t="str">
        <f t="shared" si="11"/>
        <v>High</v>
      </c>
      <c r="O352" s="2">
        <v>44192</v>
      </c>
      <c r="P352" s="9">
        <v>14100</v>
      </c>
    </row>
    <row r="353" spans="1:16" x14ac:dyDescent="0.25">
      <c r="A353" t="s">
        <v>374</v>
      </c>
      <c r="B353" s="2">
        <v>44193</v>
      </c>
      <c r="C353">
        <v>2020</v>
      </c>
      <c r="D353" t="str">
        <f t="shared" si="10"/>
        <v>Dec</v>
      </c>
      <c r="E353" t="s">
        <v>14</v>
      </c>
      <c r="F353" t="s">
        <v>2040</v>
      </c>
      <c r="G353" t="s">
        <v>22</v>
      </c>
      <c r="H353" t="s">
        <v>25</v>
      </c>
      <c r="I353">
        <v>4</v>
      </c>
      <c r="J353" s="9">
        <v>7900</v>
      </c>
      <c r="K353" s="7">
        <v>0.1</v>
      </c>
      <c r="L353" s="9">
        <v>7110</v>
      </c>
      <c r="M353" s="10">
        <f>Sales_Data3[[#This Row],[Profit]]/Sales_Data3[[#This Row],[Sales]]</f>
        <v>0.9</v>
      </c>
      <c r="N353" t="str">
        <f t="shared" si="11"/>
        <v>Medium</v>
      </c>
      <c r="O353" s="2">
        <v>44193</v>
      </c>
      <c r="P353" s="9">
        <v>7900</v>
      </c>
    </row>
    <row r="354" spans="1:16" x14ac:dyDescent="0.25">
      <c r="A354" t="s">
        <v>375</v>
      </c>
      <c r="B354" s="2">
        <v>44194</v>
      </c>
      <c r="C354">
        <v>2020</v>
      </c>
      <c r="D354" t="str">
        <f t="shared" si="10"/>
        <v>Dec</v>
      </c>
      <c r="E354" t="s">
        <v>14</v>
      </c>
      <c r="F354" t="s">
        <v>2041</v>
      </c>
      <c r="G354" t="s">
        <v>19</v>
      </c>
      <c r="H354" t="s">
        <v>25</v>
      </c>
      <c r="I354">
        <v>5</v>
      </c>
      <c r="J354" s="9">
        <v>5600</v>
      </c>
      <c r="K354" s="7">
        <v>0.15000000000000002</v>
      </c>
      <c r="L354" s="9">
        <v>4760</v>
      </c>
      <c r="M354" s="10">
        <f>Sales_Data3[[#This Row],[Profit]]/Sales_Data3[[#This Row],[Sales]]</f>
        <v>0.85</v>
      </c>
      <c r="N354" t="str">
        <f t="shared" si="11"/>
        <v>Medium</v>
      </c>
      <c r="O354" s="2">
        <v>44194</v>
      </c>
      <c r="P354" s="9">
        <v>5600</v>
      </c>
    </row>
    <row r="355" spans="1:16" x14ac:dyDescent="0.25">
      <c r="A355" t="s">
        <v>376</v>
      </c>
      <c r="B355" s="2">
        <v>44195</v>
      </c>
      <c r="C355">
        <v>2020</v>
      </c>
      <c r="D355" t="str">
        <f t="shared" si="10"/>
        <v>Dec</v>
      </c>
      <c r="E355" t="s">
        <v>14</v>
      </c>
      <c r="F355" t="s">
        <v>2042</v>
      </c>
      <c r="G355" t="s">
        <v>20</v>
      </c>
      <c r="H355" t="s">
        <v>25</v>
      </c>
      <c r="I355">
        <v>3</v>
      </c>
      <c r="J355" s="9">
        <v>9400</v>
      </c>
      <c r="K355" s="7">
        <v>0.2</v>
      </c>
      <c r="L355" s="9">
        <v>7520</v>
      </c>
      <c r="M355" s="10">
        <f>Sales_Data3[[#This Row],[Profit]]/Sales_Data3[[#This Row],[Sales]]</f>
        <v>0.8</v>
      </c>
      <c r="N355" t="str">
        <f t="shared" si="11"/>
        <v>Medium</v>
      </c>
      <c r="O355" s="2">
        <v>44195</v>
      </c>
      <c r="P355" s="9">
        <v>9400</v>
      </c>
    </row>
    <row r="356" spans="1:16" x14ac:dyDescent="0.25">
      <c r="A356" t="s">
        <v>377</v>
      </c>
      <c r="B356" s="2">
        <v>44196</v>
      </c>
      <c r="C356">
        <v>2020</v>
      </c>
      <c r="D356" t="str">
        <f t="shared" si="10"/>
        <v>Dec</v>
      </c>
      <c r="E356" t="s">
        <v>14</v>
      </c>
      <c r="F356" t="s">
        <v>2043</v>
      </c>
      <c r="G356" t="s">
        <v>21</v>
      </c>
      <c r="H356" t="s">
        <v>25</v>
      </c>
      <c r="I356">
        <v>10</v>
      </c>
      <c r="J356" s="9">
        <v>13500</v>
      </c>
      <c r="K356" s="7">
        <v>0.25</v>
      </c>
      <c r="L356" s="9">
        <v>10125</v>
      </c>
      <c r="M356" s="10">
        <f>Sales_Data3[[#This Row],[Profit]]/Sales_Data3[[#This Row],[Sales]]</f>
        <v>0.75</v>
      </c>
      <c r="N356" t="str">
        <f t="shared" si="11"/>
        <v>High</v>
      </c>
      <c r="O356" s="2">
        <v>44196</v>
      </c>
      <c r="P356" s="9">
        <v>13500</v>
      </c>
    </row>
    <row r="357" spans="1:16" x14ac:dyDescent="0.25">
      <c r="A357" t="s">
        <v>378</v>
      </c>
      <c r="B357" s="2">
        <v>44197</v>
      </c>
      <c r="C357">
        <v>2021</v>
      </c>
      <c r="D357" t="str">
        <f t="shared" si="10"/>
        <v>Jan</v>
      </c>
      <c r="E357" t="s">
        <v>14</v>
      </c>
      <c r="F357" t="s">
        <v>2044</v>
      </c>
      <c r="G357" t="s">
        <v>22</v>
      </c>
      <c r="H357" t="s">
        <v>25</v>
      </c>
      <c r="I357">
        <v>5</v>
      </c>
      <c r="J357" s="9">
        <v>14700</v>
      </c>
      <c r="K357" s="7">
        <v>0.05</v>
      </c>
      <c r="L357" s="9">
        <v>13965</v>
      </c>
      <c r="M357" s="10">
        <f>Sales_Data3[[#This Row],[Profit]]/Sales_Data3[[#This Row],[Sales]]</f>
        <v>0.95</v>
      </c>
      <c r="N357" t="str">
        <f t="shared" si="11"/>
        <v>High</v>
      </c>
      <c r="O357" s="2">
        <v>44197</v>
      </c>
      <c r="P357" s="9">
        <v>14700</v>
      </c>
    </row>
    <row r="358" spans="1:16" x14ac:dyDescent="0.25">
      <c r="A358" t="s">
        <v>379</v>
      </c>
      <c r="B358" s="2">
        <v>44198</v>
      </c>
      <c r="C358">
        <v>2021</v>
      </c>
      <c r="D358" t="str">
        <f t="shared" si="10"/>
        <v>Jan</v>
      </c>
      <c r="E358" t="s">
        <v>14</v>
      </c>
      <c r="F358" t="s">
        <v>2045</v>
      </c>
      <c r="G358" t="s">
        <v>19</v>
      </c>
      <c r="H358" t="s">
        <v>25</v>
      </c>
      <c r="I358">
        <v>7</v>
      </c>
      <c r="J358" s="9">
        <v>7200</v>
      </c>
      <c r="K358" s="7">
        <v>0.1</v>
      </c>
      <c r="L358" s="9">
        <v>6480</v>
      </c>
      <c r="M358" s="10">
        <f>Sales_Data3[[#This Row],[Profit]]/Sales_Data3[[#This Row],[Sales]]</f>
        <v>0.9</v>
      </c>
      <c r="N358" t="str">
        <f t="shared" si="11"/>
        <v>Medium</v>
      </c>
      <c r="O358" s="2">
        <v>44198</v>
      </c>
      <c r="P358" s="9">
        <v>7200</v>
      </c>
    </row>
    <row r="359" spans="1:16" x14ac:dyDescent="0.25">
      <c r="A359" t="s">
        <v>380</v>
      </c>
      <c r="B359" s="2">
        <v>44199</v>
      </c>
      <c r="C359">
        <v>2021</v>
      </c>
      <c r="D359" t="str">
        <f t="shared" si="10"/>
        <v>Jan</v>
      </c>
      <c r="E359" t="s">
        <v>14</v>
      </c>
      <c r="F359" t="s">
        <v>2046</v>
      </c>
      <c r="G359" t="s">
        <v>20</v>
      </c>
      <c r="H359" t="s">
        <v>25</v>
      </c>
      <c r="I359">
        <v>2</v>
      </c>
      <c r="J359" s="9">
        <v>11900</v>
      </c>
      <c r="K359" s="7">
        <v>0.15000000000000002</v>
      </c>
      <c r="L359" s="9">
        <v>10115</v>
      </c>
      <c r="M359" s="10">
        <f>Sales_Data3[[#This Row],[Profit]]/Sales_Data3[[#This Row],[Sales]]</f>
        <v>0.85</v>
      </c>
      <c r="N359" t="str">
        <f t="shared" si="11"/>
        <v>High</v>
      </c>
      <c r="O359" s="2">
        <v>44199</v>
      </c>
      <c r="P359" s="9">
        <v>11900</v>
      </c>
    </row>
    <row r="360" spans="1:16" x14ac:dyDescent="0.25">
      <c r="A360" t="s">
        <v>381</v>
      </c>
      <c r="B360" s="2">
        <v>44200</v>
      </c>
      <c r="C360">
        <v>2021</v>
      </c>
      <c r="D360" t="str">
        <f t="shared" si="10"/>
        <v>Jan</v>
      </c>
      <c r="E360" t="s">
        <v>14</v>
      </c>
      <c r="F360" t="s">
        <v>2047</v>
      </c>
      <c r="G360" t="s">
        <v>21</v>
      </c>
      <c r="H360" t="s">
        <v>25</v>
      </c>
      <c r="I360">
        <v>6</v>
      </c>
      <c r="J360" s="9">
        <v>4600</v>
      </c>
      <c r="K360" s="7">
        <v>0.2</v>
      </c>
      <c r="L360" s="9">
        <v>3680</v>
      </c>
      <c r="M360" s="10">
        <f>Sales_Data3[[#This Row],[Profit]]/Sales_Data3[[#This Row],[Sales]]</f>
        <v>0.8</v>
      </c>
      <c r="N360" t="str">
        <f t="shared" si="11"/>
        <v>Low</v>
      </c>
      <c r="O360" s="2">
        <v>44200</v>
      </c>
      <c r="P360" s="9">
        <v>4600</v>
      </c>
    </row>
    <row r="361" spans="1:16" x14ac:dyDescent="0.25">
      <c r="A361" t="s">
        <v>382</v>
      </c>
      <c r="B361" s="2">
        <v>44201</v>
      </c>
      <c r="C361">
        <v>2021</v>
      </c>
      <c r="D361" t="str">
        <f t="shared" si="10"/>
        <v>Jan</v>
      </c>
      <c r="E361" t="s">
        <v>14</v>
      </c>
      <c r="F361" t="s">
        <v>2048</v>
      </c>
      <c r="G361" t="s">
        <v>22</v>
      </c>
      <c r="H361" t="s">
        <v>25</v>
      </c>
      <c r="I361">
        <v>9</v>
      </c>
      <c r="J361" s="9">
        <v>10800</v>
      </c>
      <c r="K361" s="7">
        <v>0.25</v>
      </c>
      <c r="L361" s="9">
        <v>8100</v>
      </c>
      <c r="M361" s="10">
        <f>Sales_Data3[[#This Row],[Profit]]/Sales_Data3[[#This Row],[Sales]]</f>
        <v>0.75</v>
      </c>
      <c r="N361" t="str">
        <f t="shared" si="11"/>
        <v>High</v>
      </c>
      <c r="O361" s="2">
        <v>44201</v>
      </c>
      <c r="P361" s="9">
        <v>10800</v>
      </c>
    </row>
    <row r="362" spans="1:16" x14ac:dyDescent="0.25">
      <c r="A362" t="s">
        <v>383</v>
      </c>
      <c r="B362" s="2">
        <v>44202</v>
      </c>
      <c r="C362">
        <v>2021</v>
      </c>
      <c r="D362" t="str">
        <f t="shared" si="10"/>
        <v>Jan</v>
      </c>
      <c r="E362" t="s">
        <v>12</v>
      </c>
      <c r="F362" t="s">
        <v>15</v>
      </c>
      <c r="G362" t="s">
        <v>19</v>
      </c>
      <c r="H362" t="s">
        <v>23</v>
      </c>
      <c r="I362">
        <v>5</v>
      </c>
      <c r="J362" s="9">
        <v>10600</v>
      </c>
      <c r="K362" s="7">
        <v>0.05</v>
      </c>
      <c r="L362" s="9">
        <v>10070</v>
      </c>
      <c r="M362" s="10">
        <f>Sales_Data3[[#This Row],[Profit]]/Sales_Data3[[#This Row],[Sales]]</f>
        <v>0.95</v>
      </c>
      <c r="N362" t="str">
        <f t="shared" si="11"/>
        <v>High</v>
      </c>
      <c r="O362" s="2">
        <v>44202</v>
      </c>
      <c r="P362" s="9">
        <v>10600</v>
      </c>
    </row>
    <row r="363" spans="1:16" x14ac:dyDescent="0.25">
      <c r="A363" t="s">
        <v>384</v>
      </c>
      <c r="B363" s="2">
        <v>44203</v>
      </c>
      <c r="C363">
        <v>2021</v>
      </c>
      <c r="D363" t="str">
        <f t="shared" si="10"/>
        <v>Jan</v>
      </c>
      <c r="E363" t="s">
        <v>12</v>
      </c>
      <c r="F363" t="s">
        <v>17</v>
      </c>
      <c r="G363" t="s">
        <v>20</v>
      </c>
      <c r="H363" t="s">
        <v>23</v>
      </c>
      <c r="I363">
        <v>2</v>
      </c>
      <c r="J363" s="9">
        <v>4600</v>
      </c>
      <c r="K363" s="7">
        <v>0.1</v>
      </c>
      <c r="L363" s="9">
        <v>4140</v>
      </c>
      <c r="M363" s="10">
        <f>Sales_Data3[[#This Row],[Profit]]/Sales_Data3[[#This Row],[Sales]]</f>
        <v>0.9</v>
      </c>
      <c r="N363" t="str">
        <f t="shared" si="11"/>
        <v>Low</v>
      </c>
      <c r="O363" s="2">
        <v>44203</v>
      </c>
      <c r="P363" s="9">
        <v>4600</v>
      </c>
    </row>
    <row r="364" spans="1:16" x14ac:dyDescent="0.25">
      <c r="A364" t="s">
        <v>385</v>
      </c>
      <c r="B364" s="2">
        <v>44204</v>
      </c>
      <c r="C364">
        <v>2021</v>
      </c>
      <c r="D364" t="str">
        <f t="shared" si="10"/>
        <v>Jan</v>
      </c>
      <c r="E364" t="s">
        <v>12</v>
      </c>
      <c r="F364" t="s">
        <v>2023</v>
      </c>
      <c r="G364" t="s">
        <v>21</v>
      </c>
      <c r="H364" t="s">
        <v>23</v>
      </c>
      <c r="I364">
        <v>9</v>
      </c>
      <c r="J364" s="9">
        <v>12100</v>
      </c>
      <c r="K364" s="7">
        <v>0.15000000000000002</v>
      </c>
      <c r="L364" s="9">
        <v>10285</v>
      </c>
      <c r="M364" s="10">
        <f>Sales_Data3[[#This Row],[Profit]]/Sales_Data3[[#This Row],[Sales]]</f>
        <v>0.85</v>
      </c>
      <c r="N364" t="str">
        <f t="shared" si="11"/>
        <v>High</v>
      </c>
      <c r="O364" s="2">
        <v>44204</v>
      </c>
      <c r="P364" s="9">
        <v>12100</v>
      </c>
    </row>
    <row r="365" spans="1:16" x14ac:dyDescent="0.25">
      <c r="A365" t="s">
        <v>386</v>
      </c>
      <c r="B365" s="2">
        <v>44205</v>
      </c>
      <c r="C365">
        <v>2021</v>
      </c>
      <c r="D365" t="str">
        <f t="shared" si="10"/>
        <v>Jan</v>
      </c>
      <c r="E365" t="s">
        <v>12</v>
      </c>
      <c r="F365" t="s">
        <v>18</v>
      </c>
      <c r="G365" t="s">
        <v>22</v>
      </c>
      <c r="H365" t="s">
        <v>23</v>
      </c>
      <c r="I365">
        <v>10</v>
      </c>
      <c r="J365" s="9">
        <v>14700</v>
      </c>
      <c r="K365" s="7">
        <v>0.2</v>
      </c>
      <c r="L365" s="9">
        <v>11760</v>
      </c>
      <c r="M365" s="10">
        <f>Sales_Data3[[#This Row],[Profit]]/Sales_Data3[[#This Row],[Sales]]</f>
        <v>0.8</v>
      </c>
      <c r="N365" t="str">
        <f t="shared" si="11"/>
        <v>High</v>
      </c>
      <c r="O365" s="2">
        <v>44205</v>
      </c>
      <c r="P365" s="9">
        <v>14700</v>
      </c>
    </row>
    <row r="366" spans="1:16" x14ac:dyDescent="0.25">
      <c r="A366" t="s">
        <v>387</v>
      </c>
      <c r="B366" s="2">
        <v>44206</v>
      </c>
      <c r="C366">
        <v>2021</v>
      </c>
      <c r="D366" t="str">
        <f t="shared" si="10"/>
        <v>Jan</v>
      </c>
      <c r="E366" t="s">
        <v>12</v>
      </c>
      <c r="F366" t="s">
        <v>2024</v>
      </c>
      <c r="G366" t="s">
        <v>19</v>
      </c>
      <c r="H366" t="s">
        <v>23</v>
      </c>
      <c r="I366">
        <v>1</v>
      </c>
      <c r="J366" s="9">
        <v>12200</v>
      </c>
      <c r="K366" s="7">
        <v>0.25</v>
      </c>
      <c r="L366" s="9">
        <v>9150</v>
      </c>
      <c r="M366" s="10">
        <f>Sales_Data3[[#This Row],[Profit]]/Sales_Data3[[#This Row],[Sales]]</f>
        <v>0.75</v>
      </c>
      <c r="N366" t="str">
        <f t="shared" si="11"/>
        <v>High</v>
      </c>
      <c r="O366" s="2">
        <v>44206</v>
      </c>
      <c r="P366" s="9">
        <v>12200</v>
      </c>
    </row>
    <row r="367" spans="1:16" x14ac:dyDescent="0.25">
      <c r="A367" t="s">
        <v>388</v>
      </c>
      <c r="B367" s="2">
        <v>44207</v>
      </c>
      <c r="C367">
        <v>2021</v>
      </c>
      <c r="D367" t="str">
        <f t="shared" si="10"/>
        <v>Jan</v>
      </c>
      <c r="E367" t="s">
        <v>12</v>
      </c>
      <c r="F367" t="s">
        <v>2025</v>
      </c>
      <c r="G367" t="s">
        <v>20</v>
      </c>
      <c r="H367" t="s">
        <v>23</v>
      </c>
      <c r="I367">
        <v>2</v>
      </c>
      <c r="J367" s="9">
        <v>13500</v>
      </c>
      <c r="K367" s="7">
        <v>0.05</v>
      </c>
      <c r="L367" s="9">
        <v>12825</v>
      </c>
      <c r="M367" s="10">
        <f>Sales_Data3[[#This Row],[Profit]]/Sales_Data3[[#This Row],[Sales]]</f>
        <v>0.95</v>
      </c>
      <c r="N367" t="str">
        <f t="shared" si="11"/>
        <v>High</v>
      </c>
      <c r="O367" s="2">
        <v>44207</v>
      </c>
      <c r="P367" s="9">
        <v>13500</v>
      </c>
    </row>
    <row r="368" spans="1:16" x14ac:dyDescent="0.25">
      <c r="A368" t="s">
        <v>389</v>
      </c>
      <c r="B368" s="2">
        <v>44208</v>
      </c>
      <c r="C368">
        <v>2021</v>
      </c>
      <c r="D368" t="str">
        <f t="shared" si="10"/>
        <v>Jan</v>
      </c>
      <c r="E368" t="s">
        <v>12</v>
      </c>
      <c r="F368" t="s">
        <v>2026</v>
      </c>
      <c r="G368" t="s">
        <v>21</v>
      </c>
      <c r="H368" t="s">
        <v>23</v>
      </c>
      <c r="I368">
        <v>2</v>
      </c>
      <c r="J368" s="9">
        <v>11500</v>
      </c>
      <c r="K368" s="7">
        <v>0.1</v>
      </c>
      <c r="L368" s="9">
        <v>10350</v>
      </c>
      <c r="M368" s="10">
        <f>Sales_Data3[[#This Row],[Profit]]/Sales_Data3[[#This Row],[Sales]]</f>
        <v>0.9</v>
      </c>
      <c r="N368" t="str">
        <f t="shared" si="11"/>
        <v>High</v>
      </c>
      <c r="O368" s="2">
        <v>44208</v>
      </c>
      <c r="P368" s="9">
        <v>11500</v>
      </c>
    </row>
    <row r="369" spans="1:16" x14ac:dyDescent="0.25">
      <c r="A369" t="s">
        <v>390</v>
      </c>
      <c r="B369" s="2">
        <v>44209</v>
      </c>
      <c r="C369">
        <v>2021</v>
      </c>
      <c r="D369" t="str">
        <f t="shared" si="10"/>
        <v>Jan</v>
      </c>
      <c r="E369" t="s">
        <v>12</v>
      </c>
      <c r="F369" t="s">
        <v>2027</v>
      </c>
      <c r="G369" t="s">
        <v>22</v>
      </c>
      <c r="H369" t="s">
        <v>23</v>
      </c>
      <c r="I369">
        <v>5</v>
      </c>
      <c r="J369" s="9">
        <v>13900</v>
      </c>
      <c r="K369" s="7">
        <v>0.15000000000000002</v>
      </c>
      <c r="L369" s="9">
        <v>11815</v>
      </c>
      <c r="M369" s="10">
        <f>Sales_Data3[[#This Row],[Profit]]/Sales_Data3[[#This Row],[Sales]]</f>
        <v>0.85</v>
      </c>
      <c r="N369" t="str">
        <f t="shared" si="11"/>
        <v>High</v>
      </c>
      <c r="O369" s="2">
        <v>44209</v>
      </c>
      <c r="P369" s="9">
        <v>13900</v>
      </c>
    </row>
    <row r="370" spans="1:16" x14ac:dyDescent="0.25">
      <c r="A370" t="s">
        <v>391</v>
      </c>
      <c r="B370" s="2">
        <v>44210</v>
      </c>
      <c r="C370">
        <v>2021</v>
      </c>
      <c r="D370" t="str">
        <f t="shared" si="10"/>
        <v>Jan</v>
      </c>
      <c r="E370" t="s">
        <v>12</v>
      </c>
      <c r="F370" t="s">
        <v>2028</v>
      </c>
      <c r="G370" t="s">
        <v>19</v>
      </c>
      <c r="H370" t="s">
        <v>23</v>
      </c>
      <c r="I370">
        <v>1</v>
      </c>
      <c r="J370" s="9">
        <v>8600</v>
      </c>
      <c r="K370" s="7">
        <v>0.2</v>
      </c>
      <c r="L370" s="9">
        <v>6880</v>
      </c>
      <c r="M370" s="10">
        <f>Sales_Data3[[#This Row],[Profit]]/Sales_Data3[[#This Row],[Sales]]</f>
        <v>0.8</v>
      </c>
      <c r="N370" t="str">
        <f t="shared" si="11"/>
        <v>Medium</v>
      </c>
      <c r="O370" s="2">
        <v>44210</v>
      </c>
      <c r="P370" s="9">
        <v>8600</v>
      </c>
    </row>
    <row r="371" spans="1:16" x14ac:dyDescent="0.25">
      <c r="A371" t="s">
        <v>392</v>
      </c>
      <c r="B371" s="2">
        <v>44211</v>
      </c>
      <c r="C371">
        <v>2021</v>
      </c>
      <c r="D371" t="str">
        <f t="shared" si="10"/>
        <v>Jan</v>
      </c>
      <c r="E371" t="s">
        <v>12</v>
      </c>
      <c r="F371" t="s">
        <v>2029</v>
      </c>
      <c r="G371" t="s">
        <v>20</v>
      </c>
      <c r="H371" t="s">
        <v>23</v>
      </c>
      <c r="I371">
        <v>8</v>
      </c>
      <c r="J371" s="9">
        <v>9500</v>
      </c>
      <c r="K371" s="7">
        <v>0.25</v>
      </c>
      <c r="L371" s="9">
        <v>7125</v>
      </c>
      <c r="M371" s="10">
        <f>Sales_Data3[[#This Row],[Profit]]/Sales_Data3[[#This Row],[Sales]]</f>
        <v>0.75</v>
      </c>
      <c r="N371" t="str">
        <f t="shared" si="11"/>
        <v>Medium</v>
      </c>
      <c r="O371" s="2">
        <v>44211</v>
      </c>
      <c r="P371" s="9">
        <v>9500</v>
      </c>
    </row>
    <row r="372" spans="1:16" x14ac:dyDescent="0.25">
      <c r="A372" t="s">
        <v>393</v>
      </c>
      <c r="B372" s="2">
        <v>44212</v>
      </c>
      <c r="C372">
        <v>2021</v>
      </c>
      <c r="D372" t="str">
        <f t="shared" si="10"/>
        <v>Jan</v>
      </c>
      <c r="E372" t="s">
        <v>13</v>
      </c>
      <c r="F372" t="s">
        <v>16</v>
      </c>
      <c r="G372" t="s">
        <v>21</v>
      </c>
      <c r="H372" t="s">
        <v>24</v>
      </c>
      <c r="I372">
        <v>10</v>
      </c>
      <c r="J372" s="9">
        <v>13800</v>
      </c>
      <c r="K372" s="7">
        <v>0.05</v>
      </c>
      <c r="L372" s="9">
        <v>13110</v>
      </c>
      <c r="M372" s="10">
        <f>Sales_Data3[[#This Row],[Profit]]/Sales_Data3[[#This Row],[Sales]]</f>
        <v>0.95</v>
      </c>
      <c r="N372" t="str">
        <f t="shared" si="11"/>
        <v>High</v>
      </c>
      <c r="O372" s="2">
        <v>44212</v>
      </c>
      <c r="P372" s="9">
        <v>13800</v>
      </c>
    </row>
    <row r="373" spans="1:16" x14ac:dyDescent="0.25">
      <c r="A373" t="s">
        <v>394</v>
      </c>
      <c r="B373" s="2">
        <v>44213</v>
      </c>
      <c r="C373">
        <v>2021</v>
      </c>
      <c r="D373" t="str">
        <f t="shared" si="10"/>
        <v>Jan</v>
      </c>
      <c r="E373" t="s">
        <v>13</v>
      </c>
      <c r="F373" t="s">
        <v>2030</v>
      </c>
      <c r="G373" t="s">
        <v>22</v>
      </c>
      <c r="H373" t="s">
        <v>24</v>
      </c>
      <c r="I373">
        <v>9</v>
      </c>
      <c r="J373" s="9">
        <v>6000</v>
      </c>
      <c r="K373" s="7">
        <v>0.1</v>
      </c>
      <c r="L373" s="9">
        <v>5400</v>
      </c>
      <c r="M373" s="10">
        <f>Sales_Data3[[#This Row],[Profit]]/Sales_Data3[[#This Row],[Sales]]</f>
        <v>0.9</v>
      </c>
      <c r="N373" t="str">
        <f t="shared" si="11"/>
        <v>Medium</v>
      </c>
      <c r="O373" s="2">
        <v>44213</v>
      </c>
      <c r="P373" s="9">
        <v>6000</v>
      </c>
    </row>
    <row r="374" spans="1:16" x14ac:dyDescent="0.25">
      <c r="A374" t="s">
        <v>395</v>
      </c>
      <c r="B374" s="2">
        <v>44214</v>
      </c>
      <c r="C374">
        <v>2021</v>
      </c>
      <c r="D374" t="str">
        <f t="shared" si="10"/>
        <v>Jan</v>
      </c>
      <c r="E374" t="s">
        <v>13</v>
      </c>
      <c r="F374" t="s">
        <v>2031</v>
      </c>
      <c r="G374" t="s">
        <v>19</v>
      </c>
      <c r="H374" t="s">
        <v>24</v>
      </c>
      <c r="I374">
        <v>2</v>
      </c>
      <c r="J374" s="9">
        <v>5500</v>
      </c>
      <c r="K374" s="7">
        <v>0.15000000000000002</v>
      </c>
      <c r="L374" s="9">
        <v>4675</v>
      </c>
      <c r="M374" s="10">
        <f>Sales_Data3[[#This Row],[Profit]]/Sales_Data3[[#This Row],[Sales]]</f>
        <v>0.85</v>
      </c>
      <c r="N374" t="str">
        <f t="shared" si="11"/>
        <v>Medium</v>
      </c>
      <c r="O374" s="2">
        <v>44214</v>
      </c>
      <c r="P374" s="9">
        <v>5500</v>
      </c>
    </row>
    <row r="375" spans="1:16" x14ac:dyDescent="0.25">
      <c r="A375" t="s">
        <v>396</v>
      </c>
      <c r="B375" s="2">
        <v>44215</v>
      </c>
      <c r="C375">
        <v>2021</v>
      </c>
      <c r="D375" t="str">
        <f t="shared" si="10"/>
        <v>Jan</v>
      </c>
      <c r="E375" t="s">
        <v>13</v>
      </c>
      <c r="F375" t="s">
        <v>2032</v>
      </c>
      <c r="G375" t="s">
        <v>20</v>
      </c>
      <c r="H375" t="s">
        <v>24</v>
      </c>
      <c r="I375">
        <v>5</v>
      </c>
      <c r="J375" s="9">
        <v>9900</v>
      </c>
      <c r="K375" s="7">
        <v>0.2</v>
      </c>
      <c r="L375" s="9">
        <v>7920</v>
      </c>
      <c r="M375" s="10">
        <f>Sales_Data3[[#This Row],[Profit]]/Sales_Data3[[#This Row],[Sales]]</f>
        <v>0.8</v>
      </c>
      <c r="N375" t="str">
        <f t="shared" si="11"/>
        <v>Medium</v>
      </c>
      <c r="O375" s="2">
        <v>44215</v>
      </c>
      <c r="P375" s="9">
        <v>9900</v>
      </c>
    </row>
    <row r="376" spans="1:16" x14ac:dyDescent="0.25">
      <c r="A376" t="s">
        <v>397</v>
      </c>
      <c r="B376" s="2">
        <v>44216</v>
      </c>
      <c r="C376">
        <v>2021</v>
      </c>
      <c r="D376" t="str">
        <f t="shared" si="10"/>
        <v>Jan</v>
      </c>
      <c r="E376" t="s">
        <v>13</v>
      </c>
      <c r="F376" t="s">
        <v>2033</v>
      </c>
      <c r="G376" t="s">
        <v>21</v>
      </c>
      <c r="H376" t="s">
        <v>24</v>
      </c>
      <c r="I376">
        <v>1</v>
      </c>
      <c r="J376" s="9">
        <v>6700</v>
      </c>
      <c r="K376" s="7">
        <v>0.25</v>
      </c>
      <c r="L376" s="9">
        <v>5025</v>
      </c>
      <c r="M376" s="10">
        <f>Sales_Data3[[#This Row],[Profit]]/Sales_Data3[[#This Row],[Sales]]</f>
        <v>0.75</v>
      </c>
      <c r="N376" t="str">
        <f t="shared" si="11"/>
        <v>Medium</v>
      </c>
      <c r="O376" s="2">
        <v>44216</v>
      </c>
      <c r="P376" s="9">
        <v>6700</v>
      </c>
    </row>
    <row r="377" spans="1:16" x14ac:dyDescent="0.25">
      <c r="A377" t="s">
        <v>398</v>
      </c>
      <c r="B377" s="2">
        <v>44217</v>
      </c>
      <c r="C377">
        <v>2021</v>
      </c>
      <c r="D377" t="str">
        <f t="shared" si="10"/>
        <v>Jan</v>
      </c>
      <c r="E377" t="s">
        <v>13</v>
      </c>
      <c r="F377" t="s">
        <v>2034</v>
      </c>
      <c r="G377" t="s">
        <v>22</v>
      </c>
      <c r="H377" t="s">
        <v>24</v>
      </c>
      <c r="I377">
        <v>9</v>
      </c>
      <c r="J377" s="9">
        <v>7000</v>
      </c>
      <c r="K377" s="7">
        <v>0.05</v>
      </c>
      <c r="L377" s="9">
        <v>6650</v>
      </c>
      <c r="M377" s="10">
        <f>Sales_Data3[[#This Row],[Profit]]/Sales_Data3[[#This Row],[Sales]]</f>
        <v>0.95</v>
      </c>
      <c r="N377" t="str">
        <f t="shared" si="11"/>
        <v>Medium</v>
      </c>
      <c r="O377" s="2">
        <v>44217</v>
      </c>
      <c r="P377" s="9">
        <v>7000</v>
      </c>
    </row>
    <row r="378" spans="1:16" x14ac:dyDescent="0.25">
      <c r="A378" t="s">
        <v>399</v>
      </c>
      <c r="B378" s="2">
        <v>44218</v>
      </c>
      <c r="C378">
        <v>2021</v>
      </c>
      <c r="D378" t="str">
        <f t="shared" si="10"/>
        <v>Jan</v>
      </c>
      <c r="E378" t="s">
        <v>13</v>
      </c>
      <c r="F378" t="s">
        <v>2035</v>
      </c>
      <c r="G378" t="s">
        <v>19</v>
      </c>
      <c r="H378" t="s">
        <v>24</v>
      </c>
      <c r="I378">
        <v>8</v>
      </c>
      <c r="J378" s="9">
        <v>14800</v>
      </c>
      <c r="K378" s="7">
        <v>0.1</v>
      </c>
      <c r="L378" s="9">
        <v>13320</v>
      </c>
      <c r="M378" s="10">
        <f>Sales_Data3[[#This Row],[Profit]]/Sales_Data3[[#This Row],[Sales]]</f>
        <v>0.9</v>
      </c>
      <c r="N378" t="str">
        <f t="shared" si="11"/>
        <v>High</v>
      </c>
      <c r="O378" s="2">
        <v>44218</v>
      </c>
      <c r="P378" s="9">
        <v>14800</v>
      </c>
    </row>
    <row r="379" spans="1:16" x14ac:dyDescent="0.25">
      <c r="A379" t="s">
        <v>400</v>
      </c>
      <c r="B379" s="2">
        <v>44219</v>
      </c>
      <c r="C379">
        <v>2021</v>
      </c>
      <c r="D379" t="str">
        <f t="shared" si="10"/>
        <v>Jan</v>
      </c>
      <c r="E379" t="s">
        <v>13</v>
      </c>
      <c r="F379" t="s">
        <v>2036</v>
      </c>
      <c r="G379" t="s">
        <v>20</v>
      </c>
      <c r="H379" t="s">
        <v>24</v>
      </c>
      <c r="I379">
        <v>7</v>
      </c>
      <c r="J379" s="9">
        <v>13800</v>
      </c>
      <c r="K379" s="7">
        <v>0.15000000000000002</v>
      </c>
      <c r="L379" s="9">
        <v>11730</v>
      </c>
      <c r="M379" s="10">
        <f>Sales_Data3[[#This Row],[Profit]]/Sales_Data3[[#This Row],[Sales]]</f>
        <v>0.85</v>
      </c>
      <c r="N379" t="str">
        <f t="shared" si="11"/>
        <v>High</v>
      </c>
      <c r="O379" s="2">
        <v>44219</v>
      </c>
      <c r="P379" s="9">
        <v>13800</v>
      </c>
    </row>
    <row r="380" spans="1:16" x14ac:dyDescent="0.25">
      <c r="A380" t="s">
        <v>401</v>
      </c>
      <c r="B380" s="2">
        <v>44220</v>
      </c>
      <c r="C380">
        <v>2021</v>
      </c>
      <c r="D380" t="str">
        <f t="shared" si="10"/>
        <v>Jan</v>
      </c>
      <c r="E380" t="s">
        <v>13</v>
      </c>
      <c r="F380" t="s">
        <v>2037</v>
      </c>
      <c r="G380" t="s">
        <v>21</v>
      </c>
      <c r="H380" t="s">
        <v>24</v>
      </c>
      <c r="I380">
        <v>1</v>
      </c>
      <c r="J380" s="9">
        <v>11300</v>
      </c>
      <c r="K380" s="7">
        <v>0.2</v>
      </c>
      <c r="L380" s="9">
        <v>9040</v>
      </c>
      <c r="M380" s="10">
        <f>Sales_Data3[[#This Row],[Profit]]/Sales_Data3[[#This Row],[Sales]]</f>
        <v>0.8</v>
      </c>
      <c r="N380" t="str">
        <f t="shared" si="11"/>
        <v>High</v>
      </c>
      <c r="O380" s="2">
        <v>44220</v>
      </c>
      <c r="P380" s="9">
        <v>11300</v>
      </c>
    </row>
    <row r="381" spans="1:16" x14ac:dyDescent="0.25">
      <c r="A381" t="s">
        <v>402</v>
      </c>
      <c r="B381" s="2">
        <v>44221</v>
      </c>
      <c r="C381">
        <v>2021</v>
      </c>
      <c r="D381" t="str">
        <f t="shared" si="10"/>
        <v>Jan</v>
      </c>
      <c r="E381" t="s">
        <v>13</v>
      </c>
      <c r="F381" t="s">
        <v>2038</v>
      </c>
      <c r="G381" t="s">
        <v>22</v>
      </c>
      <c r="H381" t="s">
        <v>24</v>
      </c>
      <c r="I381">
        <v>6</v>
      </c>
      <c r="J381" s="9">
        <v>8400</v>
      </c>
      <c r="K381" s="7">
        <v>0.25</v>
      </c>
      <c r="L381" s="9">
        <v>6300</v>
      </c>
      <c r="M381" s="10">
        <f>Sales_Data3[[#This Row],[Profit]]/Sales_Data3[[#This Row],[Sales]]</f>
        <v>0.75</v>
      </c>
      <c r="N381" t="str">
        <f t="shared" si="11"/>
        <v>Medium</v>
      </c>
      <c r="O381" s="2">
        <v>44221</v>
      </c>
      <c r="P381" s="9">
        <v>8400</v>
      </c>
    </row>
    <row r="382" spans="1:16" x14ac:dyDescent="0.25">
      <c r="A382" t="s">
        <v>403</v>
      </c>
      <c r="B382" s="2">
        <v>44222</v>
      </c>
      <c r="C382">
        <v>2021</v>
      </c>
      <c r="D382" t="str">
        <f t="shared" si="10"/>
        <v>Jan</v>
      </c>
      <c r="E382" t="s">
        <v>14</v>
      </c>
      <c r="F382" t="s">
        <v>2039</v>
      </c>
      <c r="G382" t="s">
        <v>19</v>
      </c>
      <c r="H382" t="s">
        <v>25</v>
      </c>
      <c r="I382">
        <v>7</v>
      </c>
      <c r="J382" s="9">
        <v>5400</v>
      </c>
      <c r="K382" s="7">
        <v>0.05</v>
      </c>
      <c r="L382" s="9">
        <v>5130</v>
      </c>
      <c r="M382" s="10">
        <f>Sales_Data3[[#This Row],[Profit]]/Sales_Data3[[#This Row],[Sales]]</f>
        <v>0.95</v>
      </c>
      <c r="N382" t="str">
        <f t="shared" si="11"/>
        <v>Medium</v>
      </c>
      <c r="O382" s="2">
        <v>44222</v>
      </c>
      <c r="P382" s="9">
        <v>5400</v>
      </c>
    </row>
    <row r="383" spans="1:16" x14ac:dyDescent="0.25">
      <c r="A383" t="s">
        <v>404</v>
      </c>
      <c r="B383" s="2">
        <v>44223</v>
      </c>
      <c r="C383">
        <v>2021</v>
      </c>
      <c r="D383" t="str">
        <f t="shared" si="10"/>
        <v>Jan</v>
      </c>
      <c r="E383" t="s">
        <v>14</v>
      </c>
      <c r="F383" t="s">
        <v>2040</v>
      </c>
      <c r="G383" t="s">
        <v>20</v>
      </c>
      <c r="H383" t="s">
        <v>25</v>
      </c>
      <c r="I383">
        <v>2</v>
      </c>
      <c r="J383" s="9">
        <v>15000</v>
      </c>
      <c r="K383" s="7">
        <v>0.1</v>
      </c>
      <c r="L383" s="9">
        <v>13500</v>
      </c>
      <c r="M383" s="10">
        <f>Sales_Data3[[#This Row],[Profit]]/Sales_Data3[[#This Row],[Sales]]</f>
        <v>0.9</v>
      </c>
      <c r="N383" t="str">
        <f t="shared" si="11"/>
        <v>High</v>
      </c>
      <c r="O383" s="2">
        <v>44223</v>
      </c>
      <c r="P383" s="9">
        <v>15000</v>
      </c>
    </row>
    <row r="384" spans="1:16" x14ac:dyDescent="0.25">
      <c r="A384" t="s">
        <v>405</v>
      </c>
      <c r="B384" s="2">
        <v>44224</v>
      </c>
      <c r="C384">
        <v>2021</v>
      </c>
      <c r="D384" t="str">
        <f t="shared" si="10"/>
        <v>Jan</v>
      </c>
      <c r="E384" t="s">
        <v>14</v>
      </c>
      <c r="F384" t="s">
        <v>2041</v>
      </c>
      <c r="G384" t="s">
        <v>21</v>
      </c>
      <c r="H384" t="s">
        <v>25</v>
      </c>
      <c r="I384">
        <v>9</v>
      </c>
      <c r="J384" s="9">
        <v>14300</v>
      </c>
      <c r="K384" s="7">
        <v>0.15000000000000002</v>
      </c>
      <c r="L384" s="9">
        <v>12155</v>
      </c>
      <c r="M384" s="10">
        <f>Sales_Data3[[#This Row],[Profit]]/Sales_Data3[[#This Row],[Sales]]</f>
        <v>0.85</v>
      </c>
      <c r="N384" t="str">
        <f t="shared" si="11"/>
        <v>High</v>
      </c>
      <c r="O384" s="2">
        <v>44224</v>
      </c>
      <c r="P384" s="9">
        <v>14300</v>
      </c>
    </row>
    <row r="385" spans="1:16" x14ac:dyDescent="0.25">
      <c r="A385" t="s">
        <v>406</v>
      </c>
      <c r="B385" s="2">
        <v>44225</v>
      </c>
      <c r="C385">
        <v>2021</v>
      </c>
      <c r="D385" t="str">
        <f t="shared" si="10"/>
        <v>Jan</v>
      </c>
      <c r="E385" t="s">
        <v>14</v>
      </c>
      <c r="F385" t="s">
        <v>2042</v>
      </c>
      <c r="G385" t="s">
        <v>22</v>
      </c>
      <c r="H385" t="s">
        <v>25</v>
      </c>
      <c r="I385">
        <v>6</v>
      </c>
      <c r="J385" s="9">
        <v>8700</v>
      </c>
      <c r="K385" s="7">
        <v>0.2</v>
      </c>
      <c r="L385" s="9">
        <v>6960</v>
      </c>
      <c r="M385" s="10">
        <f>Sales_Data3[[#This Row],[Profit]]/Sales_Data3[[#This Row],[Sales]]</f>
        <v>0.8</v>
      </c>
      <c r="N385" t="str">
        <f t="shared" si="11"/>
        <v>Medium</v>
      </c>
      <c r="O385" s="2">
        <v>44225</v>
      </c>
      <c r="P385" s="9">
        <v>8700</v>
      </c>
    </row>
    <row r="386" spans="1:16" x14ac:dyDescent="0.25">
      <c r="A386" t="s">
        <v>407</v>
      </c>
      <c r="B386" s="2">
        <v>44226</v>
      </c>
      <c r="C386">
        <v>2021</v>
      </c>
      <c r="D386" t="str">
        <f t="shared" ref="D386:D449" si="12">TEXT(B386,"MMM")</f>
        <v>Jan</v>
      </c>
      <c r="E386" t="s">
        <v>14</v>
      </c>
      <c r="F386" t="s">
        <v>2043</v>
      </c>
      <c r="G386" t="s">
        <v>19</v>
      </c>
      <c r="H386" t="s">
        <v>25</v>
      </c>
      <c r="I386">
        <v>1</v>
      </c>
      <c r="J386" s="9">
        <v>8600</v>
      </c>
      <c r="K386" s="7">
        <v>0.25</v>
      </c>
      <c r="L386" s="9">
        <v>6450</v>
      </c>
      <c r="M386" s="10">
        <f>Sales_Data3[[#This Row],[Profit]]/Sales_Data3[[#This Row],[Sales]]</f>
        <v>0.75</v>
      </c>
      <c r="N386" t="str">
        <f t="shared" ref="N386:N449" si="13">IF(J386&gt;10000,"High",IF(J386&gt;5000,"Medium","Low"))</f>
        <v>Medium</v>
      </c>
      <c r="O386" s="2">
        <v>44226</v>
      </c>
      <c r="P386" s="9">
        <v>8600</v>
      </c>
    </row>
    <row r="387" spans="1:16" x14ac:dyDescent="0.25">
      <c r="A387" t="s">
        <v>408</v>
      </c>
      <c r="B387" s="2">
        <v>44227</v>
      </c>
      <c r="C387">
        <v>2021</v>
      </c>
      <c r="D387" t="str">
        <f t="shared" si="12"/>
        <v>Jan</v>
      </c>
      <c r="E387" t="s">
        <v>14</v>
      </c>
      <c r="F387" t="s">
        <v>2044</v>
      </c>
      <c r="G387" t="s">
        <v>20</v>
      </c>
      <c r="H387" t="s">
        <v>25</v>
      </c>
      <c r="I387">
        <v>10</v>
      </c>
      <c r="J387" s="9">
        <v>10300</v>
      </c>
      <c r="K387" s="7">
        <v>0.05</v>
      </c>
      <c r="L387" s="9">
        <v>9785</v>
      </c>
      <c r="M387" s="10">
        <f>Sales_Data3[[#This Row],[Profit]]/Sales_Data3[[#This Row],[Sales]]</f>
        <v>0.95</v>
      </c>
      <c r="N387" t="str">
        <f t="shared" si="13"/>
        <v>High</v>
      </c>
      <c r="O387" s="2">
        <v>44227</v>
      </c>
      <c r="P387" s="9">
        <v>10300</v>
      </c>
    </row>
    <row r="388" spans="1:16" x14ac:dyDescent="0.25">
      <c r="A388" t="s">
        <v>409</v>
      </c>
      <c r="B388" s="2">
        <v>44228</v>
      </c>
      <c r="C388">
        <v>2021</v>
      </c>
      <c r="D388" t="str">
        <f t="shared" si="12"/>
        <v>Feb</v>
      </c>
      <c r="E388" t="s">
        <v>14</v>
      </c>
      <c r="F388" t="s">
        <v>2045</v>
      </c>
      <c r="G388" t="s">
        <v>21</v>
      </c>
      <c r="H388" t="s">
        <v>25</v>
      </c>
      <c r="I388">
        <v>10</v>
      </c>
      <c r="J388" s="9">
        <v>13700</v>
      </c>
      <c r="K388" s="7">
        <v>0.1</v>
      </c>
      <c r="L388" s="9">
        <v>12330</v>
      </c>
      <c r="M388" s="10">
        <f>Sales_Data3[[#This Row],[Profit]]/Sales_Data3[[#This Row],[Sales]]</f>
        <v>0.9</v>
      </c>
      <c r="N388" t="str">
        <f t="shared" si="13"/>
        <v>High</v>
      </c>
      <c r="O388" s="2">
        <v>44228</v>
      </c>
      <c r="P388" s="9">
        <v>13700</v>
      </c>
    </row>
    <row r="389" spans="1:16" x14ac:dyDescent="0.25">
      <c r="A389" t="s">
        <v>410</v>
      </c>
      <c r="B389" s="2">
        <v>44229</v>
      </c>
      <c r="C389">
        <v>2021</v>
      </c>
      <c r="D389" t="str">
        <f t="shared" si="12"/>
        <v>Feb</v>
      </c>
      <c r="E389" t="s">
        <v>14</v>
      </c>
      <c r="F389" t="s">
        <v>2046</v>
      </c>
      <c r="G389" t="s">
        <v>22</v>
      </c>
      <c r="H389" t="s">
        <v>25</v>
      </c>
      <c r="I389">
        <v>3</v>
      </c>
      <c r="J389" s="9">
        <v>13500</v>
      </c>
      <c r="K389" s="7">
        <v>0.15000000000000002</v>
      </c>
      <c r="L389" s="9">
        <v>11475</v>
      </c>
      <c r="M389" s="10">
        <f>Sales_Data3[[#This Row],[Profit]]/Sales_Data3[[#This Row],[Sales]]</f>
        <v>0.85</v>
      </c>
      <c r="N389" t="str">
        <f t="shared" si="13"/>
        <v>High</v>
      </c>
      <c r="O389" s="2">
        <v>44229</v>
      </c>
      <c r="P389" s="9">
        <v>13500</v>
      </c>
    </row>
    <row r="390" spans="1:16" x14ac:dyDescent="0.25">
      <c r="A390" t="s">
        <v>411</v>
      </c>
      <c r="B390" s="2">
        <v>44230</v>
      </c>
      <c r="C390">
        <v>2021</v>
      </c>
      <c r="D390" t="str">
        <f t="shared" si="12"/>
        <v>Feb</v>
      </c>
      <c r="E390" t="s">
        <v>14</v>
      </c>
      <c r="F390" t="s">
        <v>2047</v>
      </c>
      <c r="G390" t="s">
        <v>19</v>
      </c>
      <c r="H390" t="s">
        <v>25</v>
      </c>
      <c r="I390">
        <v>6</v>
      </c>
      <c r="J390" s="9">
        <v>8000</v>
      </c>
      <c r="K390" s="7">
        <v>0.2</v>
      </c>
      <c r="L390" s="9">
        <v>6400</v>
      </c>
      <c r="M390" s="10">
        <f>Sales_Data3[[#This Row],[Profit]]/Sales_Data3[[#This Row],[Sales]]</f>
        <v>0.8</v>
      </c>
      <c r="N390" t="str">
        <f t="shared" si="13"/>
        <v>Medium</v>
      </c>
      <c r="O390" s="2">
        <v>44230</v>
      </c>
      <c r="P390" s="9">
        <v>8000</v>
      </c>
    </row>
    <row r="391" spans="1:16" x14ac:dyDescent="0.25">
      <c r="A391" t="s">
        <v>412</v>
      </c>
      <c r="B391" s="2">
        <v>44231</v>
      </c>
      <c r="C391">
        <v>2021</v>
      </c>
      <c r="D391" t="str">
        <f t="shared" si="12"/>
        <v>Feb</v>
      </c>
      <c r="E391" t="s">
        <v>14</v>
      </c>
      <c r="F391" t="s">
        <v>2048</v>
      </c>
      <c r="G391" t="s">
        <v>20</v>
      </c>
      <c r="H391" t="s">
        <v>25</v>
      </c>
      <c r="I391">
        <v>1</v>
      </c>
      <c r="J391" s="9">
        <v>9900</v>
      </c>
      <c r="K391" s="7">
        <v>0.25</v>
      </c>
      <c r="L391" s="9">
        <v>7425</v>
      </c>
      <c r="M391" s="10">
        <f>Sales_Data3[[#This Row],[Profit]]/Sales_Data3[[#This Row],[Sales]]</f>
        <v>0.75</v>
      </c>
      <c r="N391" t="str">
        <f t="shared" si="13"/>
        <v>Medium</v>
      </c>
      <c r="O391" s="2">
        <v>44231</v>
      </c>
      <c r="P391" s="9">
        <v>9900</v>
      </c>
    </row>
    <row r="392" spans="1:16" x14ac:dyDescent="0.25">
      <c r="A392" t="s">
        <v>413</v>
      </c>
      <c r="B392" s="2">
        <v>44232</v>
      </c>
      <c r="C392">
        <v>2021</v>
      </c>
      <c r="D392" t="str">
        <f t="shared" si="12"/>
        <v>Feb</v>
      </c>
      <c r="E392" t="s">
        <v>12</v>
      </c>
      <c r="F392" t="s">
        <v>15</v>
      </c>
      <c r="G392" t="s">
        <v>21</v>
      </c>
      <c r="H392" t="s">
        <v>23</v>
      </c>
      <c r="I392">
        <v>5</v>
      </c>
      <c r="J392" s="9">
        <v>6100</v>
      </c>
      <c r="K392" s="7">
        <v>0.05</v>
      </c>
      <c r="L392" s="9">
        <v>5795</v>
      </c>
      <c r="M392" s="10">
        <f>Sales_Data3[[#This Row],[Profit]]/Sales_Data3[[#This Row],[Sales]]</f>
        <v>0.95</v>
      </c>
      <c r="N392" t="str">
        <f t="shared" si="13"/>
        <v>Medium</v>
      </c>
      <c r="O392" s="2">
        <v>44232</v>
      </c>
      <c r="P392" s="9">
        <v>6100</v>
      </c>
    </row>
    <row r="393" spans="1:16" x14ac:dyDescent="0.25">
      <c r="A393" t="s">
        <v>414</v>
      </c>
      <c r="B393" s="2">
        <v>44233</v>
      </c>
      <c r="C393">
        <v>2021</v>
      </c>
      <c r="D393" t="str">
        <f t="shared" si="12"/>
        <v>Feb</v>
      </c>
      <c r="E393" t="s">
        <v>12</v>
      </c>
      <c r="F393" t="s">
        <v>17</v>
      </c>
      <c r="G393" t="s">
        <v>22</v>
      </c>
      <c r="H393" t="s">
        <v>23</v>
      </c>
      <c r="I393">
        <v>5</v>
      </c>
      <c r="J393" s="9">
        <v>10000</v>
      </c>
      <c r="K393" s="7">
        <v>0.1</v>
      </c>
      <c r="L393" s="9">
        <v>9000</v>
      </c>
      <c r="M393" s="10">
        <f>Sales_Data3[[#This Row],[Profit]]/Sales_Data3[[#This Row],[Sales]]</f>
        <v>0.9</v>
      </c>
      <c r="N393" t="str">
        <f t="shared" si="13"/>
        <v>Medium</v>
      </c>
      <c r="O393" s="2">
        <v>44233</v>
      </c>
      <c r="P393" s="9">
        <v>10000</v>
      </c>
    </row>
    <row r="394" spans="1:16" x14ac:dyDescent="0.25">
      <c r="A394" t="s">
        <v>415</v>
      </c>
      <c r="B394" s="2">
        <v>44234</v>
      </c>
      <c r="C394">
        <v>2021</v>
      </c>
      <c r="D394" t="str">
        <f t="shared" si="12"/>
        <v>Feb</v>
      </c>
      <c r="E394" t="s">
        <v>12</v>
      </c>
      <c r="F394" t="s">
        <v>2023</v>
      </c>
      <c r="G394" t="s">
        <v>19</v>
      </c>
      <c r="H394" t="s">
        <v>23</v>
      </c>
      <c r="I394">
        <v>8</v>
      </c>
      <c r="J394" s="9">
        <v>13300</v>
      </c>
      <c r="K394" s="7">
        <v>0.15000000000000002</v>
      </c>
      <c r="L394" s="9">
        <v>11305</v>
      </c>
      <c r="M394" s="10">
        <f>Sales_Data3[[#This Row],[Profit]]/Sales_Data3[[#This Row],[Sales]]</f>
        <v>0.85</v>
      </c>
      <c r="N394" t="str">
        <f t="shared" si="13"/>
        <v>High</v>
      </c>
      <c r="O394" s="2">
        <v>44234</v>
      </c>
      <c r="P394" s="9">
        <v>13300</v>
      </c>
    </row>
    <row r="395" spans="1:16" x14ac:dyDescent="0.25">
      <c r="A395" t="s">
        <v>416</v>
      </c>
      <c r="B395" s="2">
        <v>44235</v>
      </c>
      <c r="C395">
        <v>2021</v>
      </c>
      <c r="D395" t="str">
        <f t="shared" si="12"/>
        <v>Feb</v>
      </c>
      <c r="E395" t="s">
        <v>12</v>
      </c>
      <c r="F395" t="s">
        <v>18</v>
      </c>
      <c r="G395" t="s">
        <v>20</v>
      </c>
      <c r="H395" t="s">
        <v>23</v>
      </c>
      <c r="I395">
        <v>7</v>
      </c>
      <c r="J395" s="9">
        <v>6200</v>
      </c>
      <c r="K395" s="7">
        <v>0.2</v>
      </c>
      <c r="L395" s="9">
        <v>4960</v>
      </c>
      <c r="M395" s="10">
        <f>Sales_Data3[[#This Row],[Profit]]/Sales_Data3[[#This Row],[Sales]]</f>
        <v>0.8</v>
      </c>
      <c r="N395" t="str">
        <f t="shared" si="13"/>
        <v>Medium</v>
      </c>
      <c r="O395" s="2">
        <v>44235</v>
      </c>
      <c r="P395" s="9">
        <v>6200</v>
      </c>
    </row>
    <row r="396" spans="1:16" x14ac:dyDescent="0.25">
      <c r="A396" t="s">
        <v>417</v>
      </c>
      <c r="B396" s="2">
        <v>44236</v>
      </c>
      <c r="C396">
        <v>2021</v>
      </c>
      <c r="D396" t="str">
        <f t="shared" si="12"/>
        <v>Feb</v>
      </c>
      <c r="E396" t="s">
        <v>12</v>
      </c>
      <c r="F396" t="s">
        <v>2024</v>
      </c>
      <c r="G396" t="s">
        <v>21</v>
      </c>
      <c r="H396" t="s">
        <v>23</v>
      </c>
      <c r="I396">
        <v>1</v>
      </c>
      <c r="J396" s="9">
        <v>14800</v>
      </c>
      <c r="K396" s="7">
        <v>0.25</v>
      </c>
      <c r="L396" s="9">
        <v>11100</v>
      </c>
      <c r="M396" s="10">
        <f>Sales_Data3[[#This Row],[Profit]]/Sales_Data3[[#This Row],[Sales]]</f>
        <v>0.75</v>
      </c>
      <c r="N396" t="str">
        <f t="shared" si="13"/>
        <v>High</v>
      </c>
      <c r="O396" s="2">
        <v>44236</v>
      </c>
      <c r="P396" s="9">
        <v>14800</v>
      </c>
    </row>
    <row r="397" spans="1:16" x14ac:dyDescent="0.25">
      <c r="A397" t="s">
        <v>418</v>
      </c>
      <c r="B397" s="2">
        <v>44237</v>
      </c>
      <c r="C397">
        <v>2021</v>
      </c>
      <c r="D397" t="str">
        <f t="shared" si="12"/>
        <v>Feb</v>
      </c>
      <c r="E397" t="s">
        <v>12</v>
      </c>
      <c r="F397" t="s">
        <v>2025</v>
      </c>
      <c r="G397" t="s">
        <v>22</v>
      </c>
      <c r="H397" t="s">
        <v>23</v>
      </c>
      <c r="I397">
        <v>5</v>
      </c>
      <c r="J397" s="9">
        <v>13300</v>
      </c>
      <c r="K397" s="7">
        <v>0.05</v>
      </c>
      <c r="L397" s="9">
        <v>12635</v>
      </c>
      <c r="M397" s="10">
        <f>Sales_Data3[[#This Row],[Profit]]/Sales_Data3[[#This Row],[Sales]]</f>
        <v>0.95</v>
      </c>
      <c r="N397" t="str">
        <f t="shared" si="13"/>
        <v>High</v>
      </c>
      <c r="O397" s="2">
        <v>44237</v>
      </c>
      <c r="P397" s="9">
        <v>13300</v>
      </c>
    </row>
    <row r="398" spans="1:16" x14ac:dyDescent="0.25">
      <c r="A398" t="s">
        <v>419</v>
      </c>
      <c r="B398" s="2">
        <v>44238</v>
      </c>
      <c r="C398">
        <v>2021</v>
      </c>
      <c r="D398" t="str">
        <f t="shared" si="12"/>
        <v>Feb</v>
      </c>
      <c r="E398" t="s">
        <v>12</v>
      </c>
      <c r="F398" t="s">
        <v>2026</v>
      </c>
      <c r="G398" t="s">
        <v>19</v>
      </c>
      <c r="H398" t="s">
        <v>23</v>
      </c>
      <c r="I398">
        <v>5</v>
      </c>
      <c r="J398" s="9">
        <v>8900</v>
      </c>
      <c r="K398" s="7">
        <v>0.1</v>
      </c>
      <c r="L398" s="9">
        <v>8010</v>
      </c>
      <c r="M398" s="10">
        <f>Sales_Data3[[#This Row],[Profit]]/Sales_Data3[[#This Row],[Sales]]</f>
        <v>0.9</v>
      </c>
      <c r="N398" t="str">
        <f t="shared" si="13"/>
        <v>Medium</v>
      </c>
      <c r="O398" s="2">
        <v>44238</v>
      </c>
      <c r="P398" s="9">
        <v>8900</v>
      </c>
    </row>
    <row r="399" spans="1:16" x14ac:dyDescent="0.25">
      <c r="A399" t="s">
        <v>420</v>
      </c>
      <c r="B399" s="2">
        <v>44239</v>
      </c>
      <c r="C399">
        <v>2021</v>
      </c>
      <c r="D399" t="str">
        <f t="shared" si="12"/>
        <v>Feb</v>
      </c>
      <c r="E399" t="s">
        <v>12</v>
      </c>
      <c r="F399" t="s">
        <v>2027</v>
      </c>
      <c r="G399" t="s">
        <v>20</v>
      </c>
      <c r="H399" t="s">
        <v>23</v>
      </c>
      <c r="I399">
        <v>6</v>
      </c>
      <c r="J399" s="9">
        <v>11800</v>
      </c>
      <c r="K399" s="7">
        <v>0.15000000000000002</v>
      </c>
      <c r="L399" s="9">
        <v>10030</v>
      </c>
      <c r="M399" s="10">
        <f>Sales_Data3[[#This Row],[Profit]]/Sales_Data3[[#This Row],[Sales]]</f>
        <v>0.85</v>
      </c>
      <c r="N399" t="str">
        <f t="shared" si="13"/>
        <v>High</v>
      </c>
      <c r="O399" s="2">
        <v>44239</v>
      </c>
      <c r="P399" s="9">
        <v>11800</v>
      </c>
    </row>
    <row r="400" spans="1:16" x14ac:dyDescent="0.25">
      <c r="A400" t="s">
        <v>421</v>
      </c>
      <c r="B400" s="2">
        <v>44240</v>
      </c>
      <c r="C400">
        <v>2021</v>
      </c>
      <c r="D400" t="str">
        <f t="shared" si="12"/>
        <v>Feb</v>
      </c>
      <c r="E400" t="s">
        <v>12</v>
      </c>
      <c r="F400" t="s">
        <v>2028</v>
      </c>
      <c r="G400" t="s">
        <v>21</v>
      </c>
      <c r="H400" t="s">
        <v>23</v>
      </c>
      <c r="I400">
        <v>9</v>
      </c>
      <c r="J400" s="9">
        <v>13700</v>
      </c>
      <c r="K400" s="7">
        <v>0.2</v>
      </c>
      <c r="L400" s="9">
        <v>10960</v>
      </c>
      <c r="M400" s="10">
        <f>Sales_Data3[[#This Row],[Profit]]/Sales_Data3[[#This Row],[Sales]]</f>
        <v>0.8</v>
      </c>
      <c r="N400" t="str">
        <f t="shared" si="13"/>
        <v>High</v>
      </c>
      <c r="O400" s="2">
        <v>44240</v>
      </c>
      <c r="P400" s="9">
        <v>13700</v>
      </c>
    </row>
    <row r="401" spans="1:16" x14ac:dyDescent="0.25">
      <c r="A401" t="s">
        <v>422</v>
      </c>
      <c r="B401" s="2">
        <v>44241</v>
      </c>
      <c r="C401">
        <v>2021</v>
      </c>
      <c r="D401" t="str">
        <f t="shared" si="12"/>
        <v>Feb</v>
      </c>
      <c r="E401" t="s">
        <v>12</v>
      </c>
      <c r="F401" t="s">
        <v>2029</v>
      </c>
      <c r="G401" t="s">
        <v>22</v>
      </c>
      <c r="H401" t="s">
        <v>23</v>
      </c>
      <c r="I401">
        <v>2</v>
      </c>
      <c r="J401" s="9">
        <v>10600</v>
      </c>
      <c r="K401" s="7">
        <v>0.25</v>
      </c>
      <c r="L401" s="9">
        <v>7950</v>
      </c>
      <c r="M401" s="10">
        <f>Sales_Data3[[#This Row],[Profit]]/Sales_Data3[[#This Row],[Sales]]</f>
        <v>0.75</v>
      </c>
      <c r="N401" t="str">
        <f t="shared" si="13"/>
        <v>High</v>
      </c>
      <c r="O401" s="2">
        <v>44241</v>
      </c>
      <c r="P401" s="9">
        <v>10600</v>
      </c>
    </row>
    <row r="402" spans="1:16" x14ac:dyDescent="0.25">
      <c r="A402" t="s">
        <v>423</v>
      </c>
      <c r="B402" s="2">
        <v>44242</v>
      </c>
      <c r="C402">
        <v>2021</v>
      </c>
      <c r="D402" t="str">
        <f t="shared" si="12"/>
        <v>Feb</v>
      </c>
      <c r="E402" t="s">
        <v>13</v>
      </c>
      <c r="F402" t="s">
        <v>16</v>
      </c>
      <c r="G402" t="s">
        <v>19</v>
      </c>
      <c r="H402" t="s">
        <v>24</v>
      </c>
      <c r="I402">
        <v>3</v>
      </c>
      <c r="J402" s="9">
        <v>12600</v>
      </c>
      <c r="K402" s="7">
        <v>0.05</v>
      </c>
      <c r="L402" s="9">
        <v>11970</v>
      </c>
      <c r="M402" s="10">
        <f>Sales_Data3[[#This Row],[Profit]]/Sales_Data3[[#This Row],[Sales]]</f>
        <v>0.95</v>
      </c>
      <c r="N402" t="str">
        <f t="shared" si="13"/>
        <v>High</v>
      </c>
      <c r="O402" s="2">
        <v>44242</v>
      </c>
      <c r="P402" s="9">
        <v>12600</v>
      </c>
    </row>
    <row r="403" spans="1:16" x14ac:dyDescent="0.25">
      <c r="A403" t="s">
        <v>424</v>
      </c>
      <c r="B403" s="2">
        <v>44243</v>
      </c>
      <c r="C403">
        <v>2021</v>
      </c>
      <c r="D403" t="str">
        <f t="shared" si="12"/>
        <v>Feb</v>
      </c>
      <c r="E403" t="s">
        <v>13</v>
      </c>
      <c r="F403" t="s">
        <v>2030</v>
      </c>
      <c r="G403" t="s">
        <v>20</v>
      </c>
      <c r="H403" t="s">
        <v>24</v>
      </c>
      <c r="I403">
        <v>10</v>
      </c>
      <c r="J403" s="9">
        <v>9200</v>
      </c>
      <c r="K403" s="7">
        <v>0.1</v>
      </c>
      <c r="L403" s="9">
        <v>8280</v>
      </c>
      <c r="M403" s="10">
        <f>Sales_Data3[[#This Row],[Profit]]/Sales_Data3[[#This Row],[Sales]]</f>
        <v>0.9</v>
      </c>
      <c r="N403" t="str">
        <f t="shared" si="13"/>
        <v>Medium</v>
      </c>
      <c r="O403" s="2">
        <v>44243</v>
      </c>
      <c r="P403" s="9">
        <v>9200</v>
      </c>
    </row>
    <row r="404" spans="1:16" x14ac:dyDescent="0.25">
      <c r="A404" t="s">
        <v>425</v>
      </c>
      <c r="B404" s="2">
        <v>44244</v>
      </c>
      <c r="C404">
        <v>2021</v>
      </c>
      <c r="D404" t="str">
        <f t="shared" si="12"/>
        <v>Feb</v>
      </c>
      <c r="E404" t="s">
        <v>13</v>
      </c>
      <c r="F404" t="s">
        <v>2031</v>
      </c>
      <c r="G404" t="s">
        <v>21</v>
      </c>
      <c r="H404" t="s">
        <v>24</v>
      </c>
      <c r="I404">
        <v>7</v>
      </c>
      <c r="J404" s="9">
        <v>7400</v>
      </c>
      <c r="K404" s="7">
        <v>0.15000000000000002</v>
      </c>
      <c r="L404" s="9">
        <v>6290</v>
      </c>
      <c r="M404" s="10">
        <f>Sales_Data3[[#This Row],[Profit]]/Sales_Data3[[#This Row],[Sales]]</f>
        <v>0.85</v>
      </c>
      <c r="N404" t="str">
        <f t="shared" si="13"/>
        <v>Medium</v>
      </c>
      <c r="O404" s="2">
        <v>44244</v>
      </c>
      <c r="P404" s="9">
        <v>7400</v>
      </c>
    </row>
    <row r="405" spans="1:16" x14ac:dyDescent="0.25">
      <c r="A405" t="s">
        <v>426</v>
      </c>
      <c r="B405" s="2">
        <v>44245</v>
      </c>
      <c r="C405">
        <v>2021</v>
      </c>
      <c r="D405" t="str">
        <f t="shared" si="12"/>
        <v>Feb</v>
      </c>
      <c r="E405" t="s">
        <v>13</v>
      </c>
      <c r="F405" t="s">
        <v>2032</v>
      </c>
      <c r="G405" t="s">
        <v>22</v>
      </c>
      <c r="H405" t="s">
        <v>24</v>
      </c>
      <c r="I405">
        <v>6</v>
      </c>
      <c r="J405" s="9">
        <v>9900</v>
      </c>
      <c r="K405" s="7">
        <v>0.2</v>
      </c>
      <c r="L405" s="9">
        <v>7920</v>
      </c>
      <c r="M405" s="10">
        <f>Sales_Data3[[#This Row],[Profit]]/Sales_Data3[[#This Row],[Sales]]</f>
        <v>0.8</v>
      </c>
      <c r="N405" t="str">
        <f t="shared" si="13"/>
        <v>Medium</v>
      </c>
      <c r="O405" s="2">
        <v>44245</v>
      </c>
      <c r="P405" s="9">
        <v>9900</v>
      </c>
    </row>
    <row r="406" spans="1:16" x14ac:dyDescent="0.25">
      <c r="A406" t="s">
        <v>427</v>
      </c>
      <c r="B406" s="2">
        <v>44246</v>
      </c>
      <c r="C406">
        <v>2021</v>
      </c>
      <c r="D406" t="str">
        <f t="shared" si="12"/>
        <v>Feb</v>
      </c>
      <c r="E406" t="s">
        <v>13</v>
      </c>
      <c r="F406" t="s">
        <v>2033</v>
      </c>
      <c r="G406" t="s">
        <v>19</v>
      </c>
      <c r="H406" t="s">
        <v>24</v>
      </c>
      <c r="I406">
        <v>6</v>
      </c>
      <c r="J406" s="9">
        <v>8200</v>
      </c>
      <c r="K406" s="7">
        <v>0.25</v>
      </c>
      <c r="L406" s="9">
        <v>6150</v>
      </c>
      <c r="M406" s="10">
        <f>Sales_Data3[[#This Row],[Profit]]/Sales_Data3[[#This Row],[Sales]]</f>
        <v>0.75</v>
      </c>
      <c r="N406" t="str">
        <f t="shared" si="13"/>
        <v>Medium</v>
      </c>
      <c r="O406" s="2">
        <v>44246</v>
      </c>
      <c r="P406" s="9">
        <v>8200</v>
      </c>
    </row>
    <row r="407" spans="1:16" x14ac:dyDescent="0.25">
      <c r="A407" t="s">
        <v>428</v>
      </c>
      <c r="B407" s="2">
        <v>44247</v>
      </c>
      <c r="C407">
        <v>2021</v>
      </c>
      <c r="D407" t="str">
        <f t="shared" si="12"/>
        <v>Feb</v>
      </c>
      <c r="E407" t="s">
        <v>13</v>
      </c>
      <c r="F407" t="s">
        <v>2034</v>
      </c>
      <c r="G407" t="s">
        <v>20</v>
      </c>
      <c r="H407" t="s">
        <v>24</v>
      </c>
      <c r="I407">
        <v>10</v>
      </c>
      <c r="J407" s="9">
        <v>12600</v>
      </c>
      <c r="K407" s="7">
        <v>0.05</v>
      </c>
      <c r="L407" s="9">
        <v>11970</v>
      </c>
      <c r="M407" s="10">
        <f>Sales_Data3[[#This Row],[Profit]]/Sales_Data3[[#This Row],[Sales]]</f>
        <v>0.95</v>
      </c>
      <c r="N407" t="str">
        <f t="shared" si="13"/>
        <v>High</v>
      </c>
      <c r="O407" s="2">
        <v>44247</v>
      </c>
      <c r="P407" s="9">
        <v>12600</v>
      </c>
    </row>
    <row r="408" spans="1:16" x14ac:dyDescent="0.25">
      <c r="A408" t="s">
        <v>429</v>
      </c>
      <c r="B408" s="2">
        <v>44248</v>
      </c>
      <c r="C408">
        <v>2021</v>
      </c>
      <c r="D408" t="str">
        <f t="shared" si="12"/>
        <v>Feb</v>
      </c>
      <c r="E408" t="s">
        <v>13</v>
      </c>
      <c r="F408" t="s">
        <v>2035</v>
      </c>
      <c r="G408" t="s">
        <v>21</v>
      </c>
      <c r="H408" t="s">
        <v>24</v>
      </c>
      <c r="I408">
        <v>2</v>
      </c>
      <c r="J408" s="9">
        <v>12800</v>
      </c>
      <c r="K408" s="7">
        <v>0.1</v>
      </c>
      <c r="L408" s="9">
        <v>11520</v>
      </c>
      <c r="M408" s="10">
        <f>Sales_Data3[[#This Row],[Profit]]/Sales_Data3[[#This Row],[Sales]]</f>
        <v>0.9</v>
      </c>
      <c r="N408" t="str">
        <f t="shared" si="13"/>
        <v>High</v>
      </c>
      <c r="O408" s="2">
        <v>44248</v>
      </c>
      <c r="P408" s="9">
        <v>12800</v>
      </c>
    </row>
    <row r="409" spans="1:16" x14ac:dyDescent="0.25">
      <c r="A409" t="s">
        <v>430</v>
      </c>
      <c r="B409" s="2">
        <v>44249</v>
      </c>
      <c r="C409">
        <v>2021</v>
      </c>
      <c r="D409" t="str">
        <f t="shared" si="12"/>
        <v>Feb</v>
      </c>
      <c r="E409" t="s">
        <v>13</v>
      </c>
      <c r="F409" t="s">
        <v>2036</v>
      </c>
      <c r="G409" t="s">
        <v>22</v>
      </c>
      <c r="H409" t="s">
        <v>24</v>
      </c>
      <c r="I409">
        <v>2</v>
      </c>
      <c r="J409" s="9">
        <v>6100</v>
      </c>
      <c r="K409" s="7">
        <v>0.15000000000000002</v>
      </c>
      <c r="L409" s="9">
        <v>5185</v>
      </c>
      <c r="M409" s="10">
        <f>Sales_Data3[[#This Row],[Profit]]/Sales_Data3[[#This Row],[Sales]]</f>
        <v>0.85</v>
      </c>
      <c r="N409" t="str">
        <f t="shared" si="13"/>
        <v>Medium</v>
      </c>
      <c r="O409" s="2">
        <v>44249</v>
      </c>
      <c r="P409" s="9">
        <v>6100</v>
      </c>
    </row>
    <row r="410" spans="1:16" x14ac:dyDescent="0.25">
      <c r="A410" t="s">
        <v>431</v>
      </c>
      <c r="B410" s="2">
        <v>44250</v>
      </c>
      <c r="C410">
        <v>2021</v>
      </c>
      <c r="D410" t="str">
        <f t="shared" si="12"/>
        <v>Feb</v>
      </c>
      <c r="E410" t="s">
        <v>13</v>
      </c>
      <c r="F410" t="s">
        <v>2037</v>
      </c>
      <c r="G410" t="s">
        <v>19</v>
      </c>
      <c r="H410" t="s">
        <v>24</v>
      </c>
      <c r="I410">
        <v>3</v>
      </c>
      <c r="J410" s="9">
        <v>6800</v>
      </c>
      <c r="K410" s="7">
        <v>0.2</v>
      </c>
      <c r="L410" s="9">
        <v>5440</v>
      </c>
      <c r="M410" s="10">
        <f>Sales_Data3[[#This Row],[Profit]]/Sales_Data3[[#This Row],[Sales]]</f>
        <v>0.8</v>
      </c>
      <c r="N410" t="str">
        <f t="shared" si="13"/>
        <v>Medium</v>
      </c>
      <c r="O410" s="2">
        <v>44250</v>
      </c>
      <c r="P410" s="9">
        <v>6800</v>
      </c>
    </row>
    <row r="411" spans="1:16" x14ac:dyDescent="0.25">
      <c r="A411" t="s">
        <v>432</v>
      </c>
      <c r="B411" s="2">
        <v>44251</v>
      </c>
      <c r="C411">
        <v>2021</v>
      </c>
      <c r="D411" t="str">
        <f t="shared" si="12"/>
        <v>Feb</v>
      </c>
      <c r="E411" t="s">
        <v>13</v>
      </c>
      <c r="F411" t="s">
        <v>2038</v>
      </c>
      <c r="G411" t="s">
        <v>20</v>
      </c>
      <c r="H411" t="s">
        <v>24</v>
      </c>
      <c r="I411">
        <v>7</v>
      </c>
      <c r="J411" s="9">
        <v>5800</v>
      </c>
      <c r="K411" s="7">
        <v>0.25</v>
      </c>
      <c r="L411" s="9">
        <v>4350</v>
      </c>
      <c r="M411" s="10">
        <f>Sales_Data3[[#This Row],[Profit]]/Sales_Data3[[#This Row],[Sales]]</f>
        <v>0.75</v>
      </c>
      <c r="N411" t="str">
        <f t="shared" si="13"/>
        <v>Medium</v>
      </c>
      <c r="O411" s="2">
        <v>44251</v>
      </c>
      <c r="P411" s="9">
        <v>5800</v>
      </c>
    </row>
    <row r="412" spans="1:16" x14ac:dyDescent="0.25">
      <c r="A412" t="s">
        <v>433</v>
      </c>
      <c r="B412" s="2">
        <v>44252</v>
      </c>
      <c r="C412">
        <v>2021</v>
      </c>
      <c r="D412" t="str">
        <f t="shared" si="12"/>
        <v>Feb</v>
      </c>
      <c r="E412" t="s">
        <v>14</v>
      </c>
      <c r="F412" t="s">
        <v>2039</v>
      </c>
      <c r="G412" t="s">
        <v>21</v>
      </c>
      <c r="H412" t="s">
        <v>25</v>
      </c>
      <c r="I412">
        <v>3</v>
      </c>
      <c r="J412" s="9">
        <v>10800</v>
      </c>
      <c r="K412" s="7">
        <v>0.05</v>
      </c>
      <c r="L412" s="9">
        <v>10260</v>
      </c>
      <c r="M412" s="10">
        <f>Sales_Data3[[#This Row],[Profit]]/Sales_Data3[[#This Row],[Sales]]</f>
        <v>0.95</v>
      </c>
      <c r="N412" t="str">
        <f t="shared" si="13"/>
        <v>High</v>
      </c>
      <c r="O412" s="2">
        <v>44252</v>
      </c>
      <c r="P412" s="9">
        <v>10800</v>
      </c>
    </row>
    <row r="413" spans="1:16" x14ac:dyDescent="0.25">
      <c r="A413" t="s">
        <v>434</v>
      </c>
      <c r="B413" s="2">
        <v>44253</v>
      </c>
      <c r="C413">
        <v>2021</v>
      </c>
      <c r="D413" t="str">
        <f t="shared" si="12"/>
        <v>Feb</v>
      </c>
      <c r="E413" t="s">
        <v>14</v>
      </c>
      <c r="F413" t="s">
        <v>2040</v>
      </c>
      <c r="G413" t="s">
        <v>22</v>
      </c>
      <c r="H413" t="s">
        <v>25</v>
      </c>
      <c r="I413">
        <v>1</v>
      </c>
      <c r="J413" s="9">
        <v>8300</v>
      </c>
      <c r="K413" s="7">
        <v>0.1</v>
      </c>
      <c r="L413" s="9">
        <v>7470</v>
      </c>
      <c r="M413" s="10">
        <f>Sales_Data3[[#This Row],[Profit]]/Sales_Data3[[#This Row],[Sales]]</f>
        <v>0.9</v>
      </c>
      <c r="N413" t="str">
        <f t="shared" si="13"/>
        <v>Medium</v>
      </c>
      <c r="O413" s="2">
        <v>44253</v>
      </c>
      <c r="P413" s="9">
        <v>8300</v>
      </c>
    </row>
    <row r="414" spans="1:16" x14ac:dyDescent="0.25">
      <c r="A414" t="s">
        <v>435</v>
      </c>
      <c r="B414" s="2">
        <v>44254</v>
      </c>
      <c r="C414">
        <v>2021</v>
      </c>
      <c r="D414" t="str">
        <f t="shared" si="12"/>
        <v>Feb</v>
      </c>
      <c r="E414" t="s">
        <v>14</v>
      </c>
      <c r="F414" t="s">
        <v>2041</v>
      </c>
      <c r="G414" t="s">
        <v>19</v>
      </c>
      <c r="H414" t="s">
        <v>25</v>
      </c>
      <c r="I414">
        <v>3</v>
      </c>
      <c r="J414" s="9">
        <v>13800</v>
      </c>
      <c r="K414" s="7">
        <v>0.15000000000000002</v>
      </c>
      <c r="L414" s="9">
        <v>11730</v>
      </c>
      <c r="M414" s="10">
        <f>Sales_Data3[[#This Row],[Profit]]/Sales_Data3[[#This Row],[Sales]]</f>
        <v>0.85</v>
      </c>
      <c r="N414" t="str">
        <f t="shared" si="13"/>
        <v>High</v>
      </c>
      <c r="O414" s="2">
        <v>44254</v>
      </c>
      <c r="P414" s="9">
        <v>13800</v>
      </c>
    </row>
    <row r="415" spans="1:16" x14ac:dyDescent="0.25">
      <c r="A415" t="s">
        <v>436</v>
      </c>
      <c r="B415" s="2">
        <v>44255</v>
      </c>
      <c r="C415">
        <v>2021</v>
      </c>
      <c r="D415" t="str">
        <f t="shared" si="12"/>
        <v>Feb</v>
      </c>
      <c r="E415" t="s">
        <v>14</v>
      </c>
      <c r="F415" t="s">
        <v>2042</v>
      </c>
      <c r="G415" t="s">
        <v>20</v>
      </c>
      <c r="H415" t="s">
        <v>25</v>
      </c>
      <c r="I415">
        <v>2</v>
      </c>
      <c r="J415" s="9">
        <v>7600</v>
      </c>
      <c r="K415" s="7">
        <v>0.2</v>
      </c>
      <c r="L415" s="9">
        <v>6080</v>
      </c>
      <c r="M415" s="10">
        <f>Sales_Data3[[#This Row],[Profit]]/Sales_Data3[[#This Row],[Sales]]</f>
        <v>0.8</v>
      </c>
      <c r="N415" t="str">
        <f t="shared" si="13"/>
        <v>Medium</v>
      </c>
      <c r="O415" s="2">
        <v>44255</v>
      </c>
      <c r="P415" s="9">
        <v>7600</v>
      </c>
    </row>
    <row r="416" spans="1:16" x14ac:dyDescent="0.25">
      <c r="A416" t="s">
        <v>437</v>
      </c>
      <c r="B416" s="2">
        <v>44256</v>
      </c>
      <c r="C416">
        <v>2021</v>
      </c>
      <c r="D416" t="str">
        <f t="shared" si="12"/>
        <v>Mar</v>
      </c>
      <c r="E416" t="s">
        <v>14</v>
      </c>
      <c r="F416" t="s">
        <v>2043</v>
      </c>
      <c r="G416" t="s">
        <v>21</v>
      </c>
      <c r="H416" t="s">
        <v>25</v>
      </c>
      <c r="I416">
        <v>2</v>
      </c>
      <c r="J416" s="9">
        <v>13700</v>
      </c>
      <c r="K416" s="7">
        <v>0.25</v>
      </c>
      <c r="L416" s="9">
        <v>10275</v>
      </c>
      <c r="M416" s="10">
        <f>Sales_Data3[[#This Row],[Profit]]/Sales_Data3[[#This Row],[Sales]]</f>
        <v>0.75</v>
      </c>
      <c r="N416" t="str">
        <f t="shared" si="13"/>
        <v>High</v>
      </c>
      <c r="O416" s="2">
        <v>44256</v>
      </c>
      <c r="P416" s="9">
        <v>13700</v>
      </c>
    </row>
    <row r="417" spans="1:16" x14ac:dyDescent="0.25">
      <c r="A417" t="s">
        <v>438</v>
      </c>
      <c r="B417" s="2">
        <v>44257</v>
      </c>
      <c r="C417">
        <v>2021</v>
      </c>
      <c r="D417" t="str">
        <f t="shared" si="12"/>
        <v>Mar</v>
      </c>
      <c r="E417" t="s">
        <v>14</v>
      </c>
      <c r="F417" t="s">
        <v>2044</v>
      </c>
      <c r="G417" t="s">
        <v>22</v>
      </c>
      <c r="H417" t="s">
        <v>25</v>
      </c>
      <c r="I417">
        <v>3</v>
      </c>
      <c r="J417" s="9">
        <v>13600</v>
      </c>
      <c r="K417" s="7">
        <v>0.05</v>
      </c>
      <c r="L417" s="9">
        <v>12920</v>
      </c>
      <c r="M417" s="10">
        <f>Sales_Data3[[#This Row],[Profit]]/Sales_Data3[[#This Row],[Sales]]</f>
        <v>0.95</v>
      </c>
      <c r="N417" t="str">
        <f t="shared" si="13"/>
        <v>High</v>
      </c>
      <c r="O417" s="2">
        <v>44257</v>
      </c>
      <c r="P417" s="9">
        <v>13600</v>
      </c>
    </row>
    <row r="418" spans="1:16" x14ac:dyDescent="0.25">
      <c r="A418" t="s">
        <v>439</v>
      </c>
      <c r="B418" s="2">
        <v>44258</v>
      </c>
      <c r="C418">
        <v>2021</v>
      </c>
      <c r="D418" t="str">
        <f t="shared" si="12"/>
        <v>Mar</v>
      </c>
      <c r="E418" t="s">
        <v>14</v>
      </c>
      <c r="F418" t="s">
        <v>2045</v>
      </c>
      <c r="G418" t="s">
        <v>19</v>
      </c>
      <c r="H418" t="s">
        <v>25</v>
      </c>
      <c r="I418">
        <v>1</v>
      </c>
      <c r="J418" s="9">
        <v>7500</v>
      </c>
      <c r="K418" s="7">
        <v>0.1</v>
      </c>
      <c r="L418" s="9">
        <v>6750</v>
      </c>
      <c r="M418" s="10">
        <f>Sales_Data3[[#This Row],[Profit]]/Sales_Data3[[#This Row],[Sales]]</f>
        <v>0.9</v>
      </c>
      <c r="N418" t="str">
        <f t="shared" si="13"/>
        <v>Medium</v>
      </c>
      <c r="O418" s="2">
        <v>44258</v>
      </c>
      <c r="P418" s="9">
        <v>7500</v>
      </c>
    </row>
    <row r="419" spans="1:16" x14ac:dyDescent="0.25">
      <c r="A419" t="s">
        <v>440</v>
      </c>
      <c r="B419" s="2">
        <v>44259</v>
      </c>
      <c r="C419">
        <v>2021</v>
      </c>
      <c r="D419" t="str">
        <f t="shared" si="12"/>
        <v>Mar</v>
      </c>
      <c r="E419" t="s">
        <v>14</v>
      </c>
      <c r="F419" t="s">
        <v>2046</v>
      </c>
      <c r="G419" t="s">
        <v>20</v>
      </c>
      <c r="H419" t="s">
        <v>25</v>
      </c>
      <c r="I419">
        <v>6</v>
      </c>
      <c r="J419" s="9">
        <v>7400</v>
      </c>
      <c r="K419" s="7">
        <v>0.15000000000000002</v>
      </c>
      <c r="L419" s="9">
        <v>6290</v>
      </c>
      <c r="M419" s="10">
        <f>Sales_Data3[[#This Row],[Profit]]/Sales_Data3[[#This Row],[Sales]]</f>
        <v>0.85</v>
      </c>
      <c r="N419" t="str">
        <f t="shared" si="13"/>
        <v>Medium</v>
      </c>
      <c r="O419" s="2">
        <v>44259</v>
      </c>
      <c r="P419" s="9">
        <v>7400</v>
      </c>
    </row>
    <row r="420" spans="1:16" x14ac:dyDescent="0.25">
      <c r="A420" t="s">
        <v>441</v>
      </c>
      <c r="B420" s="2">
        <v>44260</v>
      </c>
      <c r="C420">
        <v>2021</v>
      </c>
      <c r="D420" t="str">
        <f t="shared" si="12"/>
        <v>Mar</v>
      </c>
      <c r="E420" t="s">
        <v>14</v>
      </c>
      <c r="F420" t="s">
        <v>2047</v>
      </c>
      <c r="G420" t="s">
        <v>21</v>
      </c>
      <c r="H420" t="s">
        <v>25</v>
      </c>
      <c r="I420">
        <v>9</v>
      </c>
      <c r="J420" s="9">
        <v>6100</v>
      </c>
      <c r="K420" s="7">
        <v>0.2</v>
      </c>
      <c r="L420" s="9">
        <v>4880</v>
      </c>
      <c r="M420" s="10">
        <f>Sales_Data3[[#This Row],[Profit]]/Sales_Data3[[#This Row],[Sales]]</f>
        <v>0.8</v>
      </c>
      <c r="N420" t="str">
        <f t="shared" si="13"/>
        <v>Medium</v>
      </c>
      <c r="O420" s="2">
        <v>44260</v>
      </c>
      <c r="P420" s="9">
        <v>6100</v>
      </c>
    </row>
    <row r="421" spans="1:16" x14ac:dyDescent="0.25">
      <c r="A421" t="s">
        <v>442</v>
      </c>
      <c r="B421" s="2">
        <v>44261</v>
      </c>
      <c r="C421">
        <v>2021</v>
      </c>
      <c r="D421" t="str">
        <f t="shared" si="12"/>
        <v>Mar</v>
      </c>
      <c r="E421" t="s">
        <v>14</v>
      </c>
      <c r="F421" t="s">
        <v>2048</v>
      </c>
      <c r="G421" t="s">
        <v>22</v>
      </c>
      <c r="H421" t="s">
        <v>25</v>
      </c>
      <c r="I421">
        <v>7</v>
      </c>
      <c r="J421" s="9">
        <v>7800</v>
      </c>
      <c r="K421" s="7">
        <v>0.25</v>
      </c>
      <c r="L421" s="9">
        <v>5850</v>
      </c>
      <c r="M421" s="10">
        <f>Sales_Data3[[#This Row],[Profit]]/Sales_Data3[[#This Row],[Sales]]</f>
        <v>0.75</v>
      </c>
      <c r="N421" t="str">
        <f t="shared" si="13"/>
        <v>Medium</v>
      </c>
      <c r="O421" s="2">
        <v>44261</v>
      </c>
      <c r="P421" s="9">
        <v>7800</v>
      </c>
    </row>
    <row r="422" spans="1:16" x14ac:dyDescent="0.25">
      <c r="A422" t="s">
        <v>443</v>
      </c>
      <c r="B422" s="2">
        <v>44262</v>
      </c>
      <c r="C422">
        <v>2021</v>
      </c>
      <c r="D422" t="str">
        <f t="shared" si="12"/>
        <v>Mar</v>
      </c>
      <c r="E422" t="s">
        <v>12</v>
      </c>
      <c r="F422" t="s">
        <v>15</v>
      </c>
      <c r="G422" t="s">
        <v>19</v>
      </c>
      <c r="H422" t="s">
        <v>23</v>
      </c>
      <c r="I422">
        <v>4</v>
      </c>
      <c r="J422" s="9">
        <v>8100</v>
      </c>
      <c r="K422" s="7">
        <v>0.05</v>
      </c>
      <c r="L422" s="9">
        <v>7695</v>
      </c>
      <c r="M422" s="10">
        <f>Sales_Data3[[#This Row],[Profit]]/Sales_Data3[[#This Row],[Sales]]</f>
        <v>0.95</v>
      </c>
      <c r="N422" t="str">
        <f t="shared" si="13"/>
        <v>Medium</v>
      </c>
      <c r="O422" s="2">
        <v>44262</v>
      </c>
      <c r="P422" s="9">
        <v>8100</v>
      </c>
    </row>
    <row r="423" spans="1:16" x14ac:dyDescent="0.25">
      <c r="A423" t="s">
        <v>444</v>
      </c>
      <c r="B423" s="2">
        <v>44263</v>
      </c>
      <c r="C423">
        <v>2021</v>
      </c>
      <c r="D423" t="str">
        <f t="shared" si="12"/>
        <v>Mar</v>
      </c>
      <c r="E423" t="s">
        <v>12</v>
      </c>
      <c r="F423" t="s">
        <v>17</v>
      </c>
      <c r="G423" t="s">
        <v>20</v>
      </c>
      <c r="H423" t="s">
        <v>23</v>
      </c>
      <c r="I423">
        <v>6</v>
      </c>
      <c r="J423" s="9">
        <v>6000</v>
      </c>
      <c r="K423" s="7">
        <v>0.1</v>
      </c>
      <c r="L423" s="9">
        <v>5400</v>
      </c>
      <c r="M423" s="10">
        <f>Sales_Data3[[#This Row],[Profit]]/Sales_Data3[[#This Row],[Sales]]</f>
        <v>0.9</v>
      </c>
      <c r="N423" t="str">
        <f t="shared" si="13"/>
        <v>Medium</v>
      </c>
      <c r="O423" s="2">
        <v>44263</v>
      </c>
      <c r="P423" s="9">
        <v>6000</v>
      </c>
    </row>
    <row r="424" spans="1:16" x14ac:dyDescent="0.25">
      <c r="A424" t="s">
        <v>445</v>
      </c>
      <c r="B424" s="2">
        <v>44264</v>
      </c>
      <c r="C424">
        <v>2021</v>
      </c>
      <c r="D424" t="str">
        <f t="shared" si="12"/>
        <v>Mar</v>
      </c>
      <c r="E424" t="s">
        <v>12</v>
      </c>
      <c r="F424" t="s">
        <v>2023</v>
      </c>
      <c r="G424" t="s">
        <v>21</v>
      </c>
      <c r="H424" t="s">
        <v>23</v>
      </c>
      <c r="I424">
        <v>5</v>
      </c>
      <c r="J424" s="9">
        <v>7500</v>
      </c>
      <c r="K424" s="7">
        <v>0.15000000000000002</v>
      </c>
      <c r="L424" s="9">
        <v>6375</v>
      </c>
      <c r="M424" s="10">
        <f>Sales_Data3[[#This Row],[Profit]]/Sales_Data3[[#This Row],[Sales]]</f>
        <v>0.85</v>
      </c>
      <c r="N424" t="str">
        <f t="shared" si="13"/>
        <v>Medium</v>
      </c>
      <c r="O424" s="2">
        <v>44264</v>
      </c>
      <c r="P424" s="9">
        <v>7500</v>
      </c>
    </row>
    <row r="425" spans="1:16" x14ac:dyDescent="0.25">
      <c r="A425" t="s">
        <v>446</v>
      </c>
      <c r="B425" s="2">
        <v>44265</v>
      </c>
      <c r="C425">
        <v>2021</v>
      </c>
      <c r="D425" t="str">
        <f t="shared" si="12"/>
        <v>Mar</v>
      </c>
      <c r="E425" t="s">
        <v>12</v>
      </c>
      <c r="F425" t="s">
        <v>18</v>
      </c>
      <c r="G425" t="s">
        <v>22</v>
      </c>
      <c r="H425" t="s">
        <v>23</v>
      </c>
      <c r="I425">
        <v>2</v>
      </c>
      <c r="J425" s="9">
        <v>14200</v>
      </c>
      <c r="K425" s="7">
        <v>0.2</v>
      </c>
      <c r="L425" s="9">
        <v>11360</v>
      </c>
      <c r="M425" s="10">
        <f>Sales_Data3[[#This Row],[Profit]]/Sales_Data3[[#This Row],[Sales]]</f>
        <v>0.8</v>
      </c>
      <c r="N425" t="str">
        <f t="shared" si="13"/>
        <v>High</v>
      </c>
      <c r="O425" s="2">
        <v>44265</v>
      </c>
      <c r="P425" s="9">
        <v>14200</v>
      </c>
    </row>
    <row r="426" spans="1:16" x14ac:dyDescent="0.25">
      <c r="A426" t="s">
        <v>447</v>
      </c>
      <c r="B426" s="2">
        <v>44266</v>
      </c>
      <c r="C426">
        <v>2021</v>
      </c>
      <c r="D426" t="str">
        <f t="shared" si="12"/>
        <v>Mar</v>
      </c>
      <c r="E426" t="s">
        <v>12</v>
      </c>
      <c r="F426" t="s">
        <v>2024</v>
      </c>
      <c r="G426" t="s">
        <v>19</v>
      </c>
      <c r="H426" t="s">
        <v>23</v>
      </c>
      <c r="I426">
        <v>8</v>
      </c>
      <c r="J426" s="9">
        <v>14600</v>
      </c>
      <c r="K426" s="7">
        <v>0.25</v>
      </c>
      <c r="L426" s="9">
        <v>10950</v>
      </c>
      <c r="M426" s="10">
        <f>Sales_Data3[[#This Row],[Profit]]/Sales_Data3[[#This Row],[Sales]]</f>
        <v>0.75</v>
      </c>
      <c r="N426" t="str">
        <f t="shared" si="13"/>
        <v>High</v>
      </c>
      <c r="O426" s="2">
        <v>44266</v>
      </c>
      <c r="P426" s="9">
        <v>14600</v>
      </c>
    </row>
    <row r="427" spans="1:16" x14ac:dyDescent="0.25">
      <c r="A427" t="s">
        <v>448</v>
      </c>
      <c r="B427" s="2">
        <v>44267</v>
      </c>
      <c r="C427">
        <v>2021</v>
      </c>
      <c r="D427" t="str">
        <f t="shared" si="12"/>
        <v>Mar</v>
      </c>
      <c r="E427" t="s">
        <v>12</v>
      </c>
      <c r="F427" t="s">
        <v>2025</v>
      </c>
      <c r="G427" t="s">
        <v>20</v>
      </c>
      <c r="H427" t="s">
        <v>23</v>
      </c>
      <c r="I427">
        <v>2</v>
      </c>
      <c r="J427" s="9">
        <v>11300</v>
      </c>
      <c r="K427" s="7">
        <v>0.05</v>
      </c>
      <c r="L427" s="9">
        <v>10735</v>
      </c>
      <c r="M427" s="10">
        <f>Sales_Data3[[#This Row],[Profit]]/Sales_Data3[[#This Row],[Sales]]</f>
        <v>0.95</v>
      </c>
      <c r="N427" t="str">
        <f t="shared" si="13"/>
        <v>High</v>
      </c>
      <c r="O427" s="2">
        <v>44267</v>
      </c>
      <c r="P427" s="9">
        <v>11300</v>
      </c>
    </row>
    <row r="428" spans="1:16" x14ac:dyDescent="0.25">
      <c r="A428" t="s">
        <v>449</v>
      </c>
      <c r="B428" s="2">
        <v>44268</v>
      </c>
      <c r="C428">
        <v>2021</v>
      </c>
      <c r="D428" t="str">
        <f t="shared" si="12"/>
        <v>Mar</v>
      </c>
      <c r="E428" t="s">
        <v>12</v>
      </c>
      <c r="F428" t="s">
        <v>2026</v>
      </c>
      <c r="G428" t="s">
        <v>21</v>
      </c>
      <c r="H428" t="s">
        <v>23</v>
      </c>
      <c r="I428">
        <v>5</v>
      </c>
      <c r="J428" s="9">
        <v>13400</v>
      </c>
      <c r="K428" s="7">
        <v>0.1</v>
      </c>
      <c r="L428" s="9">
        <v>12060</v>
      </c>
      <c r="M428" s="10">
        <f>Sales_Data3[[#This Row],[Profit]]/Sales_Data3[[#This Row],[Sales]]</f>
        <v>0.9</v>
      </c>
      <c r="N428" t="str">
        <f t="shared" si="13"/>
        <v>High</v>
      </c>
      <c r="O428" s="2">
        <v>44268</v>
      </c>
      <c r="P428" s="9">
        <v>13400</v>
      </c>
    </row>
    <row r="429" spans="1:16" x14ac:dyDescent="0.25">
      <c r="A429" t="s">
        <v>450</v>
      </c>
      <c r="B429" s="2">
        <v>44269</v>
      </c>
      <c r="C429">
        <v>2021</v>
      </c>
      <c r="D429" t="str">
        <f t="shared" si="12"/>
        <v>Mar</v>
      </c>
      <c r="E429" t="s">
        <v>12</v>
      </c>
      <c r="F429" t="s">
        <v>2027</v>
      </c>
      <c r="G429" t="s">
        <v>22</v>
      </c>
      <c r="H429" t="s">
        <v>23</v>
      </c>
      <c r="I429">
        <v>7</v>
      </c>
      <c r="J429" s="9">
        <v>8200</v>
      </c>
      <c r="K429" s="7">
        <v>0.15000000000000002</v>
      </c>
      <c r="L429" s="9">
        <v>6970</v>
      </c>
      <c r="M429" s="10">
        <f>Sales_Data3[[#This Row],[Profit]]/Sales_Data3[[#This Row],[Sales]]</f>
        <v>0.85</v>
      </c>
      <c r="N429" t="str">
        <f t="shared" si="13"/>
        <v>Medium</v>
      </c>
      <c r="O429" s="2">
        <v>44269</v>
      </c>
      <c r="P429" s="9">
        <v>8200</v>
      </c>
    </row>
    <row r="430" spans="1:16" x14ac:dyDescent="0.25">
      <c r="A430" t="s">
        <v>451</v>
      </c>
      <c r="B430" s="2">
        <v>44270</v>
      </c>
      <c r="C430">
        <v>2021</v>
      </c>
      <c r="D430" t="str">
        <f t="shared" si="12"/>
        <v>Mar</v>
      </c>
      <c r="E430" t="s">
        <v>12</v>
      </c>
      <c r="F430" t="s">
        <v>2028</v>
      </c>
      <c r="G430" t="s">
        <v>19</v>
      </c>
      <c r="H430" t="s">
        <v>23</v>
      </c>
      <c r="I430">
        <v>9</v>
      </c>
      <c r="J430" s="9">
        <v>11900</v>
      </c>
      <c r="K430" s="7">
        <v>0.2</v>
      </c>
      <c r="L430" s="9">
        <v>9520</v>
      </c>
      <c r="M430" s="10">
        <f>Sales_Data3[[#This Row],[Profit]]/Sales_Data3[[#This Row],[Sales]]</f>
        <v>0.8</v>
      </c>
      <c r="N430" t="str">
        <f t="shared" si="13"/>
        <v>High</v>
      </c>
      <c r="O430" s="2">
        <v>44270</v>
      </c>
      <c r="P430" s="9">
        <v>11900</v>
      </c>
    </row>
    <row r="431" spans="1:16" x14ac:dyDescent="0.25">
      <c r="A431" t="s">
        <v>452</v>
      </c>
      <c r="B431" s="2">
        <v>44271</v>
      </c>
      <c r="C431">
        <v>2021</v>
      </c>
      <c r="D431" t="str">
        <f t="shared" si="12"/>
        <v>Mar</v>
      </c>
      <c r="E431" t="s">
        <v>12</v>
      </c>
      <c r="F431" t="s">
        <v>2029</v>
      </c>
      <c r="G431" t="s">
        <v>20</v>
      </c>
      <c r="H431" t="s">
        <v>23</v>
      </c>
      <c r="I431">
        <v>7</v>
      </c>
      <c r="J431" s="9">
        <v>7000</v>
      </c>
      <c r="K431" s="7">
        <v>0.25</v>
      </c>
      <c r="L431" s="9">
        <v>5250</v>
      </c>
      <c r="M431" s="10">
        <f>Sales_Data3[[#This Row],[Profit]]/Sales_Data3[[#This Row],[Sales]]</f>
        <v>0.75</v>
      </c>
      <c r="N431" t="str">
        <f t="shared" si="13"/>
        <v>Medium</v>
      </c>
      <c r="O431" s="2">
        <v>44271</v>
      </c>
      <c r="P431" s="9">
        <v>7000</v>
      </c>
    </row>
    <row r="432" spans="1:16" x14ac:dyDescent="0.25">
      <c r="A432" t="s">
        <v>453</v>
      </c>
      <c r="B432" s="2">
        <v>44272</v>
      </c>
      <c r="C432">
        <v>2021</v>
      </c>
      <c r="D432" t="str">
        <f t="shared" si="12"/>
        <v>Mar</v>
      </c>
      <c r="E432" t="s">
        <v>13</v>
      </c>
      <c r="F432" t="s">
        <v>16</v>
      </c>
      <c r="G432" t="s">
        <v>21</v>
      </c>
      <c r="H432" t="s">
        <v>24</v>
      </c>
      <c r="I432">
        <v>1</v>
      </c>
      <c r="J432" s="9">
        <v>13300</v>
      </c>
      <c r="K432" s="7">
        <v>0.05</v>
      </c>
      <c r="L432" s="9">
        <v>12635</v>
      </c>
      <c r="M432" s="10">
        <f>Sales_Data3[[#This Row],[Profit]]/Sales_Data3[[#This Row],[Sales]]</f>
        <v>0.95</v>
      </c>
      <c r="N432" t="str">
        <f t="shared" si="13"/>
        <v>High</v>
      </c>
      <c r="O432" s="2">
        <v>44272</v>
      </c>
      <c r="P432" s="9">
        <v>13300</v>
      </c>
    </row>
    <row r="433" spans="1:16" x14ac:dyDescent="0.25">
      <c r="A433" t="s">
        <v>454</v>
      </c>
      <c r="B433" s="2">
        <v>44273</v>
      </c>
      <c r="C433">
        <v>2021</v>
      </c>
      <c r="D433" t="str">
        <f t="shared" si="12"/>
        <v>Mar</v>
      </c>
      <c r="E433" t="s">
        <v>13</v>
      </c>
      <c r="F433" t="s">
        <v>2030</v>
      </c>
      <c r="G433" t="s">
        <v>22</v>
      </c>
      <c r="H433" t="s">
        <v>24</v>
      </c>
      <c r="I433">
        <v>8</v>
      </c>
      <c r="J433" s="9">
        <v>8800</v>
      </c>
      <c r="K433" s="7">
        <v>0.1</v>
      </c>
      <c r="L433" s="9">
        <v>7920</v>
      </c>
      <c r="M433" s="10">
        <f>Sales_Data3[[#This Row],[Profit]]/Sales_Data3[[#This Row],[Sales]]</f>
        <v>0.9</v>
      </c>
      <c r="N433" t="str">
        <f t="shared" si="13"/>
        <v>Medium</v>
      </c>
      <c r="O433" s="2">
        <v>44273</v>
      </c>
      <c r="P433" s="9">
        <v>8800</v>
      </c>
    </row>
    <row r="434" spans="1:16" x14ac:dyDescent="0.25">
      <c r="A434" t="s">
        <v>455</v>
      </c>
      <c r="B434" s="2">
        <v>44274</v>
      </c>
      <c r="C434">
        <v>2021</v>
      </c>
      <c r="D434" t="str">
        <f t="shared" si="12"/>
        <v>Mar</v>
      </c>
      <c r="E434" t="s">
        <v>13</v>
      </c>
      <c r="F434" t="s">
        <v>2031</v>
      </c>
      <c r="G434" t="s">
        <v>19</v>
      </c>
      <c r="H434" t="s">
        <v>24</v>
      </c>
      <c r="I434">
        <v>6</v>
      </c>
      <c r="J434" s="9">
        <v>5500</v>
      </c>
      <c r="K434" s="7">
        <v>0.15000000000000002</v>
      </c>
      <c r="L434" s="9">
        <v>4675</v>
      </c>
      <c r="M434" s="10">
        <f>Sales_Data3[[#This Row],[Profit]]/Sales_Data3[[#This Row],[Sales]]</f>
        <v>0.85</v>
      </c>
      <c r="N434" t="str">
        <f t="shared" si="13"/>
        <v>Medium</v>
      </c>
      <c r="O434" s="2">
        <v>44274</v>
      </c>
      <c r="P434" s="9">
        <v>5500</v>
      </c>
    </row>
    <row r="435" spans="1:16" x14ac:dyDescent="0.25">
      <c r="A435" t="s">
        <v>456</v>
      </c>
      <c r="B435" s="2">
        <v>44275</v>
      </c>
      <c r="C435">
        <v>2021</v>
      </c>
      <c r="D435" t="str">
        <f t="shared" si="12"/>
        <v>Mar</v>
      </c>
      <c r="E435" t="s">
        <v>13</v>
      </c>
      <c r="F435" t="s">
        <v>2032</v>
      </c>
      <c r="G435" t="s">
        <v>20</v>
      </c>
      <c r="H435" t="s">
        <v>24</v>
      </c>
      <c r="I435">
        <v>7</v>
      </c>
      <c r="J435" s="9">
        <v>9200</v>
      </c>
      <c r="K435" s="7">
        <v>0.2</v>
      </c>
      <c r="L435" s="9">
        <v>7360</v>
      </c>
      <c r="M435" s="10">
        <f>Sales_Data3[[#This Row],[Profit]]/Sales_Data3[[#This Row],[Sales]]</f>
        <v>0.8</v>
      </c>
      <c r="N435" t="str">
        <f t="shared" si="13"/>
        <v>Medium</v>
      </c>
      <c r="O435" s="2">
        <v>44275</v>
      </c>
      <c r="P435" s="9">
        <v>9200</v>
      </c>
    </row>
    <row r="436" spans="1:16" x14ac:dyDescent="0.25">
      <c r="A436" t="s">
        <v>457</v>
      </c>
      <c r="B436" s="2">
        <v>44276</v>
      </c>
      <c r="C436">
        <v>2021</v>
      </c>
      <c r="D436" t="str">
        <f t="shared" si="12"/>
        <v>Mar</v>
      </c>
      <c r="E436" t="s">
        <v>13</v>
      </c>
      <c r="F436" t="s">
        <v>2033</v>
      </c>
      <c r="G436" t="s">
        <v>21</v>
      </c>
      <c r="H436" t="s">
        <v>24</v>
      </c>
      <c r="I436">
        <v>3</v>
      </c>
      <c r="J436" s="9">
        <v>12100</v>
      </c>
      <c r="K436" s="7">
        <v>0.25</v>
      </c>
      <c r="L436" s="9">
        <v>9075</v>
      </c>
      <c r="M436" s="10">
        <f>Sales_Data3[[#This Row],[Profit]]/Sales_Data3[[#This Row],[Sales]]</f>
        <v>0.75</v>
      </c>
      <c r="N436" t="str">
        <f t="shared" si="13"/>
        <v>High</v>
      </c>
      <c r="O436" s="2">
        <v>44276</v>
      </c>
      <c r="P436" s="9">
        <v>12100</v>
      </c>
    </row>
    <row r="437" spans="1:16" x14ac:dyDescent="0.25">
      <c r="A437" t="s">
        <v>458</v>
      </c>
      <c r="B437" s="2">
        <v>44277</v>
      </c>
      <c r="C437">
        <v>2021</v>
      </c>
      <c r="D437" t="str">
        <f t="shared" si="12"/>
        <v>Mar</v>
      </c>
      <c r="E437" t="s">
        <v>13</v>
      </c>
      <c r="F437" t="s">
        <v>2034</v>
      </c>
      <c r="G437" t="s">
        <v>22</v>
      </c>
      <c r="H437" t="s">
        <v>24</v>
      </c>
      <c r="I437">
        <v>1</v>
      </c>
      <c r="J437" s="9">
        <v>11100</v>
      </c>
      <c r="K437" s="7">
        <v>0.05</v>
      </c>
      <c r="L437" s="9">
        <v>10545</v>
      </c>
      <c r="M437" s="10">
        <f>Sales_Data3[[#This Row],[Profit]]/Sales_Data3[[#This Row],[Sales]]</f>
        <v>0.95</v>
      </c>
      <c r="N437" t="str">
        <f t="shared" si="13"/>
        <v>High</v>
      </c>
      <c r="O437" s="2">
        <v>44277</v>
      </c>
      <c r="P437" s="9">
        <v>11100</v>
      </c>
    </row>
    <row r="438" spans="1:16" x14ac:dyDescent="0.25">
      <c r="A438" t="s">
        <v>459</v>
      </c>
      <c r="B438" s="2">
        <v>44278</v>
      </c>
      <c r="C438">
        <v>2021</v>
      </c>
      <c r="D438" t="str">
        <f t="shared" si="12"/>
        <v>Mar</v>
      </c>
      <c r="E438" t="s">
        <v>13</v>
      </c>
      <c r="F438" t="s">
        <v>2035</v>
      </c>
      <c r="G438" t="s">
        <v>19</v>
      </c>
      <c r="H438" t="s">
        <v>24</v>
      </c>
      <c r="I438">
        <v>5</v>
      </c>
      <c r="J438" s="9">
        <v>14800</v>
      </c>
      <c r="K438" s="7">
        <v>0.1</v>
      </c>
      <c r="L438" s="9">
        <v>13320</v>
      </c>
      <c r="M438" s="10">
        <f>Sales_Data3[[#This Row],[Profit]]/Sales_Data3[[#This Row],[Sales]]</f>
        <v>0.9</v>
      </c>
      <c r="N438" t="str">
        <f t="shared" si="13"/>
        <v>High</v>
      </c>
      <c r="O438" s="2">
        <v>44278</v>
      </c>
      <c r="P438" s="9">
        <v>14800</v>
      </c>
    </row>
    <row r="439" spans="1:16" x14ac:dyDescent="0.25">
      <c r="A439" t="s">
        <v>460</v>
      </c>
      <c r="B439" s="2">
        <v>44279</v>
      </c>
      <c r="C439">
        <v>2021</v>
      </c>
      <c r="D439" t="str">
        <f t="shared" si="12"/>
        <v>Mar</v>
      </c>
      <c r="E439" t="s">
        <v>13</v>
      </c>
      <c r="F439" t="s">
        <v>2036</v>
      </c>
      <c r="G439" t="s">
        <v>20</v>
      </c>
      <c r="H439" t="s">
        <v>24</v>
      </c>
      <c r="I439">
        <v>6</v>
      </c>
      <c r="J439" s="9">
        <v>12400</v>
      </c>
      <c r="K439" s="7">
        <v>0.15000000000000002</v>
      </c>
      <c r="L439" s="9">
        <v>10540</v>
      </c>
      <c r="M439" s="10">
        <f>Sales_Data3[[#This Row],[Profit]]/Sales_Data3[[#This Row],[Sales]]</f>
        <v>0.85</v>
      </c>
      <c r="N439" t="str">
        <f t="shared" si="13"/>
        <v>High</v>
      </c>
      <c r="O439" s="2">
        <v>44279</v>
      </c>
      <c r="P439" s="9">
        <v>12400</v>
      </c>
    </row>
    <row r="440" spans="1:16" x14ac:dyDescent="0.25">
      <c r="A440" t="s">
        <v>461</v>
      </c>
      <c r="B440" s="2">
        <v>44280</v>
      </c>
      <c r="C440">
        <v>2021</v>
      </c>
      <c r="D440" t="str">
        <f t="shared" si="12"/>
        <v>Mar</v>
      </c>
      <c r="E440" t="s">
        <v>13</v>
      </c>
      <c r="F440" t="s">
        <v>2037</v>
      </c>
      <c r="G440" t="s">
        <v>21</v>
      </c>
      <c r="H440" t="s">
        <v>24</v>
      </c>
      <c r="I440">
        <v>5</v>
      </c>
      <c r="J440" s="9">
        <v>9700</v>
      </c>
      <c r="K440" s="7">
        <v>0.2</v>
      </c>
      <c r="L440" s="9">
        <v>7760</v>
      </c>
      <c r="M440" s="10">
        <f>Sales_Data3[[#This Row],[Profit]]/Sales_Data3[[#This Row],[Sales]]</f>
        <v>0.8</v>
      </c>
      <c r="N440" t="str">
        <f t="shared" si="13"/>
        <v>Medium</v>
      </c>
      <c r="O440" s="2">
        <v>44280</v>
      </c>
      <c r="P440" s="9">
        <v>9700</v>
      </c>
    </row>
    <row r="441" spans="1:16" x14ac:dyDescent="0.25">
      <c r="A441" t="s">
        <v>462</v>
      </c>
      <c r="B441" s="2">
        <v>44281</v>
      </c>
      <c r="C441">
        <v>2021</v>
      </c>
      <c r="D441" t="str">
        <f t="shared" si="12"/>
        <v>Mar</v>
      </c>
      <c r="E441" t="s">
        <v>13</v>
      </c>
      <c r="F441" t="s">
        <v>2038</v>
      </c>
      <c r="G441" t="s">
        <v>22</v>
      </c>
      <c r="H441" t="s">
        <v>24</v>
      </c>
      <c r="I441">
        <v>2</v>
      </c>
      <c r="J441" s="9">
        <v>13900</v>
      </c>
      <c r="K441" s="7">
        <v>0.25</v>
      </c>
      <c r="L441" s="9">
        <v>10425</v>
      </c>
      <c r="M441" s="10">
        <f>Sales_Data3[[#This Row],[Profit]]/Sales_Data3[[#This Row],[Sales]]</f>
        <v>0.75</v>
      </c>
      <c r="N441" t="str">
        <f t="shared" si="13"/>
        <v>High</v>
      </c>
      <c r="O441" s="2">
        <v>44281</v>
      </c>
      <c r="P441" s="9">
        <v>13900</v>
      </c>
    </row>
    <row r="442" spans="1:16" x14ac:dyDescent="0.25">
      <c r="A442" t="s">
        <v>463</v>
      </c>
      <c r="B442" s="2">
        <v>44282</v>
      </c>
      <c r="C442">
        <v>2021</v>
      </c>
      <c r="D442" t="str">
        <f t="shared" si="12"/>
        <v>Mar</v>
      </c>
      <c r="E442" t="s">
        <v>14</v>
      </c>
      <c r="F442" t="s">
        <v>2039</v>
      </c>
      <c r="G442" t="s">
        <v>19</v>
      </c>
      <c r="H442" t="s">
        <v>25</v>
      </c>
      <c r="I442">
        <v>3</v>
      </c>
      <c r="J442" s="9">
        <v>13100</v>
      </c>
      <c r="K442" s="7">
        <v>0.05</v>
      </c>
      <c r="L442" s="9">
        <v>12445</v>
      </c>
      <c r="M442" s="10">
        <f>Sales_Data3[[#This Row],[Profit]]/Sales_Data3[[#This Row],[Sales]]</f>
        <v>0.95</v>
      </c>
      <c r="N442" t="str">
        <f t="shared" si="13"/>
        <v>High</v>
      </c>
      <c r="O442" s="2">
        <v>44282</v>
      </c>
      <c r="P442" s="9">
        <v>13100</v>
      </c>
    </row>
    <row r="443" spans="1:16" x14ac:dyDescent="0.25">
      <c r="A443" t="s">
        <v>464</v>
      </c>
      <c r="B443" s="2">
        <v>44283</v>
      </c>
      <c r="C443">
        <v>2021</v>
      </c>
      <c r="D443" t="str">
        <f t="shared" si="12"/>
        <v>Mar</v>
      </c>
      <c r="E443" t="s">
        <v>14</v>
      </c>
      <c r="F443" t="s">
        <v>2040</v>
      </c>
      <c r="G443" t="s">
        <v>20</v>
      </c>
      <c r="H443" t="s">
        <v>25</v>
      </c>
      <c r="I443">
        <v>6</v>
      </c>
      <c r="J443" s="9">
        <v>9800</v>
      </c>
      <c r="K443" s="7">
        <v>0.1</v>
      </c>
      <c r="L443" s="9">
        <v>8820</v>
      </c>
      <c r="M443" s="10">
        <f>Sales_Data3[[#This Row],[Profit]]/Sales_Data3[[#This Row],[Sales]]</f>
        <v>0.9</v>
      </c>
      <c r="N443" t="str">
        <f t="shared" si="13"/>
        <v>Medium</v>
      </c>
      <c r="O443" s="2">
        <v>44283</v>
      </c>
      <c r="P443" s="9">
        <v>9800</v>
      </c>
    </row>
    <row r="444" spans="1:16" x14ac:dyDescent="0.25">
      <c r="A444" t="s">
        <v>465</v>
      </c>
      <c r="B444" s="2">
        <v>44284</v>
      </c>
      <c r="C444">
        <v>2021</v>
      </c>
      <c r="D444" t="str">
        <f t="shared" si="12"/>
        <v>Mar</v>
      </c>
      <c r="E444" t="s">
        <v>14</v>
      </c>
      <c r="F444" t="s">
        <v>2041</v>
      </c>
      <c r="G444" t="s">
        <v>21</v>
      </c>
      <c r="H444" t="s">
        <v>25</v>
      </c>
      <c r="I444">
        <v>3</v>
      </c>
      <c r="J444" s="9">
        <v>5400</v>
      </c>
      <c r="K444" s="7">
        <v>0.15000000000000002</v>
      </c>
      <c r="L444" s="9">
        <v>4590</v>
      </c>
      <c r="M444" s="10">
        <f>Sales_Data3[[#This Row],[Profit]]/Sales_Data3[[#This Row],[Sales]]</f>
        <v>0.85</v>
      </c>
      <c r="N444" t="str">
        <f t="shared" si="13"/>
        <v>Medium</v>
      </c>
      <c r="O444" s="2">
        <v>44284</v>
      </c>
      <c r="P444" s="9">
        <v>5400</v>
      </c>
    </row>
    <row r="445" spans="1:16" x14ac:dyDescent="0.25">
      <c r="A445" t="s">
        <v>466</v>
      </c>
      <c r="B445" s="2">
        <v>44285</v>
      </c>
      <c r="C445">
        <v>2021</v>
      </c>
      <c r="D445" t="str">
        <f t="shared" si="12"/>
        <v>Mar</v>
      </c>
      <c r="E445" t="s">
        <v>14</v>
      </c>
      <c r="F445" t="s">
        <v>2042</v>
      </c>
      <c r="G445" t="s">
        <v>22</v>
      </c>
      <c r="H445" t="s">
        <v>25</v>
      </c>
      <c r="I445">
        <v>9</v>
      </c>
      <c r="J445" s="9">
        <v>4300</v>
      </c>
      <c r="K445" s="7">
        <v>0.2</v>
      </c>
      <c r="L445" s="9">
        <v>3440</v>
      </c>
      <c r="M445" s="10">
        <f>Sales_Data3[[#This Row],[Profit]]/Sales_Data3[[#This Row],[Sales]]</f>
        <v>0.8</v>
      </c>
      <c r="N445" t="str">
        <f t="shared" si="13"/>
        <v>Low</v>
      </c>
      <c r="O445" s="2">
        <v>44285</v>
      </c>
      <c r="P445" s="9">
        <v>4300</v>
      </c>
    </row>
    <row r="446" spans="1:16" x14ac:dyDescent="0.25">
      <c r="A446" t="s">
        <v>467</v>
      </c>
      <c r="B446" s="2">
        <v>44286</v>
      </c>
      <c r="C446">
        <v>2021</v>
      </c>
      <c r="D446" t="str">
        <f t="shared" si="12"/>
        <v>Mar</v>
      </c>
      <c r="E446" t="s">
        <v>14</v>
      </c>
      <c r="F446" t="s">
        <v>2043</v>
      </c>
      <c r="G446" t="s">
        <v>19</v>
      </c>
      <c r="H446" t="s">
        <v>25</v>
      </c>
      <c r="I446">
        <v>7</v>
      </c>
      <c r="J446" s="9">
        <v>6700</v>
      </c>
      <c r="K446" s="7">
        <v>0.25</v>
      </c>
      <c r="L446" s="9">
        <v>5025</v>
      </c>
      <c r="M446" s="10">
        <f>Sales_Data3[[#This Row],[Profit]]/Sales_Data3[[#This Row],[Sales]]</f>
        <v>0.75</v>
      </c>
      <c r="N446" t="str">
        <f t="shared" si="13"/>
        <v>Medium</v>
      </c>
      <c r="O446" s="2">
        <v>44286</v>
      </c>
      <c r="P446" s="9">
        <v>6700</v>
      </c>
    </row>
    <row r="447" spans="1:16" x14ac:dyDescent="0.25">
      <c r="A447" t="s">
        <v>468</v>
      </c>
      <c r="B447" s="2">
        <v>44287</v>
      </c>
      <c r="C447">
        <v>2021</v>
      </c>
      <c r="D447" t="str">
        <f t="shared" si="12"/>
        <v>Apr</v>
      </c>
      <c r="E447" t="s">
        <v>14</v>
      </c>
      <c r="F447" t="s">
        <v>2044</v>
      </c>
      <c r="G447" t="s">
        <v>20</v>
      </c>
      <c r="H447" t="s">
        <v>25</v>
      </c>
      <c r="I447">
        <v>5</v>
      </c>
      <c r="J447" s="9">
        <v>6800</v>
      </c>
      <c r="K447" s="7">
        <v>0.05</v>
      </c>
      <c r="L447" s="9">
        <v>6460</v>
      </c>
      <c r="M447" s="10">
        <f>Sales_Data3[[#This Row],[Profit]]/Sales_Data3[[#This Row],[Sales]]</f>
        <v>0.95</v>
      </c>
      <c r="N447" t="str">
        <f t="shared" si="13"/>
        <v>Medium</v>
      </c>
      <c r="O447" s="2">
        <v>44287</v>
      </c>
      <c r="P447" s="9">
        <v>6800</v>
      </c>
    </row>
    <row r="448" spans="1:16" x14ac:dyDescent="0.25">
      <c r="A448" t="s">
        <v>469</v>
      </c>
      <c r="B448" s="2">
        <v>44288</v>
      </c>
      <c r="C448">
        <v>2021</v>
      </c>
      <c r="D448" t="str">
        <f t="shared" si="12"/>
        <v>Apr</v>
      </c>
      <c r="E448" t="s">
        <v>14</v>
      </c>
      <c r="F448" t="s">
        <v>2045</v>
      </c>
      <c r="G448" t="s">
        <v>21</v>
      </c>
      <c r="H448" t="s">
        <v>25</v>
      </c>
      <c r="I448">
        <v>7</v>
      </c>
      <c r="J448" s="9">
        <v>11700</v>
      </c>
      <c r="K448" s="7">
        <v>0.1</v>
      </c>
      <c r="L448" s="9">
        <v>10530</v>
      </c>
      <c r="M448" s="10">
        <f>Sales_Data3[[#This Row],[Profit]]/Sales_Data3[[#This Row],[Sales]]</f>
        <v>0.9</v>
      </c>
      <c r="N448" t="str">
        <f t="shared" si="13"/>
        <v>High</v>
      </c>
      <c r="O448" s="2">
        <v>44288</v>
      </c>
      <c r="P448" s="9">
        <v>11700</v>
      </c>
    </row>
    <row r="449" spans="1:16" x14ac:dyDescent="0.25">
      <c r="A449" t="s">
        <v>470</v>
      </c>
      <c r="B449" s="2">
        <v>44289</v>
      </c>
      <c r="C449">
        <v>2021</v>
      </c>
      <c r="D449" t="str">
        <f t="shared" si="12"/>
        <v>Apr</v>
      </c>
      <c r="E449" t="s">
        <v>14</v>
      </c>
      <c r="F449" t="s">
        <v>2046</v>
      </c>
      <c r="G449" t="s">
        <v>22</v>
      </c>
      <c r="H449" t="s">
        <v>25</v>
      </c>
      <c r="I449">
        <v>3</v>
      </c>
      <c r="J449" s="9">
        <v>12300</v>
      </c>
      <c r="K449" s="7">
        <v>0.15000000000000002</v>
      </c>
      <c r="L449" s="9">
        <v>10455</v>
      </c>
      <c r="M449" s="10">
        <f>Sales_Data3[[#This Row],[Profit]]/Sales_Data3[[#This Row],[Sales]]</f>
        <v>0.85</v>
      </c>
      <c r="N449" t="str">
        <f t="shared" si="13"/>
        <v>High</v>
      </c>
      <c r="O449" s="2">
        <v>44289</v>
      </c>
      <c r="P449" s="9">
        <v>12300</v>
      </c>
    </row>
    <row r="450" spans="1:16" x14ac:dyDescent="0.25">
      <c r="A450" t="s">
        <v>471</v>
      </c>
      <c r="B450" s="2">
        <v>44290</v>
      </c>
      <c r="C450">
        <v>2021</v>
      </c>
      <c r="D450" t="str">
        <f t="shared" ref="D450:D513" si="14">TEXT(B450,"MMM")</f>
        <v>Apr</v>
      </c>
      <c r="E450" t="s">
        <v>14</v>
      </c>
      <c r="F450" t="s">
        <v>2047</v>
      </c>
      <c r="G450" t="s">
        <v>19</v>
      </c>
      <c r="H450" t="s">
        <v>25</v>
      </c>
      <c r="I450">
        <v>5</v>
      </c>
      <c r="J450" s="9">
        <v>5700</v>
      </c>
      <c r="K450" s="7">
        <v>0.2</v>
      </c>
      <c r="L450" s="9">
        <v>4560</v>
      </c>
      <c r="M450" s="10">
        <f>Sales_Data3[[#This Row],[Profit]]/Sales_Data3[[#This Row],[Sales]]</f>
        <v>0.8</v>
      </c>
      <c r="N450" t="str">
        <f t="shared" ref="N450:N513" si="15">IF(J450&gt;10000,"High",IF(J450&gt;5000,"Medium","Low"))</f>
        <v>Medium</v>
      </c>
      <c r="O450" s="2">
        <v>44290</v>
      </c>
      <c r="P450" s="9">
        <v>5700</v>
      </c>
    </row>
    <row r="451" spans="1:16" x14ac:dyDescent="0.25">
      <c r="A451" t="s">
        <v>472</v>
      </c>
      <c r="B451" s="2">
        <v>44291</v>
      </c>
      <c r="C451">
        <v>2021</v>
      </c>
      <c r="D451" t="str">
        <f t="shared" si="14"/>
        <v>Apr</v>
      </c>
      <c r="E451" t="s">
        <v>14</v>
      </c>
      <c r="F451" t="s">
        <v>2048</v>
      </c>
      <c r="G451" t="s">
        <v>20</v>
      </c>
      <c r="H451" t="s">
        <v>25</v>
      </c>
      <c r="I451">
        <v>5</v>
      </c>
      <c r="J451" s="9">
        <v>9700</v>
      </c>
      <c r="K451" s="7">
        <v>0.25</v>
      </c>
      <c r="L451" s="9">
        <v>7275</v>
      </c>
      <c r="M451" s="10">
        <f>Sales_Data3[[#This Row],[Profit]]/Sales_Data3[[#This Row],[Sales]]</f>
        <v>0.75</v>
      </c>
      <c r="N451" t="str">
        <f t="shared" si="15"/>
        <v>Medium</v>
      </c>
      <c r="O451" s="2">
        <v>44291</v>
      </c>
      <c r="P451" s="9">
        <v>9700</v>
      </c>
    </row>
    <row r="452" spans="1:16" x14ac:dyDescent="0.25">
      <c r="A452" t="s">
        <v>473</v>
      </c>
      <c r="B452" s="2">
        <v>44292</v>
      </c>
      <c r="C452">
        <v>2021</v>
      </c>
      <c r="D452" t="str">
        <f t="shared" si="14"/>
        <v>Apr</v>
      </c>
      <c r="E452" t="s">
        <v>12</v>
      </c>
      <c r="F452" t="s">
        <v>15</v>
      </c>
      <c r="G452" t="s">
        <v>21</v>
      </c>
      <c r="H452" t="s">
        <v>23</v>
      </c>
      <c r="I452">
        <v>9</v>
      </c>
      <c r="J452" s="9">
        <v>4400</v>
      </c>
      <c r="K452" s="7">
        <v>0.05</v>
      </c>
      <c r="L452" s="9">
        <v>4180</v>
      </c>
      <c r="M452" s="10">
        <f>Sales_Data3[[#This Row],[Profit]]/Sales_Data3[[#This Row],[Sales]]</f>
        <v>0.95</v>
      </c>
      <c r="N452" t="str">
        <f t="shared" si="15"/>
        <v>Low</v>
      </c>
      <c r="O452" s="2">
        <v>44292</v>
      </c>
      <c r="P452" s="9">
        <v>4400</v>
      </c>
    </row>
    <row r="453" spans="1:16" x14ac:dyDescent="0.25">
      <c r="A453" t="s">
        <v>474</v>
      </c>
      <c r="B453" s="2">
        <v>44293</v>
      </c>
      <c r="C453">
        <v>2021</v>
      </c>
      <c r="D453" t="str">
        <f t="shared" si="14"/>
        <v>Apr</v>
      </c>
      <c r="E453" t="s">
        <v>12</v>
      </c>
      <c r="F453" t="s">
        <v>17</v>
      </c>
      <c r="G453" t="s">
        <v>22</v>
      </c>
      <c r="H453" t="s">
        <v>23</v>
      </c>
      <c r="I453">
        <v>7</v>
      </c>
      <c r="J453" s="9">
        <v>4200</v>
      </c>
      <c r="K453" s="7">
        <v>0.1</v>
      </c>
      <c r="L453" s="9">
        <v>3780</v>
      </c>
      <c r="M453" s="10">
        <f>Sales_Data3[[#This Row],[Profit]]/Sales_Data3[[#This Row],[Sales]]</f>
        <v>0.9</v>
      </c>
      <c r="N453" t="str">
        <f t="shared" si="15"/>
        <v>Low</v>
      </c>
      <c r="O453" s="2">
        <v>44293</v>
      </c>
      <c r="P453" s="9">
        <v>4200</v>
      </c>
    </row>
    <row r="454" spans="1:16" x14ac:dyDescent="0.25">
      <c r="A454" t="s">
        <v>475</v>
      </c>
      <c r="B454" s="2">
        <v>44294</v>
      </c>
      <c r="C454">
        <v>2021</v>
      </c>
      <c r="D454" t="str">
        <f t="shared" si="14"/>
        <v>Apr</v>
      </c>
      <c r="E454" t="s">
        <v>12</v>
      </c>
      <c r="F454" t="s">
        <v>2023</v>
      </c>
      <c r="G454" t="s">
        <v>19</v>
      </c>
      <c r="H454" t="s">
        <v>23</v>
      </c>
      <c r="I454">
        <v>5</v>
      </c>
      <c r="J454" s="9">
        <v>14200</v>
      </c>
      <c r="K454" s="7">
        <v>0.15000000000000002</v>
      </c>
      <c r="L454" s="9">
        <v>12070</v>
      </c>
      <c r="M454" s="10">
        <f>Sales_Data3[[#This Row],[Profit]]/Sales_Data3[[#This Row],[Sales]]</f>
        <v>0.85</v>
      </c>
      <c r="N454" t="str">
        <f t="shared" si="15"/>
        <v>High</v>
      </c>
      <c r="O454" s="2">
        <v>44294</v>
      </c>
      <c r="P454" s="9">
        <v>14200</v>
      </c>
    </row>
    <row r="455" spans="1:16" x14ac:dyDescent="0.25">
      <c r="A455" t="s">
        <v>476</v>
      </c>
      <c r="B455" s="2">
        <v>44295</v>
      </c>
      <c r="C455">
        <v>2021</v>
      </c>
      <c r="D455" t="str">
        <f t="shared" si="14"/>
        <v>Apr</v>
      </c>
      <c r="E455" t="s">
        <v>12</v>
      </c>
      <c r="F455" t="s">
        <v>18</v>
      </c>
      <c r="G455" t="s">
        <v>20</v>
      </c>
      <c r="H455" t="s">
        <v>23</v>
      </c>
      <c r="I455">
        <v>2</v>
      </c>
      <c r="J455" s="9">
        <v>8600</v>
      </c>
      <c r="K455" s="7">
        <v>0.2</v>
      </c>
      <c r="L455" s="9">
        <v>6880</v>
      </c>
      <c r="M455" s="10">
        <f>Sales_Data3[[#This Row],[Profit]]/Sales_Data3[[#This Row],[Sales]]</f>
        <v>0.8</v>
      </c>
      <c r="N455" t="str">
        <f t="shared" si="15"/>
        <v>Medium</v>
      </c>
      <c r="O455" s="2">
        <v>44295</v>
      </c>
      <c r="P455" s="9">
        <v>8600</v>
      </c>
    </row>
    <row r="456" spans="1:16" x14ac:dyDescent="0.25">
      <c r="A456" t="s">
        <v>477</v>
      </c>
      <c r="B456" s="2">
        <v>44296</v>
      </c>
      <c r="C456">
        <v>2021</v>
      </c>
      <c r="D456" t="str">
        <f t="shared" si="14"/>
        <v>Apr</v>
      </c>
      <c r="E456" t="s">
        <v>12</v>
      </c>
      <c r="F456" t="s">
        <v>2024</v>
      </c>
      <c r="G456" t="s">
        <v>21</v>
      </c>
      <c r="H456" t="s">
        <v>23</v>
      </c>
      <c r="I456">
        <v>10</v>
      </c>
      <c r="J456" s="9">
        <v>7300</v>
      </c>
      <c r="K456" s="7">
        <v>0.25</v>
      </c>
      <c r="L456" s="9">
        <v>5475</v>
      </c>
      <c r="M456" s="10">
        <f>Sales_Data3[[#This Row],[Profit]]/Sales_Data3[[#This Row],[Sales]]</f>
        <v>0.75</v>
      </c>
      <c r="N456" t="str">
        <f t="shared" si="15"/>
        <v>Medium</v>
      </c>
      <c r="O456" s="2">
        <v>44296</v>
      </c>
      <c r="P456" s="9">
        <v>7300</v>
      </c>
    </row>
    <row r="457" spans="1:16" x14ac:dyDescent="0.25">
      <c r="A457" t="s">
        <v>478</v>
      </c>
      <c r="B457" s="2">
        <v>44297</v>
      </c>
      <c r="C457">
        <v>2021</v>
      </c>
      <c r="D457" t="str">
        <f t="shared" si="14"/>
        <v>Apr</v>
      </c>
      <c r="E457" t="s">
        <v>12</v>
      </c>
      <c r="F457" t="s">
        <v>2025</v>
      </c>
      <c r="G457" t="s">
        <v>22</v>
      </c>
      <c r="H457" t="s">
        <v>23</v>
      </c>
      <c r="I457">
        <v>4</v>
      </c>
      <c r="J457" s="9">
        <v>9800</v>
      </c>
      <c r="K457" s="7">
        <v>0.05</v>
      </c>
      <c r="L457" s="9">
        <v>9310</v>
      </c>
      <c r="M457" s="10">
        <f>Sales_Data3[[#This Row],[Profit]]/Sales_Data3[[#This Row],[Sales]]</f>
        <v>0.95</v>
      </c>
      <c r="N457" t="str">
        <f t="shared" si="15"/>
        <v>Medium</v>
      </c>
      <c r="O457" s="2">
        <v>44297</v>
      </c>
      <c r="P457" s="9">
        <v>9800</v>
      </c>
    </row>
    <row r="458" spans="1:16" x14ac:dyDescent="0.25">
      <c r="A458" t="s">
        <v>479</v>
      </c>
      <c r="B458" s="2">
        <v>44298</v>
      </c>
      <c r="C458">
        <v>2021</v>
      </c>
      <c r="D458" t="str">
        <f t="shared" si="14"/>
        <v>Apr</v>
      </c>
      <c r="E458" t="s">
        <v>12</v>
      </c>
      <c r="F458" t="s">
        <v>2026</v>
      </c>
      <c r="G458" t="s">
        <v>19</v>
      </c>
      <c r="H458" t="s">
        <v>23</v>
      </c>
      <c r="I458">
        <v>1</v>
      </c>
      <c r="J458" s="9">
        <v>6900</v>
      </c>
      <c r="K458" s="7">
        <v>0.1</v>
      </c>
      <c r="L458" s="9">
        <v>6210</v>
      </c>
      <c r="M458" s="10">
        <f>Sales_Data3[[#This Row],[Profit]]/Sales_Data3[[#This Row],[Sales]]</f>
        <v>0.9</v>
      </c>
      <c r="N458" t="str">
        <f t="shared" si="15"/>
        <v>Medium</v>
      </c>
      <c r="O458" s="2">
        <v>44298</v>
      </c>
      <c r="P458" s="9">
        <v>6900</v>
      </c>
    </row>
    <row r="459" spans="1:16" x14ac:dyDescent="0.25">
      <c r="A459" t="s">
        <v>480</v>
      </c>
      <c r="B459" s="2">
        <v>44299</v>
      </c>
      <c r="C459">
        <v>2021</v>
      </c>
      <c r="D459" t="str">
        <f t="shared" si="14"/>
        <v>Apr</v>
      </c>
      <c r="E459" t="s">
        <v>12</v>
      </c>
      <c r="F459" t="s">
        <v>2027</v>
      </c>
      <c r="G459" t="s">
        <v>20</v>
      </c>
      <c r="H459" t="s">
        <v>23</v>
      </c>
      <c r="I459">
        <v>10</v>
      </c>
      <c r="J459" s="9">
        <v>11100</v>
      </c>
      <c r="K459" s="7">
        <v>0.15000000000000002</v>
      </c>
      <c r="L459" s="9">
        <v>9435</v>
      </c>
      <c r="M459" s="10">
        <f>Sales_Data3[[#This Row],[Profit]]/Sales_Data3[[#This Row],[Sales]]</f>
        <v>0.85</v>
      </c>
      <c r="N459" t="str">
        <f t="shared" si="15"/>
        <v>High</v>
      </c>
      <c r="O459" s="2">
        <v>44299</v>
      </c>
      <c r="P459" s="9">
        <v>11100</v>
      </c>
    </row>
    <row r="460" spans="1:16" x14ac:dyDescent="0.25">
      <c r="A460" t="s">
        <v>481</v>
      </c>
      <c r="B460" s="2">
        <v>44300</v>
      </c>
      <c r="C460">
        <v>2021</v>
      </c>
      <c r="D460" t="str">
        <f t="shared" si="14"/>
        <v>Apr</v>
      </c>
      <c r="E460" t="s">
        <v>12</v>
      </c>
      <c r="F460" t="s">
        <v>2028</v>
      </c>
      <c r="G460" t="s">
        <v>21</v>
      </c>
      <c r="H460" t="s">
        <v>23</v>
      </c>
      <c r="I460">
        <v>2</v>
      </c>
      <c r="J460" s="9">
        <v>11700</v>
      </c>
      <c r="K460" s="7">
        <v>0.2</v>
      </c>
      <c r="L460" s="9">
        <v>9360</v>
      </c>
      <c r="M460" s="10">
        <f>Sales_Data3[[#This Row],[Profit]]/Sales_Data3[[#This Row],[Sales]]</f>
        <v>0.8</v>
      </c>
      <c r="N460" t="str">
        <f t="shared" si="15"/>
        <v>High</v>
      </c>
      <c r="O460" s="2">
        <v>44300</v>
      </c>
      <c r="P460" s="9">
        <v>11700</v>
      </c>
    </row>
    <row r="461" spans="1:16" x14ac:dyDescent="0.25">
      <c r="A461" t="s">
        <v>482</v>
      </c>
      <c r="B461" s="2">
        <v>44301</v>
      </c>
      <c r="C461">
        <v>2021</v>
      </c>
      <c r="D461" t="str">
        <f t="shared" si="14"/>
        <v>Apr</v>
      </c>
      <c r="E461" t="s">
        <v>12</v>
      </c>
      <c r="F461" t="s">
        <v>2029</v>
      </c>
      <c r="G461" t="s">
        <v>22</v>
      </c>
      <c r="H461" t="s">
        <v>23</v>
      </c>
      <c r="I461">
        <v>7</v>
      </c>
      <c r="J461" s="9">
        <v>14100</v>
      </c>
      <c r="K461" s="7">
        <v>0.25</v>
      </c>
      <c r="L461" s="9">
        <v>10575</v>
      </c>
      <c r="M461" s="10">
        <f>Sales_Data3[[#This Row],[Profit]]/Sales_Data3[[#This Row],[Sales]]</f>
        <v>0.75</v>
      </c>
      <c r="N461" t="str">
        <f t="shared" si="15"/>
        <v>High</v>
      </c>
      <c r="O461" s="2">
        <v>44301</v>
      </c>
      <c r="P461" s="9">
        <v>14100</v>
      </c>
    </row>
    <row r="462" spans="1:16" x14ac:dyDescent="0.25">
      <c r="A462" t="s">
        <v>483</v>
      </c>
      <c r="B462" s="2">
        <v>44302</v>
      </c>
      <c r="C462">
        <v>2021</v>
      </c>
      <c r="D462" t="str">
        <f t="shared" si="14"/>
        <v>Apr</v>
      </c>
      <c r="E462" t="s">
        <v>13</v>
      </c>
      <c r="F462" t="s">
        <v>16</v>
      </c>
      <c r="G462" t="s">
        <v>19</v>
      </c>
      <c r="H462" t="s">
        <v>24</v>
      </c>
      <c r="I462">
        <v>10</v>
      </c>
      <c r="J462" s="9">
        <v>11100</v>
      </c>
      <c r="K462" s="7">
        <v>0.05</v>
      </c>
      <c r="L462" s="9">
        <v>10545</v>
      </c>
      <c r="M462" s="10">
        <f>Sales_Data3[[#This Row],[Profit]]/Sales_Data3[[#This Row],[Sales]]</f>
        <v>0.95</v>
      </c>
      <c r="N462" t="str">
        <f t="shared" si="15"/>
        <v>High</v>
      </c>
      <c r="O462" s="2">
        <v>44302</v>
      </c>
      <c r="P462" s="9">
        <v>11100</v>
      </c>
    </row>
    <row r="463" spans="1:16" x14ac:dyDescent="0.25">
      <c r="A463" t="s">
        <v>484</v>
      </c>
      <c r="B463" s="2">
        <v>44303</v>
      </c>
      <c r="C463">
        <v>2021</v>
      </c>
      <c r="D463" t="str">
        <f t="shared" si="14"/>
        <v>Apr</v>
      </c>
      <c r="E463" t="s">
        <v>13</v>
      </c>
      <c r="F463" t="s">
        <v>2030</v>
      </c>
      <c r="G463" t="s">
        <v>20</v>
      </c>
      <c r="H463" t="s">
        <v>24</v>
      </c>
      <c r="I463">
        <v>3</v>
      </c>
      <c r="J463" s="9">
        <v>8700</v>
      </c>
      <c r="K463" s="7">
        <v>0.1</v>
      </c>
      <c r="L463" s="9">
        <v>7830</v>
      </c>
      <c r="M463" s="10">
        <f>Sales_Data3[[#This Row],[Profit]]/Sales_Data3[[#This Row],[Sales]]</f>
        <v>0.9</v>
      </c>
      <c r="N463" t="str">
        <f t="shared" si="15"/>
        <v>Medium</v>
      </c>
      <c r="O463" s="2">
        <v>44303</v>
      </c>
      <c r="P463" s="9">
        <v>8700</v>
      </c>
    </row>
    <row r="464" spans="1:16" x14ac:dyDescent="0.25">
      <c r="A464" t="s">
        <v>485</v>
      </c>
      <c r="B464" s="2">
        <v>44304</v>
      </c>
      <c r="C464">
        <v>2021</v>
      </c>
      <c r="D464" t="str">
        <f t="shared" si="14"/>
        <v>Apr</v>
      </c>
      <c r="E464" t="s">
        <v>13</v>
      </c>
      <c r="F464" t="s">
        <v>2031</v>
      </c>
      <c r="G464" t="s">
        <v>21</v>
      </c>
      <c r="H464" t="s">
        <v>24</v>
      </c>
      <c r="I464">
        <v>2</v>
      </c>
      <c r="J464" s="9">
        <v>8900</v>
      </c>
      <c r="K464" s="7">
        <v>0.15000000000000002</v>
      </c>
      <c r="L464" s="9">
        <v>7565</v>
      </c>
      <c r="M464" s="10">
        <f>Sales_Data3[[#This Row],[Profit]]/Sales_Data3[[#This Row],[Sales]]</f>
        <v>0.85</v>
      </c>
      <c r="N464" t="str">
        <f t="shared" si="15"/>
        <v>Medium</v>
      </c>
      <c r="O464" s="2">
        <v>44304</v>
      </c>
      <c r="P464" s="9">
        <v>8900</v>
      </c>
    </row>
    <row r="465" spans="1:16" x14ac:dyDescent="0.25">
      <c r="A465" t="s">
        <v>486</v>
      </c>
      <c r="B465" s="2">
        <v>44305</v>
      </c>
      <c r="C465">
        <v>2021</v>
      </c>
      <c r="D465" t="str">
        <f t="shared" si="14"/>
        <v>Apr</v>
      </c>
      <c r="E465" t="s">
        <v>13</v>
      </c>
      <c r="F465" t="s">
        <v>2032</v>
      </c>
      <c r="G465" t="s">
        <v>22</v>
      </c>
      <c r="H465" t="s">
        <v>24</v>
      </c>
      <c r="I465">
        <v>3</v>
      </c>
      <c r="J465" s="9">
        <v>5300</v>
      </c>
      <c r="K465" s="7">
        <v>0.2</v>
      </c>
      <c r="L465" s="9">
        <v>4240</v>
      </c>
      <c r="M465" s="10">
        <f>Sales_Data3[[#This Row],[Profit]]/Sales_Data3[[#This Row],[Sales]]</f>
        <v>0.8</v>
      </c>
      <c r="N465" t="str">
        <f t="shared" si="15"/>
        <v>Medium</v>
      </c>
      <c r="O465" s="2">
        <v>44305</v>
      </c>
      <c r="P465" s="9">
        <v>5300</v>
      </c>
    </row>
    <row r="466" spans="1:16" x14ac:dyDescent="0.25">
      <c r="A466" t="s">
        <v>487</v>
      </c>
      <c r="B466" s="2">
        <v>44306</v>
      </c>
      <c r="C466">
        <v>2021</v>
      </c>
      <c r="D466" t="str">
        <f t="shared" si="14"/>
        <v>Apr</v>
      </c>
      <c r="E466" t="s">
        <v>13</v>
      </c>
      <c r="F466" t="s">
        <v>2033</v>
      </c>
      <c r="G466" t="s">
        <v>19</v>
      </c>
      <c r="H466" t="s">
        <v>24</v>
      </c>
      <c r="I466">
        <v>4</v>
      </c>
      <c r="J466" s="9">
        <v>7300</v>
      </c>
      <c r="K466" s="7">
        <v>0.25</v>
      </c>
      <c r="L466" s="9">
        <v>5475</v>
      </c>
      <c r="M466" s="10">
        <f>Sales_Data3[[#This Row],[Profit]]/Sales_Data3[[#This Row],[Sales]]</f>
        <v>0.75</v>
      </c>
      <c r="N466" t="str">
        <f t="shared" si="15"/>
        <v>Medium</v>
      </c>
      <c r="O466" s="2">
        <v>44306</v>
      </c>
      <c r="P466" s="9">
        <v>7300</v>
      </c>
    </row>
    <row r="467" spans="1:16" x14ac:dyDescent="0.25">
      <c r="A467" t="s">
        <v>488</v>
      </c>
      <c r="B467" s="2">
        <v>44307</v>
      </c>
      <c r="C467">
        <v>2021</v>
      </c>
      <c r="D467" t="str">
        <f t="shared" si="14"/>
        <v>Apr</v>
      </c>
      <c r="E467" t="s">
        <v>13</v>
      </c>
      <c r="F467" t="s">
        <v>2034</v>
      </c>
      <c r="G467" t="s">
        <v>20</v>
      </c>
      <c r="H467" t="s">
        <v>24</v>
      </c>
      <c r="I467">
        <v>4</v>
      </c>
      <c r="J467" s="9">
        <v>11300</v>
      </c>
      <c r="K467" s="7">
        <v>0.05</v>
      </c>
      <c r="L467" s="9">
        <v>10735</v>
      </c>
      <c r="M467" s="10">
        <f>Sales_Data3[[#This Row],[Profit]]/Sales_Data3[[#This Row],[Sales]]</f>
        <v>0.95</v>
      </c>
      <c r="N467" t="str">
        <f t="shared" si="15"/>
        <v>High</v>
      </c>
      <c r="O467" s="2">
        <v>44307</v>
      </c>
      <c r="P467" s="9">
        <v>11300</v>
      </c>
    </row>
    <row r="468" spans="1:16" x14ac:dyDescent="0.25">
      <c r="A468" t="s">
        <v>489</v>
      </c>
      <c r="B468" s="2">
        <v>44308</v>
      </c>
      <c r="C468">
        <v>2021</v>
      </c>
      <c r="D468" t="str">
        <f t="shared" si="14"/>
        <v>Apr</v>
      </c>
      <c r="E468" t="s">
        <v>13</v>
      </c>
      <c r="F468" t="s">
        <v>2035</v>
      </c>
      <c r="G468" t="s">
        <v>21</v>
      </c>
      <c r="H468" t="s">
        <v>24</v>
      </c>
      <c r="I468">
        <v>7</v>
      </c>
      <c r="J468" s="9">
        <v>6900</v>
      </c>
      <c r="K468" s="7">
        <v>0.1</v>
      </c>
      <c r="L468" s="9">
        <v>6210</v>
      </c>
      <c r="M468" s="10">
        <f>Sales_Data3[[#This Row],[Profit]]/Sales_Data3[[#This Row],[Sales]]</f>
        <v>0.9</v>
      </c>
      <c r="N468" t="str">
        <f t="shared" si="15"/>
        <v>Medium</v>
      </c>
      <c r="O468" s="2">
        <v>44308</v>
      </c>
      <c r="P468" s="9">
        <v>6900</v>
      </c>
    </row>
    <row r="469" spans="1:16" x14ac:dyDescent="0.25">
      <c r="A469" t="s">
        <v>490</v>
      </c>
      <c r="B469" s="2">
        <v>44309</v>
      </c>
      <c r="C469">
        <v>2021</v>
      </c>
      <c r="D469" t="str">
        <f t="shared" si="14"/>
        <v>Apr</v>
      </c>
      <c r="E469" t="s">
        <v>13</v>
      </c>
      <c r="F469" t="s">
        <v>2036</v>
      </c>
      <c r="G469" t="s">
        <v>22</v>
      </c>
      <c r="H469" t="s">
        <v>24</v>
      </c>
      <c r="I469">
        <v>3</v>
      </c>
      <c r="J469" s="9">
        <v>4600</v>
      </c>
      <c r="K469" s="7">
        <v>0.15000000000000002</v>
      </c>
      <c r="L469" s="9">
        <v>3910</v>
      </c>
      <c r="M469" s="10">
        <f>Sales_Data3[[#This Row],[Profit]]/Sales_Data3[[#This Row],[Sales]]</f>
        <v>0.85</v>
      </c>
      <c r="N469" t="str">
        <f t="shared" si="15"/>
        <v>Low</v>
      </c>
      <c r="O469" s="2">
        <v>44309</v>
      </c>
      <c r="P469" s="9">
        <v>4600</v>
      </c>
    </row>
    <row r="470" spans="1:16" x14ac:dyDescent="0.25">
      <c r="A470" t="s">
        <v>491</v>
      </c>
      <c r="B470" s="2">
        <v>44310</v>
      </c>
      <c r="C470">
        <v>2021</v>
      </c>
      <c r="D470" t="str">
        <f t="shared" si="14"/>
        <v>Apr</v>
      </c>
      <c r="E470" t="s">
        <v>13</v>
      </c>
      <c r="F470" t="s">
        <v>2037</v>
      </c>
      <c r="G470" t="s">
        <v>19</v>
      </c>
      <c r="H470" t="s">
        <v>24</v>
      </c>
      <c r="I470">
        <v>9</v>
      </c>
      <c r="J470" s="9">
        <v>4600</v>
      </c>
      <c r="K470" s="7">
        <v>0.2</v>
      </c>
      <c r="L470" s="9">
        <v>3680</v>
      </c>
      <c r="M470" s="10">
        <f>Sales_Data3[[#This Row],[Profit]]/Sales_Data3[[#This Row],[Sales]]</f>
        <v>0.8</v>
      </c>
      <c r="N470" t="str">
        <f t="shared" si="15"/>
        <v>Low</v>
      </c>
      <c r="O470" s="2">
        <v>44310</v>
      </c>
      <c r="P470" s="9">
        <v>4600</v>
      </c>
    </row>
    <row r="471" spans="1:16" x14ac:dyDescent="0.25">
      <c r="A471" t="s">
        <v>492</v>
      </c>
      <c r="B471" s="2">
        <v>44311</v>
      </c>
      <c r="C471">
        <v>2021</v>
      </c>
      <c r="D471" t="str">
        <f t="shared" si="14"/>
        <v>Apr</v>
      </c>
      <c r="E471" t="s">
        <v>13</v>
      </c>
      <c r="F471" t="s">
        <v>2038</v>
      </c>
      <c r="G471" t="s">
        <v>20</v>
      </c>
      <c r="H471" t="s">
        <v>24</v>
      </c>
      <c r="I471">
        <v>9</v>
      </c>
      <c r="J471" s="9">
        <v>12500</v>
      </c>
      <c r="K471" s="7">
        <v>0.25</v>
      </c>
      <c r="L471" s="9">
        <v>9375</v>
      </c>
      <c r="M471" s="10">
        <f>Sales_Data3[[#This Row],[Profit]]/Sales_Data3[[#This Row],[Sales]]</f>
        <v>0.75</v>
      </c>
      <c r="N471" t="str">
        <f t="shared" si="15"/>
        <v>High</v>
      </c>
      <c r="O471" s="2">
        <v>44311</v>
      </c>
      <c r="P471" s="9">
        <v>12500</v>
      </c>
    </row>
    <row r="472" spans="1:16" x14ac:dyDescent="0.25">
      <c r="A472" t="s">
        <v>493</v>
      </c>
      <c r="B472" s="2">
        <v>44312</v>
      </c>
      <c r="C472">
        <v>2021</v>
      </c>
      <c r="D472" t="str">
        <f t="shared" si="14"/>
        <v>Apr</v>
      </c>
      <c r="E472" t="s">
        <v>14</v>
      </c>
      <c r="F472" t="s">
        <v>2039</v>
      </c>
      <c r="G472" t="s">
        <v>21</v>
      </c>
      <c r="H472" t="s">
        <v>25</v>
      </c>
      <c r="I472">
        <v>3</v>
      </c>
      <c r="J472" s="9">
        <v>12700</v>
      </c>
      <c r="K472" s="7">
        <v>0.05</v>
      </c>
      <c r="L472" s="9">
        <v>12065</v>
      </c>
      <c r="M472" s="10">
        <f>Sales_Data3[[#This Row],[Profit]]/Sales_Data3[[#This Row],[Sales]]</f>
        <v>0.95</v>
      </c>
      <c r="N472" t="str">
        <f t="shared" si="15"/>
        <v>High</v>
      </c>
      <c r="O472" s="2">
        <v>44312</v>
      </c>
      <c r="P472" s="9">
        <v>12700</v>
      </c>
    </row>
    <row r="473" spans="1:16" x14ac:dyDescent="0.25">
      <c r="A473" t="s">
        <v>494</v>
      </c>
      <c r="B473" s="2">
        <v>44313</v>
      </c>
      <c r="C473">
        <v>2021</v>
      </c>
      <c r="D473" t="str">
        <f t="shared" si="14"/>
        <v>Apr</v>
      </c>
      <c r="E473" t="s">
        <v>14</v>
      </c>
      <c r="F473" t="s">
        <v>2040</v>
      </c>
      <c r="G473" t="s">
        <v>22</v>
      </c>
      <c r="H473" t="s">
        <v>25</v>
      </c>
      <c r="I473">
        <v>9</v>
      </c>
      <c r="J473" s="9">
        <v>4000</v>
      </c>
      <c r="K473" s="7">
        <v>0.1</v>
      </c>
      <c r="L473" s="9">
        <v>3600</v>
      </c>
      <c r="M473" s="10">
        <f>Sales_Data3[[#This Row],[Profit]]/Sales_Data3[[#This Row],[Sales]]</f>
        <v>0.9</v>
      </c>
      <c r="N473" t="str">
        <f t="shared" si="15"/>
        <v>Low</v>
      </c>
      <c r="O473" s="2">
        <v>44313</v>
      </c>
      <c r="P473" s="9">
        <v>4000</v>
      </c>
    </row>
    <row r="474" spans="1:16" x14ac:dyDescent="0.25">
      <c r="A474" t="s">
        <v>495</v>
      </c>
      <c r="B474" s="2">
        <v>44314</v>
      </c>
      <c r="C474">
        <v>2021</v>
      </c>
      <c r="D474" t="str">
        <f t="shared" si="14"/>
        <v>Apr</v>
      </c>
      <c r="E474" t="s">
        <v>14</v>
      </c>
      <c r="F474" t="s">
        <v>2041</v>
      </c>
      <c r="G474" t="s">
        <v>19</v>
      </c>
      <c r="H474" t="s">
        <v>25</v>
      </c>
      <c r="I474">
        <v>9</v>
      </c>
      <c r="J474" s="9">
        <v>12700</v>
      </c>
      <c r="K474" s="7">
        <v>0.15000000000000002</v>
      </c>
      <c r="L474" s="9">
        <v>10795</v>
      </c>
      <c r="M474" s="10">
        <f>Sales_Data3[[#This Row],[Profit]]/Sales_Data3[[#This Row],[Sales]]</f>
        <v>0.85</v>
      </c>
      <c r="N474" t="str">
        <f t="shared" si="15"/>
        <v>High</v>
      </c>
      <c r="O474" s="2">
        <v>44314</v>
      </c>
      <c r="P474" s="9">
        <v>12700</v>
      </c>
    </row>
    <row r="475" spans="1:16" x14ac:dyDescent="0.25">
      <c r="A475" t="s">
        <v>496</v>
      </c>
      <c r="B475" s="2">
        <v>44315</v>
      </c>
      <c r="C475">
        <v>2021</v>
      </c>
      <c r="D475" t="str">
        <f t="shared" si="14"/>
        <v>Apr</v>
      </c>
      <c r="E475" t="s">
        <v>14</v>
      </c>
      <c r="F475" t="s">
        <v>2042</v>
      </c>
      <c r="G475" t="s">
        <v>20</v>
      </c>
      <c r="H475" t="s">
        <v>25</v>
      </c>
      <c r="I475">
        <v>3</v>
      </c>
      <c r="J475" s="9">
        <v>6900</v>
      </c>
      <c r="K475" s="7">
        <v>0.2</v>
      </c>
      <c r="L475" s="9">
        <v>5520</v>
      </c>
      <c r="M475" s="10">
        <f>Sales_Data3[[#This Row],[Profit]]/Sales_Data3[[#This Row],[Sales]]</f>
        <v>0.8</v>
      </c>
      <c r="N475" t="str">
        <f t="shared" si="15"/>
        <v>Medium</v>
      </c>
      <c r="O475" s="2">
        <v>44315</v>
      </c>
      <c r="P475" s="9">
        <v>6900</v>
      </c>
    </row>
    <row r="476" spans="1:16" x14ac:dyDescent="0.25">
      <c r="A476" t="s">
        <v>497</v>
      </c>
      <c r="B476" s="2">
        <v>44316</v>
      </c>
      <c r="C476">
        <v>2021</v>
      </c>
      <c r="D476" t="str">
        <f t="shared" si="14"/>
        <v>Apr</v>
      </c>
      <c r="E476" t="s">
        <v>14</v>
      </c>
      <c r="F476" t="s">
        <v>2043</v>
      </c>
      <c r="G476" t="s">
        <v>21</v>
      </c>
      <c r="H476" t="s">
        <v>25</v>
      </c>
      <c r="I476">
        <v>4</v>
      </c>
      <c r="J476" s="9">
        <v>4000</v>
      </c>
      <c r="K476" s="7">
        <v>0.25</v>
      </c>
      <c r="L476" s="9">
        <v>3000</v>
      </c>
      <c r="M476" s="10">
        <f>Sales_Data3[[#This Row],[Profit]]/Sales_Data3[[#This Row],[Sales]]</f>
        <v>0.75</v>
      </c>
      <c r="N476" t="str">
        <f t="shared" si="15"/>
        <v>Low</v>
      </c>
      <c r="O476" s="2">
        <v>44316</v>
      </c>
      <c r="P476" s="9">
        <v>4000</v>
      </c>
    </row>
    <row r="477" spans="1:16" x14ac:dyDescent="0.25">
      <c r="A477" t="s">
        <v>498</v>
      </c>
      <c r="B477" s="2">
        <v>44317</v>
      </c>
      <c r="C477">
        <v>2021</v>
      </c>
      <c r="D477" t="str">
        <f t="shared" si="14"/>
        <v>May</v>
      </c>
      <c r="E477" t="s">
        <v>14</v>
      </c>
      <c r="F477" t="s">
        <v>2044</v>
      </c>
      <c r="G477" t="s">
        <v>22</v>
      </c>
      <c r="H477" t="s">
        <v>25</v>
      </c>
      <c r="I477">
        <v>2</v>
      </c>
      <c r="J477" s="9">
        <v>12900</v>
      </c>
      <c r="K477" s="7">
        <v>0.05</v>
      </c>
      <c r="L477" s="9">
        <v>12255</v>
      </c>
      <c r="M477" s="10">
        <f>Sales_Data3[[#This Row],[Profit]]/Sales_Data3[[#This Row],[Sales]]</f>
        <v>0.95</v>
      </c>
      <c r="N477" t="str">
        <f t="shared" si="15"/>
        <v>High</v>
      </c>
      <c r="O477" s="2">
        <v>44317</v>
      </c>
      <c r="P477" s="9">
        <v>12900</v>
      </c>
    </row>
    <row r="478" spans="1:16" x14ac:dyDescent="0.25">
      <c r="A478" t="s">
        <v>499</v>
      </c>
      <c r="B478" s="2">
        <v>44318</v>
      </c>
      <c r="C478">
        <v>2021</v>
      </c>
      <c r="D478" t="str">
        <f t="shared" si="14"/>
        <v>May</v>
      </c>
      <c r="E478" t="s">
        <v>14</v>
      </c>
      <c r="F478" t="s">
        <v>2045</v>
      </c>
      <c r="G478" t="s">
        <v>19</v>
      </c>
      <c r="H478" t="s">
        <v>25</v>
      </c>
      <c r="I478">
        <v>6</v>
      </c>
      <c r="J478" s="9">
        <v>9200</v>
      </c>
      <c r="K478" s="7">
        <v>0.1</v>
      </c>
      <c r="L478" s="9">
        <v>8280</v>
      </c>
      <c r="M478" s="10">
        <f>Sales_Data3[[#This Row],[Profit]]/Sales_Data3[[#This Row],[Sales]]</f>
        <v>0.9</v>
      </c>
      <c r="N478" t="str">
        <f t="shared" si="15"/>
        <v>Medium</v>
      </c>
      <c r="O478" s="2">
        <v>44318</v>
      </c>
      <c r="P478" s="9">
        <v>9200</v>
      </c>
    </row>
    <row r="479" spans="1:16" x14ac:dyDescent="0.25">
      <c r="A479" t="s">
        <v>500</v>
      </c>
      <c r="B479" s="2">
        <v>44319</v>
      </c>
      <c r="C479">
        <v>2021</v>
      </c>
      <c r="D479" t="str">
        <f t="shared" si="14"/>
        <v>May</v>
      </c>
      <c r="E479" t="s">
        <v>14</v>
      </c>
      <c r="F479" t="s">
        <v>2046</v>
      </c>
      <c r="G479" t="s">
        <v>20</v>
      </c>
      <c r="H479" t="s">
        <v>25</v>
      </c>
      <c r="I479">
        <v>5</v>
      </c>
      <c r="J479" s="9">
        <v>12300</v>
      </c>
      <c r="K479" s="7">
        <v>0.15000000000000002</v>
      </c>
      <c r="L479" s="9">
        <v>10455</v>
      </c>
      <c r="M479" s="10">
        <f>Sales_Data3[[#This Row],[Profit]]/Sales_Data3[[#This Row],[Sales]]</f>
        <v>0.85</v>
      </c>
      <c r="N479" t="str">
        <f t="shared" si="15"/>
        <v>High</v>
      </c>
      <c r="O479" s="2">
        <v>44319</v>
      </c>
      <c r="P479" s="9">
        <v>12300</v>
      </c>
    </row>
    <row r="480" spans="1:16" x14ac:dyDescent="0.25">
      <c r="A480" t="s">
        <v>501</v>
      </c>
      <c r="B480" s="2">
        <v>44320</v>
      </c>
      <c r="C480">
        <v>2021</v>
      </c>
      <c r="D480" t="str">
        <f t="shared" si="14"/>
        <v>May</v>
      </c>
      <c r="E480" t="s">
        <v>14</v>
      </c>
      <c r="F480" t="s">
        <v>2047</v>
      </c>
      <c r="G480" t="s">
        <v>21</v>
      </c>
      <c r="H480" t="s">
        <v>25</v>
      </c>
      <c r="I480">
        <v>9</v>
      </c>
      <c r="J480" s="9">
        <v>4100</v>
      </c>
      <c r="K480" s="7">
        <v>0.2</v>
      </c>
      <c r="L480" s="9">
        <v>3280</v>
      </c>
      <c r="M480" s="10">
        <f>Sales_Data3[[#This Row],[Profit]]/Sales_Data3[[#This Row],[Sales]]</f>
        <v>0.8</v>
      </c>
      <c r="N480" t="str">
        <f t="shared" si="15"/>
        <v>Low</v>
      </c>
      <c r="O480" s="2">
        <v>44320</v>
      </c>
      <c r="P480" s="9">
        <v>4100</v>
      </c>
    </row>
    <row r="481" spans="1:16" x14ac:dyDescent="0.25">
      <c r="A481" t="s">
        <v>502</v>
      </c>
      <c r="B481" s="2">
        <v>44321</v>
      </c>
      <c r="C481">
        <v>2021</v>
      </c>
      <c r="D481" t="str">
        <f t="shared" si="14"/>
        <v>May</v>
      </c>
      <c r="E481" t="s">
        <v>14</v>
      </c>
      <c r="F481" t="s">
        <v>2048</v>
      </c>
      <c r="G481" t="s">
        <v>22</v>
      </c>
      <c r="H481" t="s">
        <v>25</v>
      </c>
      <c r="I481">
        <v>3</v>
      </c>
      <c r="J481" s="9">
        <v>10600</v>
      </c>
      <c r="K481" s="7">
        <v>0.25</v>
      </c>
      <c r="L481" s="9">
        <v>7950</v>
      </c>
      <c r="M481" s="10">
        <f>Sales_Data3[[#This Row],[Profit]]/Sales_Data3[[#This Row],[Sales]]</f>
        <v>0.75</v>
      </c>
      <c r="N481" t="str">
        <f t="shared" si="15"/>
        <v>High</v>
      </c>
      <c r="O481" s="2">
        <v>44321</v>
      </c>
      <c r="P481" s="9">
        <v>10600</v>
      </c>
    </row>
    <row r="482" spans="1:16" x14ac:dyDescent="0.25">
      <c r="A482" t="s">
        <v>503</v>
      </c>
      <c r="B482" s="2">
        <v>44322</v>
      </c>
      <c r="C482">
        <v>2021</v>
      </c>
      <c r="D482" t="str">
        <f t="shared" si="14"/>
        <v>May</v>
      </c>
      <c r="E482" t="s">
        <v>12</v>
      </c>
      <c r="F482" t="s">
        <v>15</v>
      </c>
      <c r="G482" t="s">
        <v>19</v>
      </c>
      <c r="H482" t="s">
        <v>23</v>
      </c>
      <c r="I482">
        <v>7</v>
      </c>
      <c r="J482" s="9">
        <v>9600</v>
      </c>
      <c r="K482" s="7">
        <v>0.05</v>
      </c>
      <c r="L482" s="9">
        <v>9120</v>
      </c>
      <c r="M482" s="10">
        <f>Sales_Data3[[#This Row],[Profit]]/Sales_Data3[[#This Row],[Sales]]</f>
        <v>0.95</v>
      </c>
      <c r="N482" t="str">
        <f t="shared" si="15"/>
        <v>Medium</v>
      </c>
      <c r="O482" s="2">
        <v>44322</v>
      </c>
      <c r="P482" s="9">
        <v>9600</v>
      </c>
    </row>
    <row r="483" spans="1:16" x14ac:dyDescent="0.25">
      <c r="A483" t="s">
        <v>504</v>
      </c>
      <c r="B483" s="2">
        <v>44323</v>
      </c>
      <c r="C483">
        <v>2021</v>
      </c>
      <c r="D483" t="str">
        <f t="shared" si="14"/>
        <v>May</v>
      </c>
      <c r="E483" t="s">
        <v>12</v>
      </c>
      <c r="F483" t="s">
        <v>17</v>
      </c>
      <c r="G483" t="s">
        <v>20</v>
      </c>
      <c r="H483" t="s">
        <v>23</v>
      </c>
      <c r="I483">
        <v>2</v>
      </c>
      <c r="J483" s="9">
        <v>13100</v>
      </c>
      <c r="K483" s="7">
        <v>0.1</v>
      </c>
      <c r="L483" s="9">
        <v>11790</v>
      </c>
      <c r="M483" s="10">
        <f>Sales_Data3[[#This Row],[Profit]]/Sales_Data3[[#This Row],[Sales]]</f>
        <v>0.9</v>
      </c>
      <c r="N483" t="str">
        <f t="shared" si="15"/>
        <v>High</v>
      </c>
      <c r="O483" s="2">
        <v>44323</v>
      </c>
      <c r="P483" s="9">
        <v>13100</v>
      </c>
    </row>
    <row r="484" spans="1:16" x14ac:dyDescent="0.25">
      <c r="A484" t="s">
        <v>505</v>
      </c>
      <c r="B484" s="2">
        <v>44324</v>
      </c>
      <c r="C484">
        <v>2021</v>
      </c>
      <c r="D484" t="str">
        <f t="shared" si="14"/>
        <v>May</v>
      </c>
      <c r="E484" t="s">
        <v>12</v>
      </c>
      <c r="F484" t="s">
        <v>2023</v>
      </c>
      <c r="G484" t="s">
        <v>21</v>
      </c>
      <c r="H484" t="s">
        <v>23</v>
      </c>
      <c r="I484">
        <v>9</v>
      </c>
      <c r="J484" s="9">
        <v>12500</v>
      </c>
      <c r="K484" s="7">
        <v>0.15000000000000002</v>
      </c>
      <c r="L484" s="9">
        <v>10625</v>
      </c>
      <c r="M484" s="10">
        <f>Sales_Data3[[#This Row],[Profit]]/Sales_Data3[[#This Row],[Sales]]</f>
        <v>0.85</v>
      </c>
      <c r="N484" t="str">
        <f t="shared" si="15"/>
        <v>High</v>
      </c>
      <c r="O484" s="2">
        <v>44324</v>
      </c>
      <c r="P484" s="9">
        <v>12500</v>
      </c>
    </row>
    <row r="485" spans="1:16" x14ac:dyDescent="0.25">
      <c r="A485" t="s">
        <v>506</v>
      </c>
      <c r="B485" s="2">
        <v>44325</v>
      </c>
      <c r="C485">
        <v>2021</v>
      </c>
      <c r="D485" t="str">
        <f t="shared" si="14"/>
        <v>May</v>
      </c>
      <c r="E485" t="s">
        <v>12</v>
      </c>
      <c r="F485" t="s">
        <v>18</v>
      </c>
      <c r="G485" t="s">
        <v>22</v>
      </c>
      <c r="H485" t="s">
        <v>23</v>
      </c>
      <c r="I485">
        <v>7</v>
      </c>
      <c r="J485" s="9">
        <v>9300</v>
      </c>
      <c r="K485" s="7">
        <v>0.2</v>
      </c>
      <c r="L485" s="9">
        <v>7440</v>
      </c>
      <c r="M485" s="10">
        <f>Sales_Data3[[#This Row],[Profit]]/Sales_Data3[[#This Row],[Sales]]</f>
        <v>0.8</v>
      </c>
      <c r="N485" t="str">
        <f t="shared" si="15"/>
        <v>Medium</v>
      </c>
      <c r="O485" s="2">
        <v>44325</v>
      </c>
      <c r="P485" s="9">
        <v>9300</v>
      </c>
    </row>
    <row r="486" spans="1:16" x14ac:dyDescent="0.25">
      <c r="A486" t="s">
        <v>507</v>
      </c>
      <c r="B486" s="2">
        <v>44326</v>
      </c>
      <c r="C486">
        <v>2021</v>
      </c>
      <c r="D486" t="str">
        <f t="shared" si="14"/>
        <v>May</v>
      </c>
      <c r="E486" t="s">
        <v>12</v>
      </c>
      <c r="F486" t="s">
        <v>2024</v>
      </c>
      <c r="G486" t="s">
        <v>19</v>
      </c>
      <c r="H486" t="s">
        <v>23</v>
      </c>
      <c r="I486">
        <v>9</v>
      </c>
      <c r="J486" s="9">
        <v>11100</v>
      </c>
      <c r="K486" s="7">
        <v>0.25</v>
      </c>
      <c r="L486" s="9">
        <v>8325</v>
      </c>
      <c r="M486" s="10">
        <f>Sales_Data3[[#This Row],[Profit]]/Sales_Data3[[#This Row],[Sales]]</f>
        <v>0.75</v>
      </c>
      <c r="N486" t="str">
        <f t="shared" si="15"/>
        <v>High</v>
      </c>
      <c r="O486" s="2">
        <v>44326</v>
      </c>
      <c r="P486" s="9">
        <v>11100</v>
      </c>
    </row>
    <row r="487" spans="1:16" x14ac:dyDescent="0.25">
      <c r="A487" t="s">
        <v>508</v>
      </c>
      <c r="B487" s="2">
        <v>44327</v>
      </c>
      <c r="C487">
        <v>2021</v>
      </c>
      <c r="D487" t="str">
        <f t="shared" si="14"/>
        <v>May</v>
      </c>
      <c r="E487" t="s">
        <v>12</v>
      </c>
      <c r="F487" t="s">
        <v>2025</v>
      </c>
      <c r="G487" t="s">
        <v>20</v>
      </c>
      <c r="H487" t="s">
        <v>23</v>
      </c>
      <c r="I487">
        <v>9</v>
      </c>
      <c r="J487" s="9">
        <v>10600</v>
      </c>
      <c r="K487" s="7">
        <v>0.05</v>
      </c>
      <c r="L487" s="9">
        <v>10070</v>
      </c>
      <c r="M487" s="10">
        <f>Sales_Data3[[#This Row],[Profit]]/Sales_Data3[[#This Row],[Sales]]</f>
        <v>0.95</v>
      </c>
      <c r="N487" t="str">
        <f t="shared" si="15"/>
        <v>High</v>
      </c>
      <c r="O487" s="2">
        <v>44327</v>
      </c>
      <c r="P487" s="9">
        <v>10600</v>
      </c>
    </row>
    <row r="488" spans="1:16" x14ac:dyDescent="0.25">
      <c r="A488" t="s">
        <v>509</v>
      </c>
      <c r="B488" s="2">
        <v>44328</v>
      </c>
      <c r="C488">
        <v>2021</v>
      </c>
      <c r="D488" t="str">
        <f t="shared" si="14"/>
        <v>May</v>
      </c>
      <c r="E488" t="s">
        <v>12</v>
      </c>
      <c r="F488" t="s">
        <v>2026</v>
      </c>
      <c r="G488" t="s">
        <v>21</v>
      </c>
      <c r="H488" t="s">
        <v>23</v>
      </c>
      <c r="I488">
        <v>10</v>
      </c>
      <c r="J488" s="9">
        <v>10600</v>
      </c>
      <c r="K488" s="7">
        <v>0.1</v>
      </c>
      <c r="L488" s="9">
        <v>9540</v>
      </c>
      <c r="M488" s="10">
        <f>Sales_Data3[[#This Row],[Profit]]/Sales_Data3[[#This Row],[Sales]]</f>
        <v>0.9</v>
      </c>
      <c r="N488" t="str">
        <f t="shared" si="15"/>
        <v>High</v>
      </c>
      <c r="O488" s="2">
        <v>44328</v>
      </c>
      <c r="P488" s="9">
        <v>10600</v>
      </c>
    </row>
    <row r="489" spans="1:16" x14ac:dyDescent="0.25">
      <c r="A489" t="s">
        <v>510</v>
      </c>
      <c r="B489" s="2">
        <v>44329</v>
      </c>
      <c r="C489">
        <v>2021</v>
      </c>
      <c r="D489" t="str">
        <f t="shared" si="14"/>
        <v>May</v>
      </c>
      <c r="E489" t="s">
        <v>12</v>
      </c>
      <c r="F489" t="s">
        <v>2027</v>
      </c>
      <c r="G489" t="s">
        <v>22</v>
      </c>
      <c r="H489" t="s">
        <v>23</v>
      </c>
      <c r="I489">
        <v>7</v>
      </c>
      <c r="J489" s="9">
        <v>11800</v>
      </c>
      <c r="K489" s="7">
        <v>0.15000000000000002</v>
      </c>
      <c r="L489" s="9">
        <v>10030</v>
      </c>
      <c r="M489" s="10">
        <f>Sales_Data3[[#This Row],[Profit]]/Sales_Data3[[#This Row],[Sales]]</f>
        <v>0.85</v>
      </c>
      <c r="N489" t="str">
        <f t="shared" si="15"/>
        <v>High</v>
      </c>
      <c r="O489" s="2">
        <v>44329</v>
      </c>
      <c r="P489" s="9">
        <v>11800</v>
      </c>
    </row>
    <row r="490" spans="1:16" x14ac:dyDescent="0.25">
      <c r="A490" t="s">
        <v>511</v>
      </c>
      <c r="B490" s="2">
        <v>44330</v>
      </c>
      <c r="C490">
        <v>2021</v>
      </c>
      <c r="D490" t="str">
        <f t="shared" si="14"/>
        <v>May</v>
      </c>
      <c r="E490" t="s">
        <v>12</v>
      </c>
      <c r="F490" t="s">
        <v>2028</v>
      </c>
      <c r="G490" t="s">
        <v>19</v>
      </c>
      <c r="H490" t="s">
        <v>23</v>
      </c>
      <c r="I490">
        <v>4</v>
      </c>
      <c r="J490" s="9">
        <v>5100</v>
      </c>
      <c r="K490" s="7">
        <v>0.2</v>
      </c>
      <c r="L490" s="9">
        <v>4080</v>
      </c>
      <c r="M490" s="10">
        <f>Sales_Data3[[#This Row],[Profit]]/Sales_Data3[[#This Row],[Sales]]</f>
        <v>0.8</v>
      </c>
      <c r="N490" t="str">
        <f t="shared" si="15"/>
        <v>Medium</v>
      </c>
      <c r="O490" s="2">
        <v>44330</v>
      </c>
      <c r="P490" s="9">
        <v>5100</v>
      </c>
    </row>
    <row r="491" spans="1:16" x14ac:dyDescent="0.25">
      <c r="A491" t="s">
        <v>512</v>
      </c>
      <c r="B491" s="2">
        <v>44331</v>
      </c>
      <c r="C491">
        <v>2021</v>
      </c>
      <c r="D491" t="str">
        <f t="shared" si="14"/>
        <v>May</v>
      </c>
      <c r="E491" t="s">
        <v>12</v>
      </c>
      <c r="F491" t="s">
        <v>2029</v>
      </c>
      <c r="G491" t="s">
        <v>20</v>
      </c>
      <c r="H491" t="s">
        <v>23</v>
      </c>
      <c r="I491">
        <v>7</v>
      </c>
      <c r="J491" s="9">
        <v>11300</v>
      </c>
      <c r="K491" s="7">
        <v>0.25</v>
      </c>
      <c r="L491" s="9">
        <v>8475</v>
      </c>
      <c r="M491" s="10">
        <f>Sales_Data3[[#This Row],[Profit]]/Sales_Data3[[#This Row],[Sales]]</f>
        <v>0.75</v>
      </c>
      <c r="N491" t="str">
        <f t="shared" si="15"/>
        <v>High</v>
      </c>
      <c r="O491" s="2">
        <v>44331</v>
      </c>
      <c r="P491" s="9">
        <v>11300</v>
      </c>
    </row>
    <row r="492" spans="1:16" x14ac:dyDescent="0.25">
      <c r="A492" t="s">
        <v>513</v>
      </c>
      <c r="B492" s="2">
        <v>44332</v>
      </c>
      <c r="C492">
        <v>2021</v>
      </c>
      <c r="D492" t="str">
        <f t="shared" si="14"/>
        <v>May</v>
      </c>
      <c r="E492" t="s">
        <v>13</v>
      </c>
      <c r="F492" t="s">
        <v>16</v>
      </c>
      <c r="G492" t="s">
        <v>21</v>
      </c>
      <c r="H492" t="s">
        <v>24</v>
      </c>
      <c r="I492">
        <v>10</v>
      </c>
      <c r="J492" s="9">
        <v>13500</v>
      </c>
      <c r="K492" s="7">
        <v>0.05</v>
      </c>
      <c r="L492" s="9">
        <v>12825</v>
      </c>
      <c r="M492" s="10">
        <f>Sales_Data3[[#This Row],[Profit]]/Sales_Data3[[#This Row],[Sales]]</f>
        <v>0.95</v>
      </c>
      <c r="N492" t="str">
        <f t="shared" si="15"/>
        <v>High</v>
      </c>
      <c r="O492" s="2">
        <v>44332</v>
      </c>
      <c r="P492" s="9">
        <v>13500</v>
      </c>
    </row>
    <row r="493" spans="1:16" x14ac:dyDescent="0.25">
      <c r="A493" t="s">
        <v>514</v>
      </c>
      <c r="B493" s="2">
        <v>44333</v>
      </c>
      <c r="C493">
        <v>2021</v>
      </c>
      <c r="D493" t="str">
        <f t="shared" si="14"/>
        <v>May</v>
      </c>
      <c r="E493" t="s">
        <v>13</v>
      </c>
      <c r="F493" t="s">
        <v>2030</v>
      </c>
      <c r="G493" t="s">
        <v>22</v>
      </c>
      <c r="H493" t="s">
        <v>24</v>
      </c>
      <c r="I493">
        <v>10</v>
      </c>
      <c r="J493" s="9">
        <v>12600</v>
      </c>
      <c r="K493" s="7">
        <v>0.1</v>
      </c>
      <c r="L493" s="9">
        <v>11340</v>
      </c>
      <c r="M493" s="10">
        <f>Sales_Data3[[#This Row],[Profit]]/Sales_Data3[[#This Row],[Sales]]</f>
        <v>0.9</v>
      </c>
      <c r="N493" t="str">
        <f t="shared" si="15"/>
        <v>High</v>
      </c>
      <c r="O493" s="2">
        <v>44333</v>
      </c>
      <c r="P493" s="9">
        <v>12600</v>
      </c>
    </row>
    <row r="494" spans="1:16" x14ac:dyDescent="0.25">
      <c r="A494" t="s">
        <v>515</v>
      </c>
      <c r="B494" s="2">
        <v>44334</v>
      </c>
      <c r="C494">
        <v>2021</v>
      </c>
      <c r="D494" t="str">
        <f t="shared" si="14"/>
        <v>May</v>
      </c>
      <c r="E494" t="s">
        <v>13</v>
      </c>
      <c r="F494" t="s">
        <v>2031</v>
      </c>
      <c r="G494" t="s">
        <v>19</v>
      </c>
      <c r="H494" t="s">
        <v>24</v>
      </c>
      <c r="I494">
        <v>7</v>
      </c>
      <c r="J494" s="9">
        <v>9100</v>
      </c>
      <c r="K494" s="7">
        <v>0.15000000000000002</v>
      </c>
      <c r="L494" s="9">
        <v>7735</v>
      </c>
      <c r="M494" s="10">
        <f>Sales_Data3[[#This Row],[Profit]]/Sales_Data3[[#This Row],[Sales]]</f>
        <v>0.85</v>
      </c>
      <c r="N494" t="str">
        <f t="shared" si="15"/>
        <v>Medium</v>
      </c>
      <c r="O494" s="2">
        <v>44334</v>
      </c>
      <c r="P494" s="9">
        <v>9100</v>
      </c>
    </row>
    <row r="495" spans="1:16" x14ac:dyDescent="0.25">
      <c r="A495" t="s">
        <v>516</v>
      </c>
      <c r="B495" s="2">
        <v>44335</v>
      </c>
      <c r="C495">
        <v>2021</v>
      </c>
      <c r="D495" t="str">
        <f t="shared" si="14"/>
        <v>May</v>
      </c>
      <c r="E495" t="s">
        <v>13</v>
      </c>
      <c r="F495" t="s">
        <v>2032</v>
      </c>
      <c r="G495" t="s">
        <v>20</v>
      </c>
      <c r="H495" t="s">
        <v>24</v>
      </c>
      <c r="I495">
        <v>10</v>
      </c>
      <c r="J495" s="9">
        <v>4500</v>
      </c>
      <c r="K495" s="7">
        <v>0.2</v>
      </c>
      <c r="L495" s="9">
        <v>3600</v>
      </c>
      <c r="M495" s="10">
        <f>Sales_Data3[[#This Row],[Profit]]/Sales_Data3[[#This Row],[Sales]]</f>
        <v>0.8</v>
      </c>
      <c r="N495" t="str">
        <f t="shared" si="15"/>
        <v>Low</v>
      </c>
      <c r="O495" s="2">
        <v>44335</v>
      </c>
      <c r="P495" s="9">
        <v>4500</v>
      </c>
    </row>
    <row r="496" spans="1:16" x14ac:dyDescent="0.25">
      <c r="A496" t="s">
        <v>517</v>
      </c>
      <c r="B496" s="2">
        <v>44336</v>
      </c>
      <c r="C496">
        <v>2021</v>
      </c>
      <c r="D496" t="str">
        <f t="shared" si="14"/>
        <v>May</v>
      </c>
      <c r="E496" t="s">
        <v>13</v>
      </c>
      <c r="F496" t="s">
        <v>2033</v>
      </c>
      <c r="G496" t="s">
        <v>21</v>
      </c>
      <c r="H496" t="s">
        <v>24</v>
      </c>
      <c r="I496">
        <v>9</v>
      </c>
      <c r="J496" s="9">
        <v>13900</v>
      </c>
      <c r="K496" s="7">
        <v>0.25</v>
      </c>
      <c r="L496" s="9">
        <v>10425</v>
      </c>
      <c r="M496" s="10">
        <f>Sales_Data3[[#This Row],[Profit]]/Sales_Data3[[#This Row],[Sales]]</f>
        <v>0.75</v>
      </c>
      <c r="N496" t="str">
        <f t="shared" si="15"/>
        <v>High</v>
      </c>
      <c r="O496" s="2">
        <v>44336</v>
      </c>
      <c r="P496" s="9">
        <v>13900</v>
      </c>
    </row>
    <row r="497" spans="1:16" x14ac:dyDescent="0.25">
      <c r="A497" t="s">
        <v>518</v>
      </c>
      <c r="B497" s="2">
        <v>44337</v>
      </c>
      <c r="C497">
        <v>2021</v>
      </c>
      <c r="D497" t="str">
        <f t="shared" si="14"/>
        <v>May</v>
      </c>
      <c r="E497" t="s">
        <v>13</v>
      </c>
      <c r="F497" t="s">
        <v>2034</v>
      </c>
      <c r="G497" t="s">
        <v>22</v>
      </c>
      <c r="H497" t="s">
        <v>24</v>
      </c>
      <c r="I497">
        <v>8</v>
      </c>
      <c r="J497" s="9">
        <v>10700</v>
      </c>
      <c r="K497" s="7">
        <v>0.05</v>
      </c>
      <c r="L497" s="9">
        <v>10165</v>
      </c>
      <c r="M497" s="10">
        <f>Sales_Data3[[#This Row],[Profit]]/Sales_Data3[[#This Row],[Sales]]</f>
        <v>0.95</v>
      </c>
      <c r="N497" t="str">
        <f t="shared" si="15"/>
        <v>High</v>
      </c>
      <c r="O497" s="2">
        <v>44337</v>
      </c>
      <c r="P497" s="9">
        <v>10700</v>
      </c>
    </row>
    <row r="498" spans="1:16" x14ac:dyDescent="0.25">
      <c r="A498" t="s">
        <v>519</v>
      </c>
      <c r="B498" s="2">
        <v>44338</v>
      </c>
      <c r="C498">
        <v>2021</v>
      </c>
      <c r="D498" t="str">
        <f t="shared" si="14"/>
        <v>May</v>
      </c>
      <c r="E498" t="s">
        <v>13</v>
      </c>
      <c r="F498" t="s">
        <v>2035</v>
      </c>
      <c r="G498" t="s">
        <v>19</v>
      </c>
      <c r="H498" t="s">
        <v>24</v>
      </c>
      <c r="I498">
        <v>9</v>
      </c>
      <c r="J498" s="9">
        <v>4000</v>
      </c>
      <c r="K498" s="7">
        <v>0.1</v>
      </c>
      <c r="L498" s="9">
        <v>3600</v>
      </c>
      <c r="M498" s="10">
        <f>Sales_Data3[[#This Row],[Profit]]/Sales_Data3[[#This Row],[Sales]]</f>
        <v>0.9</v>
      </c>
      <c r="N498" t="str">
        <f t="shared" si="15"/>
        <v>Low</v>
      </c>
      <c r="O498" s="2">
        <v>44338</v>
      </c>
      <c r="P498" s="9">
        <v>4000</v>
      </c>
    </row>
    <row r="499" spans="1:16" x14ac:dyDescent="0.25">
      <c r="A499" t="s">
        <v>520</v>
      </c>
      <c r="B499" s="2">
        <v>44339</v>
      </c>
      <c r="C499">
        <v>2021</v>
      </c>
      <c r="D499" t="str">
        <f t="shared" si="14"/>
        <v>May</v>
      </c>
      <c r="E499" t="s">
        <v>13</v>
      </c>
      <c r="F499" t="s">
        <v>2036</v>
      </c>
      <c r="G499" t="s">
        <v>20</v>
      </c>
      <c r="H499" t="s">
        <v>24</v>
      </c>
      <c r="I499">
        <v>8</v>
      </c>
      <c r="J499" s="9">
        <v>9900</v>
      </c>
      <c r="K499" s="7">
        <v>0.15000000000000002</v>
      </c>
      <c r="L499" s="9">
        <v>8415</v>
      </c>
      <c r="M499" s="10">
        <f>Sales_Data3[[#This Row],[Profit]]/Sales_Data3[[#This Row],[Sales]]</f>
        <v>0.85</v>
      </c>
      <c r="N499" t="str">
        <f t="shared" si="15"/>
        <v>Medium</v>
      </c>
      <c r="O499" s="2">
        <v>44339</v>
      </c>
      <c r="P499" s="9">
        <v>9900</v>
      </c>
    </row>
    <row r="500" spans="1:16" x14ac:dyDescent="0.25">
      <c r="A500" t="s">
        <v>521</v>
      </c>
      <c r="B500" s="2">
        <v>44340</v>
      </c>
      <c r="C500">
        <v>2021</v>
      </c>
      <c r="D500" t="str">
        <f t="shared" si="14"/>
        <v>May</v>
      </c>
      <c r="E500" t="s">
        <v>13</v>
      </c>
      <c r="F500" t="s">
        <v>2037</v>
      </c>
      <c r="G500" t="s">
        <v>21</v>
      </c>
      <c r="H500" t="s">
        <v>24</v>
      </c>
      <c r="I500">
        <v>9</v>
      </c>
      <c r="J500" s="9">
        <v>14900</v>
      </c>
      <c r="K500" s="7">
        <v>0.2</v>
      </c>
      <c r="L500" s="9">
        <v>11920</v>
      </c>
      <c r="M500" s="10">
        <f>Sales_Data3[[#This Row],[Profit]]/Sales_Data3[[#This Row],[Sales]]</f>
        <v>0.8</v>
      </c>
      <c r="N500" t="str">
        <f t="shared" si="15"/>
        <v>High</v>
      </c>
      <c r="O500" s="2">
        <v>44340</v>
      </c>
      <c r="P500" s="9">
        <v>14900</v>
      </c>
    </row>
    <row r="501" spans="1:16" x14ac:dyDescent="0.25">
      <c r="A501" t="s">
        <v>522</v>
      </c>
      <c r="B501" s="2">
        <v>44341</v>
      </c>
      <c r="C501">
        <v>2021</v>
      </c>
      <c r="D501" t="str">
        <f t="shared" si="14"/>
        <v>May</v>
      </c>
      <c r="E501" t="s">
        <v>13</v>
      </c>
      <c r="F501" t="s">
        <v>2038</v>
      </c>
      <c r="G501" t="s">
        <v>22</v>
      </c>
      <c r="H501" t="s">
        <v>24</v>
      </c>
      <c r="I501">
        <v>5</v>
      </c>
      <c r="J501" s="9">
        <v>5000</v>
      </c>
      <c r="K501" s="7">
        <v>0.25</v>
      </c>
      <c r="L501" s="9">
        <v>3750</v>
      </c>
      <c r="M501" s="10">
        <f>Sales_Data3[[#This Row],[Profit]]/Sales_Data3[[#This Row],[Sales]]</f>
        <v>0.75</v>
      </c>
      <c r="N501" t="str">
        <f t="shared" si="15"/>
        <v>Low</v>
      </c>
      <c r="O501" s="2">
        <v>44341</v>
      </c>
      <c r="P501" s="9">
        <v>5000</v>
      </c>
    </row>
    <row r="502" spans="1:16" x14ac:dyDescent="0.25">
      <c r="A502" t="s">
        <v>523</v>
      </c>
      <c r="B502" s="2">
        <v>44342</v>
      </c>
      <c r="C502">
        <v>2021</v>
      </c>
      <c r="D502" t="str">
        <f t="shared" si="14"/>
        <v>May</v>
      </c>
      <c r="E502" t="s">
        <v>14</v>
      </c>
      <c r="F502" t="s">
        <v>2039</v>
      </c>
      <c r="G502" t="s">
        <v>19</v>
      </c>
      <c r="H502" t="s">
        <v>25</v>
      </c>
      <c r="I502">
        <v>5</v>
      </c>
      <c r="J502" s="9">
        <v>14900</v>
      </c>
      <c r="K502" s="7">
        <v>0.05</v>
      </c>
      <c r="L502" s="9">
        <v>14155</v>
      </c>
      <c r="M502" s="10">
        <f>Sales_Data3[[#This Row],[Profit]]/Sales_Data3[[#This Row],[Sales]]</f>
        <v>0.95</v>
      </c>
      <c r="N502" t="str">
        <f t="shared" si="15"/>
        <v>High</v>
      </c>
      <c r="O502" s="2">
        <v>44342</v>
      </c>
      <c r="P502" s="9">
        <v>14900</v>
      </c>
    </row>
    <row r="503" spans="1:16" x14ac:dyDescent="0.25">
      <c r="A503" t="s">
        <v>524</v>
      </c>
      <c r="B503" s="2">
        <v>44343</v>
      </c>
      <c r="C503">
        <v>2021</v>
      </c>
      <c r="D503" t="str">
        <f t="shared" si="14"/>
        <v>May</v>
      </c>
      <c r="E503" t="s">
        <v>14</v>
      </c>
      <c r="F503" t="s">
        <v>2040</v>
      </c>
      <c r="G503" t="s">
        <v>20</v>
      </c>
      <c r="H503" t="s">
        <v>25</v>
      </c>
      <c r="I503">
        <v>9</v>
      </c>
      <c r="J503" s="9">
        <v>5400</v>
      </c>
      <c r="K503" s="7">
        <v>0.1</v>
      </c>
      <c r="L503" s="9">
        <v>4860</v>
      </c>
      <c r="M503" s="10">
        <f>Sales_Data3[[#This Row],[Profit]]/Sales_Data3[[#This Row],[Sales]]</f>
        <v>0.9</v>
      </c>
      <c r="N503" t="str">
        <f t="shared" si="15"/>
        <v>Medium</v>
      </c>
      <c r="O503" s="2">
        <v>44343</v>
      </c>
      <c r="P503" s="9">
        <v>5400</v>
      </c>
    </row>
    <row r="504" spans="1:16" x14ac:dyDescent="0.25">
      <c r="A504" t="s">
        <v>525</v>
      </c>
      <c r="B504" s="2">
        <v>44344</v>
      </c>
      <c r="C504">
        <v>2021</v>
      </c>
      <c r="D504" t="str">
        <f t="shared" si="14"/>
        <v>May</v>
      </c>
      <c r="E504" t="s">
        <v>14</v>
      </c>
      <c r="F504" t="s">
        <v>2041</v>
      </c>
      <c r="G504" t="s">
        <v>21</v>
      </c>
      <c r="H504" t="s">
        <v>25</v>
      </c>
      <c r="I504">
        <v>2</v>
      </c>
      <c r="J504" s="9">
        <v>12000</v>
      </c>
      <c r="K504" s="7">
        <v>0.15000000000000002</v>
      </c>
      <c r="L504" s="9">
        <v>10200</v>
      </c>
      <c r="M504" s="10">
        <f>Sales_Data3[[#This Row],[Profit]]/Sales_Data3[[#This Row],[Sales]]</f>
        <v>0.85</v>
      </c>
      <c r="N504" t="str">
        <f t="shared" si="15"/>
        <v>High</v>
      </c>
      <c r="O504" s="2">
        <v>44344</v>
      </c>
      <c r="P504" s="9">
        <v>12000</v>
      </c>
    </row>
    <row r="505" spans="1:16" x14ac:dyDescent="0.25">
      <c r="A505" t="s">
        <v>526</v>
      </c>
      <c r="B505" s="2">
        <v>44345</v>
      </c>
      <c r="C505">
        <v>2021</v>
      </c>
      <c r="D505" t="str">
        <f t="shared" si="14"/>
        <v>May</v>
      </c>
      <c r="E505" t="s">
        <v>14</v>
      </c>
      <c r="F505" t="s">
        <v>2042</v>
      </c>
      <c r="G505" t="s">
        <v>22</v>
      </c>
      <c r="H505" t="s">
        <v>25</v>
      </c>
      <c r="I505">
        <v>9</v>
      </c>
      <c r="J505" s="9">
        <v>6600</v>
      </c>
      <c r="K505" s="7">
        <v>0.2</v>
      </c>
      <c r="L505" s="9">
        <v>5280</v>
      </c>
      <c r="M505" s="10">
        <f>Sales_Data3[[#This Row],[Profit]]/Sales_Data3[[#This Row],[Sales]]</f>
        <v>0.8</v>
      </c>
      <c r="N505" t="str">
        <f t="shared" si="15"/>
        <v>Medium</v>
      </c>
      <c r="O505" s="2">
        <v>44345</v>
      </c>
      <c r="P505" s="9">
        <v>6600</v>
      </c>
    </row>
    <row r="506" spans="1:16" x14ac:dyDescent="0.25">
      <c r="A506" t="s">
        <v>527</v>
      </c>
      <c r="B506" s="2">
        <v>44346</v>
      </c>
      <c r="C506">
        <v>2021</v>
      </c>
      <c r="D506" t="str">
        <f t="shared" si="14"/>
        <v>May</v>
      </c>
      <c r="E506" t="s">
        <v>14</v>
      </c>
      <c r="F506" t="s">
        <v>2043</v>
      </c>
      <c r="G506" t="s">
        <v>19</v>
      </c>
      <c r="H506" t="s">
        <v>25</v>
      </c>
      <c r="I506">
        <v>2</v>
      </c>
      <c r="J506" s="9">
        <v>9100</v>
      </c>
      <c r="K506" s="7">
        <v>0.25</v>
      </c>
      <c r="L506" s="9">
        <v>6825</v>
      </c>
      <c r="M506" s="10">
        <f>Sales_Data3[[#This Row],[Profit]]/Sales_Data3[[#This Row],[Sales]]</f>
        <v>0.75</v>
      </c>
      <c r="N506" t="str">
        <f t="shared" si="15"/>
        <v>Medium</v>
      </c>
      <c r="O506" s="2">
        <v>44346</v>
      </c>
      <c r="P506" s="9">
        <v>9100</v>
      </c>
    </row>
    <row r="507" spans="1:16" x14ac:dyDescent="0.25">
      <c r="A507" t="s">
        <v>528</v>
      </c>
      <c r="B507" s="2">
        <v>44347</v>
      </c>
      <c r="C507">
        <v>2021</v>
      </c>
      <c r="D507" t="str">
        <f t="shared" si="14"/>
        <v>May</v>
      </c>
      <c r="E507" t="s">
        <v>14</v>
      </c>
      <c r="F507" t="s">
        <v>2044</v>
      </c>
      <c r="G507" t="s">
        <v>20</v>
      </c>
      <c r="H507" t="s">
        <v>25</v>
      </c>
      <c r="I507">
        <v>4</v>
      </c>
      <c r="J507" s="9">
        <v>5300</v>
      </c>
      <c r="K507" s="7">
        <v>0.05</v>
      </c>
      <c r="L507" s="9">
        <v>5035</v>
      </c>
      <c r="M507" s="10">
        <f>Sales_Data3[[#This Row],[Profit]]/Sales_Data3[[#This Row],[Sales]]</f>
        <v>0.95</v>
      </c>
      <c r="N507" t="str">
        <f t="shared" si="15"/>
        <v>Medium</v>
      </c>
      <c r="O507" s="2">
        <v>44347</v>
      </c>
      <c r="P507" s="9">
        <v>5300</v>
      </c>
    </row>
    <row r="508" spans="1:16" x14ac:dyDescent="0.25">
      <c r="A508" t="s">
        <v>529</v>
      </c>
      <c r="B508" s="2">
        <v>44348</v>
      </c>
      <c r="C508">
        <v>2021</v>
      </c>
      <c r="D508" t="str">
        <f t="shared" si="14"/>
        <v>Jun</v>
      </c>
      <c r="E508" t="s">
        <v>14</v>
      </c>
      <c r="F508" t="s">
        <v>2045</v>
      </c>
      <c r="G508" t="s">
        <v>21</v>
      </c>
      <c r="H508" t="s">
        <v>25</v>
      </c>
      <c r="I508">
        <v>3</v>
      </c>
      <c r="J508" s="9">
        <v>10800</v>
      </c>
      <c r="K508" s="7">
        <v>0.1</v>
      </c>
      <c r="L508" s="9">
        <v>9720</v>
      </c>
      <c r="M508" s="10">
        <f>Sales_Data3[[#This Row],[Profit]]/Sales_Data3[[#This Row],[Sales]]</f>
        <v>0.9</v>
      </c>
      <c r="N508" t="str">
        <f t="shared" si="15"/>
        <v>High</v>
      </c>
      <c r="O508" s="2">
        <v>44348</v>
      </c>
      <c r="P508" s="9">
        <v>10800</v>
      </c>
    </row>
    <row r="509" spans="1:16" x14ac:dyDescent="0.25">
      <c r="A509" t="s">
        <v>530</v>
      </c>
      <c r="B509" s="2">
        <v>44349</v>
      </c>
      <c r="C509">
        <v>2021</v>
      </c>
      <c r="D509" t="str">
        <f t="shared" si="14"/>
        <v>Jun</v>
      </c>
      <c r="E509" t="s">
        <v>14</v>
      </c>
      <c r="F509" t="s">
        <v>2046</v>
      </c>
      <c r="G509" t="s">
        <v>22</v>
      </c>
      <c r="H509" t="s">
        <v>25</v>
      </c>
      <c r="I509">
        <v>3</v>
      </c>
      <c r="J509" s="9">
        <v>11600</v>
      </c>
      <c r="K509" s="7">
        <v>0.15000000000000002</v>
      </c>
      <c r="L509" s="9">
        <v>9860</v>
      </c>
      <c r="M509" s="10">
        <f>Sales_Data3[[#This Row],[Profit]]/Sales_Data3[[#This Row],[Sales]]</f>
        <v>0.85</v>
      </c>
      <c r="N509" t="str">
        <f t="shared" si="15"/>
        <v>High</v>
      </c>
      <c r="O509" s="2">
        <v>44349</v>
      </c>
      <c r="P509" s="9">
        <v>11600</v>
      </c>
    </row>
    <row r="510" spans="1:16" x14ac:dyDescent="0.25">
      <c r="A510" t="s">
        <v>531</v>
      </c>
      <c r="B510" s="2">
        <v>44350</v>
      </c>
      <c r="C510">
        <v>2021</v>
      </c>
      <c r="D510" t="str">
        <f t="shared" si="14"/>
        <v>Jun</v>
      </c>
      <c r="E510" t="s">
        <v>14</v>
      </c>
      <c r="F510" t="s">
        <v>2047</v>
      </c>
      <c r="G510" t="s">
        <v>19</v>
      </c>
      <c r="H510" t="s">
        <v>25</v>
      </c>
      <c r="I510">
        <v>4</v>
      </c>
      <c r="J510" s="9">
        <v>11000</v>
      </c>
      <c r="K510" s="7">
        <v>0.2</v>
      </c>
      <c r="L510" s="9">
        <v>8800</v>
      </c>
      <c r="M510" s="10">
        <f>Sales_Data3[[#This Row],[Profit]]/Sales_Data3[[#This Row],[Sales]]</f>
        <v>0.8</v>
      </c>
      <c r="N510" t="str">
        <f t="shared" si="15"/>
        <v>High</v>
      </c>
      <c r="O510" s="2">
        <v>44350</v>
      </c>
      <c r="P510" s="9">
        <v>11000</v>
      </c>
    </row>
    <row r="511" spans="1:16" x14ac:dyDescent="0.25">
      <c r="A511" t="s">
        <v>532</v>
      </c>
      <c r="B511" s="2">
        <v>44351</v>
      </c>
      <c r="C511">
        <v>2021</v>
      </c>
      <c r="D511" t="str">
        <f t="shared" si="14"/>
        <v>Jun</v>
      </c>
      <c r="E511" t="s">
        <v>14</v>
      </c>
      <c r="F511" t="s">
        <v>2048</v>
      </c>
      <c r="G511" t="s">
        <v>20</v>
      </c>
      <c r="H511" t="s">
        <v>25</v>
      </c>
      <c r="I511">
        <v>10</v>
      </c>
      <c r="J511" s="9">
        <v>5900</v>
      </c>
      <c r="K511" s="7">
        <v>0.25</v>
      </c>
      <c r="L511" s="9">
        <v>4425</v>
      </c>
      <c r="M511" s="10">
        <f>Sales_Data3[[#This Row],[Profit]]/Sales_Data3[[#This Row],[Sales]]</f>
        <v>0.75</v>
      </c>
      <c r="N511" t="str">
        <f t="shared" si="15"/>
        <v>Medium</v>
      </c>
      <c r="O511" s="2">
        <v>44351</v>
      </c>
      <c r="P511" s="9">
        <v>5900</v>
      </c>
    </row>
    <row r="512" spans="1:16" x14ac:dyDescent="0.25">
      <c r="A512" t="s">
        <v>533</v>
      </c>
      <c r="B512" s="2">
        <v>44352</v>
      </c>
      <c r="C512">
        <v>2021</v>
      </c>
      <c r="D512" t="str">
        <f t="shared" si="14"/>
        <v>Jun</v>
      </c>
      <c r="E512" t="s">
        <v>12</v>
      </c>
      <c r="F512" t="s">
        <v>15</v>
      </c>
      <c r="G512" t="s">
        <v>21</v>
      </c>
      <c r="H512" t="s">
        <v>23</v>
      </c>
      <c r="I512">
        <v>1</v>
      </c>
      <c r="J512" s="9">
        <v>12000</v>
      </c>
      <c r="K512" s="7">
        <v>0.05</v>
      </c>
      <c r="L512" s="9">
        <v>11400</v>
      </c>
      <c r="M512" s="10">
        <f>Sales_Data3[[#This Row],[Profit]]/Sales_Data3[[#This Row],[Sales]]</f>
        <v>0.95</v>
      </c>
      <c r="N512" t="str">
        <f t="shared" si="15"/>
        <v>High</v>
      </c>
      <c r="O512" s="2">
        <v>44352</v>
      </c>
      <c r="P512" s="9">
        <v>12000</v>
      </c>
    </row>
    <row r="513" spans="1:16" x14ac:dyDescent="0.25">
      <c r="A513" t="s">
        <v>534</v>
      </c>
      <c r="B513" s="2">
        <v>44353</v>
      </c>
      <c r="C513">
        <v>2021</v>
      </c>
      <c r="D513" t="str">
        <f t="shared" si="14"/>
        <v>Jun</v>
      </c>
      <c r="E513" t="s">
        <v>12</v>
      </c>
      <c r="F513" t="s">
        <v>17</v>
      </c>
      <c r="G513" t="s">
        <v>22</v>
      </c>
      <c r="H513" t="s">
        <v>23</v>
      </c>
      <c r="I513">
        <v>8</v>
      </c>
      <c r="J513" s="9">
        <v>5300</v>
      </c>
      <c r="K513" s="7">
        <v>0.1</v>
      </c>
      <c r="L513" s="9">
        <v>4770</v>
      </c>
      <c r="M513" s="10">
        <f>Sales_Data3[[#This Row],[Profit]]/Sales_Data3[[#This Row],[Sales]]</f>
        <v>0.9</v>
      </c>
      <c r="N513" t="str">
        <f t="shared" si="15"/>
        <v>Medium</v>
      </c>
      <c r="O513" s="2">
        <v>44353</v>
      </c>
      <c r="P513" s="9">
        <v>5300</v>
      </c>
    </row>
    <row r="514" spans="1:16" x14ac:dyDescent="0.25">
      <c r="A514" t="s">
        <v>535</v>
      </c>
      <c r="B514" s="2">
        <v>44354</v>
      </c>
      <c r="C514">
        <v>2021</v>
      </c>
      <c r="D514" t="str">
        <f t="shared" ref="D514:D577" si="16">TEXT(B514,"MMM")</f>
        <v>Jun</v>
      </c>
      <c r="E514" t="s">
        <v>12</v>
      </c>
      <c r="F514" t="s">
        <v>2023</v>
      </c>
      <c r="G514" t="s">
        <v>19</v>
      </c>
      <c r="H514" t="s">
        <v>23</v>
      </c>
      <c r="I514">
        <v>3</v>
      </c>
      <c r="J514" s="9">
        <v>11700</v>
      </c>
      <c r="K514" s="7">
        <v>0.15000000000000002</v>
      </c>
      <c r="L514" s="9">
        <v>9945</v>
      </c>
      <c r="M514" s="10">
        <f>Sales_Data3[[#This Row],[Profit]]/Sales_Data3[[#This Row],[Sales]]</f>
        <v>0.85</v>
      </c>
      <c r="N514" t="str">
        <f t="shared" ref="N514:N577" si="17">IF(J514&gt;10000,"High",IF(J514&gt;5000,"Medium","Low"))</f>
        <v>High</v>
      </c>
      <c r="O514" s="2">
        <v>44354</v>
      </c>
      <c r="P514" s="9">
        <v>11700</v>
      </c>
    </row>
    <row r="515" spans="1:16" x14ac:dyDescent="0.25">
      <c r="A515" t="s">
        <v>536</v>
      </c>
      <c r="B515" s="2">
        <v>44355</v>
      </c>
      <c r="C515">
        <v>2021</v>
      </c>
      <c r="D515" t="str">
        <f t="shared" si="16"/>
        <v>Jun</v>
      </c>
      <c r="E515" t="s">
        <v>12</v>
      </c>
      <c r="F515" t="s">
        <v>18</v>
      </c>
      <c r="G515" t="s">
        <v>20</v>
      </c>
      <c r="H515" t="s">
        <v>23</v>
      </c>
      <c r="I515">
        <v>8</v>
      </c>
      <c r="J515" s="9">
        <v>9800</v>
      </c>
      <c r="K515" s="7">
        <v>0.2</v>
      </c>
      <c r="L515" s="9">
        <v>7840</v>
      </c>
      <c r="M515" s="10">
        <f>Sales_Data3[[#This Row],[Profit]]/Sales_Data3[[#This Row],[Sales]]</f>
        <v>0.8</v>
      </c>
      <c r="N515" t="str">
        <f t="shared" si="17"/>
        <v>Medium</v>
      </c>
      <c r="O515" s="2">
        <v>44355</v>
      </c>
      <c r="P515" s="9">
        <v>9800</v>
      </c>
    </row>
    <row r="516" spans="1:16" x14ac:dyDescent="0.25">
      <c r="A516" t="s">
        <v>537</v>
      </c>
      <c r="B516" s="2">
        <v>44356</v>
      </c>
      <c r="C516">
        <v>2021</v>
      </c>
      <c r="D516" t="str">
        <f t="shared" si="16"/>
        <v>Jun</v>
      </c>
      <c r="E516" t="s">
        <v>12</v>
      </c>
      <c r="F516" t="s">
        <v>2024</v>
      </c>
      <c r="G516" t="s">
        <v>21</v>
      </c>
      <c r="H516" t="s">
        <v>23</v>
      </c>
      <c r="I516">
        <v>6</v>
      </c>
      <c r="J516" s="9">
        <v>11000</v>
      </c>
      <c r="K516" s="7">
        <v>0.25</v>
      </c>
      <c r="L516" s="9">
        <v>8250</v>
      </c>
      <c r="M516" s="10">
        <f>Sales_Data3[[#This Row],[Profit]]/Sales_Data3[[#This Row],[Sales]]</f>
        <v>0.75</v>
      </c>
      <c r="N516" t="str">
        <f t="shared" si="17"/>
        <v>High</v>
      </c>
      <c r="O516" s="2">
        <v>44356</v>
      </c>
      <c r="P516" s="9">
        <v>11000</v>
      </c>
    </row>
    <row r="517" spans="1:16" x14ac:dyDescent="0.25">
      <c r="A517" t="s">
        <v>538</v>
      </c>
      <c r="B517" s="2">
        <v>44357</v>
      </c>
      <c r="C517">
        <v>2021</v>
      </c>
      <c r="D517" t="str">
        <f t="shared" si="16"/>
        <v>Jun</v>
      </c>
      <c r="E517" t="s">
        <v>12</v>
      </c>
      <c r="F517" t="s">
        <v>2025</v>
      </c>
      <c r="G517" t="s">
        <v>22</v>
      </c>
      <c r="H517" t="s">
        <v>23</v>
      </c>
      <c r="I517">
        <v>3</v>
      </c>
      <c r="J517" s="9">
        <v>12000</v>
      </c>
      <c r="K517" s="7">
        <v>0.05</v>
      </c>
      <c r="L517" s="9">
        <v>11400</v>
      </c>
      <c r="M517" s="10">
        <f>Sales_Data3[[#This Row],[Profit]]/Sales_Data3[[#This Row],[Sales]]</f>
        <v>0.95</v>
      </c>
      <c r="N517" t="str">
        <f t="shared" si="17"/>
        <v>High</v>
      </c>
      <c r="O517" s="2">
        <v>44357</v>
      </c>
      <c r="P517" s="9">
        <v>12000</v>
      </c>
    </row>
    <row r="518" spans="1:16" x14ac:dyDescent="0.25">
      <c r="A518" t="s">
        <v>539</v>
      </c>
      <c r="B518" s="2">
        <v>44358</v>
      </c>
      <c r="C518">
        <v>2021</v>
      </c>
      <c r="D518" t="str">
        <f t="shared" si="16"/>
        <v>Jun</v>
      </c>
      <c r="E518" t="s">
        <v>12</v>
      </c>
      <c r="F518" t="s">
        <v>2026</v>
      </c>
      <c r="G518" t="s">
        <v>19</v>
      </c>
      <c r="H518" t="s">
        <v>23</v>
      </c>
      <c r="I518">
        <v>1</v>
      </c>
      <c r="J518" s="9">
        <v>11400</v>
      </c>
      <c r="K518" s="7">
        <v>0.1</v>
      </c>
      <c r="L518" s="9">
        <v>10260</v>
      </c>
      <c r="M518" s="10">
        <f>Sales_Data3[[#This Row],[Profit]]/Sales_Data3[[#This Row],[Sales]]</f>
        <v>0.9</v>
      </c>
      <c r="N518" t="str">
        <f t="shared" si="17"/>
        <v>High</v>
      </c>
      <c r="O518" s="2">
        <v>44358</v>
      </c>
      <c r="P518" s="9">
        <v>11400</v>
      </c>
    </row>
    <row r="519" spans="1:16" x14ac:dyDescent="0.25">
      <c r="A519" t="s">
        <v>540</v>
      </c>
      <c r="B519" s="2">
        <v>44359</v>
      </c>
      <c r="C519">
        <v>2021</v>
      </c>
      <c r="D519" t="str">
        <f t="shared" si="16"/>
        <v>Jun</v>
      </c>
      <c r="E519" t="s">
        <v>12</v>
      </c>
      <c r="F519" t="s">
        <v>2027</v>
      </c>
      <c r="G519" t="s">
        <v>20</v>
      </c>
      <c r="H519" t="s">
        <v>23</v>
      </c>
      <c r="I519">
        <v>5</v>
      </c>
      <c r="J519" s="9">
        <v>10000</v>
      </c>
      <c r="K519" s="7">
        <v>0.15000000000000002</v>
      </c>
      <c r="L519" s="9">
        <v>8500</v>
      </c>
      <c r="M519" s="10">
        <f>Sales_Data3[[#This Row],[Profit]]/Sales_Data3[[#This Row],[Sales]]</f>
        <v>0.85</v>
      </c>
      <c r="N519" t="str">
        <f t="shared" si="17"/>
        <v>Medium</v>
      </c>
      <c r="O519" s="2">
        <v>44359</v>
      </c>
      <c r="P519" s="9">
        <v>10000</v>
      </c>
    </row>
    <row r="520" spans="1:16" x14ac:dyDescent="0.25">
      <c r="A520" t="s">
        <v>541</v>
      </c>
      <c r="B520" s="2">
        <v>44360</v>
      </c>
      <c r="C520">
        <v>2021</v>
      </c>
      <c r="D520" t="str">
        <f t="shared" si="16"/>
        <v>Jun</v>
      </c>
      <c r="E520" t="s">
        <v>12</v>
      </c>
      <c r="F520" t="s">
        <v>2028</v>
      </c>
      <c r="G520" t="s">
        <v>21</v>
      </c>
      <c r="H520" t="s">
        <v>23</v>
      </c>
      <c r="I520">
        <v>4</v>
      </c>
      <c r="J520" s="9">
        <v>7300</v>
      </c>
      <c r="K520" s="7">
        <v>0.2</v>
      </c>
      <c r="L520" s="9">
        <v>5840</v>
      </c>
      <c r="M520" s="10">
        <f>Sales_Data3[[#This Row],[Profit]]/Sales_Data3[[#This Row],[Sales]]</f>
        <v>0.8</v>
      </c>
      <c r="N520" t="str">
        <f t="shared" si="17"/>
        <v>Medium</v>
      </c>
      <c r="O520" s="2">
        <v>44360</v>
      </c>
      <c r="P520" s="9">
        <v>7300</v>
      </c>
    </row>
    <row r="521" spans="1:16" x14ac:dyDescent="0.25">
      <c r="A521" t="s">
        <v>542</v>
      </c>
      <c r="B521" s="2">
        <v>44361</v>
      </c>
      <c r="C521">
        <v>2021</v>
      </c>
      <c r="D521" t="str">
        <f t="shared" si="16"/>
        <v>Jun</v>
      </c>
      <c r="E521" t="s">
        <v>12</v>
      </c>
      <c r="F521" t="s">
        <v>2029</v>
      </c>
      <c r="G521" t="s">
        <v>22</v>
      </c>
      <c r="H521" t="s">
        <v>23</v>
      </c>
      <c r="I521">
        <v>3</v>
      </c>
      <c r="J521" s="9">
        <v>5300</v>
      </c>
      <c r="K521" s="7">
        <v>0.25</v>
      </c>
      <c r="L521" s="9">
        <v>3975</v>
      </c>
      <c r="M521" s="10">
        <f>Sales_Data3[[#This Row],[Profit]]/Sales_Data3[[#This Row],[Sales]]</f>
        <v>0.75</v>
      </c>
      <c r="N521" t="str">
        <f t="shared" si="17"/>
        <v>Medium</v>
      </c>
      <c r="O521" s="2">
        <v>44361</v>
      </c>
      <c r="P521" s="9">
        <v>5300</v>
      </c>
    </row>
    <row r="522" spans="1:16" x14ac:dyDescent="0.25">
      <c r="A522" t="s">
        <v>543</v>
      </c>
      <c r="B522" s="2">
        <v>44362</v>
      </c>
      <c r="C522">
        <v>2021</v>
      </c>
      <c r="D522" t="str">
        <f t="shared" si="16"/>
        <v>Jun</v>
      </c>
      <c r="E522" t="s">
        <v>13</v>
      </c>
      <c r="F522" t="s">
        <v>16</v>
      </c>
      <c r="G522" t="s">
        <v>19</v>
      </c>
      <c r="H522" t="s">
        <v>24</v>
      </c>
      <c r="I522">
        <v>3</v>
      </c>
      <c r="J522" s="9">
        <v>12400</v>
      </c>
      <c r="K522" s="7">
        <v>0.05</v>
      </c>
      <c r="L522" s="9">
        <v>11780</v>
      </c>
      <c r="M522" s="10">
        <f>Sales_Data3[[#This Row],[Profit]]/Sales_Data3[[#This Row],[Sales]]</f>
        <v>0.95</v>
      </c>
      <c r="N522" t="str">
        <f t="shared" si="17"/>
        <v>High</v>
      </c>
      <c r="O522" s="2">
        <v>44362</v>
      </c>
      <c r="P522" s="9">
        <v>12400</v>
      </c>
    </row>
    <row r="523" spans="1:16" x14ac:dyDescent="0.25">
      <c r="A523" t="s">
        <v>544</v>
      </c>
      <c r="B523" s="2">
        <v>44363</v>
      </c>
      <c r="C523">
        <v>2021</v>
      </c>
      <c r="D523" t="str">
        <f t="shared" si="16"/>
        <v>Jun</v>
      </c>
      <c r="E523" t="s">
        <v>13</v>
      </c>
      <c r="F523" t="s">
        <v>2030</v>
      </c>
      <c r="G523" t="s">
        <v>20</v>
      </c>
      <c r="H523" t="s">
        <v>24</v>
      </c>
      <c r="I523">
        <v>6</v>
      </c>
      <c r="J523" s="9">
        <v>13800</v>
      </c>
      <c r="K523" s="7">
        <v>0.1</v>
      </c>
      <c r="L523" s="9">
        <v>12420</v>
      </c>
      <c r="M523" s="10">
        <f>Sales_Data3[[#This Row],[Profit]]/Sales_Data3[[#This Row],[Sales]]</f>
        <v>0.9</v>
      </c>
      <c r="N523" t="str">
        <f t="shared" si="17"/>
        <v>High</v>
      </c>
      <c r="O523" s="2">
        <v>44363</v>
      </c>
      <c r="P523" s="9">
        <v>13800</v>
      </c>
    </row>
    <row r="524" spans="1:16" x14ac:dyDescent="0.25">
      <c r="A524" t="s">
        <v>545</v>
      </c>
      <c r="B524" s="2">
        <v>44364</v>
      </c>
      <c r="C524">
        <v>2021</v>
      </c>
      <c r="D524" t="str">
        <f t="shared" si="16"/>
        <v>Jun</v>
      </c>
      <c r="E524" t="s">
        <v>13</v>
      </c>
      <c r="F524" t="s">
        <v>2031</v>
      </c>
      <c r="G524" t="s">
        <v>21</v>
      </c>
      <c r="H524" t="s">
        <v>24</v>
      </c>
      <c r="I524">
        <v>4</v>
      </c>
      <c r="J524" s="9">
        <v>11500</v>
      </c>
      <c r="K524" s="7">
        <v>0.15000000000000002</v>
      </c>
      <c r="L524" s="9">
        <v>9775</v>
      </c>
      <c r="M524" s="10">
        <f>Sales_Data3[[#This Row],[Profit]]/Sales_Data3[[#This Row],[Sales]]</f>
        <v>0.85</v>
      </c>
      <c r="N524" t="str">
        <f t="shared" si="17"/>
        <v>High</v>
      </c>
      <c r="O524" s="2">
        <v>44364</v>
      </c>
      <c r="P524" s="9">
        <v>11500</v>
      </c>
    </row>
    <row r="525" spans="1:16" x14ac:dyDescent="0.25">
      <c r="A525" t="s">
        <v>546</v>
      </c>
      <c r="B525" s="2">
        <v>44365</v>
      </c>
      <c r="C525">
        <v>2021</v>
      </c>
      <c r="D525" t="str">
        <f t="shared" si="16"/>
        <v>Jun</v>
      </c>
      <c r="E525" t="s">
        <v>13</v>
      </c>
      <c r="F525" t="s">
        <v>2032</v>
      </c>
      <c r="G525" t="s">
        <v>22</v>
      </c>
      <c r="H525" t="s">
        <v>24</v>
      </c>
      <c r="I525">
        <v>6</v>
      </c>
      <c r="J525" s="9">
        <v>8300</v>
      </c>
      <c r="K525" s="7">
        <v>0.2</v>
      </c>
      <c r="L525" s="9">
        <v>6640</v>
      </c>
      <c r="M525" s="10">
        <f>Sales_Data3[[#This Row],[Profit]]/Sales_Data3[[#This Row],[Sales]]</f>
        <v>0.8</v>
      </c>
      <c r="N525" t="str">
        <f t="shared" si="17"/>
        <v>Medium</v>
      </c>
      <c r="O525" s="2">
        <v>44365</v>
      </c>
      <c r="P525" s="9">
        <v>8300</v>
      </c>
    </row>
    <row r="526" spans="1:16" x14ac:dyDescent="0.25">
      <c r="A526" t="s">
        <v>547</v>
      </c>
      <c r="B526" s="2">
        <v>44366</v>
      </c>
      <c r="C526">
        <v>2021</v>
      </c>
      <c r="D526" t="str">
        <f t="shared" si="16"/>
        <v>Jun</v>
      </c>
      <c r="E526" t="s">
        <v>13</v>
      </c>
      <c r="F526" t="s">
        <v>2033</v>
      </c>
      <c r="G526" t="s">
        <v>19</v>
      </c>
      <c r="H526" t="s">
        <v>24</v>
      </c>
      <c r="I526">
        <v>3</v>
      </c>
      <c r="J526" s="9">
        <v>14300</v>
      </c>
      <c r="K526" s="7">
        <v>0.25</v>
      </c>
      <c r="L526" s="9">
        <v>10725</v>
      </c>
      <c r="M526" s="10">
        <f>Sales_Data3[[#This Row],[Profit]]/Sales_Data3[[#This Row],[Sales]]</f>
        <v>0.75</v>
      </c>
      <c r="N526" t="str">
        <f t="shared" si="17"/>
        <v>High</v>
      </c>
      <c r="O526" s="2">
        <v>44366</v>
      </c>
      <c r="P526" s="9">
        <v>14300</v>
      </c>
    </row>
    <row r="527" spans="1:16" x14ac:dyDescent="0.25">
      <c r="A527" t="s">
        <v>548</v>
      </c>
      <c r="B527" s="2">
        <v>44367</v>
      </c>
      <c r="C527">
        <v>2021</v>
      </c>
      <c r="D527" t="str">
        <f t="shared" si="16"/>
        <v>Jun</v>
      </c>
      <c r="E527" t="s">
        <v>13</v>
      </c>
      <c r="F527" t="s">
        <v>2034</v>
      </c>
      <c r="G527" t="s">
        <v>20</v>
      </c>
      <c r="H527" t="s">
        <v>24</v>
      </c>
      <c r="I527">
        <v>3</v>
      </c>
      <c r="J527" s="9">
        <v>7200</v>
      </c>
      <c r="K527" s="7">
        <v>0.05</v>
      </c>
      <c r="L527" s="9">
        <v>6840</v>
      </c>
      <c r="M527" s="10">
        <f>Sales_Data3[[#This Row],[Profit]]/Sales_Data3[[#This Row],[Sales]]</f>
        <v>0.95</v>
      </c>
      <c r="N527" t="str">
        <f t="shared" si="17"/>
        <v>Medium</v>
      </c>
      <c r="O527" s="2">
        <v>44367</v>
      </c>
      <c r="P527" s="9">
        <v>7200</v>
      </c>
    </row>
    <row r="528" spans="1:16" x14ac:dyDescent="0.25">
      <c r="A528" t="s">
        <v>549</v>
      </c>
      <c r="B528" s="2">
        <v>44368</v>
      </c>
      <c r="C528">
        <v>2021</v>
      </c>
      <c r="D528" t="str">
        <f t="shared" si="16"/>
        <v>Jun</v>
      </c>
      <c r="E528" t="s">
        <v>13</v>
      </c>
      <c r="F528" t="s">
        <v>2035</v>
      </c>
      <c r="G528" t="s">
        <v>21</v>
      </c>
      <c r="H528" t="s">
        <v>24</v>
      </c>
      <c r="I528">
        <v>2</v>
      </c>
      <c r="J528" s="9">
        <v>9700</v>
      </c>
      <c r="K528" s="7">
        <v>0.1</v>
      </c>
      <c r="L528" s="9">
        <v>8730</v>
      </c>
      <c r="M528" s="10">
        <f>Sales_Data3[[#This Row],[Profit]]/Sales_Data3[[#This Row],[Sales]]</f>
        <v>0.9</v>
      </c>
      <c r="N528" t="str">
        <f t="shared" si="17"/>
        <v>Medium</v>
      </c>
      <c r="O528" s="2">
        <v>44368</v>
      </c>
      <c r="P528" s="9">
        <v>9700</v>
      </c>
    </row>
    <row r="529" spans="1:16" x14ac:dyDescent="0.25">
      <c r="A529" t="s">
        <v>550</v>
      </c>
      <c r="B529" s="2">
        <v>44369</v>
      </c>
      <c r="C529">
        <v>2021</v>
      </c>
      <c r="D529" t="str">
        <f t="shared" si="16"/>
        <v>Jun</v>
      </c>
      <c r="E529" t="s">
        <v>13</v>
      </c>
      <c r="F529" t="s">
        <v>2036</v>
      </c>
      <c r="G529" t="s">
        <v>22</v>
      </c>
      <c r="H529" t="s">
        <v>24</v>
      </c>
      <c r="I529">
        <v>6</v>
      </c>
      <c r="J529" s="9">
        <v>7200</v>
      </c>
      <c r="K529" s="7">
        <v>0.15000000000000002</v>
      </c>
      <c r="L529" s="9">
        <v>6120</v>
      </c>
      <c r="M529" s="10">
        <f>Sales_Data3[[#This Row],[Profit]]/Sales_Data3[[#This Row],[Sales]]</f>
        <v>0.85</v>
      </c>
      <c r="N529" t="str">
        <f t="shared" si="17"/>
        <v>Medium</v>
      </c>
      <c r="O529" s="2">
        <v>44369</v>
      </c>
      <c r="P529" s="9">
        <v>7200</v>
      </c>
    </row>
    <row r="530" spans="1:16" x14ac:dyDescent="0.25">
      <c r="A530" t="s">
        <v>551</v>
      </c>
      <c r="B530" s="2">
        <v>44370</v>
      </c>
      <c r="C530">
        <v>2021</v>
      </c>
      <c r="D530" t="str">
        <f t="shared" si="16"/>
        <v>Jun</v>
      </c>
      <c r="E530" t="s">
        <v>13</v>
      </c>
      <c r="F530" t="s">
        <v>2037</v>
      </c>
      <c r="G530" t="s">
        <v>19</v>
      </c>
      <c r="H530" t="s">
        <v>24</v>
      </c>
      <c r="I530">
        <v>10</v>
      </c>
      <c r="J530" s="9">
        <v>6000</v>
      </c>
      <c r="K530" s="7">
        <v>0.2</v>
      </c>
      <c r="L530" s="9">
        <v>4800</v>
      </c>
      <c r="M530" s="10">
        <f>Sales_Data3[[#This Row],[Profit]]/Sales_Data3[[#This Row],[Sales]]</f>
        <v>0.8</v>
      </c>
      <c r="N530" t="str">
        <f t="shared" si="17"/>
        <v>Medium</v>
      </c>
      <c r="O530" s="2">
        <v>44370</v>
      </c>
      <c r="P530" s="9">
        <v>6000</v>
      </c>
    </row>
    <row r="531" spans="1:16" x14ac:dyDescent="0.25">
      <c r="A531" t="s">
        <v>552</v>
      </c>
      <c r="B531" s="2">
        <v>44371</v>
      </c>
      <c r="C531">
        <v>2021</v>
      </c>
      <c r="D531" t="str">
        <f t="shared" si="16"/>
        <v>Jun</v>
      </c>
      <c r="E531" t="s">
        <v>13</v>
      </c>
      <c r="F531" t="s">
        <v>2038</v>
      </c>
      <c r="G531" t="s">
        <v>20</v>
      </c>
      <c r="H531" t="s">
        <v>24</v>
      </c>
      <c r="I531">
        <v>5</v>
      </c>
      <c r="J531" s="9">
        <v>6200</v>
      </c>
      <c r="K531" s="7">
        <v>0.25</v>
      </c>
      <c r="L531" s="9">
        <v>4650</v>
      </c>
      <c r="M531" s="10">
        <f>Sales_Data3[[#This Row],[Profit]]/Sales_Data3[[#This Row],[Sales]]</f>
        <v>0.75</v>
      </c>
      <c r="N531" t="str">
        <f t="shared" si="17"/>
        <v>Medium</v>
      </c>
      <c r="O531" s="2">
        <v>44371</v>
      </c>
      <c r="P531" s="9">
        <v>6200</v>
      </c>
    </row>
    <row r="532" spans="1:16" x14ac:dyDescent="0.25">
      <c r="A532" t="s">
        <v>553</v>
      </c>
      <c r="B532" s="2">
        <v>44372</v>
      </c>
      <c r="C532">
        <v>2021</v>
      </c>
      <c r="D532" t="str">
        <f t="shared" si="16"/>
        <v>Jun</v>
      </c>
      <c r="E532" t="s">
        <v>14</v>
      </c>
      <c r="F532" t="s">
        <v>2039</v>
      </c>
      <c r="G532" t="s">
        <v>21</v>
      </c>
      <c r="H532" t="s">
        <v>25</v>
      </c>
      <c r="I532">
        <v>5</v>
      </c>
      <c r="J532" s="9">
        <v>13600</v>
      </c>
      <c r="K532" s="7">
        <v>0.05</v>
      </c>
      <c r="L532" s="9">
        <v>12920</v>
      </c>
      <c r="M532" s="10">
        <f>Sales_Data3[[#This Row],[Profit]]/Sales_Data3[[#This Row],[Sales]]</f>
        <v>0.95</v>
      </c>
      <c r="N532" t="str">
        <f t="shared" si="17"/>
        <v>High</v>
      </c>
      <c r="O532" s="2">
        <v>44372</v>
      </c>
      <c r="P532" s="9">
        <v>13600</v>
      </c>
    </row>
    <row r="533" spans="1:16" x14ac:dyDescent="0.25">
      <c r="A533" t="s">
        <v>554</v>
      </c>
      <c r="B533" s="2">
        <v>44373</v>
      </c>
      <c r="C533">
        <v>2021</v>
      </c>
      <c r="D533" t="str">
        <f t="shared" si="16"/>
        <v>Jun</v>
      </c>
      <c r="E533" t="s">
        <v>14</v>
      </c>
      <c r="F533" t="s">
        <v>2040</v>
      </c>
      <c r="G533" t="s">
        <v>22</v>
      </c>
      <c r="H533" t="s">
        <v>25</v>
      </c>
      <c r="I533">
        <v>9</v>
      </c>
      <c r="J533" s="9">
        <v>7700</v>
      </c>
      <c r="K533" s="7">
        <v>0.1</v>
      </c>
      <c r="L533" s="9">
        <v>6930</v>
      </c>
      <c r="M533" s="10">
        <f>Sales_Data3[[#This Row],[Profit]]/Sales_Data3[[#This Row],[Sales]]</f>
        <v>0.9</v>
      </c>
      <c r="N533" t="str">
        <f t="shared" si="17"/>
        <v>Medium</v>
      </c>
      <c r="O533" s="2">
        <v>44373</v>
      </c>
      <c r="P533" s="9">
        <v>7700</v>
      </c>
    </row>
    <row r="534" spans="1:16" x14ac:dyDescent="0.25">
      <c r="A534" t="s">
        <v>555</v>
      </c>
      <c r="B534" s="2">
        <v>44374</v>
      </c>
      <c r="C534">
        <v>2021</v>
      </c>
      <c r="D534" t="str">
        <f t="shared" si="16"/>
        <v>Jun</v>
      </c>
      <c r="E534" t="s">
        <v>14</v>
      </c>
      <c r="F534" t="s">
        <v>2041</v>
      </c>
      <c r="G534" t="s">
        <v>19</v>
      </c>
      <c r="H534" t="s">
        <v>25</v>
      </c>
      <c r="I534">
        <v>5</v>
      </c>
      <c r="J534" s="9">
        <v>13500</v>
      </c>
      <c r="K534" s="7">
        <v>0.15000000000000002</v>
      </c>
      <c r="L534" s="9">
        <v>11475</v>
      </c>
      <c r="M534" s="10">
        <f>Sales_Data3[[#This Row],[Profit]]/Sales_Data3[[#This Row],[Sales]]</f>
        <v>0.85</v>
      </c>
      <c r="N534" t="str">
        <f t="shared" si="17"/>
        <v>High</v>
      </c>
      <c r="O534" s="2">
        <v>44374</v>
      </c>
      <c r="P534" s="9">
        <v>13500</v>
      </c>
    </row>
    <row r="535" spans="1:16" x14ac:dyDescent="0.25">
      <c r="A535" t="s">
        <v>556</v>
      </c>
      <c r="B535" s="2">
        <v>44375</v>
      </c>
      <c r="C535">
        <v>2021</v>
      </c>
      <c r="D535" t="str">
        <f t="shared" si="16"/>
        <v>Jun</v>
      </c>
      <c r="E535" t="s">
        <v>14</v>
      </c>
      <c r="F535" t="s">
        <v>2042</v>
      </c>
      <c r="G535" t="s">
        <v>20</v>
      </c>
      <c r="H535" t="s">
        <v>25</v>
      </c>
      <c r="I535">
        <v>5</v>
      </c>
      <c r="J535" s="9">
        <v>9400</v>
      </c>
      <c r="K535" s="7">
        <v>0.2</v>
      </c>
      <c r="L535" s="9">
        <v>7520</v>
      </c>
      <c r="M535" s="10">
        <f>Sales_Data3[[#This Row],[Profit]]/Sales_Data3[[#This Row],[Sales]]</f>
        <v>0.8</v>
      </c>
      <c r="N535" t="str">
        <f t="shared" si="17"/>
        <v>Medium</v>
      </c>
      <c r="O535" s="2">
        <v>44375</v>
      </c>
      <c r="P535" s="9">
        <v>9400</v>
      </c>
    </row>
    <row r="536" spans="1:16" x14ac:dyDescent="0.25">
      <c r="A536" t="s">
        <v>557</v>
      </c>
      <c r="B536" s="2">
        <v>44376</v>
      </c>
      <c r="C536">
        <v>2021</v>
      </c>
      <c r="D536" t="str">
        <f t="shared" si="16"/>
        <v>Jun</v>
      </c>
      <c r="E536" t="s">
        <v>14</v>
      </c>
      <c r="F536" t="s">
        <v>2043</v>
      </c>
      <c r="G536" t="s">
        <v>21</v>
      </c>
      <c r="H536" t="s">
        <v>25</v>
      </c>
      <c r="I536">
        <v>10</v>
      </c>
      <c r="J536" s="9">
        <v>5600</v>
      </c>
      <c r="K536" s="7">
        <v>0.25</v>
      </c>
      <c r="L536" s="9">
        <v>4200</v>
      </c>
      <c r="M536" s="10">
        <f>Sales_Data3[[#This Row],[Profit]]/Sales_Data3[[#This Row],[Sales]]</f>
        <v>0.75</v>
      </c>
      <c r="N536" t="str">
        <f t="shared" si="17"/>
        <v>Medium</v>
      </c>
      <c r="O536" s="2">
        <v>44376</v>
      </c>
      <c r="P536" s="9">
        <v>5600</v>
      </c>
    </row>
    <row r="537" spans="1:16" x14ac:dyDescent="0.25">
      <c r="A537" t="s">
        <v>558</v>
      </c>
      <c r="B537" s="2">
        <v>44377</v>
      </c>
      <c r="C537">
        <v>2021</v>
      </c>
      <c r="D537" t="str">
        <f t="shared" si="16"/>
        <v>Jun</v>
      </c>
      <c r="E537" t="s">
        <v>14</v>
      </c>
      <c r="F537" t="s">
        <v>2044</v>
      </c>
      <c r="G537" t="s">
        <v>22</v>
      </c>
      <c r="H537" t="s">
        <v>25</v>
      </c>
      <c r="I537">
        <v>7</v>
      </c>
      <c r="J537" s="9">
        <v>13100</v>
      </c>
      <c r="K537" s="7">
        <v>0.05</v>
      </c>
      <c r="L537" s="9">
        <v>12445</v>
      </c>
      <c r="M537" s="10">
        <f>Sales_Data3[[#This Row],[Profit]]/Sales_Data3[[#This Row],[Sales]]</f>
        <v>0.95</v>
      </c>
      <c r="N537" t="str">
        <f t="shared" si="17"/>
        <v>High</v>
      </c>
      <c r="O537" s="2">
        <v>44377</v>
      </c>
      <c r="P537" s="9">
        <v>13100</v>
      </c>
    </row>
    <row r="538" spans="1:16" x14ac:dyDescent="0.25">
      <c r="A538" t="s">
        <v>559</v>
      </c>
      <c r="B538" s="2">
        <v>44378</v>
      </c>
      <c r="C538">
        <v>2021</v>
      </c>
      <c r="D538" t="str">
        <f t="shared" si="16"/>
        <v>Jul</v>
      </c>
      <c r="E538" t="s">
        <v>14</v>
      </c>
      <c r="F538" t="s">
        <v>2045</v>
      </c>
      <c r="G538" t="s">
        <v>19</v>
      </c>
      <c r="H538" t="s">
        <v>25</v>
      </c>
      <c r="I538">
        <v>6</v>
      </c>
      <c r="J538" s="9">
        <v>4600</v>
      </c>
      <c r="K538" s="7">
        <v>0.1</v>
      </c>
      <c r="L538" s="9">
        <v>4140</v>
      </c>
      <c r="M538" s="10">
        <f>Sales_Data3[[#This Row],[Profit]]/Sales_Data3[[#This Row],[Sales]]</f>
        <v>0.9</v>
      </c>
      <c r="N538" t="str">
        <f t="shared" si="17"/>
        <v>Low</v>
      </c>
      <c r="O538" s="2">
        <v>44378</v>
      </c>
      <c r="P538" s="9">
        <v>4600</v>
      </c>
    </row>
    <row r="539" spans="1:16" x14ac:dyDescent="0.25">
      <c r="A539" t="s">
        <v>560</v>
      </c>
      <c r="B539" s="2">
        <v>44379</v>
      </c>
      <c r="C539">
        <v>2021</v>
      </c>
      <c r="D539" t="str">
        <f t="shared" si="16"/>
        <v>Jul</v>
      </c>
      <c r="E539" t="s">
        <v>14</v>
      </c>
      <c r="F539" t="s">
        <v>2046</v>
      </c>
      <c r="G539" t="s">
        <v>20</v>
      </c>
      <c r="H539" t="s">
        <v>25</v>
      </c>
      <c r="I539">
        <v>4</v>
      </c>
      <c r="J539" s="9">
        <v>12400</v>
      </c>
      <c r="K539" s="7">
        <v>0.15000000000000002</v>
      </c>
      <c r="L539" s="9">
        <v>10540</v>
      </c>
      <c r="M539" s="10">
        <f>Sales_Data3[[#This Row],[Profit]]/Sales_Data3[[#This Row],[Sales]]</f>
        <v>0.85</v>
      </c>
      <c r="N539" t="str">
        <f t="shared" si="17"/>
        <v>High</v>
      </c>
      <c r="O539" s="2">
        <v>44379</v>
      </c>
      <c r="P539" s="9">
        <v>12400</v>
      </c>
    </row>
    <row r="540" spans="1:16" x14ac:dyDescent="0.25">
      <c r="A540" t="s">
        <v>561</v>
      </c>
      <c r="B540" s="2">
        <v>44380</v>
      </c>
      <c r="C540">
        <v>2021</v>
      </c>
      <c r="D540" t="str">
        <f t="shared" si="16"/>
        <v>Jul</v>
      </c>
      <c r="E540" t="s">
        <v>14</v>
      </c>
      <c r="F540" t="s">
        <v>2047</v>
      </c>
      <c r="G540" t="s">
        <v>21</v>
      </c>
      <c r="H540" t="s">
        <v>25</v>
      </c>
      <c r="I540">
        <v>8</v>
      </c>
      <c r="J540" s="9">
        <v>5800</v>
      </c>
      <c r="K540" s="7">
        <v>0.2</v>
      </c>
      <c r="L540" s="9">
        <v>4640</v>
      </c>
      <c r="M540" s="10">
        <f>Sales_Data3[[#This Row],[Profit]]/Sales_Data3[[#This Row],[Sales]]</f>
        <v>0.8</v>
      </c>
      <c r="N540" t="str">
        <f t="shared" si="17"/>
        <v>Medium</v>
      </c>
      <c r="O540" s="2">
        <v>44380</v>
      </c>
      <c r="P540" s="9">
        <v>5800</v>
      </c>
    </row>
    <row r="541" spans="1:16" x14ac:dyDescent="0.25">
      <c r="A541" t="s">
        <v>562</v>
      </c>
      <c r="B541" s="2">
        <v>44381</v>
      </c>
      <c r="C541">
        <v>2021</v>
      </c>
      <c r="D541" t="str">
        <f t="shared" si="16"/>
        <v>Jul</v>
      </c>
      <c r="E541" t="s">
        <v>14</v>
      </c>
      <c r="F541" t="s">
        <v>2048</v>
      </c>
      <c r="G541" t="s">
        <v>22</v>
      </c>
      <c r="H541" t="s">
        <v>25</v>
      </c>
      <c r="I541">
        <v>1</v>
      </c>
      <c r="J541" s="9">
        <v>12200</v>
      </c>
      <c r="K541" s="7">
        <v>0.25</v>
      </c>
      <c r="L541" s="9">
        <v>9150</v>
      </c>
      <c r="M541" s="10">
        <f>Sales_Data3[[#This Row],[Profit]]/Sales_Data3[[#This Row],[Sales]]</f>
        <v>0.75</v>
      </c>
      <c r="N541" t="str">
        <f t="shared" si="17"/>
        <v>High</v>
      </c>
      <c r="O541" s="2">
        <v>44381</v>
      </c>
      <c r="P541" s="9">
        <v>12200</v>
      </c>
    </row>
    <row r="542" spans="1:16" x14ac:dyDescent="0.25">
      <c r="A542" t="s">
        <v>563</v>
      </c>
      <c r="B542" s="2">
        <v>44382</v>
      </c>
      <c r="C542">
        <v>2021</v>
      </c>
      <c r="D542" t="str">
        <f t="shared" si="16"/>
        <v>Jul</v>
      </c>
      <c r="E542" t="s">
        <v>12</v>
      </c>
      <c r="F542" t="s">
        <v>15</v>
      </c>
      <c r="G542" t="s">
        <v>19</v>
      </c>
      <c r="H542" t="s">
        <v>23</v>
      </c>
      <c r="I542">
        <v>8</v>
      </c>
      <c r="J542" s="9">
        <v>7100</v>
      </c>
      <c r="K542" s="7">
        <v>0.05</v>
      </c>
      <c r="L542" s="9">
        <v>6745</v>
      </c>
      <c r="M542" s="10">
        <f>Sales_Data3[[#This Row],[Profit]]/Sales_Data3[[#This Row],[Sales]]</f>
        <v>0.95</v>
      </c>
      <c r="N542" t="str">
        <f t="shared" si="17"/>
        <v>Medium</v>
      </c>
      <c r="O542" s="2">
        <v>44382</v>
      </c>
      <c r="P542" s="9">
        <v>7100</v>
      </c>
    </row>
    <row r="543" spans="1:16" x14ac:dyDescent="0.25">
      <c r="A543" t="s">
        <v>564</v>
      </c>
      <c r="B543" s="2">
        <v>44383</v>
      </c>
      <c r="C543">
        <v>2021</v>
      </c>
      <c r="D543" t="str">
        <f t="shared" si="16"/>
        <v>Jul</v>
      </c>
      <c r="E543" t="s">
        <v>12</v>
      </c>
      <c r="F543" t="s">
        <v>17</v>
      </c>
      <c r="G543" t="s">
        <v>20</v>
      </c>
      <c r="H543" t="s">
        <v>23</v>
      </c>
      <c r="I543">
        <v>3</v>
      </c>
      <c r="J543" s="9">
        <v>8500</v>
      </c>
      <c r="K543" s="7">
        <v>0.1</v>
      </c>
      <c r="L543" s="9">
        <v>7650</v>
      </c>
      <c r="M543" s="10">
        <f>Sales_Data3[[#This Row],[Profit]]/Sales_Data3[[#This Row],[Sales]]</f>
        <v>0.9</v>
      </c>
      <c r="N543" t="str">
        <f t="shared" si="17"/>
        <v>Medium</v>
      </c>
      <c r="O543" s="2">
        <v>44383</v>
      </c>
      <c r="P543" s="9">
        <v>8500</v>
      </c>
    </row>
    <row r="544" spans="1:16" x14ac:dyDescent="0.25">
      <c r="A544" t="s">
        <v>565</v>
      </c>
      <c r="B544" s="2">
        <v>44384</v>
      </c>
      <c r="C544">
        <v>2021</v>
      </c>
      <c r="D544" t="str">
        <f t="shared" si="16"/>
        <v>Jul</v>
      </c>
      <c r="E544" t="s">
        <v>12</v>
      </c>
      <c r="F544" t="s">
        <v>2023</v>
      </c>
      <c r="G544" t="s">
        <v>21</v>
      </c>
      <c r="H544" t="s">
        <v>23</v>
      </c>
      <c r="I544">
        <v>10</v>
      </c>
      <c r="J544" s="9">
        <v>9600</v>
      </c>
      <c r="K544" s="7">
        <v>0.15000000000000002</v>
      </c>
      <c r="L544" s="9">
        <v>8160</v>
      </c>
      <c r="M544" s="10">
        <f>Sales_Data3[[#This Row],[Profit]]/Sales_Data3[[#This Row],[Sales]]</f>
        <v>0.85</v>
      </c>
      <c r="N544" t="str">
        <f t="shared" si="17"/>
        <v>Medium</v>
      </c>
      <c r="O544" s="2">
        <v>44384</v>
      </c>
      <c r="P544" s="9">
        <v>9600</v>
      </c>
    </row>
    <row r="545" spans="1:16" x14ac:dyDescent="0.25">
      <c r="A545" t="s">
        <v>566</v>
      </c>
      <c r="B545" s="2">
        <v>44385</v>
      </c>
      <c r="C545">
        <v>2021</v>
      </c>
      <c r="D545" t="str">
        <f t="shared" si="16"/>
        <v>Jul</v>
      </c>
      <c r="E545" t="s">
        <v>12</v>
      </c>
      <c r="F545" t="s">
        <v>18</v>
      </c>
      <c r="G545" t="s">
        <v>22</v>
      </c>
      <c r="H545" t="s">
        <v>23</v>
      </c>
      <c r="I545">
        <v>9</v>
      </c>
      <c r="J545" s="9">
        <v>12600</v>
      </c>
      <c r="K545" s="7">
        <v>0.2</v>
      </c>
      <c r="L545" s="9">
        <v>10080</v>
      </c>
      <c r="M545" s="10">
        <f>Sales_Data3[[#This Row],[Profit]]/Sales_Data3[[#This Row],[Sales]]</f>
        <v>0.8</v>
      </c>
      <c r="N545" t="str">
        <f t="shared" si="17"/>
        <v>High</v>
      </c>
      <c r="O545" s="2">
        <v>44385</v>
      </c>
      <c r="P545" s="9">
        <v>12600</v>
      </c>
    </row>
    <row r="546" spans="1:16" x14ac:dyDescent="0.25">
      <c r="A546" t="s">
        <v>567</v>
      </c>
      <c r="B546" s="2">
        <v>44386</v>
      </c>
      <c r="C546">
        <v>2021</v>
      </c>
      <c r="D546" t="str">
        <f t="shared" si="16"/>
        <v>Jul</v>
      </c>
      <c r="E546" t="s">
        <v>12</v>
      </c>
      <c r="F546" t="s">
        <v>2024</v>
      </c>
      <c r="G546" t="s">
        <v>19</v>
      </c>
      <c r="H546" t="s">
        <v>23</v>
      </c>
      <c r="I546">
        <v>7</v>
      </c>
      <c r="J546" s="9">
        <v>11800</v>
      </c>
      <c r="K546" s="7">
        <v>0.25</v>
      </c>
      <c r="L546" s="9">
        <v>8850</v>
      </c>
      <c r="M546" s="10">
        <f>Sales_Data3[[#This Row],[Profit]]/Sales_Data3[[#This Row],[Sales]]</f>
        <v>0.75</v>
      </c>
      <c r="N546" t="str">
        <f t="shared" si="17"/>
        <v>High</v>
      </c>
      <c r="O546" s="2">
        <v>44386</v>
      </c>
      <c r="P546" s="9">
        <v>11800</v>
      </c>
    </row>
    <row r="547" spans="1:16" x14ac:dyDescent="0.25">
      <c r="A547" t="s">
        <v>568</v>
      </c>
      <c r="B547" s="2">
        <v>44387</v>
      </c>
      <c r="C547">
        <v>2021</v>
      </c>
      <c r="D547" t="str">
        <f t="shared" si="16"/>
        <v>Jul</v>
      </c>
      <c r="E547" t="s">
        <v>12</v>
      </c>
      <c r="F547" t="s">
        <v>2025</v>
      </c>
      <c r="G547" t="s">
        <v>20</v>
      </c>
      <c r="H547" t="s">
        <v>23</v>
      </c>
      <c r="I547">
        <v>5</v>
      </c>
      <c r="J547" s="9">
        <v>14800</v>
      </c>
      <c r="K547" s="7">
        <v>0.05</v>
      </c>
      <c r="L547" s="9">
        <v>14060</v>
      </c>
      <c r="M547" s="10">
        <f>Sales_Data3[[#This Row],[Profit]]/Sales_Data3[[#This Row],[Sales]]</f>
        <v>0.95</v>
      </c>
      <c r="N547" t="str">
        <f t="shared" si="17"/>
        <v>High</v>
      </c>
      <c r="O547" s="2">
        <v>44387</v>
      </c>
      <c r="P547" s="9">
        <v>14800</v>
      </c>
    </row>
    <row r="548" spans="1:16" x14ac:dyDescent="0.25">
      <c r="A548" t="s">
        <v>569</v>
      </c>
      <c r="B548" s="2">
        <v>44388</v>
      </c>
      <c r="C548">
        <v>2021</v>
      </c>
      <c r="D548" t="str">
        <f t="shared" si="16"/>
        <v>Jul</v>
      </c>
      <c r="E548" t="s">
        <v>12</v>
      </c>
      <c r="F548" t="s">
        <v>2026</v>
      </c>
      <c r="G548" t="s">
        <v>21</v>
      </c>
      <c r="H548" t="s">
        <v>23</v>
      </c>
      <c r="I548">
        <v>5</v>
      </c>
      <c r="J548" s="9">
        <v>14200</v>
      </c>
      <c r="K548" s="7">
        <v>0.1</v>
      </c>
      <c r="L548" s="9">
        <v>12780</v>
      </c>
      <c r="M548" s="10">
        <f>Sales_Data3[[#This Row],[Profit]]/Sales_Data3[[#This Row],[Sales]]</f>
        <v>0.9</v>
      </c>
      <c r="N548" t="str">
        <f t="shared" si="17"/>
        <v>High</v>
      </c>
      <c r="O548" s="2">
        <v>44388</v>
      </c>
      <c r="P548" s="9">
        <v>14200</v>
      </c>
    </row>
    <row r="549" spans="1:16" x14ac:dyDescent="0.25">
      <c r="A549" t="s">
        <v>570</v>
      </c>
      <c r="B549" s="2">
        <v>44389</v>
      </c>
      <c r="C549">
        <v>2021</v>
      </c>
      <c r="D549" t="str">
        <f t="shared" si="16"/>
        <v>Jul</v>
      </c>
      <c r="E549" t="s">
        <v>12</v>
      </c>
      <c r="F549" t="s">
        <v>2027</v>
      </c>
      <c r="G549" t="s">
        <v>22</v>
      </c>
      <c r="H549" t="s">
        <v>23</v>
      </c>
      <c r="I549">
        <v>1</v>
      </c>
      <c r="J549" s="9">
        <v>7100</v>
      </c>
      <c r="K549" s="7">
        <v>0.15000000000000002</v>
      </c>
      <c r="L549" s="9">
        <v>6035</v>
      </c>
      <c r="M549" s="10">
        <f>Sales_Data3[[#This Row],[Profit]]/Sales_Data3[[#This Row],[Sales]]</f>
        <v>0.85</v>
      </c>
      <c r="N549" t="str">
        <f t="shared" si="17"/>
        <v>Medium</v>
      </c>
      <c r="O549" s="2">
        <v>44389</v>
      </c>
      <c r="P549" s="9">
        <v>7100</v>
      </c>
    </row>
    <row r="550" spans="1:16" x14ac:dyDescent="0.25">
      <c r="A550" t="s">
        <v>571</v>
      </c>
      <c r="B550" s="2">
        <v>44390</v>
      </c>
      <c r="C550">
        <v>2021</v>
      </c>
      <c r="D550" t="str">
        <f t="shared" si="16"/>
        <v>Jul</v>
      </c>
      <c r="E550" t="s">
        <v>12</v>
      </c>
      <c r="F550" t="s">
        <v>2028</v>
      </c>
      <c r="G550" t="s">
        <v>19</v>
      </c>
      <c r="H550" t="s">
        <v>23</v>
      </c>
      <c r="I550">
        <v>1</v>
      </c>
      <c r="J550" s="9">
        <v>11800</v>
      </c>
      <c r="K550" s="7">
        <v>0.2</v>
      </c>
      <c r="L550" s="9">
        <v>9440</v>
      </c>
      <c r="M550" s="10">
        <f>Sales_Data3[[#This Row],[Profit]]/Sales_Data3[[#This Row],[Sales]]</f>
        <v>0.8</v>
      </c>
      <c r="N550" t="str">
        <f t="shared" si="17"/>
        <v>High</v>
      </c>
      <c r="O550" s="2">
        <v>44390</v>
      </c>
      <c r="P550" s="9">
        <v>11800</v>
      </c>
    </row>
    <row r="551" spans="1:16" x14ac:dyDescent="0.25">
      <c r="A551" t="s">
        <v>572</v>
      </c>
      <c r="B551" s="2">
        <v>44391</v>
      </c>
      <c r="C551">
        <v>2021</v>
      </c>
      <c r="D551" t="str">
        <f t="shared" si="16"/>
        <v>Jul</v>
      </c>
      <c r="E551" t="s">
        <v>12</v>
      </c>
      <c r="F551" t="s">
        <v>2029</v>
      </c>
      <c r="G551" t="s">
        <v>20</v>
      </c>
      <c r="H551" t="s">
        <v>23</v>
      </c>
      <c r="I551">
        <v>2</v>
      </c>
      <c r="J551" s="9">
        <v>14400</v>
      </c>
      <c r="K551" s="7">
        <v>0.25</v>
      </c>
      <c r="L551" s="9">
        <v>10800</v>
      </c>
      <c r="M551" s="10">
        <f>Sales_Data3[[#This Row],[Profit]]/Sales_Data3[[#This Row],[Sales]]</f>
        <v>0.75</v>
      </c>
      <c r="N551" t="str">
        <f t="shared" si="17"/>
        <v>High</v>
      </c>
      <c r="O551" s="2">
        <v>44391</v>
      </c>
      <c r="P551" s="9">
        <v>14400</v>
      </c>
    </row>
    <row r="552" spans="1:16" x14ac:dyDescent="0.25">
      <c r="A552" t="s">
        <v>573</v>
      </c>
      <c r="B552" s="2">
        <v>44392</v>
      </c>
      <c r="C552">
        <v>2021</v>
      </c>
      <c r="D552" t="str">
        <f t="shared" si="16"/>
        <v>Jul</v>
      </c>
      <c r="E552" t="s">
        <v>13</v>
      </c>
      <c r="F552" t="s">
        <v>16</v>
      </c>
      <c r="G552" t="s">
        <v>21</v>
      </c>
      <c r="H552" t="s">
        <v>24</v>
      </c>
      <c r="I552">
        <v>2</v>
      </c>
      <c r="J552" s="9">
        <v>5400</v>
      </c>
      <c r="K552" s="7">
        <v>0.05</v>
      </c>
      <c r="L552" s="9">
        <v>5130</v>
      </c>
      <c r="M552" s="10">
        <f>Sales_Data3[[#This Row],[Profit]]/Sales_Data3[[#This Row],[Sales]]</f>
        <v>0.95</v>
      </c>
      <c r="N552" t="str">
        <f t="shared" si="17"/>
        <v>Medium</v>
      </c>
      <c r="O552" s="2">
        <v>44392</v>
      </c>
      <c r="P552" s="9">
        <v>5400</v>
      </c>
    </row>
    <row r="553" spans="1:16" x14ac:dyDescent="0.25">
      <c r="A553" t="s">
        <v>574</v>
      </c>
      <c r="B553" s="2">
        <v>44393</v>
      </c>
      <c r="C553">
        <v>2021</v>
      </c>
      <c r="D553" t="str">
        <f t="shared" si="16"/>
        <v>Jul</v>
      </c>
      <c r="E553" t="s">
        <v>13</v>
      </c>
      <c r="F553" t="s">
        <v>2030</v>
      </c>
      <c r="G553" t="s">
        <v>22</v>
      </c>
      <c r="H553" t="s">
        <v>24</v>
      </c>
      <c r="I553">
        <v>4</v>
      </c>
      <c r="J553" s="9">
        <v>12900</v>
      </c>
      <c r="K553" s="7">
        <v>0.1</v>
      </c>
      <c r="L553" s="9">
        <v>11610</v>
      </c>
      <c r="M553" s="10">
        <f>Sales_Data3[[#This Row],[Profit]]/Sales_Data3[[#This Row],[Sales]]</f>
        <v>0.9</v>
      </c>
      <c r="N553" t="str">
        <f t="shared" si="17"/>
        <v>High</v>
      </c>
      <c r="O553" s="2">
        <v>44393</v>
      </c>
      <c r="P553" s="9">
        <v>12900</v>
      </c>
    </row>
    <row r="554" spans="1:16" x14ac:dyDescent="0.25">
      <c r="A554" t="s">
        <v>575</v>
      </c>
      <c r="B554" s="2">
        <v>44394</v>
      </c>
      <c r="C554">
        <v>2021</v>
      </c>
      <c r="D554" t="str">
        <f t="shared" si="16"/>
        <v>Jul</v>
      </c>
      <c r="E554" t="s">
        <v>13</v>
      </c>
      <c r="F554" t="s">
        <v>2031</v>
      </c>
      <c r="G554" t="s">
        <v>19</v>
      </c>
      <c r="H554" t="s">
        <v>24</v>
      </c>
      <c r="I554">
        <v>2</v>
      </c>
      <c r="J554" s="9">
        <v>6500</v>
      </c>
      <c r="K554" s="7">
        <v>0.15000000000000002</v>
      </c>
      <c r="L554" s="9">
        <v>5525</v>
      </c>
      <c r="M554" s="10">
        <f>Sales_Data3[[#This Row],[Profit]]/Sales_Data3[[#This Row],[Sales]]</f>
        <v>0.85</v>
      </c>
      <c r="N554" t="str">
        <f t="shared" si="17"/>
        <v>Medium</v>
      </c>
      <c r="O554" s="2">
        <v>44394</v>
      </c>
      <c r="P554" s="9">
        <v>6500</v>
      </c>
    </row>
    <row r="555" spans="1:16" x14ac:dyDescent="0.25">
      <c r="A555" t="s">
        <v>576</v>
      </c>
      <c r="B555" s="2">
        <v>44395</v>
      </c>
      <c r="C555">
        <v>2021</v>
      </c>
      <c r="D555" t="str">
        <f t="shared" si="16"/>
        <v>Jul</v>
      </c>
      <c r="E555" t="s">
        <v>13</v>
      </c>
      <c r="F555" t="s">
        <v>2032</v>
      </c>
      <c r="G555" t="s">
        <v>20</v>
      </c>
      <c r="H555" t="s">
        <v>24</v>
      </c>
      <c r="I555">
        <v>4</v>
      </c>
      <c r="J555" s="9">
        <v>7300</v>
      </c>
      <c r="K555" s="7">
        <v>0.2</v>
      </c>
      <c r="L555" s="9">
        <v>5840</v>
      </c>
      <c r="M555" s="10">
        <f>Sales_Data3[[#This Row],[Profit]]/Sales_Data3[[#This Row],[Sales]]</f>
        <v>0.8</v>
      </c>
      <c r="N555" t="str">
        <f t="shared" si="17"/>
        <v>Medium</v>
      </c>
      <c r="O555" s="2">
        <v>44395</v>
      </c>
      <c r="P555" s="9">
        <v>7300</v>
      </c>
    </row>
    <row r="556" spans="1:16" x14ac:dyDescent="0.25">
      <c r="A556" t="s">
        <v>577</v>
      </c>
      <c r="B556" s="2">
        <v>44396</v>
      </c>
      <c r="C556">
        <v>2021</v>
      </c>
      <c r="D556" t="str">
        <f t="shared" si="16"/>
        <v>Jul</v>
      </c>
      <c r="E556" t="s">
        <v>13</v>
      </c>
      <c r="F556" t="s">
        <v>2033</v>
      </c>
      <c r="G556" t="s">
        <v>21</v>
      </c>
      <c r="H556" t="s">
        <v>24</v>
      </c>
      <c r="I556">
        <v>9</v>
      </c>
      <c r="J556" s="9">
        <v>14100</v>
      </c>
      <c r="K556" s="7">
        <v>0.25</v>
      </c>
      <c r="L556" s="9">
        <v>10575</v>
      </c>
      <c r="M556" s="10">
        <f>Sales_Data3[[#This Row],[Profit]]/Sales_Data3[[#This Row],[Sales]]</f>
        <v>0.75</v>
      </c>
      <c r="N556" t="str">
        <f t="shared" si="17"/>
        <v>High</v>
      </c>
      <c r="O556" s="2">
        <v>44396</v>
      </c>
      <c r="P556" s="9">
        <v>14100</v>
      </c>
    </row>
    <row r="557" spans="1:16" x14ac:dyDescent="0.25">
      <c r="A557" t="s">
        <v>578</v>
      </c>
      <c r="B557" s="2">
        <v>44397</v>
      </c>
      <c r="C557">
        <v>2021</v>
      </c>
      <c r="D557" t="str">
        <f t="shared" si="16"/>
        <v>Jul</v>
      </c>
      <c r="E557" t="s">
        <v>13</v>
      </c>
      <c r="F557" t="s">
        <v>2034</v>
      </c>
      <c r="G557" t="s">
        <v>22</v>
      </c>
      <c r="H557" t="s">
        <v>24</v>
      </c>
      <c r="I557">
        <v>1</v>
      </c>
      <c r="J557" s="9">
        <v>13500</v>
      </c>
      <c r="K557" s="7">
        <v>0.05</v>
      </c>
      <c r="L557" s="9">
        <v>12825</v>
      </c>
      <c r="M557" s="10">
        <f>Sales_Data3[[#This Row],[Profit]]/Sales_Data3[[#This Row],[Sales]]</f>
        <v>0.95</v>
      </c>
      <c r="N557" t="str">
        <f t="shared" si="17"/>
        <v>High</v>
      </c>
      <c r="O557" s="2">
        <v>44397</v>
      </c>
      <c r="P557" s="9">
        <v>13500</v>
      </c>
    </row>
    <row r="558" spans="1:16" x14ac:dyDescent="0.25">
      <c r="A558" t="s">
        <v>579</v>
      </c>
      <c r="B558" s="2">
        <v>44398</v>
      </c>
      <c r="C558">
        <v>2021</v>
      </c>
      <c r="D558" t="str">
        <f t="shared" si="16"/>
        <v>Jul</v>
      </c>
      <c r="E558" t="s">
        <v>13</v>
      </c>
      <c r="F558" t="s">
        <v>2035</v>
      </c>
      <c r="G558" t="s">
        <v>19</v>
      </c>
      <c r="H558" t="s">
        <v>24</v>
      </c>
      <c r="I558">
        <v>2</v>
      </c>
      <c r="J558" s="9">
        <v>13600</v>
      </c>
      <c r="K558" s="7">
        <v>0.1</v>
      </c>
      <c r="L558" s="9">
        <v>12240</v>
      </c>
      <c r="M558" s="10">
        <f>Sales_Data3[[#This Row],[Profit]]/Sales_Data3[[#This Row],[Sales]]</f>
        <v>0.9</v>
      </c>
      <c r="N558" t="str">
        <f t="shared" si="17"/>
        <v>High</v>
      </c>
      <c r="O558" s="2">
        <v>44398</v>
      </c>
      <c r="P558" s="9">
        <v>13600</v>
      </c>
    </row>
    <row r="559" spans="1:16" x14ac:dyDescent="0.25">
      <c r="A559" t="s">
        <v>580</v>
      </c>
      <c r="B559" s="2">
        <v>44399</v>
      </c>
      <c r="C559">
        <v>2021</v>
      </c>
      <c r="D559" t="str">
        <f t="shared" si="16"/>
        <v>Jul</v>
      </c>
      <c r="E559" t="s">
        <v>13</v>
      </c>
      <c r="F559" t="s">
        <v>2036</v>
      </c>
      <c r="G559" t="s">
        <v>20</v>
      </c>
      <c r="H559" t="s">
        <v>24</v>
      </c>
      <c r="I559">
        <v>4</v>
      </c>
      <c r="J559" s="9">
        <v>7100</v>
      </c>
      <c r="K559" s="7">
        <v>0.15000000000000002</v>
      </c>
      <c r="L559" s="9">
        <v>6035</v>
      </c>
      <c r="M559" s="10">
        <f>Sales_Data3[[#This Row],[Profit]]/Sales_Data3[[#This Row],[Sales]]</f>
        <v>0.85</v>
      </c>
      <c r="N559" t="str">
        <f t="shared" si="17"/>
        <v>Medium</v>
      </c>
      <c r="O559" s="2">
        <v>44399</v>
      </c>
      <c r="P559" s="9">
        <v>7100</v>
      </c>
    </row>
    <row r="560" spans="1:16" x14ac:dyDescent="0.25">
      <c r="A560" t="s">
        <v>581</v>
      </c>
      <c r="B560" s="2">
        <v>44400</v>
      </c>
      <c r="C560">
        <v>2021</v>
      </c>
      <c r="D560" t="str">
        <f t="shared" si="16"/>
        <v>Jul</v>
      </c>
      <c r="E560" t="s">
        <v>13</v>
      </c>
      <c r="F560" t="s">
        <v>2037</v>
      </c>
      <c r="G560" t="s">
        <v>21</v>
      </c>
      <c r="H560" t="s">
        <v>24</v>
      </c>
      <c r="I560">
        <v>6</v>
      </c>
      <c r="J560" s="9">
        <v>13000</v>
      </c>
      <c r="K560" s="7">
        <v>0.2</v>
      </c>
      <c r="L560" s="9">
        <v>10400</v>
      </c>
      <c r="M560" s="10">
        <f>Sales_Data3[[#This Row],[Profit]]/Sales_Data3[[#This Row],[Sales]]</f>
        <v>0.8</v>
      </c>
      <c r="N560" t="str">
        <f t="shared" si="17"/>
        <v>High</v>
      </c>
      <c r="O560" s="2">
        <v>44400</v>
      </c>
      <c r="P560" s="9">
        <v>13000</v>
      </c>
    </row>
    <row r="561" spans="1:16" x14ac:dyDescent="0.25">
      <c r="A561" t="s">
        <v>582</v>
      </c>
      <c r="B561" s="2">
        <v>44401</v>
      </c>
      <c r="C561">
        <v>2021</v>
      </c>
      <c r="D561" t="str">
        <f t="shared" si="16"/>
        <v>Jul</v>
      </c>
      <c r="E561" t="s">
        <v>13</v>
      </c>
      <c r="F561" t="s">
        <v>2038</v>
      </c>
      <c r="G561" t="s">
        <v>22</v>
      </c>
      <c r="H561" t="s">
        <v>24</v>
      </c>
      <c r="I561">
        <v>5</v>
      </c>
      <c r="J561" s="9">
        <v>6900</v>
      </c>
      <c r="K561" s="7">
        <v>0.25</v>
      </c>
      <c r="L561" s="9">
        <v>5175</v>
      </c>
      <c r="M561" s="10">
        <f>Sales_Data3[[#This Row],[Profit]]/Sales_Data3[[#This Row],[Sales]]</f>
        <v>0.75</v>
      </c>
      <c r="N561" t="str">
        <f t="shared" si="17"/>
        <v>Medium</v>
      </c>
      <c r="O561" s="2">
        <v>44401</v>
      </c>
      <c r="P561" s="9">
        <v>6900</v>
      </c>
    </row>
    <row r="562" spans="1:16" x14ac:dyDescent="0.25">
      <c r="A562" t="s">
        <v>583</v>
      </c>
      <c r="B562" s="2">
        <v>44402</v>
      </c>
      <c r="C562">
        <v>2021</v>
      </c>
      <c r="D562" t="str">
        <f t="shared" si="16"/>
        <v>Jul</v>
      </c>
      <c r="E562" t="s">
        <v>14</v>
      </c>
      <c r="F562" t="s">
        <v>2039</v>
      </c>
      <c r="G562" t="s">
        <v>19</v>
      </c>
      <c r="H562" t="s">
        <v>25</v>
      </c>
      <c r="I562">
        <v>5</v>
      </c>
      <c r="J562" s="9">
        <v>11900</v>
      </c>
      <c r="K562" s="7">
        <v>0.05</v>
      </c>
      <c r="L562" s="9">
        <v>11305</v>
      </c>
      <c r="M562" s="10">
        <f>Sales_Data3[[#This Row],[Profit]]/Sales_Data3[[#This Row],[Sales]]</f>
        <v>0.95</v>
      </c>
      <c r="N562" t="str">
        <f t="shared" si="17"/>
        <v>High</v>
      </c>
      <c r="O562" s="2">
        <v>44402</v>
      </c>
      <c r="P562" s="9">
        <v>11900</v>
      </c>
    </row>
    <row r="563" spans="1:16" x14ac:dyDescent="0.25">
      <c r="A563" t="s">
        <v>584</v>
      </c>
      <c r="B563" s="2">
        <v>44403</v>
      </c>
      <c r="C563">
        <v>2021</v>
      </c>
      <c r="D563" t="str">
        <f t="shared" si="16"/>
        <v>Jul</v>
      </c>
      <c r="E563" t="s">
        <v>14</v>
      </c>
      <c r="F563" t="s">
        <v>2040</v>
      </c>
      <c r="G563" t="s">
        <v>20</v>
      </c>
      <c r="H563" t="s">
        <v>25</v>
      </c>
      <c r="I563">
        <v>7</v>
      </c>
      <c r="J563" s="9">
        <v>13600</v>
      </c>
      <c r="K563" s="7">
        <v>0.1</v>
      </c>
      <c r="L563" s="9">
        <v>12240</v>
      </c>
      <c r="M563" s="10">
        <f>Sales_Data3[[#This Row],[Profit]]/Sales_Data3[[#This Row],[Sales]]</f>
        <v>0.9</v>
      </c>
      <c r="N563" t="str">
        <f t="shared" si="17"/>
        <v>High</v>
      </c>
      <c r="O563" s="2">
        <v>44403</v>
      </c>
      <c r="P563" s="9">
        <v>13600</v>
      </c>
    </row>
    <row r="564" spans="1:16" x14ac:dyDescent="0.25">
      <c r="A564" t="s">
        <v>585</v>
      </c>
      <c r="B564" s="2">
        <v>44404</v>
      </c>
      <c r="C564">
        <v>2021</v>
      </c>
      <c r="D564" t="str">
        <f t="shared" si="16"/>
        <v>Jul</v>
      </c>
      <c r="E564" t="s">
        <v>14</v>
      </c>
      <c r="F564" t="s">
        <v>2041</v>
      </c>
      <c r="G564" t="s">
        <v>21</v>
      </c>
      <c r="H564" t="s">
        <v>25</v>
      </c>
      <c r="I564">
        <v>10</v>
      </c>
      <c r="J564" s="9">
        <v>12500</v>
      </c>
      <c r="K564" s="7">
        <v>0.15000000000000002</v>
      </c>
      <c r="L564" s="9">
        <v>10625</v>
      </c>
      <c r="M564" s="10">
        <f>Sales_Data3[[#This Row],[Profit]]/Sales_Data3[[#This Row],[Sales]]</f>
        <v>0.85</v>
      </c>
      <c r="N564" t="str">
        <f t="shared" si="17"/>
        <v>High</v>
      </c>
      <c r="O564" s="2">
        <v>44404</v>
      </c>
      <c r="P564" s="9">
        <v>12500</v>
      </c>
    </row>
    <row r="565" spans="1:16" x14ac:dyDescent="0.25">
      <c r="A565" t="s">
        <v>586</v>
      </c>
      <c r="B565" s="2">
        <v>44405</v>
      </c>
      <c r="C565">
        <v>2021</v>
      </c>
      <c r="D565" t="str">
        <f t="shared" si="16"/>
        <v>Jul</v>
      </c>
      <c r="E565" t="s">
        <v>14</v>
      </c>
      <c r="F565" t="s">
        <v>2042</v>
      </c>
      <c r="G565" t="s">
        <v>22</v>
      </c>
      <c r="H565" t="s">
        <v>25</v>
      </c>
      <c r="I565">
        <v>8</v>
      </c>
      <c r="J565" s="9">
        <v>7200</v>
      </c>
      <c r="K565" s="7">
        <v>0.2</v>
      </c>
      <c r="L565" s="9">
        <v>5760</v>
      </c>
      <c r="M565" s="10">
        <f>Sales_Data3[[#This Row],[Profit]]/Sales_Data3[[#This Row],[Sales]]</f>
        <v>0.8</v>
      </c>
      <c r="N565" t="str">
        <f t="shared" si="17"/>
        <v>Medium</v>
      </c>
      <c r="O565" s="2">
        <v>44405</v>
      </c>
      <c r="P565" s="9">
        <v>7200</v>
      </c>
    </row>
    <row r="566" spans="1:16" x14ac:dyDescent="0.25">
      <c r="A566" t="s">
        <v>587</v>
      </c>
      <c r="B566" s="2">
        <v>44406</v>
      </c>
      <c r="C566">
        <v>2021</v>
      </c>
      <c r="D566" t="str">
        <f t="shared" si="16"/>
        <v>Jul</v>
      </c>
      <c r="E566" t="s">
        <v>14</v>
      </c>
      <c r="F566" t="s">
        <v>2043</v>
      </c>
      <c r="G566" t="s">
        <v>19</v>
      </c>
      <c r="H566" t="s">
        <v>25</v>
      </c>
      <c r="I566">
        <v>7</v>
      </c>
      <c r="J566" s="9">
        <v>11000</v>
      </c>
      <c r="K566" s="7">
        <v>0.25</v>
      </c>
      <c r="L566" s="9">
        <v>8250</v>
      </c>
      <c r="M566" s="10">
        <f>Sales_Data3[[#This Row],[Profit]]/Sales_Data3[[#This Row],[Sales]]</f>
        <v>0.75</v>
      </c>
      <c r="N566" t="str">
        <f t="shared" si="17"/>
        <v>High</v>
      </c>
      <c r="O566" s="2">
        <v>44406</v>
      </c>
      <c r="P566" s="9">
        <v>11000</v>
      </c>
    </row>
    <row r="567" spans="1:16" x14ac:dyDescent="0.25">
      <c r="A567" t="s">
        <v>588</v>
      </c>
      <c r="B567" s="2">
        <v>44407</v>
      </c>
      <c r="C567">
        <v>2021</v>
      </c>
      <c r="D567" t="str">
        <f t="shared" si="16"/>
        <v>Jul</v>
      </c>
      <c r="E567" t="s">
        <v>14</v>
      </c>
      <c r="F567" t="s">
        <v>2044</v>
      </c>
      <c r="G567" t="s">
        <v>20</v>
      </c>
      <c r="H567" t="s">
        <v>25</v>
      </c>
      <c r="I567">
        <v>1</v>
      </c>
      <c r="J567" s="9">
        <v>10800</v>
      </c>
      <c r="K567" s="7">
        <v>0.05</v>
      </c>
      <c r="L567" s="9">
        <v>10260</v>
      </c>
      <c r="M567" s="10">
        <f>Sales_Data3[[#This Row],[Profit]]/Sales_Data3[[#This Row],[Sales]]</f>
        <v>0.95</v>
      </c>
      <c r="N567" t="str">
        <f t="shared" si="17"/>
        <v>High</v>
      </c>
      <c r="O567" s="2">
        <v>44407</v>
      </c>
      <c r="P567" s="9">
        <v>10800</v>
      </c>
    </row>
    <row r="568" spans="1:16" x14ac:dyDescent="0.25">
      <c r="A568" t="s">
        <v>589</v>
      </c>
      <c r="B568" s="2">
        <v>44408</v>
      </c>
      <c r="C568">
        <v>2021</v>
      </c>
      <c r="D568" t="str">
        <f t="shared" si="16"/>
        <v>Jul</v>
      </c>
      <c r="E568" t="s">
        <v>14</v>
      </c>
      <c r="F568" t="s">
        <v>2045</v>
      </c>
      <c r="G568" t="s">
        <v>21</v>
      </c>
      <c r="H568" t="s">
        <v>25</v>
      </c>
      <c r="I568">
        <v>8</v>
      </c>
      <c r="J568" s="9">
        <v>13900</v>
      </c>
      <c r="K568" s="7">
        <v>0.1</v>
      </c>
      <c r="L568" s="9">
        <v>12510</v>
      </c>
      <c r="M568" s="10">
        <f>Sales_Data3[[#This Row],[Profit]]/Sales_Data3[[#This Row],[Sales]]</f>
        <v>0.9</v>
      </c>
      <c r="N568" t="str">
        <f t="shared" si="17"/>
        <v>High</v>
      </c>
      <c r="O568" s="2">
        <v>44408</v>
      </c>
      <c r="P568" s="9">
        <v>13900</v>
      </c>
    </row>
    <row r="569" spans="1:16" x14ac:dyDescent="0.25">
      <c r="A569" t="s">
        <v>590</v>
      </c>
      <c r="B569" s="2">
        <v>44409</v>
      </c>
      <c r="C569">
        <v>2021</v>
      </c>
      <c r="D569" t="str">
        <f t="shared" si="16"/>
        <v>Aug</v>
      </c>
      <c r="E569" t="s">
        <v>14</v>
      </c>
      <c r="F569" t="s">
        <v>2046</v>
      </c>
      <c r="G569" t="s">
        <v>22</v>
      </c>
      <c r="H569" t="s">
        <v>25</v>
      </c>
      <c r="I569">
        <v>8</v>
      </c>
      <c r="J569" s="9">
        <v>12700</v>
      </c>
      <c r="K569" s="7">
        <v>0.15000000000000002</v>
      </c>
      <c r="L569" s="9">
        <v>10795</v>
      </c>
      <c r="M569" s="10">
        <f>Sales_Data3[[#This Row],[Profit]]/Sales_Data3[[#This Row],[Sales]]</f>
        <v>0.85</v>
      </c>
      <c r="N569" t="str">
        <f t="shared" si="17"/>
        <v>High</v>
      </c>
      <c r="O569" s="2">
        <v>44409</v>
      </c>
      <c r="P569" s="9">
        <v>12700</v>
      </c>
    </row>
    <row r="570" spans="1:16" x14ac:dyDescent="0.25">
      <c r="A570" t="s">
        <v>591</v>
      </c>
      <c r="B570" s="2">
        <v>44410</v>
      </c>
      <c r="C570">
        <v>2021</v>
      </c>
      <c r="D570" t="str">
        <f t="shared" si="16"/>
        <v>Aug</v>
      </c>
      <c r="E570" t="s">
        <v>14</v>
      </c>
      <c r="F570" t="s">
        <v>2047</v>
      </c>
      <c r="G570" t="s">
        <v>19</v>
      </c>
      <c r="H570" t="s">
        <v>25</v>
      </c>
      <c r="I570">
        <v>7</v>
      </c>
      <c r="J570" s="9">
        <v>11500</v>
      </c>
      <c r="K570" s="7">
        <v>0.2</v>
      </c>
      <c r="L570" s="9">
        <v>9200</v>
      </c>
      <c r="M570" s="10">
        <f>Sales_Data3[[#This Row],[Profit]]/Sales_Data3[[#This Row],[Sales]]</f>
        <v>0.8</v>
      </c>
      <c r="N570" t="str">
        <f t="shared" si="17"/>
        <v>High</v>
      </c>
      <c r="O570" s="2">
        <v>44410</v>
      </c>
      <c r="P570" s="9">
        <v>11500</v>
      </c>
    </row>
    <row r="571" spans="1:16" x14ac:dyDescent="0.25">
      <c r="A571" t="s">
        <v>592</v>
      </c>
      <c r="B571" s="2">
        <v>44411</v>
      </c>
      <c r="C571">
        <v>2021</v>
      </c>
      <c r="D571" t="str">
        <f t="shared" si="16"/>
        <v>Aug</v>
      </c>
      <c r="E571" t="s">
        <v>14</v>
      </c>
      <c r="F571" t="s">
        <v>2048</v>
      </c>
      <c r="G571" t="s">
        <v>20</v>
      </c>
      <c r="H571" t="s">
        <v>25</v>
      </c>
      <c r="I571">
        <v>7</v>
      </c>
      <c r="J571" s="9">
        <v>7600</v>
      </c>
      <c r="K571" s="7">
        <v>0.25</v>
      </c>
      <c r="L571" s="9">
        <v>5700</v>
      </c>
      <c r="M571" s="10">
        <f>Sales_Data3[[#This Row],[Profit]]/Sales_Data3[[#This Row],[Sales]]</f>
        <v>0.75</v>
      </c>
      <c r="N571" t="str">
        <f t="shared" si="17"/>
        <v>Medium</v>
      </c>
      <c r="O571" s="2">
        <v>44411</v>
      </c>
      <c r="P571" s="9">
        <v>7600</v>
      </c>
    </row>
    <row r="572" spans="1:16" x14ac:dyDescent="0.25">
      <c r="A572" t="s">
        <v>593</v>
      </c>
      <c r="B572" s="2">
        <v>44412</v>
      </c>
      <c r="C572">
        <v>2021</v>
      </c>
      <c r="D572" t="str">
        <f t="shared" si="16"/>
        <v>Aug</v>
      </c>
      <c r="E572" t="s">
        <v>12</v>
      </c>
      <c r="F572" t="s">
        <v>15</v>
      </c>
      <c r="G572" t="s">
        <v>21</v>
      </c>
      <c r="H572" t="s">
        <v>23</v>
      </c>
      <c r="I572">
        <v>1</v>
      </c>
      <c r="J572" s="9">
        <v>14500</v>
      </c>
      <c r="K572" s="7">
        <v>0.05</v>
      </c>
      <c r="L572" s="9">
        <v>13775</v>
      </c>
      <c r="M572" s="10">
        <f>Sales_Data3[[#This Row],[Profit]]/Sales_Data3[[#This Row],[Sales]]</f>
        <v>0.95</v>
      </c>
      <c r="N572" t="str">
        <f t="shared" si="17"/>
        <v>High</v>
      </c>
      <c r="O572" s="2">
        <v>44412</v>
      </c>
      <c r="P572" s="9">
        <v>14500</v>
      </c>
    </row>
    <row r="573" spans="1:16" x14ac:dyDescent="0.25">
      <c r="A573" t="s">
        <v>594</v>
      </c>
      <c r="B573" s="2">
        <v>44413</v>
      </c>
      <c r="C573">
        <v>2021</v>
      </c>
      <c r="D573" t="str">
        <f t="shared" si="16"/>
        <v>Aug</v>
      </c>
      <c r="E573" t="s">
        <v>12</v>
      </c>
      <c r="F573" t="s">
        <v>17</v>
      </c>
      <c r="G573" t="s">
        <v>22</v>
      </c>
      <c r="H573" t="s">
        <v>23</v>
      </c>
      <c r="I573">
        <v>6</v>
      </c>
      <c r="J573" s="9">
        <v>5800</v>
      </c>
      <c r="K573" s="7">
        <v>0.1</v>
      </c>
      <c r="L573" s="9">
        <v>5220</v>
      </c>
      <c r="M573" s="10">
        <f>Sales_Data3[[#This Row],[Profit]]/Sales_Data3[[#This Row],[Sales]]</f>
        <v>0.9</v>
      </c>
      <c r="N573" t="str">
        <f t="shared" si="17"/>
        <v>Medium</v>
      </c>
      <c r="O573" s="2">
        <v>44413</v>
      </c>
      <c r="P573" s="9">
        <v>5800</v>
      </c>
    </row>
    <row r="574" spans="1:16" x14ac:dyDescent="0.25">
      <c r="A574" t="s">
        <v>595</v>
      </c>
      <c r="B574" s="2">
        <v>44414</v>
      </c>
      <c r="C574">
        <v>2021</v>
      </c>
      <c r="D574" t="str">
        <f t="shared" si="16"/>
        <v>Aug</v>
      </c>
      <c r="E574" t="s">
        <v>12</v>
      </c>
      <c r="F574" t="s">
        <v>2023</v>
      </c>
      <c r="G574" t="s">
        <v>19</v>
      </c>
      <c r="H574" t="s">
        <v>23</v>
      </c>
      <c r="I574">
        <v>6</v>
      </c>
      <c r="J574" s="9">
        <v>10700</v>
      </c>
      <c r="K574" s="7">
        <v>0.15000000000000002</v>
      </c>
      <c r="L574" s="9">
        <v>9095</v>
      </c>
      <c r="M574" s="10">
        <f>Sales_Data3[[#This Row],[Profit]]/Sales_Data3[[#This Row],[Sales]]</f>
        <v>0.85</v>
      </c>
      <c r="N574" t="str">
        <f t="shared" si="17"/>
        <v>High</v>
      </c>
      <c r="O574" s="2">
        <v>44414</v>
      </c>
      <c r="P574" s="9">
        <v>10700</v>
      </c>
    </row>
    <row r="575" spans="1:16" x14ac:dyDescent="0.25">
      <c r="A575" t="s">
        <v>596</v>
      </c>
      <c r="B575" s="2">
        <v>44415</v>
      </c>
      <c r="C575">
        <v>2021</v>
      </c>
      <c r="D575" t="str">
        <f t="shared" si="16"/>
        <v>Aug</v>
      </c>
      <c r="E575" t="s">
        <v>12</v>
      </c>
      <c r="F575" t="s">
        <v>18</v>
      </c>
      <c r="G575" t="s">
        <v>20</v>
      </c>
      <c r="H575" t="s">
        <v>23</v>
      </c>
      <c r="I575">
        <v>5</v>
      </c>
      <c r="J575" s="9">
        <v>4900</v>
      </c>
      <c r="K575" s="7">
        <v>0.2</v>
      </c>
      <c r="L575" s="9">
        <v>3920</v>
      </c>
      <c r="M575" s="10">
        <f>Sales_Data3[[#This Row],[Profit]]/Sales_Data3[[#This Row],[Sales]]</f>
        <v>0.8</v>
      </c>
      <c r="N575" t="str">
        <f t="shared" si="17"/>
        <v>Low</v>
      </c>
      <c r="O575" s="2">
        <v>44415</v>
      </c>
      <c r="P575" s="9">
        <v>4900</v>
      </c>
    </row>
    <row r="576" spans="1:16" x14ac:dyDescent="0.25">
      <c r="A576" t="s">
        <v>597</v>
      </c>
      <c r="B576" s="2">
        <v>44416</v>
      </c>
      <c r="C576">
        <v>2021</v>
      </c>
      <c r="D576" t="str">
        <f t="shared" si="16"/>
        <v>Aug</v>
      </c>
      <c r="E576" t="s">
        <v>12</v>
      </c>
      <c r="F576" t="s">
        <v>2024</v>
      </c>
      <c r="G576" t="s">
        <v>21</v>
      </c>
      <c r="H576" t="s">
        <v>23</v>
      </c>
      <c r="I576">
        <v>10</v>
      </c>
      <c r="J576" s="9">
        <v>8400</v>
      </c>
      <c r="K576" s="7">
        <v>0.25</v>
      </c>
      <c r="L576" s="9">
        <v>6300</v>
      </c>
      <c r="M576" s="10">
        <f>Sales_Data3[[#This Row],[Profit]]/Sales_Data3[[#This Row],[Sales]]</f>
        <v>0.75</v>
      </c>
      <c r="N576" t="str">
        <f t="shared" si="17"/>
        <v>Medium</v>
      </c>
      <c r="O576" s="2">
        <v>44416</v>
      </c>
      <c r="P576" s="9">
        <v>8400</v>
      </c>
    </row>
    <row r="577" spans="1:16" x14ac:dyDescent="0.25">
      <c r="A577" t="s">
        <v>598</v>
      </c>
      <c r="B577" s="2">
        <v>44417</v>
      </c>
      <c r="C577">
        <v>2021</v>
      </c>
      <c r="D577" t="str">
        <f t="shared" si="16"/>
        <v>Aug</v>
      </c>
      <c r="E577" t="s">
        <v>12</v>
      </c>
      <c r="F577" t="s">
        <v>2025</v>
      </c>
      <c r="G577" t="s">
        <v>22</v>
      </c>
      <c r="H577" t="s">
        <v>23</v>
      </c>
      <c r="I577">
        <v>5</v>
      </c>
      <c r="J577" s="9">
        <v>10800</v>
      </c>
      <c r="K577" s="7">
        <v>0.05</v>
      </c>
      <c r="L577" s="9">
        <v>10260</v>
      </c>
      <c r="M577" s="10">
        <f>Sales_Data3[[#This Row],[Profit]]/Sales_Data3[[#This Row],[Sales]]</f>
        <v>0.95</v>
      </c>
      <c r="N577" t="str">
        <f t="shared" si="17"/>
        <v>High</v>
      </c>
      <c r="O577" s="2">
        <v>44417</v>
      </c>
      <c r="P577" s="9">
        <v>10800</v>
      </c>
    </row>
    <row r="578" spans="1:16" x14ac:dyDescent="0.25">
      <c r="A578" t="s">
        <v>599</v>
      </c>
      <c r="B578" s="2">
        <v>44418</v>
      </c>
      <c r="C578">
        <v>2021</v>
      </c>
      <c r="D578" t="str">
        <f t="shared" ref="D578:D641" si="18">TEXT(B578,"MMM")</f>
        <v>Aug</v>
      </c>
      <c r="E578" t="s">
        <v>12</v>
      </c>
      <c r="F578" t="s">
        <v>2026</v>
      </c>
      <c r="G578" t="s">
        <v>19</v>
      </c>
      <c r="H578" t="s">
        <v>23</v>
      </c>
      <c r="I578">
        <v>5</v>
      </c>
      <c r="J578" s="9">
        <v>13500</v>
      </c>
      <c r="K578" s="7">
        <v>0.1</v>
      </c>
      <c r="L578" s="9">
        <v>12150</v>
      </c>
      <c r="M578" s="10">
        <f>Sales_Data3[[#This Row],[Profit]]/Sales_Data3[[#This Row],[Sales]]</f>
        <v>0.9</v>
      </c>
      <c r="N578" t="str">
        <f t="shared" ref="N578:N641" si="19">IF(J578&gt;10000,"High",IF(J578&gt;5000,"Medium","Low"))</f>
        <v>High</v>
      </c>
      <c r="O578" s="2">
        <v>44418</v>
      </c>
      <c r="P578" s="9">
        <v>13500</v>
      </c>
    </row>
    <row r="579" spans="1:16" x14ac:dyDescent="0.25">
      <c r="A579" t="s">
        <v>600</v>
      </c>
      <c r="B579" s="2">
        <v>44419</v>
      </c>
      <c r="C579">
        <v>2021</v>
      </c>
      <c r="D579" t="str">
        <f t="shared" si="18"/>
        <v>Aug</v>
      </c>
      <c r="E579" t="s">
        <v>12</v>
      </c>
      <c r="F579" t="s">
        <v>2027</v>
      </c>
      <c r="G579" t="s">
        <v>20</v>
      </c>
      <c r="H579" t="s">
        <v>23</v>
      </c>
      <c r="I579">
        <v>8</v>
      </c>
      <c r="J579" s="9">
        <v>9600</v>
      </c>
      <c r="K579" s="7">
        <v>0.15000000000000002</v>
      </c>
      <c r="L579" s="9">
        <v>8160</v>
      </c>
      <c r="M579" s="10">
        <f>Sales_Data3[[#This Row],[Profit]]/Sales_Data3[[#This Row],[Sales]]</f>
        <v>0.85</v>
      </c>
      <c r="N579" t="str">
        <f t="shared" si="19"/>
        <v>Medium</v>
      </c>
      <c r="O579" s="2">
        <v>44419</v>
      </c>
      <c r="P579" s="9">
        <v>9600</v>
      </c>
    </row>
    <row r="580" spans="1:16" x14ac:dyDescent="0.25">
      <c r="A580" t="s">
        <v>601</v>
      </c>
      <c r="B580" s="2">
        <v>44420</v>
      </c>
      <c r="C580">
        <v>2021</v>
      </c>
      <c r="D580" t="str">
        <f t="shared" si="18"/>
        <v>Aug</v>
      </c>
      <c r="E580" t="s">
        <v>12</v>
      </c>
      <c r="F580" t="s">
        <v>2028</v>
      </c>
      <c r="G580" t="s">
        <v>21</v>
      </c>
      <c r="H580" t="s">
        <v>23</v>
      </c>
      <c r="I580">
        <v>6</v>
      </c>
      <c r="J580" s="9">
        <v>8100</v>
      </c>
      <c r="K580" s="7">
        <v>0.2</v>
      </c>
      <c r="L580" s="9">
        <v>6480</v>
      </c>
      <c r="M580" s="10">
        <f>Sales_Data3[[#This Row],[Profit]]/Sales_Data3[[#This Row],[Sales]]</f>
        <v>0.8</v>
      </c>
      <c r="N580" t="str">
        <f t="shared" si="19"/>
        <v>Medium</v>
      </c>
      <c r="O580" s="2">
        <v>44420</v>
      </c>
      <c r="P580" s="9">
        <v>8100</v>
      </c>
    </row>
    <row r="581" spans="1:16" x14ac:dyDescent="0.25">
      <c r="A581" t="s">
        <v>602</v>
      </c>
      <c r="B581" s="2">
        <v>44421</v>
      </c>
      <c r="C581">
        <v>2021</v>
      </c>
      <c r="D581" t="str">
        <f t="shared" si="18"/>
        <v>Aug</v>
      </c>
      <c r="E581" t="s">
        <v>12</v>
      </c>
      <c r="F581" t="s">
        <v>2029</v>
      </c>
      <c r="G581" t="s">
        <v>22</v>
      </c>
      <c r="H581" t="s">
        <v>23</v>
      </c>
      <c r="I581">
        <v>6</v>
      </c>
      <c r="J581" s="9">
        <v>5400</v>
      </c>
      <c r="K581" s="7">
        <v>0.25</v>
      </c>
      <c r="L581" s="9">
        <v>4050</v>
      </c>
      <c r="M581" s="10">
        <f>Sales_Data3[[#This Row],[Profit]]/Sales_Data3[[#This Row],[Sales]]</f>
        <v>0.75</v>
      </c>
      <c r="N581" t="str">
        <f t="shared" si="19"/>
        <v>Medium</v>
      </c>
      <c r="O581" s="2">
        <v>44421</v>
      </c>
      <c r="P581" s="9">
        <v>5400</v>
      </c>
    </row>
    <row r="582" spans="1:16" x14ac:dyDescent="0.25">
      <c r="A582" t="s">
        <v>603</v>
      </c>
      <c r="B582" s="2">
        <v>44422</v>
      </c>
      <c r="C582">
        <v>2021</v>
      </c>
      <c r="D582" t="str">
        <f t="shared" si="18"/>
        <v>Aug</v>
      </c>
      <c r="E582" t="s">
        <v>13</v>
      </c>
      <c r="F582" t="s">
        <v>16</v>
      </c>
      <c r="G582" t="s">
        <v>19</v>
      </c>
      <c r="H582" t="s">
        <v>24</v>
      </c>
      <c r="I582">
        <v>4</v>
      </c>
      <c r="J582" s="9">
        <v>5200</v>
      </c>
      <c r="K582" s="7">
        <v>0.05</v>
      </c>
      <c r="L582" s="9">
        <v>4940</v>
      </c>
      <c r="M582" s="10">
        <f>Sales_Data3[[#This Row],[Profit]]/Sales_Data3[[#This Row],[Sales]]</f>
        <v>0.95</v>
      </c>
      <c r="N582" t="str">
        <f t="shared" si="19"/>
        <v>Medium</v>
      </c>
      <c r="O582" s="2">
        <v>44422</v>
      </c>
      <c r="P582" s="9">
        <v>5200</v>
      </c>
    </row>
    <row r="583" spans="1:16" x14ac:dyDescent="0.25">
      <c r="A583" t="s">
        <v>604</v>
      </c>
      <c r="B583" s="2">
        <v>44423</v>
      </c>
      <c r="C583">
        <v>2021</v>
      </c>
      <c r="D583" t="str">
        <f t="shared" si="18"/>
        <v>Aug</v>
      </c>
      <c r="E583" t="s">
        <v>13</v>
      </c>
      <c r="F583" t="s">
        <v>2030</v>
      </c>
      <c r="G583" t="s">
        <v>20</v>
      </c>
      <c r="H583" t="s">
        <v>24</v>
      </c>
      <c r="I583">
        <v>10</v>
      </c>
      <c r="J583" s="9">
        <v>6300</v>
      </c>
      <c r="K583" s="7">
        <v>0.1</v>
      </c>
      <c r="L583" s="9">
        <v>5670</v>
      </c>
      <c r="M583" s="10">
        <f>Sales_Data3[[#This Row],[Profit]]/Sales_Data3[[#This Row],[Sales]]</f>
        <v>0.9</v>
      </c>
      <c r="N583" t="str">
        <f t="shared" si="19"/>
        <v>Medium</v>
      </c>
      <c r="O583" s="2">
        <v>44423</v>
      </c>
      <c r="P583" s="9">
        <v>6300</v>
      </c>
    </row>
    <row r="584" spans="1:16" x14ac:dyDescent="0.25">
      <c r="A584" t="s">
        <v>605</v>
      </c>
      <c r="B584" s="2">
        <v>44424</v>
      </c>
      <c r="C584">
        <v>2021</v>
      </c>
      <c r="D584" t="str">
        <f t="shared" si="18"/>
        <v>Aug</v>
      </c>
      <c r="E584" t="s">
        <v>13</v>
      </c>
      <c r="F584" t="s">
        <v>2031</v>
      </c>
      <c r="G584" t="s">
        <v>21</v>
      </c>
      <c r="H584" t="s">
        <v>24</v>
      </c>
      <c r="I584">
        <v>9</v>
      </c>
      <c r="J584" s="9">
        <v>8200</v>
      </c>
      <c r="K584" s="7">
        <v>0.15000000000000002</v>
      </c>
      <c r="L584" s="9">
        <v>6970</v>
      </c>
      <c r="M584" s="10">
        <f>Sales_Data3[[#This Row],[Profit]]/Sales_Data3[[#This Row],[Sales]]</f>
        <v>0.85</v>
      </c>
      <c r="N584" t="str">
        <f t="shared" si="19"/>
        <v>Medium</v>
      </c>
      <c r="O584" s="2">
        <v>44424</v>
      </c>
      <c r="P584" s="9">
        <v>8200</v>
      </c>
    </row>
    <row r="585" spans="1:16" x14ac:dyDescent="0.25">
      <c r="A585" t="s">
        <v>606</v>
      </c>
      <c r="B585" s="2">
        <v>44425</v>
      </c>
      <c r="C585">
        <v>2021</v>
      </c>
      <c r="D585" t="str">
        <f t="shared" si="18"/>
        <v>Aug</v>
      </c>
      <c r="E585" t="s">
        <v>13</v>
      </c>
      <c r="F585" t="s">
        <v>2032</v>
      </c>
      <c r="G585" t="s">
        <v>22</v>
      </c>
      <c r="H585" t="s">
        <v>24</v>
      </c>
      <c r="I585">
        <v>7</v>
      </c>
      <c r="J585" s="9">
        <v>13000</v>
      </c>
      <c r="K585" s="7">
        <v>0.2</v>
      </c>
      <c r="L585" s="9">
        <v>10400</v>
      </c>
      <c r="M585" s="10">
        <f>Sales_Data3[[#This Row],[Profit]]/Sales_Data3[[#This Row],[Sales]]</f>
        <v>0.8</v>
      </c>
      <c r="N585" t="str">
        <f t="shared" si="19"/>
        <v>High</v>
      </c>
      <c r="O585" s="2">
        <v>44425</v>
      </c>
      <c r="P585" s="9">
        <v>13000</v>
      </c>
    </row>
    <row r="586" spans="1:16" x14ac:dyDescent="0.25">
      <c r="A586" t="s">
        <v>607</v>
      </c>
      <c r="B586" s="2">
        <v>44426</v>
      </c>
      <c r="C586">
        <v>2021</v>
      </c>
      <c r="D586" t="str">
        <f t="shared" si="18"/>
        <v>Aug</v>
      </c>
      <c r="E586" t="s">
        <v>13</v>
      </c>
      <c r="F586" t="s">
        <v>2033</v>
      </c>
      <c r="G586" t="s">
        <v>19</v>
      </c>
      <c r="H586" t="s">
        <v>24</v>
      </c>
      <c r="I586">
        <v>6</v>
      </c>
      <c r="J586" s="9">
        <v>11500</v>
      </c>
      <c r="K586" s="7">
        <v>0.25</v>
      </c>
      <c r="L586" s="9">
        <v>8625</v>
      </c>
      <c r="M586" s="10">
        <f>Sales_Data3[[#This Row],[Profit]]/Sales_Data3[[#This Row],[Sales]]</f>
        <v>0.75</v>
      </c>
      <c r="N586" t="str">
        <f t="shared" si="19"/>
        <v>High</v>
      </c>
      <c r="O586" s="2">
        <v>44426</v>
      </c>
      <c r="P586" s="9">
        <v>11500</v>
      </c>
    </row>
    <row r="587" spans="1:16" x14ac:dyDescent="0.25">
      <c r="A587" t="s">
        <v>608</v>
      </c>
      <c r="B587" s="2">
        <v>44427</v>
      </c>
      <c r="C587">
        <v>2021</v>
      </c>
      <c r="D587" t="str">
        <f t="shared" si="18"/>
        <v>Aug</v>
      </c>
      <c r="E587" t="s">
        <v>13</v>
      </c>
      <c r="F587" t="s">
        <v>2034</v>
      </c>
      <c r="G587" t="s">
        <v>20</v>
      </c>
      <c r="H587" t="s">
        <v>24</v>
      </c>
      <c r="I587">
        <v>1</v>
      </c>
      <c r="J587" s="9">
        <v>8300</v>
      </c>
      <c r="K587" s="7">
        <v>0.05</v>
      </c>
      <c r="L587" s="9">
        <v>7885</v>
      </c>
      <c r="M587" s="10">
        <f>Sales_Data3[[#This Row],[Profit]]/Sales_Data3[[#This Row],[Sales]]</f>
        <v>0.95</v>
      </c>
      <c r="N587" t="str">
        <f t="shared" si="19"/>
        <v>Medium</v>
      </c>
      <c r="O587" s="2">
        <v>44427</v>
      </c>
      <c r="P587" s="9">
        <v>8300</v>
      </c>
    </row>
    <row r="588" spans="1:16" x14ac:dyDescent="0.25">
      <c r="A588" t="s">
        <v>609</v>
      </c>
      <c r="B588" s="2">
        <v>44428</v>
      </c>
      <c r="C588">
        <v>2021</v>
      </c>
      <c r="D588" t="str">
        <f t="shared" si="18"/>
        <v>Aug</v>
      </c>
      <c r="E588" t="s">
        <v>13</v>
      </c>
      <c r="F588" t="s">
        <v>2035</v>
      </c>
      <c r="G588" t="s">
        <v>21</v>
      </c>
      <c r="H588" t="s">
        <v>24</v>
      </c>
      <c r="I588">
        <v>10</v>
      </c>
      <c r="J588" s="9">
        <v>6700</v>
      </c>
      <c r="K588" s="7">
        <v>0.1</v>
      </c>
      <c r="L588" s="9">
        <v>6030</v>
      </c>
      <c r="M588" s="10">
        <f>Sales_Data3[[#This Row],[Profit]]/Sales_Data3[[#This Row],[Sales]]</f>
        <v>0.9</v>
      </c>
      <c r="N588" t="str">
        <f t="shared" si="19"/>
        <v>Medium</v>
      </c>
      <c r="O588" s="2">
        <v>44428</v>
      </c>
      <c r="P588" s="9">
        <v>6700</v>
      </c>
    </row>
    <row r="589" spans="1:16" x14ac:dyDescent="0.25">
      <c r="A589" t="s">
        <v>610</v>
      </c>
      <c r="B589" s="2">
        <v>44429</v>
      </c>
      <c r="C589">
        <v>2021</v>
      </c>
      <c r="D589" t="str">
        <f t="shared" si="18"/>
        <v>Aug</v>
      </c>
      <c r="E589" t="s">
        <v>13</v>
      </c>
      <c r="F589" t="s">
        <v>2036</v>
      </c>
      <c r="G589" t="s">
        <v>22</v>
      </c>
      <c r="H589" t="s">
        <v>24</v>
      </c>
      <c r="I589">
        <v>4</v>
      </c>
      <c r="J589" s="9">
        <v>13300</v>
      </c>
      <c r="K589" s="7">
        <v>0.15000000000000002</v>
      </c>
      <c r="L589" s="9">
        <v>11305</v>
      </c>
      <c r="M589" s="10">
        <f>Sales_Data3[[#This Row],[Profit]]/Sales_Data3[[#This Row],[Sales]]</f>
        <v>0.85</v>
      </c>
      <c r="N589" t="str">
        <f t="shared" si="19"/>
        <v>High</v>
      </c>
      <c r="O589" s="2">
        <v>44429</v>
      </c>
      <c r="P589" s="9">
        <v>13300</v>
      </c>
    </row>
    <row r="590" spans="1:16" x14ac:dyDescent="0.25">
      <c r="A590" t="s">
        <v>611</v>
      </c>
      <c r="B590" s="2">
        <v>44430</v>
      </c>
      <c r="C590">
        <v>2021</v>
      </c>
      <c r="D590" t="str">
        <f t="shared" si="18"/>
        <v>Aug</v>
      </c>
      <c r="E590" t="s">
        <v>13</v>
      </c>
      <c r="F590" t="s">
        <v>2037</v>
      </c>
      <c r="G590" t="s">
        <v>19</v>
      </c>
      <c r="H590" t="s">
        <v>24</v>
      </c>
      <c r="I590">
        <v>7</v>
      </c>
      <c r="J590" s="9">
        <v>6100</v>
      </c>
      <c r="K590" s="7">
        <v>0.2</v>
      </c>
      <c r="L590" s="9">
        <v>4880</v>
      </c>
      <c r="M590" s="10">
        <f>Sales_Data3[[#This Row],[Profit]]/Sales_Data3[[#This Row],[Sales]]</f>
        <v>0.8</v>
      </c>
      <c r="N590" t="str">
        <f t="shared" si="19"/>
        <v>Medium</v>
      </c>
      <c r="O590" s="2">
        <v>44430</v>
      </c>
      <c r="P590" s="9">
        <v>6100</v>
      </c>
    </row>
    <row r="591" spans="1:16" x14ac:dyDescent="0.25">
      <c r="A591" t="s">
        <v>612</v>
      </c>
      <c r="B591" s="2">
        <v>44431</v>
      </c>
      <c r="C591">
        <v>2021</v>
      </c>
      <c r="D591" t="str">
        <f t="shared" si="18"/>
        <v>Aug</v>
      </c>
      <c r="E591" t="s">
        <v>13</v>
      </c>
      <c r="F591" t="s">
        <v>2038</v>
      </c>
      <c r="G591" t="s">
        <v>20</v>
      </c>
      <c r="H591" t="s">
        <v>24</v>
      </c>
      <c r="I591">
        <v>5</v>
      </c>
      <c r="J591" s="9">
        <v>12500</v>
      </c>
      <c r="K591" s="7">
        <v>0.25</v>
      </c>
      <c r="L591" s="9">
        <v>9375</v>
      </c>
      <c r="M591" s="10">
        <f>Sales_Data3[[#This Row],[Profit]]/Sales_Data3[[#This Row],[Sales]]</f>
        <v>0.75</v>
      </c>
      <c r="N591" t="str">
        <f t="shared" si="19"/>
        <v>High</v>
      </c>
      <c r="O591" s="2">
        <v>44431</v>
      </c>
      <c r="P591" s="9">
        <v>12500</v>
      </c>
    </row>
    <row r="592" spans="1:16" x14ac:dyDescent="0.25">
      <c r="A592" t="s">
        <v>613</v>
      </c>
      <c r="B592" s="2">
        <v>44432</v>
      </c>
      <c r="C592">
        <v>2021</v>
      </c>
      <c r="D592" t="str">
        <f t="shared" si="18"/>
        <v>Aug</v>
      </c>
      <c r="E592" t="s">
        <v>14</v>
      </c>
      <c r="F592" t="s">
        <v>2039</v>
      </c>
      <c r="G592" t="s">
        <v>21</v>
      </c>
      <c r="H592" t="s">
        <v>25</v>
      </c>
      <c r="I592">
        <v>3</v>
      </c>
      <c r="J592" s="9">
        <v>4100</v>
      </c>
      <c r="K592" s="7">
        <v>0.05</v>
      </c>
      <c r="L592" s="9">
        <v>3895</v>
      </c>
      <c r="M592" s="10">
        <f>Sales_Data3[[#This Row],[Profit]]/Sales_Data3[[#This Row],[Sales]]</f>
        <v>0.95</v>
      </c>
      <c r="N592" t="str">
        <f t="shared" si="19"/>
        <v>Low</v>
      </c>
      <c r="O592" s="2">
        <v>44432</v>
      </c>
      <c r="P592" s="9">
        <v>4100</v>
      </c>
    </row>
    <row r="593" spans="1:16" x14ac:dyDescent="0.25">
      <c r="A593" t="s">
        <v>614</v>
      </c>
      <c r="B593" s="2">
        <v>44433</v>
      </c>
      <c r="C593">
        <v>2021</v>
      </c>
      <c r="D593" t="str">
        <f t="shared" si="18"/>
        <v>Aug</v>
      </c>
      <c r="E593" t="s">
        <v>14</v>
      </c>
      <c r="F593" t="s">
        <v>2040</v>
      </c>
      <c r="G593" t="s">
        <v>22</v>
      </c>
      <c r="H593" t="s">
        <v>25</v>
      </c>
      <c r="I593">
        <v>7</v>
      </c>
      <c r="J593" s="9">
        <v>9300</v>
      </c>
      <c r="K593" s="7">
        <v>0.1</v>
      </c>
      <c r="L593" s="9">
        <v>8370</v>
      </c>
      <c r="M593" s="10">
        <f>Sales_Data3[[#This Row],[Profit]]/Sales_Data3[[#This Row],[Sales]]</f>
        <v>0.9</v>
      </c>
      <c r="N593" t="str">
        <f t="shared" si="19"/>
        <v>Medium</v>
      </c>
      <c r="O593" s="2">
        <v>44433</v>
      </c>
      <c r="P593" s="9">
        <v>9300</v>
      </c>
    </row>
    <row r="594" spans="1:16" x14ac:dyDescent="0.25">
      <c r="A594" t="s">
        <v>615</v>
      </c>
      <c r="B594" s="2">
        <v>44434</v>
      </c>
      <c r="C594">
        <v>2021</v>
      </c>
      <c r="D594" t="str">
        <f t="shared" si="18"/>
        <v>Aug</v>
      </c>
      <c r="E594" t="s">
        <v>14</v>
      </c>
      <c r="F594" t="s">
        <v>2041</v>
      </c>
      <c r="G594" t="s">
        <v>19</v>
      </c>
      <c r="H594" t="s">
        <v>25</v>
      </c>
      <c r="I594">
        <v>9</v>
      </c>
      <c r="J594" s="9">
        <v>14100</v>
      </c>
      <c r="K594" s="7">
        <v>0.15000000000000002</v>
      </c>
      <c r="L594" s="9">
        <v>11985</v>
      </c>
      <c r="M594" s="10">
        <f>Sales_Data3[[#This Row],[Profit]]/Sales_Data3[[#This Row],[Sales]]</f>
        <v>0.85</v>
      </c>
      <c r="N594" t="str">
        <f t="shared" si="19"/>
        <v>High</v>
      </c>
      <c r="O594" s="2">
        <v>44434</v>
      </c>
      <c r="P594" s="9">
        <v>14100</v>
      </c>
    </row>
    <row r="595" spans="1:16" x14ac:dyDescent="0.25">
      <c r="A595" t="s">
        <v>616</v>
      </c>
      <c r="B595" s="2">
        <v>44435</v>
      </c>
      <c r="C595">
        <v>2021</v>
      </c>
      <c r="D595" t="str">
        <f t="shared" si="18"/>
        <v>Aug</v>
      </c>
      <c r="E595" t="s">
        <v>14</v>
      </c>
      <c r="F595" t="s">
        <v>2042</v>
      </c>
      <c r="G595" t="s">
        <v>20</v>
      </c>
      <c r="H595" t="s">
        <v>25</v>
      </c>
      <c r="I595">
        <v>9</v>
      </c>
      <c r="J595" s="9">
        <v>13100</v>
      </c>
      <c r="K595" s="7">
        <v>0.2</v>
      </c>
      <c r="L595" s="9">
        <v>10480</v>
      </c>
      <c r="M595" s="10">
        <f>Sales_Data3[[#This Row],[Profit]]/Sales_Data3[[#This Row],[Sales]]</f>
        <v>0.8</v>
      </c>
      <c r="N595" t="str">
        <f t="shared" si="19"/>
        <v>High</v>
      </c>
      <c r="O595" s="2">
        <v>44435</v>
      </c>
      <c r="P595" s="9">
        <v>13100</v>
      </c>
    </row>
    <row r="596" spans="1:16" x14ac:dyDescent="0.25">
      <c r="A596" t="s">
        <v>617</v>
      </c>
      <c r="B596" s="2">
        <v>44436</v>
      </c>
      <c r="C596">
        <v>2021</v>
      </c>
      <c r="D596" t="str">
        <f t="shared" si="18"/>
        <v>Aug</v>
      </c>
      <c r="E596" t="s">
        <v>14</v>
      </c>
      <c r="F596" t="s">
        <v>2043</v>
      </c>
      <c r="G596" t="s">
        <v>21</v>
      </c>
      <c r="H596" t="s">
        <v>25</v>
      </c>
      <c r="I596">
        <v>8</v>
      </c>
      <c r="J596" s="9">
        <v>14400</v>
      </c>
      <c r="K596" s="7">
        <v>0.25</v>
      </c>
      <c r="L596" s="9">
        <v>10800</v>
      </c>
      <c r="M596" s="10">
        <f>Sales_Data3[[#This Row],[Profit]]/Sales_Data3[[#This Row],[Sales]]</f>
        <v>0.75</v>
      </c>
      <c r="N596" t="str">
        <f t="shared" si="19"/>
        <v>High</v>
      </c>
      <c r="O596" s="2">
        <v>44436</v>
      </c>
      <c r="P596" s="9">
        <v>14400</v>
      </c>
    </row>
    <row r="597" spans="1:16" x14ac:dyDescent="0.25">
      <c r="A597" t="s">
        <v>618</v>
      </c>
      <c r="B597" s="2">
        <v>44437</v>
      </c>
      <c r="C597">
        <v>2021</v>
      </c>
      <c r="D597" t="str">
        <f t="shared" si="18"/>
        <v>Aug</v>
      </c>
      <c r="E597" t="s">
        <v>14</v>
      </c>
      <c r="F597" t="s">
        <v>2044</v>
      </c>
      <c r="G597" t="s">
        <v>22</v>
      </c>
      <c r="H597" t="s">
        <v>25</v>
      </c>
      <c r="I597">
        <v>1</v>
      </c>
      <c r="J597" s="9">
        <v>14900</v>
      </c>
      <c r="K597" s="7">
        <v>0.05</v>
      </c>
      <c r="L597" s="9">
        <v>14155</v>
      </c>
      <c r="M597" s="10">
        <f>Sales_Data3[[#This Row],[Profit]]/Sales_Data3[[#This Row],[Sales]]</f>
        <v>0.95</v>
      </c>
      <c r="N597" t="str">
        <f t="shared" si="19"/>
        <v>High</v>
      </c>
      <c r="O597" s="2">
        <v>44437</v>
      </c>
      <c r="P597" s="9">
        <v>14900</v>
      </c>
    </row>
    <row r="598" spans="1:16" x14ac:dyDescent="0.25">
      <c r="A598" t="s">
        <v>619</v>
      </c>
      <c r="B598" s="2">
        <v>44438</v>
      </c>
      <c r="C598">
        <v>2021</v>
      </c>
      <c r="D598" t="str">
        <f t="shared" si="18"/>
        <v>Aug</v>
      </c>
      <c r="E598" t="s">
        <v>14</v>
      </c>
      <c r="F598" t="s">
        <v>2045</v>
      </c>
      <c r="G598" t="s">
        <v>19</v>
      </c>
      <c r="H598" t="s">
        <v>25</v>
      </c>
      <c r="I598">
        <v>2</v>
      </c>
      <c r="J598" s="9">
        <v>4700</v>
      </c>
      <c r="K598" s="7">
        <v>0.1</v>
      </c>
      <c r="L598" s="9">
        <v>4230</v>
      </c>
      <c r="M598" s="10">
        <f>Sales_Data3[[#This Row],[Profit]]/Sales_Data3[[#This Row],[Sales]]</f>
        <v>0.9</v>
      </c>
      <c r="N598" t="str">
        <f t="shared" si="19"/>
        <v>Low</v>
      </c>
      <c r="O598" s="2">
        <v>44438</v>
      </c>
      <c r="P598" s="9">
        <v>4700</v>
      </c>
    </row>
    <row r="599" spans="1:16" x14ac:dyDescent="0.25">
      <c r="A599" t="s">
        <v>620</v>
      </c>
      <c r="B599" s="2">
        <v>44439</v>
      </c>
      <c r="C599">
        <v>2021</v>
      </c>
      <c r="D599" t="str">
        <f t="shared" si="18"/>
        <v>Aug</v>
      </c>
      <c r="E599" t="s">
        <v>14</v>
      </c>
      <c r="F599" t="s">
        <v>2046</v>
      </c>
      <c r="G599" t="s">
        <v>20</v>
      </c>
      <c r="H599" t="s">
        <v>25</v>
      </c>
      <c r="I599">
        <v>4</v>
      </c>
      <c r="J599" s="9">
        <v>14400</v>
      </c>
      <c r="K599" s="7">
        <v>0.15000000000000002</v>
      </c>
      <c r="L599" s="9">
        <v>12240</v>
      </c>
      <c r="M599" s="10">
        <f>Sales_Data3[[#This Row],[Profit]]/Sales_Data3[[#This Row],[Sales]]</f>
        <v>0.85</v>
      </c>
      <c r="N599" t="str">
        <f t="shared" si="19"/>
        <v>High</v>
      </c>
      <c r="O599" s="2">
        <v>44439</v>
      </c>
      <c r="P599" s="9">
        <v>14400</v>
      </c>
    </row>
    <row r="600" spans="1:16" x14ac:dyDescent="0.25">
      <c r="A600" t="s">
        <v>621</v>
      </c>
      <c r="B600" s="2">
        <v>44440</v>
      </c>
      <c r="C600">
        <v>2021</v>
      </c>
      <c r="D600" t="str">
        <f t="shared" si="18"/>
        <v>Sep</v>
      </c>
      <c r="E600" t="s">
        <v>14</v>
      </c>
      <c r="F600" t="s">
        <v>2047</v>
      </c>
      <c r="G600" t="s">
        <v>21</v>
      </c>
      <c r="H600" t="s">
        <v>25</v>
      </c>
      <c r="I600">
        <v>9</v>
      </c>
      <c r="J600" s="9">
        <v>13800</v>
      </c>
      <c r="K600" s="7">
        <v>0.2</v>
      </c>
      <c r="L600" s="9">
        <v>11040</v>
      </c>
      <c r="M600" s="10">
        <f>Sales_Data3[[#This Row],[Profit]]/Sales_Data3[[#This Row],[Sales]]</f>
        <v>0.8</v>
      </c>
      <c r="N600" t="str">
        <f t="shared" si="19"/>
        <v>High</v>
      </c>
      <c r="O600" s="2">
        <v>44440</v>
      </c>
      <c r="P600" s="9">
        <v>13800</v>
      </c>
    </row>
    <row r="601" spans="1:16" x14ac:dyDescent="0.25">
      <c r="A601" t="s">
        <v>622</v>
      </c>
      <c r="B601" s="2">
        <v>44441</v>
      </c>
      <c r="C601">
        <v>2021</v>
      </c>
      <c r="D601" t="str">
        <f t="shared" si="18"/>
        <v>Sep</v>
      </c>
      <c r="E601" t="s">
        <v>14</v>
      </c>
      <c r="F601" t="s">
        <v>2048</v>
      </c>
      <c r="G601" t="s">
        <v>22</v>
      </c>
      <c r="H601" t="s">
        <v>25</v>
      </c>
      <c r="I601">
        <v>6</v>
      </c>
      <c r="J601" s="9">
        <v>4000</v>
      </c>
      <c r="K601" s="7">
        <v>0.25</v>
      </c>
      <c r="L601" s="9">
        <v>3000</v>
      </c>
      <c r="M601" s="10">
        <f>Sales_Data3[[#This Row],[Profit]]/Sales_Data3[[#This Row],[Sales]]</f>
        <v>0.75</v>
      </c>
      <c r="N601" t="str">
        <f t="shared" si="19"/>
        <v>Low</v>
      </c>
      <c r="O601" s="2">
        <v>44441</v>
      </c>
      <c r="P601" s="9">
        <v>4000</v>
      </c>
    </row>
    <row r="602" spans="1:16" x14ac:dyDescent="0.25">
      <c r="A602" t="s">
        <v>623</v>
      </c>
      <c r="B602" s="2">
        <v>44442</v>
      </c>
      <c r="C602">
        <v>2021</v>
      </c>
      <c r="D602" t="str">
        <f t="shared" si="18"/>
        <v>Sep</v>
      </c>
      <c r="E602" t="s">
        <v>12</v>
      </c>
      <c r="F602" t="s">
        <v>15</v>
      </c>
      <c r="G602" t="s">
        <v>19</v>
      </c>
      <c r="H602" t="s">
        <v>23</v>
      </c>
      <c r="I602">
        <v>2</v>
      </c>
      <c r="J602" s="9">
        <v>12100</v>
      </c>
      <c r="K602" s="7">
        <v>0.05</v>
      </c>
      <c r="L602" s="9">
        <v>11495</v>
      </c>
      <c r="M602" s="10">
        <f>Sales_Data3[[#This Row],[Profit]]/Sales_Data3[[#This Row],[Sales]]</f>
        <v>0.95</v>
      </c>
      <c r="N602" t="str">
        <f t="shared" si="19"/>
        <v>High</v>
      </c>
      <c r="O602" s="2">
        <v>44442</v>
      </c>
      <c r="P602" s="9">
        <v>12100</v>
      </c>
    </row>
    <row r="603" spans="1:16" x14ac:dyDescent="0.25">
      <c r="A603" t="s">
        <v>624</v>
      </c>
      <c r="B603" s="2">
        <v>44443</v>
      </c>
      <c r="C603">
        <v>2021</v>
      </c>
      <c r="D603" t="str">
        <f t="shared" si="18"/>
        <v>Sep</v>
      </c>
      <c r="E603" t="s">
        <v>12</v>
      </c>
      <c r="F603" t="s">
        <v>17</v>
      </c>
      <c r="G603" t="s">
        <v>20</v>
      </c>
      <c r="H603" t="s">
        <v>23</v>
      </c>
      <c r="I603">
        <v>6</v>
      </c>
      <c r="J603" s="9">
        <v>8700</v>
      </c>
      <c r="K603" s="7">
        <v>0.1</v>
      </c>
      <c r="L603" s="9">
        <v>7830</v>
      </c>
      <c r="M603" s="10">
        <f>Sales_Data3[[#This Row],[Profit]]/Sales_Data3[[#This Row],[Sales]]</f>
        <v>0.9</v>
      </c>
      <c r="N603" t="str">
        <f t="shared" si="19"/>
        <v>Medium</v>
      </c>
      <c r="O603" s="2">
        <v>44443</v>
      </c>
      <c r="P603" s="9">
        <v>8700</v>
      </c>
    </row>
    <row r="604" spans="1:16" x14ac:dyDescent="0.25">
      <c r="A604" t="s">
        <v>625</v>
      </c>
      <c r="B604" s="2">
        <v>44444</v>
      </c>
      <c r="C604">
        <v>2021</v>
      </c>
      <c r="D604" t="str">
        <f t="shared" si="18"/>
        <v>Sep</v>
      </c>
      <c r="E604" t="s">
        <v>12</v>
      </c>
      <c r="F604" t="s">
        <v>2023</v>
      </c>
      <c r="G604" t="s">
        <v>21</v>
      </c>
      <c r="H604" t="s">
        <v>23</v>
      </c>
      <c r="I604">
        <v>2</v>
      </c>
      <c r="J604" s="9">
        <v>11100</v>
      </c>
      <c r="K604" s="7">
        <v>0.15000000000000002</v>
      </c>
      <c r="L604" s="9">
        <v>9435</v>
      </c>
      <c r="M604" s="10">
        <f>Sales_Data3[[#This Row],[Profit]]/Sales_Data3[[#This Row],[Sales]]</f>
        <v>0.85</v>
      </c>
      <c r="N604" t="str">
        <f t="shared" si="19"/>
        <v>High</v>
      </c>
      <c r="O604" s="2">
        <v>44444</v>
      </c>
      <c r="P604" s="9">
        <v>11100</v>
      </c>
    </row>
    <row r="605" spans="1:16" x14ac:dyDescent="0.25">
      <c r="A605" t="s">
        <v>626</v>
      </c>
      <c r="B605" s="2">
        <v>44445</v>
      </c>
      <c r="C605">
        <v>2021</v>
      </c>
      <c r="D605" t="str">
        <f t="shared" si="18"/>
        <v>Sep</v>
      </c>
      <c r="E605" t="s">
        <v>12</v>
      </c>
      <c r="F605" t="s">
        <v>18</v>
      </c>
      <c r="G605" t="s">
        <v>22</v>
      </c>
      <c r="H605" t="s">
        <v>23</v>
      </c>
      <c r="I605">
        <v>4</v>
      </c>
      <c r="J605" s="9">
        <v>11700</v>
      </c>
      <c r="K605" s="7">
        <v>0.2</v>
      </c>
      <c r="L605" s="9">
        <v>9360</v>
      </c>
      <c r="M605" s="10">
        <f>Sales_Data3[[#This Row],[Profit]]/Sales_Data3[[#This Row],[Sales]]</f>
        <v>0.8</v>
      </c>
      <c r="N605" t="str">
        <f t="shared" si="19"/>
        <v>High</v>
      </c>
      <c r="O605" s="2">
        <v>44445</v>
      </c>
      <c r="P605" s="9">
        <v>11700</v>
      </c>
    </row>
    <row r="606" spans="1:16" x14ac:dyDescent="0.25">
      <c r="A606" t="s">
        <v>627</v>
      </c>
      <c r="B606" s="2">
        <v>44446</v>
      </c>
      <c r="C606">
        <v>2021</v>
      </c>
      <c r="D606" t="str">
        <f t="shared" si="18"/>
        <v>Sep</v>
      </c>
      <c r="E606" t="s">
        <v>12</v>
      </c>
      <c r="F606" t="s">
        <v>2024</v>
      </c>
      <c r="G606" t="s">
        <v>19</v>
      </c>
      <c r="H606" t="s">
        <v>23</v>
      </c>
      <c r="I606">
        <v>7</v>
      </c>
      <c r="J606" s="9">
        <v>13200</v>
      </c>
      <c r="K606" s="7">
        <v>0.25</v>
      </c>
      <c r="L606" s="9">
        <v>9900</v>
      </c>
      <c r="M606" s="10">
        <f>Sales_Data3[[#This Row],[Profit]]/Sales_Data3[[#This Row],[Sales]]</f>
        <v>0.75</v>
      </c>
      <c r="N606" t="str">
        <f t="shared" si="19"/>
        <v>High</v>
      </c>
      <c r="O606" s="2">
        <v>44446</v>
      </c>
      <c r="P606" s="9">
        <v>13200</v>
      </c>
    </row>
    <row r="607" spans="1:16" x14ac:dyDescent="0.25">
      <c r="A607" t="s">
        <v>628</v>
      </c>
      <c r="B607" s="2">
        <v>44447</v>
      </c>
      <c r="C607">
        <v>2021</v>
      </c>
      <c r="D607" t="str">
        <f t="shared" si="18"/>
        <v>Sep</v>
      </c>
      <c r="E607" t="s">
        <v>12</v>
      </c>
      <c r="F607" t="s">
        <v>2025</v>
      </c>
      <c r="G607" t="s">
        <v>20</v>
      </c>
      <c r="H607" t="s">
        <v>23</v>
      </c>
      <c r="I607">
        <v>1</v>
      </c>
      <c r="J607" s="9">
        <v>5700</v>
      </c>
      <c r="K607" s="7">
        <v>0.05</v>
      </c>
      <c r="L607" s="9">
        <v>5415</v>
      </c>
      <c r="M607" s="10">
        <f>Sales_Data3[[#This Row],[Profit]]/Sales_Data3[[#This Row],[Sales]]</f>
        <v>0.95</v>
      </c>
      <c r="N607" t="str">
        <f t="shared" si="19"/>
        <v>Medium</v>
      </c>
      <c r="O607" s="2">
        <v>44447</v>
      </c>
      <c r="P607" s="9">
        <v>5700</v>
      </c>
    </row>
    <row r="608" spans="1:16" x14ac:dyDescent="0.25">
      <c r="A608" t="s">
        <v>629</v>
      </c>
      <c r="B608" s="2">
        <v>44448</v>
      </c>
      <c r="C608">
        <v>2021</v>
      </c>
      <c r="D608" t="str">
        <f t="shared" si="18"/>
        <v>Sep</v>
      </c>
      <c r="E608" t="s">
        <v>12</v>
      </c>
      <c r="F608" t="s">
        <v>2026</v>
      </c>
      <c r="G608" t="s">
        <v>21</v>
      </c>
      <c r="H608" t="s">
        <v>23</v>
      </c>
      <c r="I608">
        <v>5</v>
      </c>
      <c r="J608" s="9">
        <v>7800</v>
      </c>
      <c r="K608" s="7">
        <v>0.1</v>
      </c>
      <c r="L608" s="9">
        <v>7020</v>
      </c>
      <c r="M608" s="10">
        <f>Sales_Data3[[#This Row],[Profit]]/Sales_Data3[[#This Row],[Sales]]</f>
        <v>0.9</v>
      </c>
      <c r="N608" t="str">
        <f t="shared" si="19"/>
        <v>Medium</v>
      </c>
      <c r="O608" s="2">
        <v>44448</v>
      </c>
      <c r="P608" s="9">
        <v>7800</v>
      </c>
    </row>
    <row r="609" spans="1:16" x14ac:dyDescent="0.25">
      <c r="A609" t="s">
        <v>630</v>
      </c>
      <c r="B609" s="2">
        <v>44449</v>
      </c>
      <c r="C609">
        <v>2021</v>
      </c>
      <c r="D609" t="str">
        <f t="shared" si="18"/>
        <v>Sep</v>
      </c>
      <c r="E609" t="s">
        <v>12</v>
      </c>
      <c r="F609" t="s">
        <v>2027</v>
      </c>
      <c r="G609" t="s">
        <v>22</v>
      </c>
      <c r="H609" t="s">
        <v>23</v>
      </c>
      <c r="I609">
        <v>4</v>
      </c>
      <c r="J609" s="9">
        <v>10600</v>
      </c>
      <c r="K609" s="7">
        <v>0.15000000000000002</v>
      </c>
      <c r="L609" s="9">
        <v>9010</v>
      </c>
      <c r="M609" s="10">
        <f>Sales_Data3[[#This Row],[Profit]]/Sales_Data3[[#This Row],[Sales]]</f>
        <v>0.85</v>
      </c>
      <c r="N609" t="str">
        <f t="shared" si="19"/>
        <v>High</v>
      </c>
      <c r="O609" s="2">
        <v>44449</v>
      </c>
      <c r="P609" s="9">
        <v>10600</v>
      </c>
    </row>
    <row r="610" spans="1:16" x14ac:dyDescent="0.25">
      <c r="A610" t="s">
        <v>631</v>
      </c>
      <c r="B610" s="2">
        <v>44450</v>
      </c>
      <c r="C610">
        <v>2021</v>
      </c>
      <c r="D610" t="str">
        <f t="shared" si="18"/>
        <v>Sep</v>
      </c>
      <c r="E610" t="s">
        <v>12</v>
      </c>
      <c r="F610" t="s">
        <v>2028</v>
      </c>
      <c r="G610" t="s">
        <v>19</v>
      </c>
      <c r="H610" t="s">
        <v>23</v>
      </c>
      <c r="I610">
        <v>2</v>
      </c>
      <c r="J610" s="9">
        <v>9200</v>
      </c>
      <c r="K610" s="7">
        <v>0.2</v>
      </c>
      <c r="L610" s="9">
        <v>7360</v>
      </c>
      <c r="M610" s="10">
        <f>Sales_Data3[[#This Row],[Profit]]/Sales_Data3[[#This Row],[Sales]]</f>
        <v>0.8</v>
      </c>
      <c r="N610" t="str">
        <f t="shared" si="19"/>
        <v>Medium</v>
      </c>
      <c r="O610" s="2">
        <v>44450</v>
      </c>
      <c r="P610" s="9">
        <v>9200</v>
      </c>
    </row>
    <row r="611" spans="1:16" x14ac:dyDescent="0.25">
      <c r="A611" t="s">
        <v>632</v>
      </c>
      <c r="B611" s="2">
        <v>44451</v>
      </c>
      <c r="C611">
        <v>2021</v>
      </c>
      <c r="D611" t="str">
        <f t="shared" si="18"/>
        <v>Sep</v>
      </c>
      <c r="E611" t="s">
        <v>12</v>
      </c>
      <c r="F611" t="s">
        <v>2029</v>
      </c>
      <c r="G611" t="s">
        <v>20</v>
      </c>
      <c r="H611" t="s">
        <v>23</v>
      </c>
      <c r="I611">
        <v>8</v>
      </c>
      <c r="J611" s="9">
        <v>5900</v>
      </c>
      <c r="K611" s="7">
        <v>0.25</v>
      </c>
      <c r="L611" s="9">
        <v>4425</v>
      </c>
      <c r="M611" s="10">
        <f>Sales_Data3[[#This Row],[Profit]]/Sales_Data3[[#This Row],[Sales]]</f>
        <v>0.75</v>
      </c>
      <c r="N611" t="str">
        <f t="shared" si="19"/>
        <v>Medium</v>
      </c>
      <c r="O611" s="2">
        <v>44451</v>
      </c>
      <c r="P611" s="9">
        <v>5900</v>
      </c>
    </row>
    <row r="612" spans="1:16" x14ac:dyDescent="0.25">
      <c r="A612" t="s">
        <v>633</v>
      </c>
      <c r="B612" s="2">
        <v>44452</v>
      </c>
      <c r="C612">
        <v>2021</v>
      </c>
      <c r="D612" t="str">
        <f t="shared" si="18"/>
        <v>Sep</v>
      </c>
      <c r="E612" t="s">
        <v>13</v>
      </c>
      <c r="F612" t="s">
        <v>16</v>
      </c>
      <c r="G612" t="s">
        <v>21</v>
      </c>
      <c r="H612" t="s">
        <v>24</v>
      </c>
      <c r="I612">
        <v>3</v>
      </c>
      <c r="J612" s="9">
        <v>4400</v>
      </c>
      <c r="K612" s="7">
        <v>0.05</v>
      </c>
      <c r="L612" s="9">
        <v>4180</v>
      </c>
      <c r="M612" s="10">
        <f>Sales_Data3[[#This Row],[Profit]]/Sales_Data3[[#This Row],[Sales]]</f>
        <v>0.95</v>
      </c>
      <c r="N612" t="str">
        <f t="shared" si="19"/>
        <v>Low</v>
      </c>
      <c r="O612" s="2">
        <v>44452</v>
      </c>
      <c r="P612" s="9">
        <v>4400</v>
      </c>
    </row>
    <row r="613" spans="1:16" x14ac:dyDescent="0.25">
      <c r="A613" t="s">
        <v>634</v>
      </c>
      <c r="B613" s="2">
        <v>44453</v>
      </c>
      <c r="C613">
        <v>2021</v>
      </c>
      <c r="D613" t="str">
        <f t="shared" si="18"/>
        <v>Sep</v>
      </c>
      <c r="E613" t="s">
        <v>13</v>
      </c>
      <c r="F613" t="s">
        <v>2030</v>
      </c>
      <c r="G613" t="s">
        <v>22</v>
      </c>
      <c r="H613" t="s">
        <v>24</v>
      </c>
      <c r="I613">
        <v>8</v>
      </c>
      <c r="J613" s="9">
        <v>6400</v>
      </c>
      <c r="K613" s="7">
        <v>0.1</v>
      </c>
      <c r="L613" s="9">
        <v>5760</v>
      </c>
      <c r="M613" s="10">
        <f>Sales_Data3[[#This Row],[Profit]]/Sales_Data3[[#This Row],[Sales]]</f>
        <v>0.9</v>
      </c>
      <c r="N613" t="str">
        <f t="shared" si="19"/>
        <v>Medium</v>
      </c>
      <c r="O613" s="2">
        <v>44453</v>
      </c>
      <c r="P613" s="9">
        <v>6400</v>
      </c>
    </row>
    <row r="614" spans="1:16" x14ac:dyDescent="0.25">
      <c r="A614" t="s">
        <v>635</v>
      </c>
      <c r="B614" s="2">
        <v>44454</v>
      </c>
      <c r="C614">
        <v>2021</v>
      </c>
      <c r="D614" t="str">
        <f t="shared" si="18"/>
        <v>Sep</v>
      </c>
      <c r="E614" t="s">
        <v>13</v>
      </c>
      <c r="F614" t="s">
        <v>2031</v>
      </c>
      <c r="G614" t="s">
        <v>19</v>
      </c>
      <c r="H614" t="s">
        <v>24</v>
      </c>
      <c r="I614">
        <v>5</v>
      </c>
      <c r="J614" s="9">
        <v>7500</v>
      </c>
      <c r="K614" s="7">
        <v>0.15000000000000002</v>
      </c>
      <c r="L614" s="9">
        <v>6375</v>
      </c>
      <c r="M614" s="10">
        <f>Sales_Data3[[#This Row],[Profit]]/Sales_Data3[[#This Row],[Sales]]</f>
        <v>0.85</v>
      </c>
      <c r="N614" t="str">
        <f t="shared" si="19"/>
        <v>Medium</v>
      </c>
      <c r="O614" s="2">
        <v>44454</v>
      </c>
      <c r="P614" s="9">
        <v>7500</v>
      </c>
    </row>
    <row r="615" spans="1:16" x14ac:dyDescent="0.25">
      <c r="A615" t="s">
        <v>636</v>
      </c>
      <c r="B615" s="2">
        <v>44455</v>
      </c>
      <c r="C615">
        <v>2021</v>
      </c>
      <c r="D615" t="str">
        <f t="shared" si="18"/>
        <v>Sep</v>
      </c>
      <c r="E615" t="s">
        <v>13</v>
      </c>
      <c r="F615" t="s">
        <v>2032</v>
      </c>
      <c r="G615" t="s">
        <v>20</v>
      </c>
      <c r="H615" t="s">
        <v>24</v>
      </c>
      <c r="I615">
        <v>8</v>
      </c>
      <c r="J615" s="9">
        <v>14100</v>
      </c>
      <c r="K615" s="7">
        <v>0.2</v>
      </c>
      <c r="L615" s="9">
        <v>11280</v>
      </c>
      <c r="M615" s="10">
        <f>Sales_Data3[[#This Row],[Profit]]/Sales_Data3[[#This Row],[Sales]]</f>
        <v>0.8</v>
      </c>
      <c r="N615" t="str">
        <f t="shared" si="19"/>
        <v>High</v>
      </c>
      <c r="O615" s="2">
        <v>44455</v>
      </c>
      <c r="P615" s="9">
        <v>14100</v>
      </c>
    </row>
    <row r="616" spans="1:16" x14ac:dyDescent="0.25">
      <c r="A616" t="s">
        <v>637</v>
      </c>
      <c r="B616" s="2">
        <v>44456</v>
      </c>
      <c r="C616">
        <v>2021</v>
      </c>
      <c r="D616" t="str">
        <f t="shared" si="18"/>
        <v>Sep</v>
      </c>
      <c r="E616" t="s">
        <v>13</v>
      </c>
      <c r="F616" t="s">
        <v>2033</v>
      </c>
      <c r="G616" t="s">
        <v>21</v>
      </c>
      <c r="H616" t="s">
        <v>24</v>
      </c>
      <c r="I616">
        <v>6</v>
      </c>
      <c r="J616" s="9">
        <v>4500</v>
      </c>
      <c r="K616" s="7">
        <v>0.25</v>
      </c>
      <c r="L616" s="9">
        <v>3375</v>
      </c>
      <c r="M616" s="10">
        <f>Sales_Data3[[#This Row],[Profit]]/Sales_Data3[[#This Row],[Sales]]</f>
        <v>0.75</v>
      </c>
      <c r="N616" t="str">
        <f t="shared" si="19"/>
        <v>Low</v>
      </c>
      <c r="O616" s="2">
        <v>44456</v>
      </c>
      <c r="P616" s="9">
        <v>4500</v>
      </c>
    </row>
    <row r="617" spans="1:16" x14ac:dyDescent="0.25">
      <c r="A617" t="s">
        <v>638</v>
      </c>
      <c r="B617" s="2">
        <v>44457</v>
      </c>
      <c r="C617">
        <v>2021</v>
      </c>
      <c r="D617" t="str">
        <f t="shared" si="18"/>
        <v>Sep</v>
      </c>
      <c r="E617" t="s">
        <v>13</v>
      </c>
      <c r="F617" t="s">
        <v>2034</v>
      </c>
      <c r="G617" t="s">
        <v>22</v>
      </c>
      <c r="H617" t="s">
        <v>24</v>
      </c>
      <c r="I617">
        <v>2</v>
      </c>
      <c r="J617" s="9">
        <v>12500</v>
      </c>
      <c r="K617" s="7">
        <v>0.05</v>
      </c>
      <c r="L617" s="9">
        <v>11875</v>
      </c>
      <c r="M617" s="10">
        <f>Sales_Data3[[#This Row],[Profit]]/Sales_Data3[[#This Row],[Sales]]</f>
        <v>0.95</v>
      </c>
      <c r="N617" t="str">
        <f t="shared" si="19"/>
        <v>High</v>
      </c>
      <c r="O617" s="2">
        <v>44457</v>
      </c>
      <c r="P617" s="9">
        <v>12500</v>
      </c>
    </row>
    <row r="618" spans="1:16" x14ac:dyDescent="0.25">
      <c r="A618" t="s">
        <v>639</v>
      </c>
      <c r="B618" s="2">
        <v>44458</v>
      </c>
      <c r="C618">
        <v>2021</v>
      </c>
      <c r="D618" t="str">
        <f t="shared" si="18"/>
        <v>Sep</v>
      </c>
      <c r="E618" t="s">
        <v>13</v>
      </c>
      <c r="F618" t="s">
        <v>2035</v>
      </c>
      <c r="G618" t="s">
        <v>19</v>
      </c>
      <c r="H618" t="s">
        <v>24</v>
      </c>
      <c r="I618">
        <v>1</v>
      </c>
      <c r="J618" s="9">
        <v>7400</v>
      </c>
      <c r="K618" s="7">
        <v>0.1</v>
      </c>
      <c r="L618" s="9">
        <v>6660</v>
      </c>
      <c r="M618" s="10">
        <f>Sales_Data3[[#This Row],[Profit]]/Sales_Data3[[#This Row],[Sales]]</f>
        <v>0.9</v>
      </c>
      <c r="N618" t="str">
        <f t="shared" si="19"/>
        <v>Medium</v>
      </c>
      <c r="O618" s="2">
        <v>44458</v>
      </c>
      <c r="P618" s="9">
        <v>7400</v>
      </c>
    </row>
    <row r="619" spans="1:16" x14ac:dyDescent="0.25">
      <c r="A619" t="s">
        <v>640</v>
      </c>
      <c r="B619" s="2">
        <v>44459</v>
      </c>
      <c r="C619">
        <v>2021</v>
      </c>
      <c r="D619" t="str">
        <f t="shared" si="18"/>
        <v>Sep</v>
      </c>
      <c r="E619" t="s">
        <v>13</v>
      </c>
      <c r="F619" t="s">
        <v>2036</v>
      </c>
      <c r="G619" t="s">
        <v>20</v>
      </c>
      <c r="H619" t="s">
        <v>24</v>
      </c>
      <c r="I619">
        <v>8</v>
      </c>
      <c r="J619" s="9">
        <v>6800</v>
      </c>
      <c r="K619" s="7">
        <v>0.15000000000000002</v>
      </c>
      <c r="L619" s="9">
        <v>5780</v>
      </c>
      <c r="M619" s="10">
        <f>Sales_Data3[[#This Row],[Profit]]/Sales_Data3[[#This Row],[Sales]]</f>
        <v>0.85</v>
      </c>
      <c r="N619" t="str">
        <f t="shared" si="19"/>
        <v>Medium</v>
      </c>
      <c r="O619" s="2">
        <v>44459</v>
      </c>
      <c r="P619" s="9">
        <v>6800</v>
      </c>
    </row>
    <row r="620" spans="1:16" x14ac:dyDescent="0.25">
      <c r="A620" t="s">
        <v>641</v>
      </c>
      <c r="B620" s="2">
        <v>44460</v>
      </c>
      <c r="C620">
        <v>2021</v>
      </c>
      <c r="D620" t="str">
        <f t="shared" si="18"/>
        <v>Sep</v>
      </c>
      <c r="E620" t="s">
        <v>13</v>
      </c>
      <c r="F620" t="s">
        <v>2037</v>
      </c>
      <c r="G620" t="s">
        <v>21</v>
      </c>
      <c r="H620" t="s">
        <v>24</v>
      </c>
      <c r="I620">
        <v>7</v>
      </c>
      <c r="J620" s="9">
        <v>14600</v>
      </c>
      <c r="K620" s="7">
        <v>0.2</v>
      </c>
      <c r="L620" s="9">
        <v>11680</v>
      </c>
      <c r="M620" s="10">
        <f>Sales_Data3[[#This Row],[Profit]]/Sales_Data3[[#This Row],[Sales]]</f>
        <v>0.8</v>
      </c>
      <c r="N620" t="str">
        <f t="shared" si="19"/>
        <v>High</v>
      </c>
      <c r="O620" s="2">
        <v>44460</v>
      </c>
      <c r="P620" s="9">
        <v>14600</v>
      </c>
    </row>
    <row r="621" spans="1:16" x14ac:dyDescent="0.25">
      <c r="A621" t="s">
        <v>642</v>
      </c>
      <c r="B621" s="2">
        <v>44461</v>
      </c>
      <c r="C621">
        <v>2021</v>
      </c>
      <c r="D621" t="str">
        <f t="shared" si="18"/>
        <v>Sep</v>
      </c>
      <c r="E621" t="s">
        <v>13</v>
      </c>
      <c r="F621" t="s">
        <v>2038</v>
      </c>
      <c r="G621" t="s">
        <v>22</v>
      </c>
      <c r="H621" t="s">
        <v>24</v>
      </c>
      <c r="I621">
        <v>9</v>
      </c>
      <c r="J621" s="9">
        <v>12300</v>
      </c>
      <c r="K621" s="7">
        <v>0.25</v>
      </c>
      <c r="L621" s="9">
        <v>9225</v>
      </c>
      <c r="M621" s="10">
        <f>Sales_Data3[[#This Row],[Profit]]/Sales_Data3[[#This Row],[Sales]]</f>
        <v>0.75</v>
      </c>
      <c r="N621" t="str">
        <f t="shared" si="19"/>
        <v>High</v>
      </c>
      <c r="O621" s="2">
        <v>44461</v>
      </c>
      <c r="P621" s="9">
        <v>12300</v>
      </c>
    </row>
    <row r="622" spans="1:16" x14ac:dyDescent="0.25">
      <c r="A622" t="s">
        <v>643</v>
      </c>
      <c r="B622" s="2">
        <v>44462</v>
      </c>
      <c r="C622">
        <v>2021</v>
      </c>
      <c r="D622" t="str">
        <f t="shared" si="18"/>
        <v>Sep</v>
      </c>
      <c r="E622" t="s">
        <v>14</v>
      </c>
      <c r="F622" t="s">
        <v>2039</v>
      </c>
      <c r="G622" t="s">
        <v>19</v>
      </c>
      <c r="H622" t="s">
        <v>25</v>
      </c>
      <c r="I622">
        <v>6</v>
      </c>
      <c r="J622" s="9">
        <v>11600</v>
      </c>
      <c r="K622" s="7">
        <v>0.05</v>
      </c>
      <c r="L622" s="9">
        <v>11020</v>
      </c>
      <c r="M622" s="10">
        <f>Sales_Data3[[#This Row],[Profit]]/Sales_Data3[[#This Row],[Sales]]</f>
        <v>0.95</v>
      </c>
      <c r="N622" t="str">
        <f t="shared" si="19"/>
        <v>High</v>
      </c>
      <c r="O622" s="2">
        <v>44462</v>
      </c>
      <c r="P622" s="9">
        <v>11600</v>
      </c>
    </row>
    <row r="623" spans="1:16" x14ac:dyDescent="0.25">
      <c r="A623" t="s">
        <v>644</v>
      </c>
      <c r="B623" s="2">
        <v>44463</v>
      </c>
      <c r="C623">
        <v>2021</v>
      </c>
      <c r="D623" t="str">
        <f t="shared" si="18"/>
        <v>Sep</v>
      </c>
      <c r="E623" t="s">
        <v>14</v>
      </c>
      <c r="F623" t="s">
        <v>2040</v>
      </c>
      <c r="G623" t="s">
        <v>20</v>
      </c>
      <c r="H623" t="s">
        <v>25</v>
      </c>
      <c r="I623">
        <v>7</v>
      </c>
      <c r="J623" s="9">
        <v>14700</v>
      </c>
      <c r="K623" s="7">
        <v>0.1</v>
      </c>
      <c r="L623" s="9">
        <v>13230</v>
      </c>
      <c r="M623" s="10">
        <f>Sales_Data3[[#This Row],[Profit]]/Sales_Data3[[#This Row],[Sales]]</f>
        <v>0.9</v>
      </c>
      <c r="N623" t="str">
        <f t="shared" si="19"/>
        <v>High</v>
      </c>
      <c r="O623" s="2">
        <v>44463</v>
      </c>
      <c r="P623" s="9">
        <v>14700</v>
      </c>
    </row>
    <row r="624" spans="1:16" x14ac:dyDescent="0.25">
      <c r="A624" t="s">
        <v>645</v>
      </c>
      <c r="B624" s="2">
        <v>44464</v>
      </c>
      <c r="C624">
        <v>2021</v>
      </c>
      <c r="D624" t="str">
        <f t="shared" si="18"/>
        <v>Sep</v>
      </c>
      <c r="E624" t="s">
        <v>14</v>
      </c>
      <c r="F624" t="s">
        <v>2041</v>
      </c>
      <c r="G624" t="s">
        <v>21</v>
      </c>
      <c r="H624" t="s">
        <v>25</v>
      </c>
      <c r="I624">
        <v>7</v>
      </c>
      <c r="J624" s="9">
        <v>14100</v>
      </c>
      <c r="K624" s="7">
        <v>0.15000000000000002</v>
      </c>
      <c r="L624" s="9">
        <v>11985</v>
      </c>
      <c r="M624" s="10">
        <f>Sales_Data3[[#This Row],[Profit]]/Sales_Data3[[#This Row],[Sales]]</f>
        <v>0.85</v>
      </c>
      <c r="N624" t="str">
        <f t="shared" si="19"/>
        <v>High</v>
      </c>
      <c r="O624" s="2">
        <v>44464</v>
      </c>
      <c r="P624" s="9">
        <v>14100</v>
      </c>
    </row>
    <row r="625" spans="1:16" x14ac:dyDescent="0.25">
      <c r="A625" t="s">
        <v>646</v>
      </c>
      <c r="B625" s="2">
        <v>44465</v>
      </c>
      <c r="C625">
        <v>2021</v>
      </c>
      <c r="D625" t="str">
        <f t="shared" si="18"/>
        <v>Sep</v>
      </c>
      <c r="E625" t="s">
        <v>14</v>
      </c>
      <c r="F625" t="s">
        <v>2042</v>
      </c>
      <c r="G625" t="s">
        <v>22</v>
      </c>
      <c r="H625" t="s">
        <v>25</v>
      </c>
      <c r="I625">
        <v>5</v>
      </c>
      <c r="J625" s="9">
        <v>11500</v>
      </c>
      <c r="K625" s="7">
        <v>0.2</v>
      </c>
      <c r="L625" s="9">
        <v>9200</v>
      </c>
      <c r="M625" s="10">
        <f>Sales_Data3[[#This Row],[Profit]]/Sales_Data3[[#This Row],[Sales]]</f>
        <v>0.8</v>
      </c>
      <c r="N625" t="str">
        <f t="shared" si="19"/>
        <v>High</v>
      </c>
      <c r="O625" s="2">
        <v>44465</v>
      </c>
      <c r="P625" s="9">
        <v>11500</v>
      </c>
    </row>
    <row r="626" spans="1:16" x14ac:dyDescent="0.25">
      <c r="A626" t="s">
        <v>647</v>
      </c>
      <c r="B626" s="2">
        <v>44466</v>
      </c>
      <c r="C626">
        <v>2021</v>
      </c>
      <c r="D626" t="str">
        <f t="shared" si="18"/>
        <v>Sep</v>
      </c>
      <c r="E626" t="s">
        <v>14</v>
      </c>
      <c r="F626" t="s">
        <v>2043</v>
      </c>
      <c r="G626" t="s">
        <v>19</v>
      </c>
      <c r="H626" t="s">
        <v>25</v>
      </c>
      <c r="I626">
        <v>1</v>
      </c>
      <c r="J626" s="9">
        <v>7600</v>
      </c>
      <c r="K626" s="7">
        <v>0.25</v>
      </c>
      <c r="L626" s="9">
        <v>5700</v>
      </c>
      <c r="M626" s="10">
        <f>Sales_Data3[[#This Row],[Profit]]/Sales_Data3[[#This Row],[Sales]]</f>
        <v>0.75</v>
      </c>
      <c r="N626" t="str">
        <f t="shared" si="19"/>
        <v>Medium</v>
      </c>
      <c r="O626" s="2">
        <v>44466</v>
      </c>
      <c r="P626" s="9">
        <v>7600</v>
      </c>
    </row>
    <row r="627" spans="1:16" x14ac:dyDescent="0.25">
      <c r="A627" t="s">
        <v>648</v>
      </c>
      <c r="B627" s="2">
        <v>44467</v>
      </c>
      <c r="C627">
        <v>2021</v>
      </c>
      <c r="D627" t="str">
        <f t="shared" si="18"/>
        <v>Sep</v>
      </c>
      <c r="E627" t="s">
        <v>14</v>
      </c>
      <c r="F627" t="s">
        <v>2044</v>
      </c>
      <c r="G627" t="s">
        <v>20</v>
      </c>
      <c r="H627" t="s">
        <v>25</v>
      </c>
      <c r="I627">
        <v>4</v>
      </c>
      <c r="J627" s="9">
        <v>7100</v>
      </c>
      <c r="K627" s="7">
        <v>0.05</v>
      </c>
      <c r="L627" s="9">
        <v>6745</v>
      </c>
      <c r="M627" s="10">
        <f>Sales_Data3[[#This Row],[Profit]]/Sales_Data3[[#This Row],[Sales]]</f>
        <v>0.95</v>
      </c>
      <c r="N627" t="str">
        <f t="shared" si="19"/>
        <v>Medium</v>
      </c>
      <c r="O627" s="2">
        <v>44467</v>
      </c>
      <c r="P627" s="9">
        <v>7100</v>
      </c>
    </row>
    <row r="628" spans="1:16" x14ac:dyDescent="0.25">
      <c r="A628" t="s">
        <v>649</v>
      </c>
      <c r="B628" s="2">
        <v>44468</v>
      </c>
      <c r="C628">
        <v>2021</v>
      </c>
      <c r="D628" t="str">
        <f t="shared" si="18"/>
        <v>Sep</v>
      </c>
      <c r="E628" t="s">
        <v>14</v>
      </c>
      <c r="F628" t="s">
        <v>2045</v>
      </c>
      <c r="G628" t="s">
        <v>21</v>
      </c>
      <c r="H628" t="s">
        <v>25</v>
      </c>
      <c r="I628">
        <v>1</v>
      </c>
      <c r="J628" s="9">
        <v>4700</v>
      </c>
      <c r="K628" s="7">
        <v>0.1</v>
      </c>
      <c r="L628" s="9">
        <v>4230</v>
      </c>
      <c r="M628" s="10">
        <f>Sales_Data3[[#This Row],[Profit]]/Sales_Data3[[#This Row],[Sales]]</f>
        <v>0.9</v>
      </c>
      <c r="N628" t="str">
        <f t="shared" si="19"/>
        <v>Low</v>
      </c>
      <c r="O628" s="2">
        <v>44468</v>
      </c>
      <c r="P628" s="9">
        <v>4700</v>
      </c>
    </row>
    <row r="629" spans="1:16" x14ac:dyDescent="0.25">
      <c r="A629" t="s">
        <v>650</v>
      </c>
      <c r="B629" s="2">
        <v>44469</v>
      </c>
      <c r="C629">
        <v>2021</v>
      </c>
      <c r="D629" t="str">
        <f t="shared" si="18"/>
        <v>Sep</v>
      </c>
      <c r="E629" t="s">
        <v>14</v>
      </c>
      <c r="F629" t="s">
        <v>2046</v>
      </c>
      <c r="G629" t="s">
        <v>22</v>
      </c>
      <c r="H629" t="s">
        <v>25</v>
      </c>
      <c r="I629">
        <v>2</v>
      </c>
      <c r="J629" s="9">
        <v>10400</v>
      </c>
      <c r="K629" s="7">
        <v>0.15000000000000002</v>
      </c>
      <c r="L629" s="9">
        <v>8840</v>
      </c>
      <c r="M629" s="10">
        <f>Sales_Data3[[#This Row],[Profit]]/Sales_Data3[[#This Row],[Sales]]</f>
        <v>0.85</v>
      </c>
      <c r="N629" t="str">
        <f t="shared" si="19"/>
        <v>High</v>
      </c>
      <c r="O629" s="2">
        <v>44469</v>
      </c>
      <c r="P629" s="9">
        <v>10400</v>
      </c>
    </row>
    <row r="630" spans="1:16" x14ac:dyDescent="0.25">
      <c r="A630" t="s">
        <v>651</v>
      </c>
      <c r="B630" s="2">
        <v>44470</v>
      </c>
      <c r="C630">
        <v>2021</v>
      </c>
      <c r="D630" t="str">
        <f t="shared" si="18"/>
        <v>Oct</v>
      </c>
      <c r="E630" t="s">
        <v>14</v>
      </c>
      <c r="F630" t="s">
        <v>2047</v>
      </c>
      <c r="G630" t="s">
        <v>19</v>
      </c>
      <c r="H630" t="s">
        <v>25</v>
      </c>
      <c r="I630">
        <v>1</v>
      </c>
      <c r="J630" s="9">
        <v>9900</v>
      </c>
      <c r="K630" s="7">
        <v>0.2</v>
      </c>
      <c r="L630" s="9">
        <v>7920</v>
      </c>
      <c r="M630" s="10">
        <f>Sales_Data3[[#This Row],[Profit]]/Sales_Data3[[#This Row],[Sales]]</f>
        <v>0.8</v>
      </c>
      <c r="N630" t="str">
        <f t="shared" si="19"/>
        <v>Medium</v>
      </c>
      <c r="O630" s="2">
        <v>44470</v>
      </c>
      <c r="P630" s="9">
        <v>9900</v>
      </c>
    </row>
    <row r="631" spans="1:16" x14ac:dyDescent="0.25">
      <c r="A631" t="s">
        <v>652</v>
      </c>
      <c r="B631" s="2">
        <v>44471</v>
      </c>
      <c r="C631">
        <v>2021</v>
      </c>
      <c r="D631" t="str">
        <f t="shared" si="18"/>
        <v>Oct</v>
      </c>
      <c r="E631" t="s">
        <v>14</v>
      </c>
      <c r="F631" t="s">
        <v>2048</v>
      </c>
      <c r="G631" t="s">
        <v>20</v>
      </c>
      <c r="H631" t="s">
        <v>25</v>
      </c>
      <c r="I631">
        <v>6</v>
      </c>
      <c r="J631" s="9">
        <v>8400</v>
      </c>
      <c r="K631" s="7">
        <v>0.25</v>
      </c>
      <c r="L631" s="9">
        <v>6300</v>
      </c>
      <c r="M631" s="10">
        <f>Sales_Data3[[#This Row],[Profit]]/Sales_Data3[[#This Row],[Sales]]</f>
        <v>0.75</v>
      </c>
      <c r="N631" t="str">
        <f t="shared" si="19"/>
        <v>Medium</v>
      </c>
      <c r="O631" s="2">
        <v>44471</v>
      </c>
      <c r="P631" s="9">
        <v>8400</v>
      </c>
    </row>
    <row r="632" spans="1:16" x14ac:dyDescent="0.25">
      <c r="A632" t="s">
        <v>653</v>
      </c>
      <c r="B632" s="2">
        <v>44472</v>
      </c>
      <c r="C632">
        <v>2021</v>
      </c>
      <c r="D632" t="str">
        <f t="shared" si="18"/>
        <v>Oct</v>
      </c>
      <c r="E632" t="s">
        <v>12</v>
      </c>
      <c r="F632" t="s">
        <v>15</v>
      </c>
      <c r="G632" t="s">
        <v>21</v>
      </c>
      <c r="H632" t="s">
        <v>23</v>
      </c>
      <c r="I632">
        <v>8</v>
      </c>
      <c r="J632" s="9">
        <v>4300</v>
      </c>
      <c r="K632" s="7">
        <v>0.05</v>
      </c>
      <c r="L632" s="9">
        <v>4085</v>
      </c>
      <c r="M632" s="10">
        <f>Sales_Data3[[#This Row],[Profit]]/Sales_Data3[[#This Row],[Sales]]</f>
        <v>0.95</v>
      </c>
      <c r="N632" t="str">
        <f t="shared" si="19"/>
        <v>Low</v>
      </c>
      <c r="O632" s="2">
        <v>44472</v>
      </c>
      <c r="P632" s="9">
        <v>4300</v>
      </c>
    </row>
    <row r="633" spans="1:16" x14ac:dyDescent="0.25">
      <c r="A633" t="s">
        <v>654</v>
      </c>
      <c r="B633" s="2">
        <v>44473</v>
      </c>
      <c r="C633">
        <v>2021</v>
      </c>
      <c r="D633" t="str">
        <f t="shared" si="18"/>
        <v>Oct</v>
      </c>
      <c r="E633" t="s">
        <v>12</v>
      </c>
      <c r="F633" t="s">
        <v>17</v>
      </c>
      <c r="G633" t="s">
        <v>22</v>
      </c>
      <c r="H633" t="s">
        <v>23</v>
      </c>
      <c r="I633">
        <v>9</v>
      </c>
      <c r="J633" s="9">
        <v>7400</v>
      </c>
      <c r="K633" s="7">
        <v>0.1</v>
      </c>
      <c r="L633" s="9">
        <v>6660</v>
      </c>
      <c r="M633" s="10">
        <f>Sales_Data3[[#This Row],[Profit]]/Sales_Data3[[#This Row],[Sales]]</f>
        <v>0.9</v>
      </c>
      <c r="N633" t="str">
        <f t="shared" si="19"/>
        <v>Medium</v>
      </c>
      <c r="O633" s="2">
        <v>44473</v>
      </c>
      <c r="P633" s="9">
        <v>7400</v>
      </c>
    </row>
    <row r="634" spans="1:16" x14ac:dyDescent="0.25">
      <c r="A634" t="s">
        <v>655</v>
      </c>
      <c r="B634" s="2">
        <v>44474</v>
      </c>
      <c r="C634">
        <v>2021</v>
      </c>
      <c r="D634" t="str">
        <f t="shared" si="18"/>
        <v>Oct</v>
      </c>
      <c r="E634" t="s">
        <v>12</v>
      </c>
      <c r="F634" t="s">
        <v>2023</v>
      </c>
      <c r="G634" t="s">
        <v>19</v>
      </c>
      <c r="H634" t="s">
        <v>23</v>
      </c>
      <c r="I634">
        <v>1</v>
      </c>
      <c r="J634" s="9">
        <v>5500</v>
      </c>
      <c r="K634" s="7">
        <v>0.15000000000000002</v>
      </c>
      <c r="L634" s="9">
        <v>4675</v>
      </c>
      <c r="M634" s="10">
        <f>Sales_Data3[[#This Row],[Profit]]/Sales_Data3[[#This Row],[Sales]]</f>
        <v>0.85</v>
      </c>
      <c r="N634" t="str">
        <f t="shared" si="19"/>
        <v>Medium</v>
      </c>
      <c r="O634" s="2">
        <v>44474</v>
      </c>
      <c r="P634" s="9">
        <v>5500</v>
      </c>
    </row>
    <row r="635" spans="1:16" x14ac:dyDescent="0.25">
      <c r="A635" t="s">
        <v>656</v>
      </c>
      <c r="B635" s="2">
        <v>44475</v>
      </c>
      <c r="C635">
        <v>2021</v>
      </c>
      <c r="D635" t="str">
        <f t="shared" si="18"/>
        <v>Oct</v>
      </c>
      <c r="E635" t="s">
        <v>12</v>
      </c>
      <c r="F635" t="s">
        <v>18</v>
      </c>
      <c r="G635" t="s">
        <v>20</v>
      </c>
      <c r="H635" t="s">
        <v>23</v>
      </c>
      <c r="I635">
        <v>2</v>
      </c>
      <c r="J635" s="9">
        <v>12800</v>
      </c>
      <c r="K635" s="7">
        <v>0.2</v>
      </c>
      <c r="L635" s="9">
        <v>10240</v>
      </c>
      <c r="M635" s="10">
        <f>Sales_Data3[[#This Row],[Profit]]/Sales_Data3[[#This Row],[Sales]]</f>
        <v>0.8</v>
      </c>
      <c r="N635" t="str">
        <f t="shared" si="19"/>
        <v>High</v>
      </c>
      <c r="O635" s="2">
        <v>44475</v>
      </c>
      <c r="P635" s="9">
        <v>12800</v>
      </c>
    </row>
    <row r="636" spans="1:16" x14ac:dyDescent="0.25">
      <c r="A636" t="s">
        <v>657</v>
      </c>
      <c r="B636" s="2">
        <v>44476</v>
      </c>
      <c r="C636">
        <v>2021</v>
      </c>
      <c r="D636" t="str">
        <f t="shared" si="18"/>
        <v>Oct</v>
      </c>
      <c r="E636" t="s">
        <v>12</v>
      </c>
      <c r="F636" t="s">
        <v>2024</v>
      </c>
      <c r="G636" t="s">
        <v>21</v>
      </c>
      <c r="H636" t="s">
        <v>23</v>
      </c>
      <c r="I636">
        <v>9</v>
      </c>
      <c r="J636" s="9">
        <v>13700</v>
      </c>
      <c r="K636" s="7">
        <v>0.25</v>
      </c>
      <c r="L636" s="9">
        <v>10275</v>
      </c>
      <c r="M636" s="10">
        <f>Sales_Data3[[#This Row],[Profit]]/Sales_Data3[[#This Row],[Sales]]</f>
        <v>0.75</v>
      </c>
      <c r="N636" t="str">
        <f t="shared" si="19"/>
        <v>High</v>
      </c>
      <c r="O636" s="2">
        <v>44476</v>
      </c>
      <c r="P636" s="9">
        <v>13700</v>
      </c>
    </row>
    <row r="637" spans="1:16" x14ac:dyDescent="0.25">
      <c r="A637" t="s">
        <v>658</v>
      </c>
      <c r="B637" s="2">
        <v>44477</v>
      </c>
      <c r="C637">
        <v>2021</v>
      </c>
      <c r="D637" t="str">
        <f t="shared" si="18"/>
        <v>Oct</v>
      </c>
      <c r="E637" t="s">
        <v>12</v>
      </c>
      <c r="F637" t="s">
        <v>2025</v>
      </c>
      <c r="G637" t="s">
        <v>22</v>
      </c>
      <c r="H637" t="s">
        <v>23</v>
      </c>
      <c r="I637">
        <v>3</v>
      </c>
      <c r="J637" s="9">
        <v>10800</v>
      </c>
      <c r="K637" s="7">
        <v>0.05</v>
      </c>
      <c r="L637" s="9">
        <v>10260</v>
      </c>
      <c r="M637" s="10">
        <f>Sales_Data3[[#This Row],[Profit]]/Sales_Data3[[#This Row],[Sales]]</f>
        <v>0.95</v>
      </c>
      <c r="N637" t="str">
        <f t="shared" si="19"/>
        <v>High</v>
      </c>
      <c r="O637" s="2">
        <v>44477</v>
      </c>
      <c r="P637" s="9">
        <v>10800</v>
      </c>
    </row>
    <row r="638" spans="1:16" x14ac:dyDescent="0.25">
      <c r="A638" t="s">
        <v>659</v>
      </c>
      <c r="B638" s="2">
        <v>44478</v>
      </c>
      <c r="C638">
        <v>2021</v>
      </c>
      <c r="D638" t="str">
        <f t="shared" si="18"/>
        <v>Oct</v>
      </c>
      <c r="E638" t="s">
        <v>12</v>
      </c>
      <c r="F638" t="s">
        <v>2026</v>
      </c>
      <c r="G638" t="s">
        <v>19</v>
      </c>
      <c r="H638" t="s">
        <v>23</v>
      </c>
      <c r="I638">
        <v>9</v>
      </c>
      <c r="J638" s="9">
        <v>5600</v>
      </c>
      <c r="K638" s="7">
        <v>0.1</v>
      </c>
      <c r="L638" s="9">
        <v>5040</v>
      </c>
      <c r="M638" s="10">
        <f>Sales_Data3[[#This Row],[Profit]]/Sales_Data3[[#This Row],[Sales]]</f>
        <v>0.9</v>
      </c>
      <c r="N638" t="str">
        <f t="shared" si="19"/>
        <v>Medium</v>
      </c>
      <c r="O638" s="2">
        <v>44478</v>
      </c>
      <c r="P638" s="9">
        <v>5600</v>
      </c>
    </row>
    <row r="639" spans="1:16" x14ac:dyDescent="0.25">
      <c r="A639" t="s">
        <v>660</v>
      </c>
      <c r="B639" s="2">
        <v>44479</v>
      </c>
      <c r="C639">
        <v>2021</v>
      </c>
      <c r="D639" t="str">
        <f t="shared" si="18"/>
        <v>Oct</v>
      </c>
      <c r="E639" t="s">
        <v>12</v>
      </c>
      <c r="F639" t="s">
        <v>2027</v>
      </c>
      <c r="G639" t="s">
        <v>20</v>
      </c>
      <c r="H639" t="s">
        <v>23</v>
      </c>
      <c r="I639">
        <v>3</v>
      </c>
      <c r="J639" s="9">
        <v>12500</v>
      </c>
      <c r="K639" s="7">
        <v>0.15000000000000002</v>
      </c>
      <c r="L639" s="9">
        <v>10625</v>
      </c>
      <c r="M639" s="10">
        <f>Sales_Data3[[#This Row],[Profit]]/Sales_Data3[[#This Row],[Sales]]</f>
        <v>0.85</v>
      </c>
      <c r="N639" t="str">
        <f t="shared" si="19"/>
        <v>High</v>
      </c>
      <c r="O639" s="2">
        <v>44479</v>
      </c>
      <c r="P639" s="9">
        <v>12500</v>
      </c>
    </row>
    <row r="640" spans="1:16" x14ac:dyDescent="0.25">
      <c r="A640" t="s">
        <v>661</v>
      </c>
      <c r="B640" s="2">
        <v>44480</v>
      </c>
      <c r="C640">
        <v>2021</v>
      </c>
      <c r="D640" t="str">
        <f t="shared" si="18"/>
        <v>Oct</v>
      </c>
      <c r="E640" t="s">
        <v>12</v>
      </c>
      <c r="F640" t="s">
        <v>2028</v>
      </c>
      <c r="G640" t="s">
        <v>21</v>
      </c>
      <c r="H640" t="s">
        <v>23</v>
      </c>
      <c r="I640">
        <v>7</v>
      </c>
      <c r="J640" s="9">
        <v>9000</v>
      </c>
      <c r="K640" s="7">
        <v>0.2</v>
      </c>
      <c r="L640" s="9">
        <v>7200</v>
      </c>
      <c r="M640" s="10">
        <f>Sales_Data3[[#This Row],[Profit]]/Sales_Data3[[#This Row],[Sales]]</f>
        <v>0.8</v>
      </c>
      <c r="N640" t="str">
        <f t="shared" si="19"/>
        <v>Medium</v>
      </c>
      <c r="O640" s="2">
        <v>44480</v>
      </c>
      <c r="P640" s="9">
        <v>9000</v>
      </c>
    </row>
    <row r="641" spans="1:16" x14ac:dyDescent="0.25">
      <c r="A641" t="s">
        <v>662</v>
      </c>
      <c r="B641" s="2">
        <v>44481</v>
      </c>
      <c r="C641">
        <v>2021</v>
      </c>
      <c r="D641" t="str">
        <f t="shared" si="18"/>
        <v>Oct</v>
      </c>
      <c r="E641" t="s">
        <v>12</v>
      </c>
      <c r="F641" t="s">
        <v>2029</v>
      </c>
      <c r="G641" t="s">
        <v>22</v>
      </c>
      <c r="H641" t="s">
        <v>23</v>
      </c>
      <c r="I641">
        <v>5</v>
      </c>
      <c r="J641" s="9">
        <v>12000</v>
      </c>
      <c r="K641" s="7">
        <v>0.25</v>
      </c>
      <c r="L641" s="9">
        <v>9000</v>
      </c>
      <c r="M641" s="10">
        <f>Sales_Data3[[#This Row],[Profit]]/Sales_Data3[[#This Row],[Sales]]</f>
        <v>0.75</v>
      </c>
      <c r="N641" t="str">
        <f t="shared" si="19"/>
        <v>High</v>
      </c>
      <c r="O641" s="2">
        <v>44481</v>
      </c>
      <c r="P641" s="9">
        <v>12000</v>
      </c>
    </row>
    <row r="642" spans="1:16" x14ac:dyDescent="0.25">
      <c r="A642" t="s">
        <v>663</v>
      </c>
      <c r="B642" s="2">
        <v>44482</v>
      </c>
      <c r="C642">
        <v>2021</v>
      </c>
      <c r="D642" t="str">
        <f t="shared" ref="D642:D705" si="20">TEXT(B642,"MMM")</f>
        <v>Oct</v>
      </c>
      <c r="E642" t="s">
        <v>13</v>
      </c>
      <c r="F642" t="s">
        <v>16</v>
      </c>
      <c r="G642" t="s">
        <v>19</v>
      </c>
      <c r="H642" t="s">
        <v>24</v>
      </c>
      <c r="I642">
        <v>3</v>
      </c>
      <c r="J642" s="9">
        <v>8200</v>
      </c>
      <c r="K642" s="7">
        <v>0.05</v>
      </c>
      <c r="L642" s="9">
        <v>7790</v>
      </c>
      <c r="M642" s="10">
        <f>Sales_Data3[[#This Row],[Profit]]/Sales_Data3[[#This Row],[Sales]]</f>
        <v>0.95</v>
      </c>
      <c r="N642" t="str">
        <f t="shared" ref="N642:N705" si="21">IF(J642&gt;10000,"High",IF(J642&gt;5000,"Medium","Low"))</f>
        <v>Medium</v>
      </c>
      <c r="O642" s="2">
        <v>44482</v>
      </c>
      <c r="P642" s="9">
        <v>8200</v>
      </c>
    </row>
    <row r="643" spans="1:16" x14ac:dyDescent="0.25">
      <c r="A643" t="s">
        <v>664</v>
      </c>
      <c r="B643" s="2">
        <v>44483</v>
      </c>
      <c r="C643">
        <v>2021</v>
      </c>
      <c r="D643" t="str">
        <f t="shared" si="20"/>
        <v>Oct</v>
      </c>
      <c r="E643" t="s">
        <v>13</v>
      </c>
      <c r="F643" t="s">
        <v>2030</v>
      </c>
      <c r="G643" t="s">
        <v>20</v>
      </c>
      <c r="H643" t="s">
        <v>24</v>
      </c>
      <c r="I643">
        <v>4</v>
      </c>
      <c r="J643" s="9">
        <v>9400</v>
      </c>
      <c r="K643" s="7">
        <v>0.1</v>
      </c>
      <c r="L643" s="9">
        <v>8460</v>
      </c>
      <c r="M643" s="10">
        <f>Sales_Data3[[#This Row],[Profit]]/Sales_Data3[[#This Row],[Sales]]</f>
        <v>0.9</v>
      </c>
      <c r="N643" t="str">
        <f t="shared" si="21"/>
        <v>Medium</v>
      </c>
      <c r="O643" s="2">
        <v>44483</v>
      </c>
      <c r="P643" s="9">
        <v>9400</v>
      </c>
    </row>
    <row r="644" spans="1:16" x14ac:dyDescent="0.25">
      <c r="A644" t="s">
        <v>665</v>
      </c>
      <c r="B644" s="2">
        <v>44484</v>
      </c>
      <c r="C644">
        <v>2021</v>
      </c>
      <c r="D644" t="str">
        <f t="shared" si="20"/>
        <v>Oct</v>
      </c>
      <c r="E644" t="s">
        <v>13</v>
      </c>
      <c r="F644" t="s">
        <v>2031</v>
      </c>
      <c r="G644" t="s">
        <v>21</v>
      </c>
      <c r="H644" t="s">
        <v>24</v>
      </c>
      <c r="I644">
        <v>6</v>
      </c>
      <c r="J644" s="9">
        <v>12400</v>
      </c>
      <c r="K644" s="7">
        <v>0.15000000000000002</v>
      </c>
      <c r="L644" s="9">
        <v>10540</v>
      </c>
      <c r="M644" s="10">
        <f>Sales_Data3[[#This Row],[Profit]]/Sales_Data3[[#This Row],[Sales]]</f>
        <v>0.85</v>
      </c>
      <c r="N644" t="str">
        <f t="shared" si="21"/>
        <v>High</v>
      </c>
      <c r="O644" s="2">
        <v>44484</v>
      </c>
      <c r="P644" s="9">
        <v>12400</v>
      </c>
    </row>
    <row r="645" spans="1:16" x14ac:dyDescent="0.25">
      <c r="A645" t="s">
        <v>666</v>
      </c>
      <c r="B645" s="2">
        <v>44485</v>
      </c>
      <c r="C645">
        <v>2021</v>
      </c>
      <c r="D645" t="str">
        <f t="shared" si="20"/>
        <v>Oct</v>
      </c>
      <c r="E645" t="s">
        <v>13</v>
      </c>
      <c r="F645" t="s">
        <v>2032</v>
      </c>
      <c r="G645" t="s">
        <v>22</v>
      </c>
      <c r="H645" t="s">
        <v>24</v>
      </c>
      <c r="I645">
        <v>1</v>
      </c>
      <c r="J645" s="9">
        <v>10200</v>
      </c>
      <c r="K645" s="7">
        <v>0.2</v>
      </c>
      <c r="L645" s="9">
        <v>8160</v>
      </c>
      <c r="M645" s="10">
        <f>Sales_Data3[[#This Row],[Profit]]/Sales_Data3[[#This Row],[Sales]]</f>
        <v>0.8</v>
      </c>
      <c r="N645" t="str">
        <f t="shared" si="21"/>
        <v>High</v>
      </c>
      <c r="O645" s="2">
        <v>44485</v>
      </c>
      <c r="P645" s="9">
        <v>10200</v>
      </c>
    </row>
    <row r="646" spans="1:16" x14ac:dyDescent="0.25">
      <c r="A646" t="s">
        <v>667</v>
      </c>
      <c r="B646" s="2">
        <v>44486</v>
      </c>
      <c r="C646">
        <v>2021</v>
      </c>
      <c r="D646" t="str">
        <f t="shared" si="20"/>
        <v>Oct</v>
      </c>
      <c r="E646" t="s">
        <v>13</v>
      </c>
      <c r="F646" t="s">
        <v>2033</v>
      </c>
      <c r="G646" t="s">
        <v>19</v>
      </c>
      <c r="H646" t="s">
        <v>24</v>
      </c>
      <c r="I646">
        <v>9</v>
      </c>
      <c r="J646" s="9">
        <v>11000</v>
      </c>
      <c r="K646" s="7">
        <v>0.25</v>
      </c>
      <c r="L646" s="9">
        <v>8250</v>
      </c>
      <c r="M646" s="10">
        <f>Sales_Data3[[#This Row],[Profit]]/Sales_Data3[[#This Row],[Sales]]</f>
        <v>0.75</v>
      </c>
      <c r="N646" t="str">
        <f t="shared" si="21"/>
        <v>High</v>
      </c>
      <c r="O646" s="2">
        <v>44486</v>
      </c>
      <c r="P646" s="9">
        <v>11000</v>
      </c>
    </row>
    <row r="647" spans="1:16" x14ac:dyDescent="0.25">
      <c r="A647" t="s">
        <v>668</v>
      </c>
      <c r="B647" s="2">
        <v>44487</v>
      </c>
      <c r="C647">
        <v>2021</v>
      </c>
      <c r="D647" t="str">
        <f t="shared" si="20"/>
        <v>Oct</v>
      </c>
      <c r="E647" t="s">
        <v>13</v>
      </c>
      <c r="F647" t="s">
        <v>2034</v>
      </c>
      <c r="G647" t="s">
        <v>20</v>
      </c>
      <c r="H647" t="s">
        <v>24</v>
      </c>
      <c r="I647">
        <v>7</v>
      </c>
      <c r="J647" s="9">
        <v>13100</v>
      </c>
      <c r="K647" s="7">
        <v>0.05</v>
      </c>
      <c r="L647" s="9">
        <v>12445</v>
      </c>
      <c r="M647" s="10">
        <f>Sales_Data3[[#This Row],[Profit]]/Sales_Data3[[#This Row],[Sales]]</f>
        <v>0.95</v>
      </c>
      <c r="N647" t="str">
        <f t="shared" si="21"/>
        <v>High</v>
      </c>
      <c r="O647" s="2">
        <v>44487</v>
      </c>
      <c r="P647" s="9">
        <v>13100</v>
      </c>
    </row>
    <row r="648" spans="1:16" x14ac:dyDescent="0.25">
      <c r="A648" t="s">
        <v>669</v>
      </c>
      <c r="B648" s="2">
        <v>44488</v>
      </c>
      <c r="C648">
        <v>2021</v>
      </c>
      <c r="D648" t="str">
        <f t="shared" si="20"/>
        <v>Oct</v>
      </c>
      <c r="E648" t="s">
        <v>13</v>
      </c>
      <c r="F648" t="s">
        <v>2035</v>
      </c>
      <c r="G648" t="s">
        <v>21</v>
      </c>
      <c r="H648" t="s">
        <v>24</v>
      </c>
      <c r="I648">
        <v>8</v>
      </c>
      <c r="J648" s="9">
        <v>13700</v>
      </c>
      <c r="K648" s="7">
        <v>0.1</v>
      </c>
      <c r="L648" s="9">
        <v>12330</v>
      </c>
      <c r="M648" s="10">
        <f>Sales_Data3[[#This Row],[Profit]]/Sales_Data3[[#This Row],[Sales]]</f>
        <v>0.9</v>
      </c>
      <c r="N648" t="str">
        <f t="shared" si="21"/>
        <v>High</v>
      </c>
      <c r="O648" s="2">
        <v>44488</v>
      </c>
      <c r="P648" s="9">
        <v>13700</v>
      </c>
    </row>
    <row r="649" spans="1:16" x14ac:dyDescent="0.25">
      <c r="A649" t="s">
        <v>670</v>
      </c>
      <c r="B649" s="2">
        <v>44489</v>
      </c>
      <c r="C649">
        <v>2021</v>
      </c>
      <c r="D649" t="str">
        <f t="shared" si="20"/>
        <v>Oct</v>
      </c>
      <c r="E649" t="s">
        <v>13</v>
      </c>
      <c r="F649" t="s">
        <v>2036</v>
      </c>
      <c r="G649" t="s">
        <v>22</v>
      </c>
      <c r="H649" t="s">
        <v>24</v>
      </c>
      <c r="I649">
        <v>3</v>
      </c>
      <c r="J649" s="9">
        <v>12100</v>
      </c>
      <c r="K649" s="7">
        <v>0.15000000000000002</v>
      </c>
      <c r="L649" s="9">
        <v>10285</v>
      </c>
      <c r="M649" s="10">
        <f>Sales_Data3[[#This Row],[Profit]]/Sales_Data3[[#This Row],[Sales]]</f>
        <v>0.85</v>
      </c>
      <c r="N649" t="str">
        <f t="shared" si="21"/>
        <v>High</v>
      </c>
      <c r="O649" s="2">
        <v>44489</v>
      </c>
      <c r="P649" s="9">
        <v>12100</v>
      </c>
    </row>
    <row r="650" spans="1:16" x14ac:dyDescent="0.25">
      <c r="A650" t="s">
        <v>671</v>
      </c>
      <c r="B650" s="2">
        <v>44490</v>
      </c>
      <c r="C650">
        <v>2021</v>
      </c>
      <c r="D650" t="str">
        <f t="shared" si="20"/>
        <v>Oct</v>
      </c>
      <c r="E650" t="s">
        <v>13</v>
      </c>
      <c r="F650" t="s">
        <v>2037</v>
      </c>
      <c r="G650" t="s">
        <v>19</v>
      </c>
      <c r="H650" t="s">
        <v>24</v>
      </c>
      <c r="I650">
        <v>7</v>
      </c>
      <c r="J650" s="9">
        <v>9600</v>
      </c>
      <c r="K650" s="7">
        <v>0.2</v>
      </c>
      <c r="L650" s="9">
        <v>7680</v>
      </c>
      <c r="M650" s="10">
        <f>Sales_Data3[[#This Row],[Profit]]/Sales_Data3[[#This Row],[Sales]]</f>
        <v>0.8</v>
      </c>
      <c r="N650" t="str">
        <f t="shared" si="21"/>
        <v>Medium</v>
      </c>
      <c r="O650" s="2">
        <v>44490</v>
      </c>
      <c r="P650" s="9">
        <v>9600</v>
      </c>
    </row>
    <row r="651" spans="1:16" x14ac:dyDescent="0.25">
      <c r="A651" t="s">
        <v>672</v>
      </c>
      <c r="B651" s="2">
        <v>44491</v>
      </c>
      <c r="C651">
        <v>2021</v>
      </c>
      <c r="D651" t="str">
        <f t="shared" si="20"/>
        <v>Oct</v>
      </c>
      <c r="E651" t="s">
        <v>13</v>
      </c>
      <c r="F651" t="s">
        <v>2038</v>
      </c>
      <c r="G651" t="s">
        <v>20</v>
      </c>
      <c r="H651" t="s">
        <v>24</v>
      </c>
      <c r="I651">
        <v>1</v>
      </c>
      <c r="J651" s="9">
        <v>9000</v>
      </c>
      <c r="K651" s="7">
        <v>0.25</v>
      </c>
      <c r="L651" s="9">
        <v>6750</v>
      </c>
      <c r="M651" s="10">
        <f>Sales_Data3[[#This Row],[Profit]]/Sales_Data3[[#This Row],[Sales]]</f>
        <v>0.75</v>
      </c>
      <c r="N651" t="str">
        <f t="shared" si="21"/>
        <v>Medium</v>
      </c>
      <c r="O651" s="2">
        <v>44491</v>
      </c>
      <c r="P651" s="9">
        <v>9000</v>
      </c>
    </row>
    <row r="652" spans="1:16" x14ac:dyDescent="0.25">
      <c r="A652" t="s">
        <v>673</v>
      </c>
      <c r="B652" s="2">
        <v>44492</v>
      </c>
      <c r="C652">
        <v>2021</v>
      </c>
      <c r="D652" t="str">
        <f t="shared" si="20"/>
        <v>Oct</v>
      </c>
      <c r="E652" t="s">
        <v>14</v>
      </c>
      <c r="F652" t="s">
        <v>2039</v>
      </c>
      <c r="G652" t="s">
        <v>21</v>
      </c>
      <c r="H652" t="s">
        <v>25</v>
      </c>
      <c r="I652">
        <v>8</v>
      </c>
      <c r="J652" s="9">
        <v>6800</v>
      </c>
      <c r="K652" s="7">
        <v>0.05</v>
      </c>
      <c r="L652" s="9">
        <v>6460</v>
      </c>
      <c r="M652" s="10">
        <f>Sales_Data3[[#This Row],[Profit]]/Sales_Data3[[#This Row],[Sales]]</f>
        <v>0.95</v>
      </c>
      <c r="N652" t="str">
        <f t="shared" si="21"/>
        <v>Medium</v>
      </c>
      <c r="O652" s="2">
        <v>44492</v>
      </c>
      <c r="P652" s="9">
        <v>6800</v>
      </c>
    </row>
    <row r="653" spans="1:16" x14ac:dyDescent="0.25">
      <c r="A653" t="s">
        <v>674</v>
      </c>
      <c r="B653" s="2">
        <v>44493</v>
      </c>
      <c r="C653">
        <v>2021</v>
      </c>
      <c r="D653" t="str">
        <f t="shared" si="20"/>
        <v>Oct</v>
      </c>
      <c r="E653" t="s">
        <v>14</v>
      </c>
      <c r="F653" t="s">
        <v>2040</v>
      </c>
      <c r="G653" t="s">
        <v>22</v>
      </c>
      <c r="H653" t="s">
        <v>25</v>
      </c>
      <c r="I653">
        <v>4</v>
      </c>
      <c r="J653" s="9">
        <v>8200</v>
      </c>
      <c r="K653" s="7">
        <v>0.1</v>
      </c>
      <c r="L653" s="9">
        <v>7380</v>
      </c>
      <c r="M653" s="10">
        <f>Sales_Data3[[#This Row],[Profit]]/Sales_Data3[[#This Row],[Sales]]</f>
        <v>0.9</v>
      </c>
      <c r="N653" t="str">
        <f t="shared" si="21"/>
        <v>Medium</v>
      </c>
      <c r="O653" s="2">
        <v>44493</v>
      </c>
      <c r="P653" s="9">
        <v>8200</v>
      </c>
    </row>
    <row r="654" spans="1:16" x14ac:dyDescent="0.25">
      <c r="A654" t="s">
        <v>675</v>
      </c>
      <c r="B654" s="2">
        <v>44494</v>
      </c>
      <c r="C654">
        <v>2021</v>
      </c>
      <c r="D654" t="str">
        <f t="shared" si="20"/>
        <v>Oct</v>
      </c>
      <c r="E654" t="s">
        <v>14</v>
      </c>
      <c r="F654" t="s">
        <v>2041</v>
      </c>
      <c r="G654" t="s">
        <v>19</v>
      </c>
      <c r="H654" t="s">
        <v>25</v>
      </c>
      <c r="I654">
        <v>3</v>
      </c>
      <c r="J654" s="9">
        <v>7400</v>
      </c>
      <c r="K654" s="7">
        <v>0.15000000000000002</v>
      </c>
      <c r="L654" s="9">
        <v>6290</v>
      </c>
      <c r="M654" s="10">
        <f>Sales_Data3[[#This Row],[Profit]]/Sales_Data3[[#This Row],[Sales]]</f>
        <v>0.85</v>
      </c>
      <c r="N654" t="str">
        <f t="shared" si="21"/>
        <v>Medium</v>
      </c>
      <c r="O654" s="2">
        <v>44494</v>
      </c>
      <c r="P654" s="9">
        <v>7400</v>
      </c>
    </row>
    <row r="655" spans="1:16" x14ac:dyDescent="0.25">
      <c r="A655" t="s">
        <v>676</v>
      </c>
      <c r="B655" s="2">
        <v>44495</v>
      </c>
      <c r="C655">
        <v>2021</v>
      </c>
      <c r="D655" t="str">
        <f t="shared" si="20"/>
        <v>Oct</v>
      </c>
      <c r="E655" t="s">
        <v>14</v>
      </c>
      <c r="F655" t="s">
        <v>2042</v>
      </c>
      <c r="G655" t="s">
        <v>20</v>
      </c>
      <c r="H655" t="s">
        <v>25</v>
      </c>
      <c r="I655">
        <v>2</v>
      </c>
      <c r="J655" s="9">
        <v>8800</v>
      </c>
      <c r="K655" s="7">
        <v>0.2</v>
      </c>
      <c r="L655" s="9">
        <v>7040</v>
      </c>
      <c r="M655" s="10">
        <f>Sales_Data3[[#This Row],[Profit]]/Sales_Data3[[#This Row],[Sales]]</f>
        <v>0.8</v>
      </c>
      <c r="N655" t="str">
        <f t="shared" si="21"/>
        <v>Medium</v>
      </c>
      <c r="O655" s="2">
        <v>44495</v>
      </c>
      <c r="P655" s="9">
        <v>8800</v>
      </c>
    </row>
    <row r="656" spans="1:16" x14ac:dyDescent="0.25">
      <c r="A656" t="s">
        <v>677</v>
      </c>
      <c r="B656" s="2">
        <v>44496</v>
      </c>
      <c r="C656">
        <v>2021</v>
      </c>
      <c r="D656" t="str">
        <f t="shared" si="20"/>
        <v>Oct</v>
      </c>
      <c r="E656" t="s">
        <v>14</v>
      </c>
      <c r="F656" t="s">
        <v>2043</v>
      </c>
      <c r="G656" t="s">
        <v>21</v>
      </c>
      <c r="H656" t="s">
        <v>25</v>
      </c>
      <c r="I656">
        <v>9</v>
      </c>
      <c r="J656" s="9">
        <v>9300</v>
      </c>
      <c r="K656" s="7">
        <v>0.25</v>
      </c>
      <c r="L656" s="9">
        <v>6975</v>
      </c>
      <c r="M656" s="10">
        <f>Sales_Data3[[#This Row],[Profit]]/Sales_Data3[[#This Row],[Sales]]</f>
        <v>0.75</v>
      </c>
      <c r="N656" t="str">
        <f t="shared" si="21"/>
        <v>Medium</v>
      </c>
      <c r="O656" s="2">
        <v>44496</v>
      </c>
      <c r="P656" s="9">
        <v>9300</v>
      </c>
    </row>
    <row r="657" spans="1:16" x14ac:dyDescent="0.25">
      <c r="A657" t="s">
        <v>678</v>
      </c>
      <c r="B657" s="2">
        <v>44497</v>
      </c>
      <c r="C657">
        <v>2021</v>
      </c>
      <c r="D657" t="str">
        <f t="shared" si="20"/>
        <v>Oct</v>
      </c>
      <c r="E657" t="s">
        <v>14</v>
      </c>
      <c r="F657" t="s">
        <v>2044</v>
      </c>
      <c r="G657" t="s">
        <v>22</v>
      </c>
      <c r="H657" t="s">
        <v>25</v>
      </c>
      <c r="I657">
        <v>9</v>
      </c>
      <c r="J657" s="9">
        <v>7900</v>
      </c>
      <c r="K657" s="7">
        <v>0.05</v>
      </c>
      <c r="L657" s="9">
        <v>7505</v>
      </c>
      <c r="M657" s="10">
        <f>Sales_Data3[[#This Row],[Profit]]/Sales_Data3[[#This Row],[Sales]]</f>
        <v>0.95</v>
      </c>
      <c r="N657" t="str">
        <f t="shared" si="21"/>
        <v>Medium</v>
      </c>
      <c r="O657" s="2">
        <v>44497</v>
      </c>
      <c r="P657" s="9">
        <v>7900</v>
      </c>
    </row>
    <row r="658" spans="1:16" x14ac:dyDescent="0.25">
      <c r="A658" t="s">
        <v>679</v>
      </c>
      <c r="B658" s="2">
        <v>44498</v>
      </c>
      <c r="C658">
        <v>2021</v>
      </c>
      <c r="D658" t="str">
        <f t="shared" si="20"/>
        <v>Oct</v>
      </c>
      <c r="E658" t="s">
        <v>14</v>
      </c>
      <c r="F658" t="s">
        <v>2045</v>
      </c>
      <c r="G658" t="s">
        <v>19</v>
      </c>
      <c r="H658" t="s">
        <v>25</v>
      </c>
      <c r="I658">
        <v>1</v>
      </c>
      <c r="J658" s="9">
        <v>15000</v>
      </c>
      <c r="K658" s="7">
        <v>0.1</v>
      </c>
      <c r="L658" s="9">
        <v>13500</v>
      </c>
      <c r="M658" s="10">
        <f>Sales_Data3[[#This Row],[Profit]]/Sales_Data3[[#This Row],[Sales]]</f>
        <v>0.9</v>
      </c>
      <c r="N658" t="str">
        <f t="shared" si="21"/>
        <v>High</v>
      </c>
      <c r="O658" s="2">
        <v>44498</v>
      </c>
      <c r="P658" s="9">
        <v>15000</v>
      </c>
    </row>
    <row r="659" spans="1:16" x14ac:dyDescent="0.25">
      <c r="A659" t="s">
        <v>680</v>
      </c>
      <c r="B659" s="2">
        <v>44499</v>
      </c>
      <c r="C659">
        <v>2021</v>
      </c>
      <c r="D659" t="str">
        <f t="shared" si="20"/>
        <v>Oct</v>
      </c>
      <c r="E659" t="s">
        <v>14</v>
      </c>
      <c r="F659" t="s">
        <v>2046</v>
      </c>
      <c r="G659" t="s">
        <v>20</v>
      </c>
      <c r="H659" t="s">
        <v>25</v>
      </c>
      <c r="I659">
        <v>5</v>
      </c>
      <c r="J659" s="9">
        <v>11100</v>
      </c>
      <c r="K659" s="7">
        <v>0.15000000000000002</v>
      </c>
      <c r="L659" s="9">
        <v>9435</v>
      </c>
      <c r="M659" s="10">
        <f>Sales_Data3[[#This Row],[Profit]]/Sales_Data3[[#This Row],[Sales]]</f>
        <v>0.85</v>
      </c>
      <c r="N659" t="str">
        <f t="shared" si="21"/>
        <v>High</v>
      </c>
      <c r="O659" s="2">
        <v>44499</v>
      </c>
      <c r="P659" s="9">
        <v>11100</v>
      </c>
    </row>
    <row r="660" spans="1:16" x14ac:dyDescent="0.25">
      <c r="A660" t="s">
        <v>681</v>
      </c>
      <c r="B660" s="2">
        <v>44500</v>
      </c>
      <c r="C660">
        <v>2021</v>
      </c>
      <c r="D660" t="str">
        <f t="shared" si="20"/>
        <v>Oct</v>
      </c>
      <c r="E660" t="s">
        <v>14</v>
      </c>
      <c r="F660" t="s">
        <v>2047</v>
      </c>
      <c r="G660" t="s">
        <v>21</v>
      </c>
      <c r="H660" t="s">
        <v>25</v>
      </c>
      <c r="I660">
        <v>2</v>
      </c>
      <c r="J660" s="9">
        <v>5000</v>
      </c>
      <c r="K660" s="7">
        <v>0.2</v>
      </c>
      <c r="L660" s="9">
        <v>4000</v>
      </c>
      <c r="M660" s="10">
        <f>Sales_Data3[[#This Row],[Profit]]/Sales_Data3[[#This Row],[Sales]]</f>
        <v>0.8</v>
      </c>
      <c r="N660" t="str">
        <f t="shared" si="21"/>
        <v>Low</v>
      </c>
      <c r="O660" s="2">
        <v>44500</v>
      </c>
      <c r="P660" s="9">
        <v>5000</v>
      </c>
    </row>
    <row r="661" spans="1:16" x14ac:dyDescent="0.25">
      <c r="A661" t="s">
        <v>682</v>
      </c>
      <c r="B661" s="2">
        <v>44501</v>
      </c>
      <c r="C661">
        <v>2021</v>
      </c>
      <c r="D661" t="str">
        <f t="shared" si="20"/>
        <v>Nov</v>
      </c>
      <c r="E661" t="s">
        <v>14</v>
      </c>
      <c r="F661" t="s">
        <v>2048</v>
      </c>
      <c r="G661" t="s">
        <v>22</v>
      </c>
      <c r="H661" t="s">
        <v>25</v>
      </c>
      <c r="I661">
        <v>10</v>
      </c>
      <c r="J661" s="9">
        <v>11500</v>
      </c>
      <c r="K661" s="7">
        <v>0.25</v>
      </c>
      <c r="L661" s="9">
        <v>8625</v>
      </c>
      <c r="M661" s="10">
        <f>Sales_Data3[[#This Row],[Profit]]/Sales_Data3[[#This Row],[Sales]]</f>
        <v>0.75</v>
      </c>
      <c r="N661" t="str">
        <f t="shared" si="21"/>
        <v>High</v>
      </c>
      <c r="O661" s="2">
        <v>44501</v>
      </c>
      <c r="P661" s="9">
        <v>11500</v>
      </c>
    </row>
    <row r="662" spans="1:16" x14ac:dyDescent="0.25">
      <c r="A662" t="s">
        <v>683</v>
      </c>
      <c r="B662" s="2">
        <v>44502</v>
      </c>
      <c r="C662">
        <v>2021</v>
      </c>
      <c r="D662" t="str">
        <f t="shared" si="20"/>
        <v>Nov</v>
      </c>
      <c r="E662" t="s">
        <v>12</v>
      </c>
      <c r="F662" t="s">
        <v>15</v>
      </c>
      <c r="G662" t="s">
        <v>19</v>
      </c>
      <c r="H662" t="s">
        <v>23</v>
      </c>
      <c r="I662">
        <v>10</v>
      </c>
      <c r="J662" s="9">
        <v>8500</v>
      </c>
      <c r="K662" s="7">
        <v>0.05</v>
      </c>
      <c r="L662" s="9">
        <v>8075</v>
      </c>
      <c r="M662" s="10">
        <f>Sales_Data3[[#This Row],[Profit]]/Sales_Data3[[#This Row],[Sales]]</f>
        <v>0.95</v>
      </c>
      <c r="N662" t="str">
        <f t="shared" si="21"/>
        <v>Medium</v>
      </c>
      <c r="O662" s="2">
        <v>44502</v>
      </c>
      <c r="P662" s="9">
        <v>8500</v>
      </c>
    </row>
    <row r="663" spans="1:16" x14ac:dyDescent="0.25">
      <c r="A663" t="s">
        <v>684</v>
      </c>
      <c r="B663" s="2">
        <v>44503</v>
      </c>
      <c r="C663">
        <v>2021</v>
      </c>
      <c r="D663" t="str">
        <f t="shared" si="20"/>
        <v>Nov</v>
      </c>
      <c r="E663" t="s">
        <v>12</v>
      </c>
      <c r="F663" t="s">
        <v>17</v>
      </c>
      <c r="G663" t="s">
        <v>20</v>
      </c>
      <c r="H663" t="s">
        <v>23</v>
      </c>
      <c r="I663">
        <v>7</v>
      </c>
      <c r="J663" s="9">
        <v>12000</v>
      </c>
      <c r="K663" s="7">
        <v>0.1</v>
      </c>
      <c r="L663" s="9">
        <v>10800</v>
      </c>
      <c r="M663" s="10">
        <f>Sales_Data3[[#This Row],[Profit]]/Sales_Data3[[#This Row],[Sales]]</f>
        <v>0.9</v>
      </c>
      <c r="N663" t="str">
        <f t="shared" si="21"/>
        <v>High</v>
      </c>
      <c r="O663" s="2">
        <v>44503</v>
      </c>
      <c r="P663" s="9">
        <v>12000</v>
      </c>
    </row>
    <row r="664" spans="1:16" x14ac:dyDescent="0.25">
      <c r="A664" t="s">
        <v>685</v>
      </c>
      <c r="B664" s="2">
        <v>44504</v>
      </c>
      <c r="C664">
        <v>2021</v>
      </c>
      <c r="D664" t="str">
        <f t="shared" si="20"/>
        <v>Nov</v>
      </c>
      <c r="E664" t="s">
        <v>12</v>
      </c>
      <c r="F664" t="s">
        <v>2023</v>
      </c>
      <c r="G664" t="s">
        <v>21</v>
      </c>
      <c r="H664" t="s">
        <v>23</v>
      </c>
      <c r="I664">
        <v>9</v>
      </c>
      <c r="J664" s="9">
        <v>5300</v>
      </c>
      <c r="K664" s="7">
        <v>0.15000000000000002</v>
      </c>
      <c r="L664" s="9">
        <v>4505</v>
      </c>
      <c r="M664" s="10">
        <f>Sales_Data3[[#This Row],[Profit]]/Sales_Data3[[#This Row],[Sales]]</f>
        <v>0.85</v>
      </c>
      <c r="N664" t="str">
        <f t="shared" si="21"/>
        <v>Medium</v>
      </c>
      <c r="O664" s="2">
        <v>44504</v>
      </c>
      <c r="P664" s="9">
        <v>5300</v>
      </c>
    </row>
    <row r="665" spans="1:16" x14ac:dyDescent="0.25">
      <c r="A665" t="s">
        <v>686</v>
      </c>
      <c r="B665" s="2">
        <v>44505</v>
      </c>
      <c r="C665">
        <v>2021</v>
      </c>
      <c r="D665" t="str">
        <f t="shared" si="20"/>
        <v>Nov</v>
      </c>
      <c r="E665" t="s">
        <v>12</v>
      </c>
      <c r="F665" t="s">
        <v>18</v>
      </c>
      <c r="G665" t="s">
        <v>22</v>
      </c>
      <c r="H665" t="s">
        <v>23</v>
      </c>
      <c r="I665">
        <v>3</v>
      </c>
      <c r="J665" s="9">
        <v>4800</v>
      </c>
      <c r="K665" s="7">
        <v>0.2</v>
      </c>
      <c r="L665" s="9">
        <v>3840</v>
      </c>
      <c r="M665" s="10">
        <f>Sales_Data3[[#This Row],[Profit]]/Sales_Data3[[#This Row],[Sales]]</f>
        <v>0.8</v>
      </c>
      <c r="N665" t="str">
        <f t="shared" si="21"/>
        <v>Low</v>
      </c>
      <c r="O665" s="2">
        <v>44505</v>
      </c>
      <c r="P665" s="9">
        <v>4800</v>
      </c>
    </row>
    <row r="666" spans="1:16" x14ac:dyDescent="0.25">
      <c r="A666" t="s">
        <v>687</v>
      </c>
      <c r="B666" s="2">
        <v>44506</v>
      </c>
      <c r="C666">
        <v>2021</v>
      </c>
      <c r="D666" t="str">
        <f t="shared" si="20"/>
        <v>Nov</v>
      </c>
      <c r="E666" t="s">
        <v>12</v>
      </c>
      <c r="F666" t="s">
        <v>2024</v>
      </c>
      <c r="G666" t="s">
        <v>19</v>
      </c>
      <c r="H666" t="s">
        <v>23</v>
      </c>
      <c r="I666">
        <v>9</v>
      </c>
      <c r="J666" s="9">
        <v>14200</v>
      </c>
      <c r="K666" s="7">
        <v>0.25</v>
      </c>
      <c r="L666" s="9">
        <v>10650</v>
      </c>
      <c r="M666" s="10">
        <f>Sales_Data3[[#This Row],[Profit]]/Sales_Data3[[#This Row],[Sales]]</f>
        <v>0.75</v>
      </c>
      <c r="N666" t="str">
        <f t="shared" si="21"/>
        <v>High</v>
      </c>
      <c r="O666" s="2">
        <v>44506</v>
      </c>
      <c r="P666" s="9">
        <v>14200</v>
      </c>
    </row>
    <row r="667" spans="1:16" x14ac:dyDescent="0.25">
      <c r="A667" t="s">
        <v>688</v>
      </c>
      <c r="B667" s="2">
        <v>44507</v>
      </c>
      <c r="C667">
        <v>2021</v>
      </c>
      <c r="D667" t="str">
        <f t="shared" si="20"/>
        <v>Nov</v>
      </c>
      <c r="E667" t="s">
        <v>12</v>
      </c>
      <c r="F667" t="s">
        <v>2025</v>
      </c>
      <c r="G667" t="s">
        <v>20</v>
      </c>
      <c r="H667" t="s">
        <v>23</v>
      </c>
      <c r="I667">
        <v>9</v>
      </c>
      <c r="J667" s="9">
        <v>13700</v>
      </c>
      <c r="K667" s="7">
        <v>0.05</v>
      </c>
      <c r="L667" s="9">
        <v>13015</v>
      </c>
      <c r="M667" s="10">
        <f>Sales_Data3[[#This Row],[Profit]]/Sales_Data3[[#This Row],[Sales]]</f>
        <v>0.95</v>
      </c>
      <c r="N667" t="str">
        <f t="shared" si="21"/>
        <v>High</v>
      </c>
      <c r="O667" s="2">
        <v>44507</v>
      </c>
      <c r="P667" s="9">
        <v>13700</v>
      </c>
    </row>
    <row r="668" spans="1:16" x14ac:dyDescent="0.25">
      <c r="A668" t="s">
        <v>689</v>
      </c>
      <c r="B668" s="2">
        <v>44508</v>
      </c>
      <c r="C668">
        <v>2021</v>
      </c>
      <c r="D668" t="str">
        <f t="shared" si="20"/>
        <v>Nov</v>
      </c>
      <c r="E668" t="s">
        <v>12</v>
      </c>
      <c r="F668" t="s">
        <v>2026</v>
      </c>
      <c r="G668" t="s">
        <v>21</v>
      </c>
      <c r="H668" t="s">
        <v>23</v>
      </c>
      <c r="I668">
        <v>7</v>
      </c>
      <c r="J668" s="9">
        <v>12800</v>
      </c>
      <c r="K668" s="7">
        <v>0.1</v>
      </c>
      <c r="L668" s="9">
        <v>11520</v>
      </c>
      <c r="M668" s="10">
        <f>Sales_Data3[[#This Row],[Profit]]/Sales_Data3[[#This Row],[Sales]]</f>
        <v>0.9</v>
      </c>
      <c r="N668" t="str">
        <f t="shared" si="21"/>
        <v>High</v>
      </c>
      <c r="O668" s="2">
        <v>44508</v>
      </c>
      <c r="P668" s="9">
        <v>12800</v>
      </c>
    </row>
    <row r="669" spans="1:16" x14ac:dyDescent="0.25">
      <c r="A669" t="s">
        <v>690</v>
      </c>
      <c r="B669" s="2">
        <v>44509</v>
      </c>
      <c r="C669">
        <v>2021</v>
      </c>
      <c r="D669" t="str">
        <f t="shared" si="20"/>
        <v>Nov</v>
      </c>
      <c r="E669" t="s">
        <v>12</v>
      </c>
      <c r="F669" t="s">
        <v>2027</v>
      </c>
      <c r="G669" t="s">
        <v>22</v>
      </c>
      <c r="H669" t="s">
        <v>23</v>
      </c>
      <c r="I669">
        <v>1</v>
      </c>
      <c r="J669" s="9">
        <v>8800</v>
      </c>
      <c r="K669" s="7">
        <v>0.15000000000000002</v>
      </c>
      <c r="L669" s="9">
        <v>7480</v>
      </c>
      <c r="M669" s="10">
        <f>Sales_Data3[[#This Row],[Profit]]/Sales_Data3[[#This Row],[Sales]]</f>
        <v>0.85</v>
      </c>
      <c r="N669" t="str">
        <f t="shared" si="21"/>
        <v>Medium</v>
      </c>
      <c r="O669" s="2">
        <v>44509</v>
      </c>
      <c r="P669" s="9">
        <v>8800</v>
      </c>
    </row>
    <row r="670" spans="1:16" x14ac:dyDescent="0.25">
      <c r="A670" t="s">
        <v>691</v>
      </c>
      <c r="B670" s="2">
        <v>44510</v>
      </c>
      <c r="C670">
        <v>2021</v>
      </c>
      <c r="D670" t="str">
        <f t="shared" si="20"/>
        <v>Nov</v>
      </c>
      <c r="E670" t="s">
        <v>12</v>
      </c>
      <c r="F670" t="s">
        <v>2028</v>
      </c>
      <c r="G670" t="s">
        <v>19</v>
      </c>
      <c r="H670" t="s">
        <v>23</v>
      </c>
      <c r="I670">
        <v>3</v>
      </c>
      <c r="J670" s="9">
        <v>9100</v>
      </c>
      <c r="K670" s="7">
        <v>0.2</v>
      </c>
      <c r="L670" s="9">
        <v>7280</v>
      </c>
      <c r="M670" s="10">
        <f>Sales_Data3[[#This Row],[Profit]]/Sales_Data3[[#This Row],[Sales]]</f>
        <v>0.8</v>
      </c>
      <c r="N670" t="str">
        <f t="shared" si="21"/>
        <v>Medium</v>
      </c>
      <c r="O670" s="2">
        <v>44510</v>
      </c>
      <c r="P670" s="9">
        <v>9100</v>
      </c>
    </row>
    <row r="671" spans="1:16" x14ac:dyDescent="0.25">
      <c r="A671" t="s">
        <v>692</v>
      </c>
      <c r="B671" s="2">
        <v>44511</v>
      </c>
      <c r="C671">
        <v>2021</v>
      </c>
      <c r="D671" t="str">
        <f t="shared" si="20"/>
        <v>Nov</v>
      </c>
      <c r="E671" t="s">
        <v>12</v>
      </c>
      <c r="F671" t="s">
        <v>2029</v>
      </c>
      <c r="G671" t="s">
        <v>20</v>
      </c>
      <c r="H671" t="s">
        <v>23</v>
      </c>
      <c r="I671">
        <v>5</v>
      </c>
      <c r="J671" s="9">
        <v>8000</v>
      </c>
      <c r="K671" s="7">
        <v>0.25</v>
      </c>
      <c r="L671" s="9">
        <v>6000</v>
      </c>
      <c r="M671" s="10">
        <f>Sales_Data3[[#This Row],[Profit]]/Sales_Data3[[#This Row],[Sales]]</f>
        <v>0.75</v>
      </c>
      <c r="N671" t="str">
        <f t="shared" si="21"/>
        <v>Medium</v>
      </c>
      <c r="O671" s="2">
        <v>44511</v>
      </c>
      <c r="P671" s="9">
        <v>8000</v>
      </c>
    </row>
    <row r="672" spans="1:16" x14ac:dyDescent="0.25">
      <c r="A672" t="s">
        <v>693</v>
      </c>
      <c r="B672" s="2">
        <v>44512</v>
      </c>
      <c r="C672">
        <v>2021</v>
      </c>
      <c r="D672" t="str">
        <f t="shared" si="20"/>
        <v>Nov</v>
      </c>
      <c r="E672" t="s">
        <v>13</v>
      </c>
      <c r="F672" t="s">
        <v>16</v>
      </c>
      <c r="G672" t="s">
        <v>21</v>
      </c>
      <c r="H672" t="s">
        <v>24</v>
      </c>
      <c r="I672">
        <v>10</v>
      </c>
      <c r="J672" s="9">
        <v>12400</v>
      </c>
      <c r="K672" s="7">
        <v>0.05</v>
      </c>
      <c r="L672" s="9">
        <v>11780</v>
      </c>
      <c r="M672" s="10">
        <f>Sales_Data3[[#This Row],[Profit]]/Sales_Data3[[#This Row],[Sales]]</f>
        <v>0.95</v>
      </c>
      <c r="N672" t="str">
        <f t="shared" si="21"/>
        <v>High</v>
      </c>
      <c r="O672" s="2">
        <v>44512</v>
      </c>
      <c r="P672" s="9">
        <v>12400</v>
      </c>
    </row>
    <row r="673" spans="1:16" x14ac:dyDescent="0.25">
      <c r="A673" t="s">
        <v>694</v>
      </c>
      <c r="B673" s="2">
        <v>44513</v>
      </c>
      <c r="C673">
        <v>2021</v>
      </c>
      <c r="D673" t="str">
        <f t="shared" si="20"/>
        <v>Nov</v>
      </c>
      <c r="E673" t="s">
        <v>13</v>
      </c>
      <c r="F673" t="s">
        <v>2030</v>
      </c>
      <c r="G673" t="s">
        <v>22</v>
      </c>
      <c r="H673" t="s">
        <v>24</v>
      </c>
      <c r="I673">
        <v>6</v>
      </c>
      <c r="J673" s="9">
        <v>9100</v>
      </c>
      <c r="K673" s="7">
        <v>0.1</v>
      </c>
      <c r="L673" s="9">
        <v>8190</v>
      </c>
      <c r="M673" s="10">
        <f>Sales_Data3[[#This Row],[Profit]]/Sales_Data3[[#This Row],[Sales]]</f>
        <v>0.9</v>
      </c>
      <c r="N673" t="str">
        <f t="shared" si="21"/>
        <v>Medium</v>
      </c>
      <c r="O673" s="2">
        <v>44513</v>
      </c>
      <c r="P673" s="9">
        <v>9100</v>
      </c>
    </row>
    <row r="674" spans="1:16" x14ac:dyDescent="0.25">
      <c r="A674" t="s">
        <v>695</v>
      </c>
      <c r="B674" s="2">
        <v>44514</v>
      </c>
      <c r="C674">
        <v>2021</v>
      </c>
      <c r="D674" t="str">
        <f t="shared" si="20"/>
        <v>Nov</v>
      </c>
      <c r="E674" t="s">
        <v>13</v>
      </c>
      <c r="F674" t="s">
        <v>2031</v>
      </c>
      <c r="G674" t="s">
        <v>19</v>
      </c>
      <c r="H674" t="s">
        <v>24</v>
      </c>
      <c r="I674">
        <v>5</v>
      </c>
      <c r="J674" s="9">
        <v>7700</v>
      </c>
      <c r="K674" s="7">
        <v>0.15000000000000002</v>
      </c>
      <c r="L674" s="9">
        <v>6545</v>
      </c>
      <c r="M674" s="10">
        <f>Sales_Data3[[#This Row],[Profit]]/Sales_Data3[[#This Row],[Sales]]</f>
        <v>0.85</v>
      </c>
      <c r="N674" t="str">
        <f t="shared" si="21"/>
        <v>Medium</v>
      </c>
      <c r="O674" s="2">
        <v>44514</v>
      </c>
      <c r="P674" s="9">
        <v>7700</v>
      </c>
    </row>
    <row r="675" spans="1:16" x14ac:dyDescent="0.25">
      <c r="A675" t="s">
        <v>696</v>
      </c>
      <c r="B675" s="2">
        <v>44515</v>
      </c>
      <c r="C675">
        <v>2021</v>
      </c>
      <c r="D675" t="str">
        <f t="shared" si="20"/>
        <v>Nov</v>
      </c>
      <c r="E675" t="s">
        <v>13</v>
      </c>
      <c r="F675" t="s">
        <v>2032</v>
      </c>
      <c r="G675" t="s">
        <v>20</v>
      </c>
      <c r="H675" t="s">
        <v>24</v>
      </c>
      <c r="I675">
        <v>6</v>
      </c>
      <c r="J675" s="9">
        <v>15000</v>
      </c>
      <c r="K675" s="7">
        <v>0.2</v>
      </c>
      <c r="L675" s="9">
        <v>12000</v>
      </c>
      <c r="M675" s="10">
        <f>Sales_Data3[[#This Row],[Profit]]/Sales_Data3[[#This Row],[Sales]]</f>
        <v>0.8</v>
      </c>
      <c r="N675" t="str">
        <f t="shared" si="21"/>
        <v>High</v>
      </c>
      <c r="O675" s="2">
        <v>44515</v>
      </c>
      <c r="P675" s="9">
        <v>15000</v>
      </c>
    </row>
    <row r="676" spans="1:16" x14ac:dyDescent="0.25">
      <c r="A676" t="s">
        <v>697</v>
      </c>
      <c r="B676" s="2">
        <v>44516</v>
      </c>
      <c r="C676">
        <v>2021</v>
      </c>
      <c r="D676" t="str">
        <f t="shared" si="20"/>
        <v>Nov</v>
      </c>
      <c r="E676" t="s">
        <v>13</v>
      </c>
      <c r="F676" t="s">
        <v>2033</v>
      </c>
      <c r="G676" t="s">
        <v>21</v>
      </c>
      <c r="H676" t="s">
        <v>24</v>
      </c>
      <c r="I676">
        <v>4</v>
      </c>
      <c r="J676" s="9">
        <v>10900</v>
      </c>
      <c r="K676" s="7">
        <v>0.25</v>
      </c>
      <c r="L676" s="9">
        <v>8175</v>
      </c>
      <c r="M676" s="10">
        <f>Sales_Data3[[#This Row],[Profit]]/Sales_Data3[[#This Row],[Sales]]</f>
        <v>0.75</v>
      </c>
      <c r="N676" t="str">
        <f t="shared" si="21"/>
        <v>High</v>
      </c>
      <c r="O676" s="2">
        <v>44516</v>
      </c>
      <c r="P676" s="9">
        <v>10900</v>
      </c>
    </row>
    <row r="677" spans="1:16" x14ac:dyDescent="0.25">
      <c r="A677" t="s">
        <v>698</v>
      </c>
      <c r="B677" s="2">
        <v>44517</v>
      </c>
      <c r="C677">
        <v>2021</v>
      </c>
      <c r="D677" t="str">
        <f t="shared" si="20"/>
        <v>Nov</v>
      </c>
      <c r="E677" t="s">
        <v>13</v>
      </c>
      <c r="F677" t="s">
        <v>2034</v>
      </c>
      <c r="G677" t="s">
        <v>22</v>
      </c>
      <c r="H677" t="s">
        <v>24</v>
      </c>
      <c r="I677">
        <v>5</v>
      </c>
      <c r="J677" s="9">
        <v>10700</v>
      </c>
      <c r="K677" s="7">
        <v>0.05</v>
      </c>
      <c r="L677" s="9">
        <v>10165</v>
      </c>
      <c r="M677" s="10">
        <f>Sales_Data3[[#This Row],[Profit]]/Sales_Data3[[#This Row],[Sales]]</f>
        <v>0.95</v>
      </c>
      <c r="N677" t="str">
        <f t="shared" si="21"/>
        <v>High</v>
      </c>
      <c r="O677" s="2">
        <v>44517</v>
      </c>
      <c r="P677" s="9">
        <v>10700</v>
      </c>
    </row>
    <row r="678" spans="1:16" x14ac:dyDescent="0.25">
      <c r="A678" t="s">
        <v>699</v>
      </c>
      <c r="B678" s="2">
        <v>44518</v>
      </c>
      <c r="C678">
        <v>2021</v>
      </c>
      <c r="D678" t="str">
        <f t="shared" si="20"/>
        <v>Nov</v>
      </c>
      <c r="E678" t="s">
        <v>13</v>
      </c>
      <c r="F678" t="s">
        <v>2035</v>
      </c>
      <c r="G678" t="s">
        <v>19</v>
      </c>
      <c r="H678" t="s">
        <v>24</v>
      </c>
      <c r="I678">
        <v>1</v>
      </c>
      <c r="J678" s="9">
        <v>7700</v>
      </c>
      <c r="K678" s="7">
        <v>0.1</v>
      </c>
      <c r="L678" s="9">
        <v>6930</v>
      </c>
      <c r="M678" s="10">
        <f>Sales_Data3[[#This Row],[Profit]]/Sales_Data3[[#This Row],[Sales]]</f>
        <v>0.9</v>
      </c>
      <c r="N678" t="str">
        <f t="shared" si="21"/>
        <v>Medium</v>
      </c>
      <c r="O678" s="2">
        <v>44518</v>
      </c>
      <c r="P678" s="9">
        <v>7700</v>
      </c>
    </row>
    <row r="679" spans="1:16" x14ac:dyDescent="0.25">
      <c r="A679" t="s">
        <v>700</v>
      </c>
      <c r="B679" s="2">
        <v>44519</v>
      </c>
      <c r="C679">
        <v>2021</v>
      </c>
      <c r="D679" t="str">
        <f t="shared" si="20"/>
        <v>Nov</v>
      </c>
      <c r="E679" t="s">
        <v>13</v>
      </c>
      <c r="F679" t="s">
        <v>2036</v>
      </c>
      <c r="G679" t="s">
        <v>20</v>
      </c>
      <c r="H679" t="s">
        <v>24</v>
      </c>
      <c r="I679">
        <v>2</v>
      </c>
      <c r="J679" s="9">
        <v>4400</v>
      </c>
      <c r="K679" s="7">
        <v>0.15000000000000002</v>
      </c>
      <c r="L679" s="9">
        <v>3740</v>
      </c>
      <c r="M679" s="10">
        <f>Sales_Data3[[#This Row],[Profit]]/Sales_Data3[[#This Row],[Sales]]</f>
        <v>0.85</v>
      </c>
      <c r="N679" t="str">
        <f t="shared" si="21"/>
        <v>Low</v>
      </c>
      <c r="O679" s="2">
        <v>44519</v>
      </c>
      <c r="P679" s="9">
        <v>4400</v>
      </c>
    </row>
    <row r="680" spans="1:16" x14ac:dyDescent="0.25">
      <c r="A680" t="s">
        <v>701</v>
      </c>
      <c r="B680" s="2">
        <v>44520</v>
      </c>
      <c r="C680">
        <v>2021</v>
      </c>
      <c r="D680" t="str">
        <f t="shared" si="20"/>
        <v>Nov</v>
      </c>
      <c r="E680" t="s">
        <v>13</v>
      </c>
      <c r="F680" t="s">
        <v>2037</v>
      </c>
      <c r="G680" t="s">
        <v>21</v>
      </c>
      <c r="H680" t="s">
        <v>24</v>
      </c>
      <c r="I680">
        <v>9</v>
      </c>
      <c r="J680" s="9">
        <v>9000</v>
      </c>
      <c r="K680" s="7">
        <v>0.2</v>
      </c>
      <c r="L680" s="9">
        <v>7200</v>
      </c>
      <c r="M680" s="10">
        <f>Sales_Data3[[#This Row],[Profit]]/Sales_Data3[[#This Row],[Sales]]</f>
        <v>0.8</v>
      </c>
      <c r="N680" t="str">
        <f t="shared" si="21"/>
        <v>Medium</v>
      </c>
      <c r="O680" s="2">
        <v>44520</v>
      </c>
      <c r="P680" s="9">
        <v>9000</v>
      </c>
    </row>
    <row r="681" spans="1:16" x14ac:dyDescent="0.25">
      <c r="A681" t="s">
        <v>702</v>
      </c>
      <c r="B681" s="2">
        <v>44521</v>
      </c>
      <c r="C681">
        <v>2021</v>
      </c>
      <c r="D681" t="str">
        <f t="shared" si="20"/>
        <v>Nov</v>
      </c>
      <c r="E681" t="s">
        <v>13</v>
      </c>
      <c r="F681" t="s">
        <v>2038</v>
      </c>
      <c r="G681" t="s">
        <v>22</v>
      </c>
      <c r="H681" t="s">
        <v>24</v>
      </c>
      <c r="I681">
        <v>8</v>
      </c>
      <c r="J681" s="9">
        <v>4900</v>
      </c>
      <c r="K681" s="7">
        <v>0.25</v>
      </c>
      <c r="L681" s="9">
        <v>3675</v>
      </c>
      <c r="M681" s="10">
        <f>Sales_Data3[[#This Row],[Profit]]/Sales_Data3[[#This Row],[Sales]]</f>
        <v>0.75</v>
      </c>
      <c r="N681" t="str">
        <f t="shared" si="21"/>
        <v>Low</v>
      </c>
      <c r="O681" s="2">
        <v>44521</v>
      </c>
      <c r="P681" s="9">
        <v>4900</v>
      </c>
    </row>
    <row r="682" spans="1:16" x14ac:dyDescent="0.25">
      <c r="A682" t="s">
        <v>703</v>
      </c>
      <c r="B682" s="2">
        <v>44522</v>
      </c>
      <c r="C682">
        <v>2021</v>
      </c>
      <c r="D682" t="str">
        <f t="shared" si="20"/>
        <v>Nov</v>
      </c>
      <c r="E682" t="s">
        <v>14</v>
      </c>
      <c r="F682" t="s">
        <v>2039</v>
      </c>
      <c r="G682" t="s">
        <v>19</v>
      </c>
      <c r="H682" t="s">
        <v>25</v>
      </c>
      <c r="I682">
        <v>4</v>
      </c>
      <c r="J682" s="9">
        <v>10400</v>
      </c>
      <c r="K682" s="7">
        <v>0.05</v>
      </c>
      <c r="L682" s="9">
        <v>9880</v>
      </c>
      <c r="M682" s="10">
        <f>Sales_Data3[[#This Row],[Profit]]/Sales_Data3[[#This Row],[Sales]]</f>
        <v>0.95</v>
      </c>
      <c r="N682" t="str">
        <f t="shared" si="21"/>
        <v>High</v>
      </c>
      <c r="O682" s="2">
        <v>44522</v>
      </c>
      <c r="P682" s="9">
        <v>10400</v>
      </c>
    </row>
    <row r="683" spans="1:16" x14ac:dyDescent="0.25">
      <c r="A683" t="s">
        <v>704</v>
      </c>
      <c r="B683" s="2">
        <v>44523</v>
      </c>
      <c r="C683">
        <v>2021</v>
      </c>
      <c r="D683" t="str">
        <f t="shared" si="20"/>
        <v>Nov</v>
      </c>
      <c r="E683" t="s">
        <v>14</v>
      </c>
      <c r="F683" t="s">
        <v>2040</v>
      </c>
      <c r="G683" t="s">
        <v>20</v>
      </c>
      <c r="H683" t="s">
        <v>25</v>
      </c>
      <c r="I683">
        <v>10</v>
      </c>
      <c r="J683" s="9">
        <v>11100</v>
      </c>
      <c r="K683" s="7">
        <v>0.1</v>
      </c>
      <c r="L683" s="9">
        <v>9990</v>
      </c>
      <c r="M683" s="10">
        <f>Sales_Data3[[#This Row],[Profit]]/Sales_Data3[[#This Row],[Sales]]</f>
        <v>0.9</v>
      </c>
      <c r="N683" t="str">
        <f t="shared" si="21"/>
        <v>High</v>
      </c>
      <c r="O683" s="2">
        <v>44523</v>
      </c>
      <c r="P683" s="9">
        <v>11100</v>
      </c>
    </row>
    <row r="684" spans="1:16" x14ac:dyDescent="0.25">
      <c r="A684" t="s">
        <v>705</v>
      </c>
      <c r="B684" s="2">
        <v>44524</v>
      </c>
      <c r="C684">
        <v>2021</v>
      </c>
      <c r="D684" t="str">
        <f t="shared" si="20"/>
        <v>Nov</v>
      </c>
      <c r="E684" t="s">
        <v>14</v>
      </c>
      <c r="F684" t="s">
        <v>2041</v>
      </c>
      <c r="G684" t="s">
        <v>21</v>
      </c>
      <c r="H684" t="s">
        <v>25</v>
      </c>
      <c r="I684">
        <v>6</v>
      </c>
      <c r="J684" s="9">
        <v>6900</v>
      </c>
      <c r="K684" s="7">
        <v>0.15000000000000002</v>
      </c>
      <c r="L684" s="9">
        <v>5865</v>
      </c>
      <c r="M684" s="10">
        <f>Sales_Data3[[#This Row],[Profit]]/Sales_Data3[[#This Row],[Sales]]</f>
        <v>0.85</v>
      </c>
      <c r="N684" t="str">
        <f t="shared" si="21"/>
        <v>Medium</v>
      </c>
      <c r="O684" s="2">
        <v>44524</v>
      </c>
      <c r="P684" s="9">
        <v>6900</v>
      </c>
    </row>
    <row r="685" spans="1:16" x14ac:dyDescent="0.25">
      <c r="A685" t="s">
        <v>706</v>
      </c>
      <c r="B685" s="2">
        <v>44525</v>
      </c>
      <c r="C685">
        <v>2021</v>
      </c>
      <c r="D685" t="str">
        <f t="shared" si="20"/>
        <v>Nov</v>
      </c>
      <c r="E685" t="s">
        <v>14</v>
      </c>
      <c r="F685" t="s">
        <v>2042</v>
      </c>
      <c r="G685" t="s">
        <v>22</v>
      </c>
      <c r="H685" t="s">
        <v>25</v>
      </c>
      <c r="I685">
        <v>1</v>
      </c>
      <c r="J685" s="9">
        <v>14500</v>
      </c>
      <c r="K685" s="7">
        <v>0.2</v>
      </c>
      <c r="L685" s="9">
        <v>11600</v>
      </c>
      <c r="M685" s="10">
        <f>Sales_Data3[[#This Row],[Profit]]/Sales_Data3[[#This Row],[Sales]]</f>
        <v>0.8</v>
      </c>
      <c r="N685" t="str">
        <f t="shared" si="21"/>
        <v>High</v>
      </c>
      <c r="O685" s="2">
        <v>44525</v>
      </c>
      <c r="P685" s="9">
        <v>14500</v>
      </c>
    </row>
    <row r="686" spans="1:16" x14ac:dyDescent="0.25">
      <c r="A686" t="s">
        <v>707</v>
      </c>
      <c r="B686" s="2">
        <v>44526</v>
      </c>
      <c r="C686">
        <v>2021</v>
      </c>
      <c r="D686" t="str">
        <f t="shared" si="20"/>
        <v>Nov</v>
      </c>
      <c r="E686" t="s">
        <v>14</v>
      </c>
      <c r="F686" t="s">
        <v>2043</v>
      </c>
      <c r="G686" t="s">
        <v>19</v>
      </c>
      <c r="H686" t="s">
        <v>25</v>
      </c>
      <c r="I686">
        <v>4</v>
      </c>
      <c r="J686" s="9">
        <v>10200</v>
      </c>
      <c r="K686" s="7">
        <v>0.25</v>
      </c>
      <c r="L686" s="9">
        <v>7650</v>
      </c>
      <c r="M686" s="10">
        <f>Sales_Data3[[#This Row],[Profit]]/Sales_Data3[[#This Row],[Sales]]</f>
        <v>0.75</v>
      </c>
      <c r="N686" t="str">
        <f t="shared" si="21"/>
        <v>High</v>
      </c>
      <c r="O686" s="2">
        <v>44526</v>
      </c>
      <c r="P686" s="9">
        <v>10200</v>
      </c>
    </row>
    <row r="687" spans="1:16" x14ac:dyDescent="0.25">
      <c r="A687" t="s">
        <v>708</v>
      </c>
      <c r="B687" s="2">
        <v>44527</v>
      </c>
      <c r="C687">
        <v>2021</v>
      </c>
      <c r="D687" t="str">
        <f t="shared" si="20"/>
        <v>Nov</v>
      </c>
      <c r="E687" t="s">
        <v>14</v>
      </c>
      <c r="F687" t="s">
        <v>2044</v>
      </c>
      <c r="G687" t="s">
        <v>20</v>
      </c>
      <c r="H687" t="s">
        <v>25</v>
      </c>
      <c r="I687">
        <v>7</v>
      </c>
      <c r="J687" s="9">
        <v>5000</v>
      </c>
      <c r="K687" s="7">
        <v>0.05</v>
      </c>
      <c r="L687" s="9">
        <v>4750</v>
      </c>
      <c r="M687" s="10">
        <f>Sales_Data3[[#This Row],[Profit]]/Sales_Data3[[#This Row],[Sales]]</f>
        <v>0.95</v>
      </c>
      <c r="N687" t="str">
        <f t="shared" si="21"/>
        <v>Low</v>
      </c>
      <c r="O687" s="2">
        <v>44527</v>
      </c>
      <c r="P687" s="9">
        <v>5000</v>
      </c>
    </row>
    <row r="688" spans="1:16" x14ac:dyDescent="0.25">
      <c r="A688" t="s">
        <v>709</v>
      </c>
      <c r="B688" s="2">
        <v>44528</v>
      </c>
      <c r="C688">
        <v>2021</v>
      </c>
      <c r="D688" t="str">
        <f t="shared" si="20"/>
        <v>Nov</v>
      </c>
      <c r="E688" t="s">
        <v>14</v>
      </c>
      <c r="F688" t="s">
        <v>2045</v>
      </c>
      <c r="G688" t="s">
        <v>21</v>
      </c>
      <c r="H688" t="s">
        <v>25</v>
      </c>
      <c r="I688">
        <v>10</v>
      </c>
      <c r="J688" s="9">
        <v>13600</v>
      </c>
      <c r="K688" s="7">
        <v>0.1</v>
      </c>
      <c r="L688" s="9">
        <v>12240</v>
      </c>
      <c r="M688" s="10">
        <f>Sales_Data3[[#This Row],[Profit]]/Sales_Data3[[#This Row],[Sales]]</f>
        <v>0.9</v>
      </c>
      <c r="N688" t="str">
        <f t="shared" si="21"/>
        <v>High</v>
      </c>
      <c r="O688" s="2">
        <v>44528</v>
      </c>
      <c r="P688" s="9">
        <v>13600</v>
      </c>
    </row>
    <row r="689" spans="1:16" x14ac:dyDescent="0.25">
      <c r="A689" t="s">
        <v>710</v>
      </c>
      <c r="B689" s="2">
        <v>44529</v>
      </c>
      <c r="C689">
        <v>2021</v>
      </c>
      <c r="D689" t="str">
        <f t="shared" si="20"/>
        <v>Nov</v>
      </c>
      <c r="E689" t="s">
        <v>14</v>
      </c>
      <c r="F689" t="s">
        <v>2046</v>
      </c>
      <c r="G689" t="s">
        <v>22</v>
      </c>
      <c r="H689" t="s">
        <v>25</v>
      </c>
      <c r="I689">
        <v>5</v>
      </c>
      <c r="J689" s="9">
        <v>13100</v>
      </c>
      <c r="K689" s="7">
        <v>0.15000000000000002</v>
      </c>
      <c r="L689" s="9">
        <v>11135</v>
      </c>
      <c r="M689" s="10">
        <f>Sales_Data3[[#This Row],[Profit]]/Sales_Data3[[#This Row],[Sales]]</f>
        <v>0.85</v>
      </c>
      <c r="N689" t="str">
        <f t="shared" si="21"/>
        <v>High</v>
      </c>
      <c r="O689" s="2">
        <v>44529</v>
      </c>
      <c r="P689" s="9">
        <v>13100</v>
      </c>
    </row>
    <row r="690" spans="1:16" x14ac:dyDescent="0.25">
      <c r="A690" t="s">
        <v>711</v>
      </c>
      <c r="B690" s="2">
        <v>44530</v>
      </c>
      <c r="C690">
        <v>2021</v>
      </c>
      <c r="D690" t="str">
        <f t="shared" si="20"/>
        <v>Nov</v>
      </c>
      <c r="E690" t="s">
        <v>14</v>
      </c>
      <c r="F690" t="s">
        <v>2047</v>
      </c>
      <c r="G690" t="s">
        <v>19</v>
      </c>
      <c r="H690" t="s">
        <v>25</v>
      </c>
      <c r="I690">
        <v>8</v>
      </c>
      <c r="J690" s="9">
        <v>11600</v>
      </c>
      <c r="K690" s="7">
        <v>0.2</v>
      </c>
      <c r="L690" s="9">
        <v>9280</v>
      </c>
      <c r="M690" s="10">
        <f>Sales_Data3[[#This Row],[Profit]]/Sales_Data3[[#This Row],[Sales]]</f>
        <v>0.8</v>
      </c>
      <c r="N690" t="str">
        <f t="shared" si="21"/>
        <v>High</v>
      </c>
      <c r="O690" s="2">
        <v>44530</v>
      </c>
      <c r="P690" s="9">
        <v>11600</v>
      </c>
    </row>
    <row r="691" spans="1:16" x14ac:dyDescent="0.25">
      <c r="A691" t="s">
        <v>712</v>
      </c>
      <c r="B691" s="2">
        <v>44531</v>
      </c>
      <c r="C691">
        <v>2021</v>
      </c>
      <c r="D691" t="str">
        <f t="shared" si="20"/>
        <v>Dec</v>
      </c>
      <c r="E691" t="s">
        <v>14</v>
      </c>
      <c r="F691" t="s">
        <v>2048</v>
      </c>
      <c r="G691" t="s">
        <v>20</v>
      </c>
      <c r="H691" t="s">
        <v>25</v>
      </c>
      <c r="I691">
        <v>7</v>
      </c>
      <c r="J691" s="9">
        <v>4800</v>
      </c>
      <c r="K691" s="7">
        <v>0.25</v>
      </c>
      <c r="L691" s="9">
        <v>3600</v>
      </c>
      <c r="M691" s="10">
        <f>Sales_Data3[[#This Row],[Profit]]/Sales_Data3[[#This Row],[Sales]]</f>
        <v>0.75</v>
      </c>
      <c r="N691" t="str">
        <f t="shared" si="21"/>
        <v>Low</v>
      </c>
      <c r="O691" s="2">
        <v>44531</v>
      </c>
      <c r="P691" s="9">
        <v>4800</v>
      </c>
    </row>
    <row r="692" spans="1:16" x14ac:dyDescent="0.25">
      <c r="A692" t="s">
        <v>713</v>
      </c>
      <c r="B692" s="2">
        <v>44532</v>
      </c>
      <c r="C692">
        <v>2021</v>
      </c>
      <c r="D692" t="str">
        <f t="shared" si="20"/>
        <v>Dec</v>
      </c>
      <c r="E692" t="s">
        <v>12</v>
      </c>
      <c r="F692" t="s">
        <v>15</v>
      </c>
      <c r="G692" t="s">
        <v>21</v>
      </c>
      <c r="H692" t="s">
        <v>23</v>
      </c>
      <c r="I692">
        <v>6</v>
      </c>
      <c r="J692" s="9">
        <v>13000</v>
      </c>
      <c r="K692" s="7">
        <v>0.05</v>
      </c>
      <c r="L692" s="9">
        <v>12350</v>
      </c>
      <c r="M692" s="10">
        <f>Sales_Data3[[#This Row],[Profit]]/Sales_Data3[[#This Row],[Sales]]</f>
        <v>0.95</v>
      </c>
      <c r="N692" t="str">
        <f t="shared" si="21"/>
        <v>High</v>
      </c>
      <c r="O692" s="2">
        <v>44532</v>
      </c>
      <c r="P692" s="9">
        <v>13000</v>
      </c>
    </row>
    <row r="693" spans="1:16" x14ac:dyDescent="0.25">
      <c r="A693" t="s">
        <v>714</v>
      </c>
      <c r="B693" s="2">
        <v>44533</v>
      </c>
      <c r="C693">
        <v>2021</v>
      </c>
      <c r="D693" t="str">
        <f t="shared" si="20"/>
        <v>Dec</v>
      </c>
      <c r="E693" t="s">
        <v>12</v>
      </c>
      <c r="F693" t="s">
        <v>17</v>
      </c>
      <c r="G693" t="s">
        <v>22</v>
      </c>
      <c r="H693" t="s">
        <v>23</v>
      </c>
      <c r="I693">
        <v>8</v>
      </c>
      <c r="J693" s="9">
        <v>7100</v>
      </c>
      <c r="K693" s="7">
        <v>0.1</v>
      </c>
      <c r="L693" s="9">
        <v>6390</v>
      </c>
      <c r="M693" s="10">
        <f>Sales_Data3[[#This Row],[Profit]]/Sales_Data3[[#This Row],[Sales]]</f>
        <v>0.9</v>
      </c>
      <c r="N693" t="str">
        <f t="shared" si="21"/>
        <v>Medium</v>
      </c>
      <c r="O693" s="2">
        <v>44533</v>
      </c>
      <c r="P693" s="9">
        <v>7100</v>
      </c>
    </row>
    <row r="694" spans="1:16" x14ac:dyDescent="0.25">
      <c r="A694" t="s">
        <v>715</v>
      </c>
      <c r="B694" s="2">
        <v>44534</v>
      </c>
      <c r="C694">
        <v>2021</v>
      </c>
      <c r="D694" t="str">
        <f t="shared" si="20"/>
        <v>Dec</v>
      </c>
      <c r="E694" t="s">
        <v>12</v>
      </c>
      <c r="F694" t="s">
        <v>2023</v>
      </c>
      <c r="G694" t="s">
        <v>19</v>
      </c>
      <c r="H694" t="s">
        <v>23</v>
      </c>
      <c r="I694">
        <v>7</v>
      </c>
      <c r="J694" s="9">
        <v>13200</v>
      </c>
      <c r="K694" s="7">
        <v>0.15000000000000002</v>
      </c>
      <c r="L694" s="9">
        <v>11220</v>
      </c>
      <c r="M694" s="10">
        <f>Sales_Data3[[#This Row],[Profit]]/Sales_Data3[[#This Row],[Sales]]</f>
        <v>0.85</v>
      </c>
      <c r="N694" t="str">
        <f t="shared" si="21"/>
        <v>High</v>
      </c>
      <c r="O694" s="2">
        <v>44534</v>
      </c>
      <c r="P694" s="9">
        <v>13200</v>
      </c>
    </row>
    <row r="695" spans="1:16" x14ac:dyDescent="0.25">
      <c r="A695" t="s">
        <v>716</v>
      </c>
      <c r="B695" s="2">
        <v>44535</v>
      </c>
      <c r="C695">
        <v>2021</v>
      </c>
      <c r="D695" t="str">
        <f t="shared" si="20"/>
        <v>Dec</v>
      </c>
      <c r="E695" t="s">
        <v>12</v>
      </c>
      <c r="F695" t="s">
        <v>18</v>
      </c>
      <c r="G695" t="s">
        <v>20</v>
      </c>
      <c r="H695" t="s">
        <v>23</v>
      </c>
      <c r="I695">
        <v>7</v>
      </c>
      <c r="J695" s="9">
        <v>8400</v>
      </c>
      <c r="K695" s="7">
        <v>0.2</v>
      </c>
      <c r="L695" s="9">
        <v>6720</v>
      </c>
      <c r="M695" s="10">
        <f>Sales_Data3[[#This Row],[Profit]]/Sales_Data3[[#This Row],[Sales]]</f>
        <v>0.8</v>
      </c>
      <c r="N695" t="str">
        <f t="shared" si="21"/>
        <v>Medium</v>
      </c>
      <c r="O695" s="2">
        <v>44535</v>
      </c>
      <c r="P695" s="9">
        <v>8400</v>
      </c>
    </row>
    <row r="696" spans="1:16" x14ac:dyDescent="0.25">
      <c r="A696" t="s">
        <v>717</v>
      </c>
      <c r="B696" s="2">
        <v>44536</v>
      </c>
      <c r="C696">
        <v>2021</v>
      </c>
      <c r="D696" t="str">
        <f t="shared" si="20"/>
        <v>Dec</v>
      </c>
      <c r="E696" t="s">
        <v>12</v>
      </c>
      <c r="F696" t="s">
        <v>2024</v>
      </c>
      <c r="G696" t="s">
        <v>21</v>
      </c>
      <c r="H696" t="s">
        <v>23</v>
      </c>
      <c r="I696">
        <v>6</v>
      </c>
      <c r="J696" s="9">
        <v>12600</v>
      </c>
      <c r="K696" s="7">
        <v>0.25</v>
      </c>
      <c r="L696" s="9">
        <v>9450</v>
      </c>
      <c r="M696" s="10">
        <f>Sales_Data3[[#This Row],[Profit]]/Sales_Data3[[#This Row],[Sales]]</f>
        <v>0.75</v>
      </c>
      <c r="N696" t="str">
        <f t="shared" si="21"/>
        <v>High</v>
      </c>
      <c r="O696" s="2">
        <v>44536</v>
      </c>
      <c r="P696" s="9">
        <v>12600</v>
      </c>
    </row>
    <row r="697" spans="1:16" x14ac:dyDescent="0.25">
      <c r="A697" t="s">
        <v>718</v>
      </c>
      <c r="B697" s="2">
        <v>44537</v>
      </c>
      <c r="C697">
        <v>2021</v>
      </c>
      <c r="D697" t="str">
        <f t="shared" si="20"/>
        <v>Dec</v>
      </c>
      <c r="E697" t="s">
        <v>12</v>
      </c>
      <c r="F697" t="s">
        <v>2025</v>
      </c>
      <c r="G697" t="s">
        <v>22</v>
      </c>
      <c r="H697" t="s">
        <v>23</v>
      </c>
      <c r="I697">
        <v>2</v>
      </c>
      <c r="J697" s="9">
        <v>4800</v>
      </c>
      <c r="K697" s="7">
        <v>0.05</v>
      </c>
      <c r="L697" s="9">
        <v>4560</v>
      </c>
      <c r="M697" s="10">
        <f>Sales_Data3[[#This Row],[Profit]]/Sales_Data3[[#This Row],[Sales]]</f>
        <v>0.95</v>
      </c>
      <c r="N697" t="str">
        <f t="shared" si="21"/>
        <v>Low</v>
      </c>
      <c r="O697" s="2">
        <v>44537</v>
      </c>
      <c r="P697" s="9">
        <v>4800</v>
      </c>
    </row>
    <row r="698" spans="1:16" x14ac:dyDescent="0.25">
      <c r="A698" t="s">
        <v>719</v>
      </c>
      <c r="B698" s="2">
        <v>44538</v>
      </c>
      <c r="C698">
        <v>2021</v>
      </c>
      <c r="D698" t="str">
        <f t="shared" si="20"/>
        <v>Dec</v>
      </c>
      <c r="E698" t="s">
        <v>12</v>
      </c>
      <c r="F698" t="s">
        <v>2026</v>
      </c>
      <c r="G698" t="s">
        <v>19</v>
      </c>
      <c r="H698" t="s">
        <v>23</v>
      </c>
      <c r="I698">
        <v>4</v>
      </c>
      <c r="J698" s="9">
        <v>12900</v>
      </c>
      <c r="K698" s="7">
        <v>0.1</v>
      </c>
      <c r="L698" s="9">
        <v>11610</v>
      </c>
      <c r="M698" s="10">
        <f>Sales_Data3[[#This Row],[Profit]]/Sales_Data3[[#This Row],[Sales]]</f>
        <v>0.9</v>
      </c>
      <c r="N698" t="str">
        <f t="shared" si="21"/>
        <v>High</v>
      </c>
      <c r="O698" s="2">
        <v>44538</v>
      </c>
      <c r="P698" s="9">
        <v>12900</v>
      </c>
    </row>
    <row r="699" spans="1:16" x14ac:dyDescent="0.25">
      <c r="A699" t="s">
        <v>720</v>
      </c>
      <c r="B699" s="2">
        <v>44539</v>
      </c>
      <c r="C699">
        <v>2021</v>
      </c>
      <c r="D699" t="str">
        <f t="shared" si="20"/>
        <v>Dec</v>
      </c>
      <c r="E699" t="s">
        <v>12</v>
      </c>
      <c r="F699" t="s">
        <v>2027</v>
      </c>
      <c r="G699" t="s">
        <v>20</v>
      </c>
      <c r="H699" t="s">
        <v>23</v>
      </c>
      <c r="I699">
        <v>6</v>
      </c>
      <c r="J699" s="9">
        <v>6000</v>
      </c>
      <c r="K699" s="7">
        <v>0.15000000000000002</v>
      </c>
      <c r="L699" s="9">
        <v>5100</v>
      </c>
      <c r="M699" s="10">
        <f>Sales_Data3[[#This Row],[Profit]]/Sales_Data3[[#This Row],[Sales]]</f>
        <v>0.85</v>
      </c>
      <c r="N699" t="str">
        <f t="shared" si="21"/>
        <v>Medium</v>
      </c>
      <c r="O699" s="2">
        <v>44539</v>
      </c>
      <c r="P699" s="9">
        <v>6000</v>
      </c>
    </row>
    <row r="700" spans="1:16" x14ac:dyDescent="0.25">
      <c r="A700" t="s">
        <v>721</v>
      </c>
      <c r="B700" s="2">
        <v>44540</v>
      </c>
      <c r="C700">
        <v>2021</v>
      </c>
      <c r="D700" t="str">
        <f t="shared" si="20"/>
        <v>Dec</v>
      </c>
      <c r="E700" t="s">
        <v>12</v>
      </c>
      <c r="F700" t="s">
        <v>2028</v>
      </c>
      <c r="G700" t="s">
        <v>21</v>
      </c>
      <c r="H700" t="s">
        <v>23</v>
      </c>
      <c r="I700">
        <v>4</v>
      </c>
      <c r="J700" s="9">
        <v>11000</v>
      </c>
      <c r="K700" s="7">
        <v>0.2</v>
      </c>
      <c r="L700" s="9">
        <v>8800</v>
      </c>
      <c r="M700" s="10">
        <f>Sales_Data3[[#This Row],[Profit]]/Sales_Data3[[#This Row],[Sales]]</f>
        <v>0.8</v>
      </c>
      <c r="N700" t="str">
        <f t="shared" si="21"/>
        <v>High</v>
      </c>
      <c r="O700" s="2">
        <v>44540</v>
      </c>
      <c r="P700" s="9">
        <v>11000</v>
      </c>
    </row>
    <row r="701" spans="1:16" x14ac:dyDescent="0.25">
      <c r="A701" t="s">
        <v>722</v>
      </c>
      <c r="B701" s="2">
        <v>44541</v>
      </c>
      <c r="C701">
        <v>2021</v>
      </c>
      <c r="D701" t="str">
        <f t="shared" si="20"/>
        <v>Dec</v>
      </c>
      <c r="E701" t="s">
        <v>12</v>
      </c>
      <c r="F701" t="s">
        <v>2029</v>
      </c>
      <c r="G701" t="s">
        <v>22</v>
      </c>
      <c r="H701" t="s">
        <v>23</v>
      </c>
      <c r="I701">
        <v>7</v>
      </c>
      <c r="J701" s="9">
        <v>6100</v>
      </c>
      <c r="K701" s="7">
        <v>0.25</v>
      </c>
      <c r="L701" s="9">
        <v>4575</v>
      </c>
      <c r="M701" s="10">
        <f>Sales_Data3[[#This Row],[Profit]]/Sales_Data3[[#This Row],[Sales]]</f>
        <v>0.75</v>
      </c>
      <c r="N701" t="str">
        <f t="shared" si="21"/>
        <v>Medium</v>
      </c>
      <c r="O701" s="2">
        <v>44541</v>
      </c>
      <c r="P701" s="9">
        <v>6100</v>
      </c>
    </row>
    <row r="702" spans="1:16" x14ac:dyDescent="0.25">
      <c r="A702" t="s">
        <v>723</v>
      </c>
      <c r="B702" s="2">
        <v>44542</v>
      </c>
      <c r="C702">
        <v>2021</v>
      </c>
      <c r="D702" t="str">
        <f t="shared" si="20"/>
        <v>Dec</v>
      </c>
      <c r="E702" t="s">
        <v>13</v>
      </c>
      <c r="F702" t="s">
        <v>16</v>
      </c>
      <c r="G702" t="s">
        <v>19</v>
      </c>
      <c r="H702" t="s">
        <v>24</v>
      </c>
      <c r="I702">
        <v>1</v>
      </c>
      <c r="J702" s="9">
        <v>6200</v>
      </c>
      <c r="K702" s="7">
        <v>0.05</v>
      </c>
      <c r="L702" s="9">
        <v>5890</v>
      </c>
      <c r="M702" s="10">
        <f>Sales_Data3[[#This Row],[Profit]]/Sales_Data3[[#This Row],[Sales]]</f>
        <v>0.95</v>
      </c>
      <c r="N702" t="str">
        <f t="shared" si="21"/>
        <v>Medium</v>
      </c>
      <c r="O702" s="2">
        <v>44542</v>
      </c>
      <c r="P702" s="9">
        <v>6200</v>
      </c>
    </row>
    <row r="703" spans="1:16" x14ac:dyDescent="0.25">
      <c r="A703" t="s">
        <v>724</v>
      </c>
      <c r="B703" s="2">
        <v>44543</v>
      </c>
      <c r="C703">
        <v>2021</v>
      </c>
      <c r="D703" t="str">
        <f t="shared" si="20"/>
        <v>Dec</v>
      </c>
      <c r="E703" t="s">
        <v>13</v>
      </c>
      <c r="F703" t="s">
        <v>2030</v>
      </c>
      <c r="G703" t="s">
        <v>20</v>
      </c>
      <c r="H703" t="s">
        <v>24</v>
      </c>
      <c r="I703">
        <v>10</v>
      </c>
      <c r="J703" s="9">
        <v>5000</v>
      </c>
      <c r="K703" s="7">
        <v>0.1</v>
      </c>
      <c r="L703" s="9">
        <v>4500</v>
      </c>
      <c r="M703" s="10">
        <f>Sales_Data3[[#This Row],[Profit]]/Sales_Data3[[#This Row],[Sales]]</f>
        <v>0.9</v>
      </c>
      <c r="N703" t="str">
        <f t="shared" si="21"/>
        <v>Low</v>
      </c>
      <c r="O703" s="2">
        <v>44543</v>
      </c>
      <c r="P703" s="9">
        <v>5000</v>
      </c>
    </row>
    <row r="704" spans="1:16" x14ac:dyDescent="0.25">
      <c r="A704" t="s">
        <v>725</v>
      </c>
      <c r="B704" s="2">
        <v>44544</v>
      </c>
      <c r="C704">
        <v>2021</v>
      </c>
      <c r="D704" t="str">
        <f t="shared" si="20"/>
        <v>Dec</v>
      </c>
      <c r="E704" t="s">
        <v>13</v>
      </c>
      <c r="F704" t="s">
        <v>2031</v>
      </c>
      <c r="G704" t="s">
        <v>21</v>
      </c>
      <c r="H704" t="s">
        <v>24</v>
      </c>
      <c r="I704">
        <v>5</v>
      </c>
      <c r="J704" s="9">
        <v>7000</v>
      </c>
      <c r="K704" s="7">
        <v>0.15000000000000002</v>
      </c>
      <c r="L704" s="9">
        <v>5950</v>
      </c>
      <c r="M704" s="10">
        <f>Sales_Data3[[#This Row],[Profit]]/Sales_Data3[[#This Row],[Sales]]</f>
        <v>0.85</v>
      </c>
      <c r="N704" t="str">
        <f t="shared" si="21"/>
        <v>Medium</v>
      </c>
      <c r="O704" s="2">
        <v>44544</v>
      </c>
      <c r="P704" s="9">
        <v>7000</v>
      </c>
    </row>
    <row r="705" spans="1:16" x14ac:dyDescent="0.25">
      <c r="A705" t="s">
        <v>726</v>
      </c>
      <c r="B705" s="2">
        <v>44545</v>
      </c>
      <c r="C705">
        <v>2021</v>
      </c>
      <c r="D705" t="str">
        <f t="shared" si="20"/>
        <v>Dec</v>
      </c>
      <c r="E705" t="s">
        <v>13</v>
      </c>
      <c r="F705" t="s">
        <v>2032</v>
      </c>
      <c r="G705" t="s">
        <v>22</v>
      </c>
      <c r="H705" t="s">
        <v>24</v>
      </c>
      <c r="I705">
        <v>9</v>
      </c>
      <c r="J705" s="9">
        <v>12000</v>
      </c>
      <c r="K705" s="7">
        <v>0.2</v>
      </c>
      <c r="L705" s="9">
        <v>9600</v>
      </c>
      <c r="M705" s="10">
        <f>Sales_Data3[[#This Row],[Profit]]/Sales_Data3[[#This Row],[Sales]]</f>
        <v>0.8</v>
      </c>
      <c r="N705" t="str">
        <f t="shared" si="21"/>
        <v>High</v>
      </c>
      <c r="O705" s="2">
        <v>44545</v>
      </c>
      <c r="P705" s="9">
        <v>12000</v>
      </c>
    </row>
    <row r="706" spans="1:16" x14ac:dyDescent="0.25">
      <c r="A706" t="s">
        <v>727</v>
      </c>
      <c r="B706" s="2">
        <v>44546</v>
      </c>
      <c r="C706">
        <v>2021</v>
      </c>
      <c r="D706" t="str">
        <f t="shared" ref="D706:D769" si="22">TEXT(B706,"MMM")</f>
        <v>Dec</v>
      </c>
      <c r="E706" t="s">
        <v>13</v>
      </c>
      <c r="F706" t="s">
        <v>2033</v>
      </c>
      <c r="G706" t="s">
        <v>19</v>
      </c>
      <c r="H706" t="s">
        <v>24</v>
      </c>
      <c r="I706">
        <v>10</v>
      </c>
      <c r="J706" s="9">
        <v>6400</v>
      </c>
      <c r="K706" s="7">
        <v>0.25</v>
      </c>
      <c r="L706" s="9">
        <v>4800</v>
      </c>
      <c r="M706" s="10">
        <f>Sales_Data3[[#This Row],[Profit]]/Sales_Data3[[#This Row],[Sales]]</f>
        <v>0.75</v>
      </c>
      <c r="N706" t="str">
        <f t="shared" ref="N706:N769" si="23">IF(J706&gt;10000,"High",IF(J706&gt;5000,"Medium","Low"))</f>
        <v>Medium</v>
      </c>
      <c r="O706" s="2">
        <v>44546</v>
      </c>
      <c r="P706" s="9">
        <v>6400</v>
      </c>
    </row>
    <row r="707" spans="1:16" x14ac:dyDescent="0.25">
      <c r="A707" t="s">
        <v>728</v>
      </c>
      <c r="B707" s="2">
        <v>44547</v>
      </c>
      <c r="C707">
        <v>2021</v>
      </c>
      <c r="D707" t="str">
        <f t="shared" si="22"/>
        <v>Dec</v>
      </c>
      <c r="E707" t="s">
        <v>13</v>
      </c>
      <c r="F707" t="s">
        <v>2034</v>
      </c>
      <c r="G707" t="s">
        <v>20</v>
      </c>
      <c r="H707" t="s">
        <v>24</v>
      </c>
      <c r="I707">
        <v>3</v>
      </c>
      <c r="J707" s="9">
        <v>4500</v>
      </c>
      <c r="K707" s="7">
        <v>0.05</v>
      </c>
      <c r="L707" s="9">
        <v>4275</v>
      </c>
      <c r="M707" s="10">
        <f>Sales_Data3[[#This Row],[Profit]]/Sales_Data3[[#This Row],[Sales]]</f>
        <v>0.95</v>
      </c>
      <c r="N707" t="str">
        <f t="shared" si="23"/>
        <v>Low</v>
      </c>
      <c r="O707" s="2">
        <v>44547</v>
      </c>
      <c r="P707" s="9">
        <v>4500</v>
      </c>
    </row>
    <row r="708" spans="1:16" x14ac:dyDescent="0.25">
      <c r="A708" t="s">
        <v>729</v>
      </c>
      <c r="B708" s="2">
        <v>44548</v>
      </c>
      <c r="C708">
        <v>2021</v>
      </c>
      <c r="D708" t="str">
        <f t="shared" si="22"/>
        <v>Dec</v>
      </c>
      <c r="E708" t="s">
        <v>13</v>
      </c>
      <c r="F708" t="s">
        <v>2035</v>
      </c>
      <c r="G708" t="s">
        <v>21</v>
      </c>
      <c r="H708" t="s">
        <v>24</v>
      </c>
      <c r="I708">
        <v>10</v>
      </c>
      <c r="J708" s="9">
        <v>7700</v>
      </c>
      <c r="K708" s="7">
        <v>0.1</v>
      </c>
      <c r="L708" s="9">
        <v>6930</v>
      </c>
      <c r="M708" s="10">
        <f>Sales_Data3[[#This Row],[Profit]]/Sales_Data3[[#This Row],[Sales]]</f>
        <v>0.9</v>
      </c>
      <c r="N708" t="str">
        <f t="shared" si="23"/>
        <v>Medium</v>
      </c>
      <c r="O708" s="2">
        <v>44548</v>
      </c>
      <c r="P708" s="9">
        <v>7700</v>
      </c>
    </row>
    <row r="709" spans="1:16" x14ac:dyDescent="0.25">
      <c r="A709" t="s">
        <v>730</v>
      </c>
      <c r="B709" s="2">
        <v>44549</v>
      </c>
      <c r="C709">
        <v>2021</v>
      </c>
      <c r="D709" t="str">
        <f t="shared" si="22"/>
        <v>Dec</v>
      </c>
      <c r="E709" t="s">
        <v>13</v>
      </c>
      <c r="F709" t="s">
        <v>2036</v>
      </c>
      <c r="G709" t="s">
        <v>22</v>
      </c>
      <c r="H709" t="s">
        <v>24</v>
      </c>
      <c r="I709">
        <v>6</v>
      </c>
      <c r="J709" s="9">
        <v>6800</v>
      </c>
      <c r="K709" s="7">
        <v>0.15000000000000002</v>
      </c>
      <c r="L709" s="9">
        <v>5780</v>
      </c>
      <c r="M709" s="10">
        <f>Sales_Data3[[#This Row],[Profit]]/Sales_Data3[[#This Row],[Sales]]</f>
        <v>0.85</v>
      </c>
      <c r="N709" t="str">
        <f t="shared" si="23"/>
        <v>Medium</v>
      </c>
      <c r="O709" s="2">
        <v>44549</v>
      </c>
      <c r="P709" s="9">
        <v>6800</v>
      </c>
    </row>
    <row r="710" spans="1:16" x14ac:dyDescent="0.25">
      <c r="A710" t="s">
        <v>731</v>
      </c>
      <c r="B710" s="2">
        <v>44550</v>
      </c>
      <c r="C710">
        <v>2021</v>
      </c>
      <c r="D710" t="str">
        <f t="shared" si="22"/>
        <v>Dec</v>
      </c>
      <c r="E710" t="s">
        <v>13</v>
      </c>
      <c r="F710" t="s">
        <v>2037</v>
      </c>
      <c r="G710" t="s">
        <v>19</v>
      </c>
      <c r="H710" t="s">
        <v>24</v>
      </c>
      <c r="I710">
        <v>3</v>
      </c>
      <c r="J710" s="9">
        <v>9700</v>
      </c>
      <c r="K710" s="7">
        <v>0.2</v>
      </c>
      <c r="L710" s="9">
        <v>7760</v>
      </c>
      <c r="M710" s="10">
        <f>Sales_Data3[[#This Row],[Profit]]/Sales_Data3[[#This Row],[Sales]]</f>
        <v>0.8</v>
      </c>
      <c r="N710" t="str">
        <f t="shared" si="23"/>
        <v>Medium</v>
      </c>
      <c r="O710" s="2">
        <v>44550</v>
      </c>
      <c r="P710" s="9">
        <v>9700</v>
      </c>
    </row>
    <row r="711" spans="1:16" x14ac:dyDescent="0.25">
      <c r="A711" t="s">
        <v>732</v>
      </c>
      <c r="B711" s="2">
        <v>44551</v>
      </c>
      <c r="C711">
        <v>2021</v>
      </c>
      <c r="D711" t="str">
        <f t="shared" si="22"/>
        <v>Dec</v>
      </c>
      <c r="E711" t="s">
        <v>13</v>
      </c>
      <c r="F711" t="s">
        <v>2038</v>
      </c>
      <c r="G711" t="s">
        <v>20</v>
      </c>
      <c r="H711" t="s">
        <v>24</v>
      </c>
      <c r="I711">
        <v>7</v>
      </c>
      <c r="J711" s="9">
        <v>13800</v>
      </c>
      <c r="K711" s="7">
        <v>0.25</v>
      </c>
      <c r="L711" s="9">
        <v>10350</v>
      </c>
      <c r="M711" s="10">
        <f>Sales_Data3[[#This Row],[Profit]]/Sales_Data3[[#This Row],[Sales]]</f>
        <v>0.75</v>
      </c>
      <c r="N711" t="str">
        <f t="shared" si="23"/>
        <v>High</v>
      </c>
      <c r="O711" s="2">
        <v>44551</v>
      </c>
      <c r="P711" s="9">
        <v>13800</v>
      </c>
    </row>
    <row r="712" spans="1:16" x14ac:dyDescent="0.25">
      <c r="A712" t="s">
        <v>733</v>
      </c>
      <c r="B712" s="2">
        <v>44552</v>
      </c>
      <c r="C712">
        <v>2021</v>
      </c>
      <c r="D712" t="str">
        <f t="shared" si="22"/>
        <v>Dec</v>
      </c>
      <c r="E712" t="s">
        <v>14</v>
      </c>
      <c r="F712" t="s">
        <v>2039</v>
      </c>
      <c r="G712" t="s">
        <v>21</v>
      </c>
      <c r="H712" t="s">
        <v>25</v>
      </c>
      <c r="I712">
        <v>2</v>
      </c>
      <c r="J712" s="9">
        <v>12700</v>
      </c>
      <c r="K712" s="7">
        <v>0.05</v>
      </c>
      <c r="L712" s="9">
        <v>12065</v>
      </c>
      <c r="M712" s="10">
        <f>Sales_Data3[[#This Row],[Profit]]/Sales_Data3[[#This Row],[Sales]]</f>
        <v>0.95</v>
      </c>
      <c r="N712" t="str">
        <f t="shared" si="23"/>
        <v>High</v>
      </c>
      <c r="O712" s="2">
        <v>44552</v>
      </c>
      <c r="P712" s="9">
        <v>12700</v>
      </c>
    </row>
    <row r="713" spans="1:16" x14ac:dyDescent="0.25">
      <c r="A713" t="s">
        <v>734</v>
      </c>
      <c r="B713" s="2">
        <v>44553</v>
      </c>
      <c r="C713">
        <v>2021</v>
      </c>
      <c r="D713" t="str">
        <f t="shared" si="22"/>
        <v>Dec</v>
      </c>
      <c r="E713" t="s">
        <v>14</v>
      </c>
      <c r="F713" t="s">
        <v>2040</v>
      </c>
      <c r="G713" t="s">
        <v>22</v>
      </c>
      <c r="H713" t="s">
        <v>25</v>
      </c>
      <c r="I713">
        <v>1</v>
      </c>
      <c r="J713" s="9">
        <v>9600</v>
      </c>
      <c r="K713" s="7">
        <v>0.1</v>
      </c>
      <c r="L713" s="9">
        <v>8640</v>
      </c>
      <c r="M713" s="10">
        <f>Sales_Data3[[#This Row],[Profit]]/Sales_Data3[[#This Row],[Sales]]</f>
        <v>0.9</v>
      </c>
      <c r="N713" t="str">
        <f t="shared" si="23"/>
        <v>Medium</v>
      </c>
      <c r="O713" s="2">
        <v>44553</v>
      </c>
      <c r="P713" s="9">
        <v>9600</v>
      </c>
    </row>
    <row r="714" spans="1:16" x14ac:dyDescent="0.25">
      <c r="A714" t="s">
        <v>735</v>
      </c>
      <c r="B714" s="2">
        <v>44554</v>
      </c>
      <c r="C714">
        <v>2021</v>
      </c>
      <c r="D714" t="str">
        <f t="shared" si="22"/>
        <v>Dec</v>
      </c>
      <c r="E714" t="s">
        <v>14</v>
      </c>
      <c r="F714" t="s">
        <v>2041</v>
      </c>
      <c r="G714" t="s">
        <v>19</v>
      </c>
      <c r="H714" t="s">
        <v>25</v>
      </c>
      <c r="I714">
        <v>6</v>
      </c>
      <c r="J714" s="9">
        <v>8500</v>
      </c>
      <c r="K714" s="7">
        <v>0.15000000000000002</v>
      </c>
      <c r="L714" s="9">
        <v>7225</v>
      </c>
      <c r="M714" s="10">
        <f>Sales_Data3[[#This Row],[Profit]]/Sales_Data3[[#This Row],[Sales]]</f>
        <v>0.85</v>
      </c>
      <c r="N714" t="str">
        <f t="shared" si="23"/>
        <v>Medium</v>
      </c>
      <c r="O714" s="2">
        <v>44554</v>
      </c>
      <c r="P714" s="9">
        <v>8500</v>
      </c>
    </row>
    <row r="715" spans="1:16" x14ac:dyDescent="0.25">
      <c r="A715" t="s">
        <v>736</v>
      </c>
      <c r="B715" s="2">
        <v>44555</v>
      </c>
      <c r="C715">
        <v>2021</v>
      </c>
      <c r="D715" t="str">
        <f t="shared" si="22"/>
        <v>Dec</v>
      </c>
      <c r="E715" t="s">
        <v>14</v>
      </c>
      <c r="F715" t="s">
        <v>2042</v>
      </c>
      <c r="G715" t="s">
        <v>20</v>
      </c>
      <c r="H715" t="s">
        <v>25</v>
      </c>
      <c r="I715">
        <v>10</v>
      </c>
      <c r="J715" s="9">
        <v>10800</v>
      </c>
      <c r="K715" s="7">
        <v>0.2</v>
      </c>
      <c r="L715" s="9">
        <v>8640</v>
      </c>
      <c r="M715" s="10">
        <f>Sales_Data3[[#This Row],[Profit]]/Sales_Data3[[#This Row],[Sales]]</f>
        <v>0.8</v>
      </c>
      <c r="N715" t="str">
        <f t="shared" si="23"/>
        <v>High</v>
      </c>
      <c r="O715" s="2">
        <v>44555</v>
      </c>
      <c r="P715" s="9">
        <v>10800</v>
      </c>
    </row>
    <row r="716" spans="1:16" x14ac:dyDescent="0.25">
      <c r="A716" t="s">
        <v>737</v>
      </c>
      <c r="B716" s="2">
        <v>44556</v>
      </c>
      <c r="C716">
        <v>2021</v>
      </c>
      <c r="D716" t="str">
        <f t="shared" si="22"/>
        <v>Dec</v>
      </c>
      <c r="E716" t="s">
        <v>14</v>
      </c>
      <c r="F716" t="s">
        <v>2043</v>
      </c>
      <c r="G716" t="s">
        <v>21</v>
      </c>
      <c r="H716" t="s">
        <v>25</v>
      </c>
      <c r="I716">
        <v>8</v>
      </c>
      <c r="J716" s="9">
        <v>7700</v>
      </c>
      <c r="K716" s="7">
        <v>0.25</v>
      </c>
      <c r="L716" s="9">
        <v>5775</v>
      </c>
      <c r="M716" s="10">
        <f>Sales_Data3[[#This Row],[Profit]]/Sales_Data3[[#This Row],[Sales]]</f>
        <v>0.75</v>
      </c>
      <c r="N716" t="str">
        <f t="shared" si="23"/>
        <v>Medium</v>
      </c>
      <c r="O716" s="2">
        <v>44556</v>
      </c>
      <c r="P716" s="9">
        <v>7700</v>
      </c>
    </row>
    <row r="717" spans="1:16" x14ac:dyDescent="0.25">
      <c r="A717" t="s">
        <v>738</v>
      </c>
      <c r="B717" s="2">
        <v>44557</v>
      </c>
      <c r="C717">
        <v>2021</v>
      </c>
      <c r="D717" t="str">
        <f t="shared" si="22"/>
        <v>Dec</v>
      </c>
      <c r="E717" t="s">
        <v>14</v>
      </c>
      <c r="F717" t="s">
        <v>2044</v>
      </c>
      <c r="G717" t="s">
        <v>22</v>
      </c>
      <c r="H717" t="s">
        <v>25</v>
      </c>
      <c r="I717">
        <v>1</v>
      </c>
      <c r="J717" s="9">
        <v>12500</v>
      </c>
      <c r="K717" s="7">
        <v>0.05</v>
      </c>
      <c r="L717" s="9">
        <v>11875</v>
      </c>
      <c r="M717" s="10">
        <f>Sales_Data3[[#This Row],[Profit]]/Sales_Data3[[#This Row],[Sales]]</f>
        <v>0.95</v>
      </c>
      <c r="N717" t="str">
        <f t="shared" si="23"/>
        <v>High</v>
      </c>
      <c r="O717" s="2">
        <v>44557</v>
      </c>
      <c r="P717" s="9">
        <v>12500</v>
      </c>
    </row>
    <row r="718" spans="1:16" x14ac:dyDescent="0.25">
      <c r="A718" t="s">
        <v>739</v>
      </c>
      <c r="B718" s="2">
        <v>44558</v>
      </c>
      <c r="C718">
        <v>2021</v>
      </c>
      <c r="D718" t="str">
        <f t="shared" si="22"/>
        <v>Dec</v>
      </c>
      <c r="E718" t="s">
        <v>14</v>
      </c>
      <c r="F718" t="s">
        <v>2045</v>
      </c>
      <c r="G718" t="s">
        <v>19</v>
      </c>
      <c r="H718" t="s">
        <v>25</v>
      </c>
      <c r="I718">
        <v>10</v>
      </c>
      <c r="J718" s="9">
        <v>8500</v>
      </c>
      <c r="K718" s="7">
        <v>0.1</v>
      </c>
      <c r="L718" s="9">
        <v>7650</v>
      </c>
      <c r="M718" s="10">
        <f>Sales_Data3[[#This Row],[Profit]]/Sales_Data3[[#This Row],[Sales]]</f>
        <v>0.9</v>
      </c>
      <c r="N718" t="str">
        <f t="shared" si="23"/>
        <v>Medium</v>
      </c>
      <c r="O718" s="2">
        <v>44558</v>
      </c>
      <c r="P718" s="9">
        <v>8500</v>
      </c>
    </row>
    <row r="719" spans="1:16" x14ac:dyDescent="0.25">
      <c r="A719" t="s">
        <v>740</v>
      </c>
      <c r="B719" s="2">
        <v>44559</v>
      </c>
      <c r="C719">
        <v>2021</v>
      </c>
      <c r="D719" t="str">
        <f t="shared" si="22"/>
        <v>Dec</v>
      </c>
      <c r="E719" t="s">
        <v>14</v>
      </c>
      <c r="F719" t="s">
        <v>2046</v>
      </c>
      <c r="G719" t="s">
        <v>20</v>
      </c>
      <c r="H719" t="s">
        <v>25</v>
      </c>
      <c r="I719">
        <v>10</v>
      </c>
      <c r="J719" s="9">
        <v>6800</v>
      </c>
      <c r="K719" s="7">
        <v>0.15000000000000002</v>
      </c>
      <c r="L719" s="9">
        <v>5780</v>
      </c>
      <c r="M719" s="10">
        <f>Sales_Data3[[#This Row],[Profit]]/Sales_Data3[[#This Row],[Sales]]</f>
        <v>0.85</v>
      </c>
      <c r="N719" t="str">
        <f t="shared" si="23"/>
        <v>Medium</v>
      </c>
      <c r="O719" s="2">
        <v>44559</v>
      </c>
      <c r="P719" s="9">
        <v>6800</v>
      </c>
    </row>
    <row r="720" spans="1:16" x14ac:dyDescent="0.25">
      <c r="A720" t="s">
        <v>741</v>
      </c>
      <c r="B720" s="2">
        <v>44560</v>
      </c>
      <c r="C720">
        <v>2021</v>
      </c>
      <c r="D720" t="str">
        <f t="shared" si="22"/>
        <v>Dec</v>
      </c>
      <c r="E720" t="s">
        <v>14</v>
      </c>
      <c r="F720" t="s">
        <v>2047</v>
      </c>
      <c r="G720" t="s">
        <v>21</v>
      </c>
      <c r="H720" t="s">
        <v>25</v>
      </c>
      <c r="I720">
        <v>3</v>
      </c>
      <c r="J720" s="9">
        <v>14100</v>
      </c>
      <c r="K720" s="7">
        <v>0.2</v>
      </c>
      <c r="L720" s="9">
        <v>11280</v>
      </c>
      <c r="M720" s="10">
        <f>Sales_Data3[[#This Row],[Profit]]/Sales_Data3[[#This Row],[Sales]]</f>
        <v>0.8</v>
      </c>
      <c r="N720" t="str">
        <f t="shared" si="23"/>
        <v>High</v>
      </c>
      <c r="O720" s="2">
        <v>44560</v>
      </c>
      <c r="P720" s="9">
        <v>14100</v>
      </c>
    </row>
    <row r="721" spans="1:16" x14ac:dyDescent="0.25">
      <c r="A721" t="s">
        <v>742</v>
      </c>
      <c r="B721" s="2">
        <v>44561</v>
      </c>
      <c r="C721">
        <v>2021</v>
      </c>
      <c r="D721" t="str">
        <f t="shared" si="22"/>
        <v>Dec</v>
      </c>
      <c r="E721" t="s">
        <v>14</v>
      </c>
      <c r="F721" t="s">
        <v>2048</v>
      </c>
      <c r="G721" t="s">
        <v>22</v>
      </c>
      <c r="H721" t="s">
        <v>25</v>
      </c>
      <c r="I721">
        <v>6</v>
      </c>
      <c r="J721" s="9">
        <v>7300</v>
      </c>
      <c r="K721" s="7">
        <v>0.25</v>
      </c>
      <c r="L721" s="9">
        <v>5475</v>
      </c>
      <c r="M721" s="10">
        <f>Sales_Data3[[#This Row],[Profit]]/Sales_Data3[[#This Row],[Sales]]</f>
        <v>0.75</v>
      </c>
      <c r="N721" t="str">
        <f t="shared" si="23"/>
        <v>Medium</v>
      </c>
      <c r="O721" s="2">
        <v>44561</v>
      </c>
      <c r="P721" s="9">
        <v>7300</v>
      </c>
    </row>
    <row r="722" spans="1:16" x14ac:dyDescent="0.25">
      <c r="A722" t="s">
        <v>743</v>
      </c>
      <c r="B722" s="2">
        <v>44562</v>
      </c>
      <c r="C722">
        <v>2022</v>
      </c>
      <c r="D722" t="str">
        <f t="shared" si="22"/>
        <v>Jan</v>
      </c>
      <c r="E722" t="s">
        <v>12</v>
      </c>
      <c r="F722" t="s">
        <v>15</v>
      </c>
      <c r="G722" t="s">
        <v>19</v>
      </c>
      <c r="H722" t="s">
        <v>23</v>
      </c>
      <c r="I722">
        <v>6</v>
      </c>
      <c r="J722" s="9">
        <v>6900</v>
      </c>
      <c r="K722" s="7">
        <v>0.05</v>
      </c>
      <c r="L722" s="9">
        <v>6555</v>
      </c>
      <c r="M722" s="10">
        <f>Sales_Data3[[#This Row],[Profit]]/Sales_Data3[[#This Row],[Sales]]</f>
        <v>0.95</v>
      </c>
      <c r="N722" t="str">
        <f t="shared" si="23"/>
        <v>Medium</v>
      </c>
      <c r="O722" s="2">
        <v>44562</v>
      </c>
      <c r="P722" s="9">
        <v>6900</v>
      </c>
    </row>
    <row r="723" spans="1:16" x14ac:dyDescent="0.25">
      <c r="A723" t="s">
        <v>744</v>
      </c>
      <c r="B723" s="2">
        <v>44563</v>
      </c>
      <c r="C723">
        <v>2022</v>
      </c>
      <c r="D723" t="str">
        <f t="shared" si="22"/>
        <v>Jan</v>
      </c>
      <c r="E723" t="s">
        <v>12</v>
      </c>
      <c r="F723" t="s">
        <v>17</v>
      </c>
      <c r="G723" t="s">
        <v>20</v>
      </c>
      <c r="H723" t="s">
        <v>23</v>
      </c>
      <c r="I723">
        <v>1</v>
      </c>
      <c r="J723" s="9">
        <v>7400</v>
      </c>
      <c r="K723" s="7">
        <v>0.1</v>
      </c>
      <c r="L723" s="9">
        <v>6660</v>
      </c>
      <c r="M723" s="10">
        <f>Sales_Data3[[#This Row],[Profit]]/Sales_Data3[[#This Row],[Sales]]</f>
        <v>0.9</v>
      </c>
      <c r="N723" t="str">
        <f t="shared" si="23"/>
        <v>Medium</v>
      </c>
      <c r="O723" s="2">
        <v>44563</v>
      </c>
      <c r="P723" s="9">
        <v>7400</v>
      </c>
    </row>
    <row r="724" spans="1:16" x14ac:dyDescent="0.25">
      <c r="A724" t="s">
        <v>745</v>
      </c>
      <c r="B724" s="2">
        <v>44564</v>
      </c>
      <c r="C724">
        <v>2022</v>
      </c>
      <c r="D724" t="str">
        <f t="shared" si="22"/>
        <v>Jan</v>
      </c>
      <c r="E724" t="s">
        <v>12</v>
      </c>
      <c r="F724" t="s">
        <v>2023</v>
      </c>
      <c r="G724" t="s">
        <v>21</v>
      </c>
      <c r="H724" t="s">
        <v>23</v>
      </c>
      <c r="I724">
        <v>2</v>
      </c>
      <c r="J724" s="9">
        <v>12500</v>
      </c>
      <c r="K724" s="7">
        <v>0.15000000000000002</v>
      </c>
      <c r="L724" s="9">
        <v>10625</v>
      </c>
      <c r="M724" s="10">
        <f>Sales_Data3[[#This Row],[Profit]]/Sales_Data3[[#This Row],[Sales]]</f>
        <v>0.85</v>
      </c>
      <c r="N724" t="str">
        <f t="shared" si="23"/>
        <v>High</v>
      </c>
      <c r="O724" s="2">
        <v>44564</v>
      </c>
      <c r="P724" s="9">
        <v>12500</v>
      </c>
    </row>
    <row r="725" spans="1:16" x14ac:dyDescent="0.25">
      <c r="A725" t="s">
        <v>746</v>
      </c>
      <c r="B725" s="2">
        <v>44565</v>
      </c>
      <c r="C725">
        <v>2022</v>
      </c>
      <c r="D725" t="str">
        <f t="shared" si="22"/>
        <v>Jan</v>
      </c>
      <c r="E725" t="s">
        <v>12</v>
      </c>
      <c r="F725" t="s">
        <v>18</v>
      </c>
      <c r="G725" t="s">
        <v>22</v>
      </c>
      <c r="H725" t="s">
        <v>23</v>
      </c>
      <c r="I725">
        <v>5</v>
      </c>
      <c r="J725" s="9">
        <v>14100</v>
      </c>
      <c r="K725" s="7">
        <v>0.2</v>
      </c>
      <c r="L725" s="9">
        <v>11280</v>
      </c>
      <c r="M725" s="10">
        <f>Sales_Data3[[#This Row],[Profit]]/Sales_Data3[[#This Row],[Sales]]</f>
        <v>0.8</v>
      </c>
      <c r="N725" t="str">
        <f t="shared" si="23"/>
        <v>High</v>
      </c>
      <c r="O725" s="2">
        <v>44565</v>
      </c>
      <c r="P725" s="9">
        <v>14100</v>
      </c>
    </row>
    <row r="726" spans="1:16" x14ac:dyDescent="0.25">
      <c r="A726" t="s">
        <v>747</v>
      </c>
      <c r="B726" s="2">
        <v>44566</v>
      </c>
      <c r="C726">
        <v>2022</v>
      </c>
      <c r="D726" t="str">
        <f t="shared" si="22"/>
        <v>Jan</v>
      </c>
      <c r="E726" t="s">
        <v>12</v>
      </c>
      <c r="F726" t="s">
        <v>2024</v>
      </c>
      <c r="G726" t="s">
        <v>19</v>
      </c>
      <c r="H726" t="s">
        <v>23</v>
      </c>
      <c r="I726">
        <v>8</v>
      </c>
      <c r="J726" s="9">
        <v>8900</v>
      </c>
      <c r="K726" s="7">
        <v>0.25</v>
      </c>
      <c r="L726" s="9">
        <v>6675</v>
      </c>
      <c r="M726" s="10">
        <f>Sales_Data3[[#This Row],[Profit]]/Sales_Data3[[#This Row],[Sales]]</f>
        <v>0.75</v>
      </c>
      <c r="N726" t="str">
        <f t="shared" si="23"/>
        <v>Medium</v>
      </c>
      <c r="O726" s="2">
        <v>44566</v>
      </c>
      <c r="P726" s="9">
        <v>8900</v>
      </c>
    </row>
    <row r="727" spans="1:16" x14ac:dyDescent="0.25">
      <c r="A727" t="s">
        <v>748</v>
      </c>
      <c r="B727" s="2">
        <v>44567</v>
      </c>
      <c r="C727">
        <v>2022</v>
      </c>
      <c r="D727" t="str">
        <f t="shared" si="22"/>
        <v>Jan</v>
      </c>
      <c r="E727" t="s">
        <v>12</v>
      </c>
      <c r="F727" t="s">
        <v>2025</v>
      </c>
      <c r="G727" t="s">
        <v>20</v>
      </c>
      <c r="H727" t="s">
        <v>23</v>
      </c>
      <c r="I727">
        <v>1</v>
      </c>
      <c r="J727" s="9">
        <v>10400</v>
      </c>
      <c r="K727" s="7">
        <v>0.05</v>
      </c>
      <c r="L727" s="9">
        <v>9880</v>
      </c>
      <c r="M727" s="10">
        <f>Sales_Data3[[#This Row],[Profit]]/Sales_Data3[[#This Row],[Sales]]</f>
        <v>0.95</v>
      </c>
      <c r="N727" t="str">
        <f t="shared" si="23"/>
        <v>High</v>
      </c>
      <c r="O727" s="2">
        <v>44567</v>
      </c>
      <c r="P727" s="9">
        <v>10400</v>
      </c>
    </row>
    <row r="728" spans="1:16" x14ac:dyDescent="0.25">
      <c r="A728" t="s">
        <v>749</v>
      </c>
      <c r="B728" s="2">
        <v>44568</v>
      </c>
      <c r="C728">
        <v>2022</v>
      </c>
      <c r="D728" t="str">
        <f t="shared" si="22"/>
        <v>Jan</v>
      </c>
      <c r="E728" t="s">
        <v>12</v>
      </c>
      <c r="F728" t="s">
        <v>2026</v>
      </c>
      <c r="G728" t="s">
        <v>21</v>
      </c>
      <c r="H728" t="s">
        <v>23</v>
      </c>
      <c r="I728">
        <v>3</v>
      </c>
      <c r="J728" s="9">
        <v>7700</v>
      </c>
      <c r="K728" s="7">
        <v>0.1</v>
      </c>
      <c r="L728" s="9">
        <v>6930</v>
      </c>
      <c r="M728" s="10">
        <f>Sales_Data3[[#This Row],[Profit]]/Sales_Data3[[#This Row],[Sales]]</f>
        <v>0.9</v>
      </c>
      <c r="N728" t="str">
        <f t="shared" si="23"/>
        <v>Medium</v>
      </c>
      <c r="O728" s="2">
        <v>44568</v>
      </c>
      <c r="P728" s="9">
        <v>7700</v>
      </c>
    </row>
    <row r="729" spans="1:16" x14ac:dyDescent="0.25">
      <c r="A729" t="s">
        <v>750</v>
      </c>
      <c r="B729" s="2">
        <v>44569</v>
      </c>
      <c r="C729">
        <v>2022</v>
      </c>
      <c r="D729" t="str">
        <f t="shared" si="22"/>
        <v>Jan</v>
      </c>
      <c r="E729" t="s">
        <v>12</v>
      </c>
      <c r="F729" t="s">
        <v>2027</v>
      </c>
      <c r="G729" t="s">
        <v>22</v>
      </c>
      <c r="H729" t="s">
        <v>23</v>
      </c>
      <c r="I729">
        <v>1</v>
      </c>
      <c r="J729" s="9">
        <v>9300</v>
      </c>
      <c r="K729" s="7">
        <v>0.15000000000000002</v>
      </c>
      <c r="L729" s="9">
        <v>7905</v>
      </c>
      <c r="M729" s="10">
        <f>Sales_Data3[[#This Row],[Profit]]/Sales_Data3[[#This Row],[Sales]]</f>
        <v>0.85</v>
      </c>
      <c r="N729" t="str">
        <f t="shared" si="23"/>
        <v>Medium</v>
      </c>
      <c r="O729" s="2">
        <v>44569</v>
      </c>
      <c r="P729" s="9">
        <v>9300</v>
      </c>
    </row>
    <row r="730" spans="1:16" x14ac:dyDescent="0.25">
      <c r="A730" t="s">
        <v>751</v>
      </c>
      <c r="B730" s="2">
        <v>44570</v>
      </c>
      <c r="C730">
        <v>2022</v>
      </c>
      <c r="D730" t="str">
        <f t="shared" si="22"/>
        <v>Jan</v>
      </c>
      <c r="E730" t="s">
        <v>12</v>
      </c>
      <c r="F730" t="s">
        <v>2028</v>
      </c>
      <c r="G730" t="s">
        <v>19</v>
      </c>
      <c r="H730" t="s">
        <v>23</v>
      </c>
      <c r="I730">
        <v>9</v>
      </c>
      <c r="J730" s="9">
        <v>12600</v>
      </c>
      <c r="K730" s="7">
        <v>0.2</v>
      </c>
      <c r="L730" s="9">
        <v>10080</v>
      </c>
      <c r="M730" s="10">
        <f>Sales_Data3[[#This Row],[Profit]]/Sales_Data3[[#This Row],[Sales]]</f>
        <v>0.8</v>
      </c>
      <c r="N730" t="str">
        <f t="shared" si="23"/>
        <v>High</v>
      </c>
      <c r="O730" s="2">
        <v>44570</v>
      </c>
      <c r="P730" s="9">
        <v>12600</v>
      </c>
    </row>
    <row r="731" spans="1:16" x14ac:dyDescent="0.25">
      <c r="A731" t="s">
        <v>752</v>
      </c>
      <c r="B731" s="2">
        <v>44571</v>
      </c>
      <c r="C731">
        <v>2022</v>
      </c>
      <c r="D731" t="str">
        <f t="shared" si="22"/>
        <v>Jan</v>
      </c>
      <c r="E731" t="s">
        <v>12</v>
      </c>
      <c r="F731" t="s">
        <v>2029</v>
      </c>
      <c r="G731" t="s">
        <v>20</v>
      </c>
      <c r="H731" t="s">
        <v>23</v>
      </c>
      <c r="I731">
        <v>7</v>
      </c>
      <c r="J731" s="9">
        <v>7600</v>
      </c>
      <c r="K731" s="7">
        <v>0.25</v>
      </c>
      <c r="L731" s="9">
        <v>5700</v>
      </c>
      <c r="M731" s="10">
        <f>Sales_Data3[[#This Row],[Profit]]/Sales_Data3[[#This Row],[Sales]]</f>
        <v>0.75</v>
      </c>
      <c r="N731" t="str">
        <f t="shared" si="23"/>
        <v>Medium</v>
      </c>
      <c r="O731" s="2">
        <v>44571</v>
      </c>
      <c r="P731" s="9">
        <v>7600</v>
      </c>
    </row>
    <row r="732" spans="1:16" x14ac:dyDescent="0.25">
      <c r="A732" t="s">
        <v>753</v>
      </c>
      <c r="B732" s="2">
        <v>44572</v>
      </c>
      <c r="C732">
        <v>2022</v>
      </c>
      <c r="D732" t="str">
        <f t="shared" si="22"/>
        <v>Jan</v>
      </c>
      <c r="E732" t="s">
        <v>13</v>
      </c>
      <c r="F732" t="s">
        <v>16</v>
      </c>
      <c r="G732" t="s">
        <v>21</v>
      </c>
      <c r="H732" t="s">
        <v>24</v>
      </c>
      <c r="I732">
        <v>7</v>
      </c>
      <c r="J732" s="9">
        <v>5900</v>
      </c>
      <c r="K732" s="7">
        <v>0.05</v>
      </c>
      <c r="L732" s="9">
        <v>5605</v>
      </c>
      <c r="M732" s="10">
        <f>Sales_Data3[[#This Row],[Profit]]/Sales_Data3[[#This Row],[Sales]]</f>
        <v>0.95</v>
      </c>
      <c r="N732" t="str">
        <f t="shared" si="23"/>
        <v>Medium</v>
      </c>
      <c r="O732" s="2">
        <v>44572</v>
      </c>
      <c r="P732" s="9">
        <v>5900</v>
      </c>
    </row>
    <row r="733" spans="1:16" x14ac:dyDescent="0.25">
      <c r="A733" t="s">
        <v>754</v>
      </c>
      <c r="B733" s="2">
        <v>44573</v>
      </c>
      <c r="C733">
        <v>2022</v>
      </c>
      <c r="D733" t="str">
        <f t="shared" si="22"/>
        <v>Jan</v>
      </c>
      <c r="E733" t="s">
        <v>13</v>
      </c>
      <c r="F733" t="s">
        <v>2030</v>
      </c>
      <c r="G733" t="s">
        <v>22</v>
      </c>
      <c r="H733" t="s">
        <v>24</v>
      </c>
      <c r="I733">
        <v>7</v>
      </c>
      <c r="J733" s="9">
        <v>13200</v>
      </c>
      <c r="K733" s="7">
        <v>0.1</v>
      </c>
      <c r="L733" s="9">
        <v>11880</v>
      </c>
      <c r="M733" s="10">
        <f>Sales_Data3[[#This Row],[Profit]]/Sales_Data3[[#This Row],[Sales]]</f>
        <v>0.9</v>
      </c>
      <c r="N733" t="str">
        <f t="shared" si="23"/>
        <v>High</v>
      </c>
      <c r="O733" s="2">
        <v>44573</v>
      </c>
      <c r="P733" s="9">
        <v>13200</v>
      </c>
    </row>
    <row r="734" spans="1:16" x14ac:dyDescent="0.25">
      <c r="A734" t="s">
        <v>755</v>
      </c>
      <c r="B734" s="2">
        <v>44574</v>
      </c>
      <c r="C734">
        <v>2022</v>
      </c>
      <c r="D734" t="str">
        <f t="shared" si="22"/>
        <v>Jan</v>
      </c>
      <c r="E734" t="s">
        <v>13</v>
      </c>
      <c r="F734" t="s">
        <v>2031</v>
      </c>
      <c r="G734" t="s">
        <v>19</v>
      </c>
      <c r="H734" t="s">
        <v>24</v>
      </c>
      <c r="I734">
        <v>8</v>
      </c>
      <c r="J734" s="9">
        <v>12400</v>
      </c>
      <c r="K734" s="7">
        <v>0.15000000000000002</v>
      </c>
      <c r="L734" s="9">
        <v>10540</v>
      </c>
      <c r="M734" s="10">
        <f>Sales_Data3[[#This Row],[Profit]]/Sales_Data3[[#This Row],[Sales]]</f>
        <v>0.85</v>
      </c>
      <c r="N734" t="str">
        <f t="shared" si="23"/>
        <v>High</v>
      </c>
      <c r="O734" s="2">
        <v>44574</v>
      </c>
      <c r="P734" s="9">
        <v>12400</v>
      </c>
    </row>
    <row r="735" spans="1:16" x14ac:dyDescent="0.25">
      <c r="A735" t="s">
        <v>756</v>
      </c>
      <c r="B735" s="2">
        <v>44575</v>
      </c>
      <c r="C735">
        <v>2022</v>
      </c>
      <c r="D735" t="str">
        <f t="shared" si="22"/>
        <v>Jan</v>
      </c>
      <c r="E735" t="s">
        <v>13</v>
      </c>
      <c r="F735" t="s">
        <v>2032</v>
      </c>
      <c r="G735" t="s">
        <v>20</v>
      </c>
      <c r="H735" t="s">
        <v>24</v>
      </c>
      <c r="I735">
        <v>5</v>
      </c>
      <c r="J735" s="9">
        <v>12600</v>
      </c>
      <c r="K735" s="7">
        <v>0.2</v>
      </c>
      <c r="L735" s="9">
        <v>10080</v>
      </c>
      <c r="M735" s="10">
        <f>Sales_Data3[[#This Row],[Profit]]/Sales_Data3[[#This Row],[Sales]]</f>
        <v>0.8</v>
      </c>
      <c r="N735" t="str">
        <f t="shared" si="23"/>
        <v>High</v>
      </c>
      <c r="O735" s="2">
        <v>44575</v>
      </c>
      <c r="P735" s="9">
        <v>12600</v>
      </c>
    </row>
    <row r="736" spans="1:16" x14ac:dyDescent="0.25">
      <c r="A736" t="s">
        <v>757</v>
      </c>
      <c r="B736" s="2">
        <v>44576</v>
      </c>
      <c r="C736">
        <v>2022</v>
      </c>
      <c r="D736" t="str">
        <f t="shared" si="22"/>
        <v>Jan</v>
      </c>
      <c r="E736" t="s">
        <v>13</v>
      </c>
      <c r="F736" t="s">
        <v>2033</v>
      </c>
      <c r="G736" t="s">
        <v>21</v>
      </c>
      <c r="H736" t="s">
        <v>24</v>
      </c>
      <c r="I736">
        <v>6</v>
      </c>
      <c r="J736" s="9">
        <v>10300</v>
      </c>
      <c r="K736" s="7">
        <v>0.25</v>
      </c>
      <c r="L736" s="9">
        <v>7725</v>
      </c>
      <c r="M736" s="10">
        <f>Sales_Data3[[#This Row],[Profit]]/Sales_Data3[[#This Row],[Sales]]</f>
        <v>0.75</v>
      </c>
      <c r="N736" t="str">
        <f t="shared" si="23"/>
        <v>High</v>
      </c>
      <c r="O736" s="2">
        <v>44576</v>
      </c>
      <c r="P736" s="9">
        <v>10300</v>
      </c>
    </row>
    <row r="737" spans="1:16" x14ac:dyDescent="0.25">
      <c r="A737" t="s">
        <v>758</v>
      </c>
      <c r="B737" s="2">
        <v>44577</v>
      </c>
      <c r="C737">
        <v>2022</v>
      </c>
      <c r="D737" t="str">
        <f t="shared" si="22"/>
        <v>Jan</v>
      </c>
      <c r="E737" t="s">
        <v>13</v>
      </c>
      <c r="F737" t="s">
        <v>2034</v>
      </c>
      <c r="G737" t="s">
        <v>22</v>
      </c>
      <c r="H737" t="s">
        <v>24</v>
      </c>
      <c r="I737">
        <v>7</v>
      </c>
      <c r="J737" s="9">
        <v>4300</v>
      </c>
      <c r="K737" s="7">
        <v>0.05</v>
      </c>
      <c r="L737" s="9">
        <v>4085</v>
      </c>
      <c r="M737" s="10">
        <f>Sales_Data3[[#This Row],[Profit]]/Sales_Data3[[#This Row],[Sales]]</f>
        <v>0.95</v>
      </c>
      <c r="N737" t="str">
        <f t="shared" si="23"/>
        <v>Low</v>
      </c>
      <c r="O737" s="2">
        <v>44577</v>
      </c>
      <c r="P737" s="9">
        <v>4300</v>
      </c>
    </row>
    <row r="738" spans="1:16" x14ac:dyDescent="0.25">
      <c r="A738" t="s">
        <v>759</v>
      </c>
      <c r="B738" s="2">
        <v>44578</v>
      </c>
      <c r="C738">
        <v>2022</v>
      </c>
      <c r="D738" t="str">
        <f t="shared" si="22"/>
        <v>Jan</v>
      </c>
      <c r="E738" t="s">
        <v>13</v>
      </c>
      <c r="F738" t="s">
        <v>2035</v>
      </c>
      <c r="G738" t="s">
        <v>19</v>
      </c>
      <c r="H738" t="s">
        <v>24</v>
      </c>
      <c r="I738">
        <v>5</v>
      </c>
      <c r="J738" s="9">
        <v>10300</v>
      </c>
      <c r="K738" s="7">
        <v>0.1</v>
      </c>
      <c r="L738" s="9">
        <v>9270</v>
      </c>
      <c r="M738" s="10">
        <f>Sales_Data3[[#This Row],[Profit]]/Sales_Data3[[#This Row],[Sales]]</f>
        <v>0.9</v>
      </c>
      <c r="N738" t="str">
        <f t="shared" si="23"/>
        <v>High</v>
      </c>
      <c r="O738" s="2">
        <v>44578</v>
      </c>
      <c r="P738" s="9">
        <v>10300</v>
      </c>
    </row>
    <row r="739" spans="1:16" x14ac:dyDescent="0.25">
      <c r="A739" t="s">
        <v>760</v>
      </c>
      <c r="B739" s="2">
        <v>44579</v>
      </c>
      <c r="C739">
        <v>2022</v>
      </c>
      <c r="D739" t="str">
        <f t="shared" si="22"/>
        <v>Jan</v>
      </c>
      <c r="E739" t="s">
        <v>13</v>
      </c>
      <c r="F739" t="s">
        <v>2036</v>
      </c>
      <c r="G739" t="s">
        <v>20</v>
      </c>
      <c r="H739" t="s">
        <v>24</v>
      </c>
      <c r="I739">
        <v>9</v>
      </c>
      <c r="J739" s="9">
        <v>14500</v>
      </c>
      <c r="K739" s="7">
        <v>0.15000000000000002</v>
      </c>
      <c r="L739" s="9">
        <v>12325</v>
      </c>
      <c r="M739" s="10">
        <f>Sales_Data3[[#This Row],[Profit]]/Sales_Data3[[#This Row],[Sales]]</f>
        <v>0.85</v>
      </c>
      <c r="N739" t="str">
        <f t="shared" si="23"/>
        <v>High</v>
      </c>
      <c r="O739" s="2">
        <v>44579</v>
      </c>
      <c r="P739" s="9">
        <v>14500</v>
      </c>
    </row>
    <row r="740" spans="1:16" x14ac:dyDescent="0.25">
      <c r="A740" t="s">
        <v>761</v>
      </c>
      <c r="B740" s="2">
        <v>44580</v>
      </c>
      <c r="C740">
        <v>2022</v>
      </c>
      <c r="D740" t="str">
        <f t="shared" si="22"/>
        <v>Jan</v>
      </c>
      <c r="E740" t="s">
        <v>13</v>
      </c>
      <c r="F740" t="s">
        <v>2037</v>
      </c>
      <c r="G740" t="s">
        <v>21</v>
      </c>
      <c r="H740" t="s">
        <v>24</v>
      </c>
      <c r="I740">
        <v>9</v>
      </c>
      <c r="J740" s="9">
        <v>9500</v>
      </c>
      <c r="K740" s="7">
        <v>0.2</v>
      </c>
      <c r="L740" s="9">
        <v>7600</v>
      </c>
      <c r="M740" s="10">
        <f>Sales_Data3[[#This Row],[Profit]]/Sales_Data3[[#This Row],[Sales]]</f>
        <v>0.8</v>
      </c>
      <c r="N740" t="str">
        <f t="shared" si="23"/>
        <v>Medium</v>
      </c>
      <c r="O740" s="2">
        <v>44580</v>
      </c>
      <c r="P740" s="9">
        <v>9500</v>
      </c>
    </row>
    <row r="741" spans="1:16" x14ac:dyDescent="0.25">
      <c r="A741" t="s">
        <v>762</v>
      </c>
      <c r="B741" s="2">
        <v>44581</v>
      </c>
      <c r="C741">
        <v>2022</v>
      </c>
      <c r="D741" t="str">
        <f t="shared" si="22"/>
        <v>Jan</v>
      </c>
      <c r="E741" t="s">
        <v>13</v>
      </c>
      <c r="F741" t="s">
        <v>2038</v>
      </c>
      <c r="G741" t="s">
        <v>22</v>
      </c>
      <c r="H741" t="s">
        <v>24</v>
      </c>
      <c r="I741">
        <v>9</v>
      </c>
      <c r="J741" s="9">
        <v>6300</v>
      </c>
      <c r="K741" s="7">
        <v>0.25</v>
      </c>
      <c r="L741" s="9">
        <v>4725</v>
      </c>
      <c r="M741" s="10">
        <f>Sales_Data3[[#This Row],[Profit]]/Sales_Data3[[#This Row],[Sales]]</f>
        <v>0.75</v>
      </c>
      <c r="N741" t="str">
        <f t="shared" si="23"/>
        <v>Medium</v>
      </c>
      <c r="O741" s="2">
        <v>44581</v>
      </c>
      <c r="P741" s="9">
        <v>6300</v>
      </c>
    </row>
    <row r="742" spans="1:16" x14ac:dyDescent="0.25">
      <c r="A742" t="s">
        <v>763</v>
      </c>
      <c r="B742" s="2">
        <v>44582</v>
      </c>
      <c r="C742">
        <v>2022</v>
      </c>
      <c r="D742" t="str">
        <f t="shared" si="22"/>
        <v>Jan</v>
      </c>
      <c r="E742" t="s">
        <v>14</v>
      </c>
      <c r="F742" t="s">
        <v>2039</v>
      </c>
      <c r="G742" t="s">
        <v>19</v>
      </c>
      <c r="H742" t="s">
        <v>25</v>
      </c>
      <c r="I742">
        <v>10</v>
      </c>
      <c r="J742" s="9">
        <v>5900</v>
      </c>
      <c r="K742" s="7">
        <v>0.05</v>
      </c>
      <c r="L742" s="9">
        <v>5605</v>
      </c>
      <c r="M742" s="10">
        <f>Sales_Data3[[#This Row],[Profit]]/Sales_Data3[[#This Row],[Sales]]</f>
        <v>0.95</v>
      </c>
      <c r="N742" t="str">
        <f t="shared" si="23"/>
        <v>Medium</v>
      </c>
      <c r="O742" s="2">
        <v>44582</v>
      </c>
      <c r="P742" s="9">
        <v>5900</v>
      </c>
    </row>
    <row r="743" spans="1:16" x14ac:dyDescent="0.25">
      <c r="A743" t="s">
        <v>764</v>
      </c>
      <c r="B743" s="2">
        <v>44583</v>
      </c>
      <c r="C743">
        <v>2022</v>
      </c>
      <c r="D743" t="str">
        <f t="shared" si="22"/>
        <v>Jan</v>
      </c>
      <c r="E743" t="s">
        <v>14</v>
      </c>
      <c r="F743" t="s">
        <v>2040</v>
      </c>
      <c r="G743" t="s">
        <v>20</v>
      </c>
      <c r="H743" t="s">
        <v>25</v>
      </c>
      <c r="I743">
        <v>9</v>
      </c>
      <c r="J743" s="9">
        <v>10800</v>
      </c>
      <c r="K743" s="7">
        <v>0.1</v>
      </c>
      <c r="L743" s="9">
        <v>9720</v>
      </c>
      <c r="M743" s="10">
        <f>Sales_Data3[[#This Row],[Profit]]/Sales_Data3[[#This Row],[Sales]]</f>
        <v>0.9</v>
      </c>
      <c r="N743" t="str">
        <f t="shared" si="23"/>
        <v>High</v>
      </c>
      <c r="O743" s="2">
        <v>44583</v>
      </c>
      <c r="P743" s="9">
        <v>10800</v>
      </c>
    </row>
    <row r="744" spans="1:16" x14ac:dyDescent="0.25">
      <c r="A744" t="s">
        <v>765</v>
      </c>
      <c r="B744" s="2">
        <v>44584</v>
      </c>
      <c r="C744">
        <v>2022</v>
      </c>
      <c r="D744" t="str">
        <f t="shared" si="22"/>
        <v>Jan</v>
      </c>
      <c r="E744" t="s">
        <v>14</v>
      </c>
      <c r="F744" t="s">
        <v>2041</v>
      </c>
      <c r="G744" t="s">
        <v>21</v>
      </c>
      <c r="H744" t="s">
        <v>25</v>
      </c>
      <c r="I744">
        <v>6</v>
      </c>
      <c r="J744" s="9">
        <v>11000</v>
      </c>
      <c r="K744" s="7">
        <v>0.15000000000000002</v>
      </c>
      <c r="L744" s="9">
        <v>9350</v>
      </c>
      <c r="M744" s="10">
        <f>Sales_Data3[[#This Row],[Profit]]/Sales_Data3[[#This Row],[Sales]]</f>
        <v>0.85</v>
      </c>
      <c r="N744" t="str">
        <f t="shared" si="23"/>
        <v>High</v>
      </c>
      <c r="O744" s="2">
        <v>44584</v>
      </c>
      <c r="P744" s="9">
        <v>11000</v>
      </c>
    </row>
    <row r="745" spans="1:16" x14ac:dyDescent="0.25">
      <c r="A745" t="s">
        <v>766</v>
      </c>
      <c r="B745" s="2">
        <v>44585</v>
      </c>
      <c r="C745">
        <v>2022</v>
      </c>
      <c r="D745" t="str">
        <f t="shared" si="22"/>
        <v>Jan</v>
      </c>
      <c r="E745" t="s">
        <v>14</v>
      </c>
      <c r="F745" t="s">
        <v>2042</v>
      </c>
      <c r="G745" t="s">
        <v>22</v>
      </c>
      <c r="H745" t="s">
        <v>25</v>
      </c>
      <c r="I745">
        <v>5</v>
      </c>
      <c r="J745" s="9">
        <v>5000</v>
      </c>
      <c r="K745" s="7">
        <v>0.2</v>
      </c>
      <c r="L745" s="9">
        <v>4000</v>
      </c>
      <c r="M745" s="10">
        <f>Sales_Data3[[#This Row],[Profit]]/Sales_Data3[[#This Row],[Sales]]</f>
        <v>0.8</v>
      </c>
      <c r="N745" t="str">
        <f t="shared" si="23"/>
        <v>Low</v>
      </c>
      <c r="O745" s="2">
        <v>44585</v>
      </c>
      <c r="P745" s="9">
        <v>5000</v>
      </c>
    </row>
    <row r="746" spans="1:16" x14ac:dyDescent="0.25">
      <c r="A746" t="s">
        <v>767</v>
      </c>
      <c r="B746" s="2">
        <v>44586</v>
      </c>
      <c r="C746">
        <v>2022</v>
      </c>
      <c r="D746" t="str">
        <f t="shared" si="22"/>
        <v>Jan</v>
      </c>
      <c r="E746" t="s">
        <v>14</v>
      </c>
      <c r="F746" t="s">
        <v>2043</v>
      </c>
      <c r="G746" t="s">
        <v>19</v>
      </c>
      <c r="H746" t="s">
        <v>25</v>
      </c>
      <c r="I746">
        <v>6</v>
      </c>
      <c r="J746" s="9">
        <v>10200</v>
      </c>
      <c r="K746" s="7">
        <v>0.25</v>
      </c>
      <c r="L746" s="9">
        <v>7650</v>
      </c>
      <c r="M746" s="10">
        <f>Sales_Data3[[#This Row],[Profit]]/Sales_Data3[[#This Row],[Sales]]</f>
        <v>0.75</v>
      </c>
      <c r="N746" t="str">
        <f t="shared" si="23"/>
        <v>High</v>
      </c>
      <c r="O746" s="2">
        <v>44586</v>
      </c>
      <c r="P746" s="9">
        <v>10200</v>
      </c>
    </row>
    <row r="747" spans="1:16" x14ac:dyDescent="0.25">
      <c r="A747" t="s">
        <v>768</v>
      </c>
      <c r="B747" s="2">
        <v>44587</v>
      </c>
      <c r="C747">
        <v>2022</v>
      </c>
      <c r="D747" t="str">
        <f t="shared" si="22"/>
        <v>Jan</v>
      </c>
      <c r="E747" t="s">
        <v>14</v>
      </c>
      <c r="F747" t="s">
        <v>2044</v>
      </c>
      <c r="G747" t="s">
        <v>20</v>
      </c>
      <c r="H747" t="s">
        <v>25</v>
      </c>
      <c r="I747">
        <v>2</v>
      </c>
      <c r="J747" s="9">
        <v>4600</v>
      </c>
      <c r="K747" s="7">
        <v>0.05</v>
      </c>
      <c r="L747" s="9">
        <v>4370</v>
      </c>
      <c r="M747" s="10">
        <f>Sales_Data3[[#This Row],[Profit]]/Sales_Data3[[#This Row],[Sales]]</f>
        <v>0.95</v>
      </c>
      <c r="N747" t="str">
        <f t="shared" si="23"/>
        <v>Low</v>
      </c>
      <c r="O747" s="2">
        <v>44587</v>
      </c>
      <c r="P747" s="9">
        <v>4600</v>
      </c>
    </row>
    <row r="748" spans="1:16" x14ac:dyDescent="0.25">
      <c r="A748" t="s">
        <v>769</v>
      </c>
      <c r="B748" s="2">
        <v>44588</v>
      </c>
      <c r="C748">
        <v>2022</v>
      </c>
      <c r="D748" t="str">
        <f t="shared" si="22"/>
        <v>Jan</v>
      </c>
      <c r="E748" t="s">
        <v>14</v>
      </c>
      <c r="F748" t="s">
        <v>2045</v>
      </c>
      <c r="G748" t="s">
        <v>21</v>
      </c>
      <c r="H748" t="s">
        <v>25</v>
      </c>
      <c r="I748">
        <v>7</v>
      </c>
      <c r="J748" s="9">
        <v>6900</v>
      </c>
      <c r="K748" s="7">
        <v>0.1</v>
      </c>
      <c r="L748" s="9">
        <v>6210</v>
      </c>
      <c r="M748" s="10">
        <f>Sales_Data3[[#This Row],[Profit]]/Sales_Data3[[#This Row],[Sales]]</f>
        <v>0.9</v>
      </c>
      <c r="N748" t="str">
        <f t="shared" si="23"/>
        <v>Medium</v>
      </c>
      <c r="O748" s="2">
        <v>44588</v>
      </c>
      <c r="P748" s="9">
        <v>6900</v>
      </c>
    </row>
    <row r="749" spans="1:16" x14ac:dyDescent="0.25">
      <c r="A749" t="s">
        <v>770</v>
      </c>
      <c r="B749" s="2">
        <v>44589</v>
      </c>
      <c r="C749">
        <v>2022</v>
      </c>
      <c r="D749" t="str">
        <f t="shared" si="22"/>
        <v>Jan</v>
      </c>
      <c r="E749" t="s">
        <v>14</v>
      </c>
      <c r="F749" t="s">
        <v>2046</v>
      </c>
      <c r="G749" t="s">
        <v>22</v>
      </c>
      <c r="H749" t="s">
        <v>25</v>
      </c>
      <c r="I749">
        <v>4</v>
      </c>
      <c r="J749" s="9">
        <v>12200</v>
      </c>
      <c r="K749" s="7">
        <v>0.15000000000000002</v>
      </c>
      <c r="L749" s="9">
        <v>10370</v>
      </c>
      <c r="M749" s="10">
        <f>Sales_Data3[[#This Row],[Profit]]/Sales_Data3[[#This Row],[Sales]]</f>
        <v>0.85</v>
      </c>
      <c r="N749" t="str">
        <f t="shared" si="23"/>
        <v>High</v>
      </c>
      <c r="O749" s="2">
        <v>44589</v>
      </c>
      <c r="P749" s="9">
        <v>12200</v>
      </c>
    </row>
    <row r="750" spans="1:16" x14ac:dyDescent="0.25">
      <c r="A750" t="s">
        <v>771</v>
      </c>
      <c r="B750" s="2">
        <v>44590</v>
      </c>
      <c r="C750">
        <v>2022</v>
      </c>
      <c r="D750" t="str">
        <f t="shared" si="22"/>
        <v>Jan</v>
      </c>
      <c r="E750" t="s">
        <v>14</v>
      </c>
      <c r="F750" t="s">
        <v>2047</v>
      </c>
      <c r="G750" t="s">
        <v>19</v>
      </c>
      <c r="H750" t="s">
        <v>25</v>
      </c>
      <c r="I750">
        <v>1</v>
      </c>
      <c r="J750" s="9">
        <v>8600</v>
      </c>
      <c r="K750" s="7">
        <v>0.2</v>
      </c>
      <c r="L750" s="9">
        <v>6880</v>
      </c>
      <c r="M750" s="10">
        <f>Sales_Data3[[#This Row],[Profit]]/Sales_Data3[[#This Row],[Sales]]</f>
        <v>0.8</v>
      </c>
      <c r="N750" t="str">
        <f t="shared" si="23"/>
        <v>Medium</v>
      </c>
      <c r="O750" s="2">
        <v>44590</v>
      </c>
      <c r="P750" s="9">
        <v>8600</v>
      </c>
    </row>
    <row r="751" spans="1:16" x14ac:dyDescent="0.25">
      <c r="A751" t="s">
        <v>772</v>
      </c>
      <c r="B751" s="2">
        <v>44591</v>
      </c>
      <c r="C751">
        <v>2022</v>
      </c>
      <c r="D751" t="str">
        <f t="shared" si="22"/>
        <v>Jan</v>
      </c>
      <c r="E751" t="s">
        <v>14</v>
      </c>
      <c r="F751" t="s">
        <v>2048</v>
      </c>
      <c r="G751" t="s">
        <v>20</v>
      </c>
      <c r="H751" t="s">
        <v>25</v>
      </c>
      <c r="I751">
        <v>8</v>
      </c>
      <c r="J751" s="9">
        <v>6900</v>
      </c>
      <c r="K751" s="7">
        <v>0.25</v>
      </c>
      <c r="L751" s="9">
        <v>5175</v>
      </c>
      <c r="M751" s="10">
        <f>Sales_Data3[[#This Row],[Profit]]/Sales_Data3[[#This Row],[Sales]]</f>
        <v>0.75</v>
      </c>
      <c r="N751" t="str">
        <f t="shared" si="23"/>
        <v>Medium</v>
      </c>
      <c r="O751" s="2">
        <v>44591</v>
      </c>
      <c r="P751" s="9">
        <v>6900</v>
      </c>
    </row>
    <row r="752" spans="1:16" x14ac:dyDescent="0.25">
      <c r="A752" t="s">
        <v>773</v>
      </c>
      <c r="B752" s="2">
        <v>44592</v>
      </c>
      <c r="C752">
        <v>2022</v>
      </c>
      <c r="D752" t="str">
        <f t="shared" si="22"/>
        <v>Jan</v>
      </c>
      <c r="E752" t="s">
        <v>12</v>
      </c>
      <c r="F752" t="s">
        <v>15</v>
      </c>
      <c r="G752" t="s">
        <v>21</v>
      </c>
      <c r="H752" t="s">
        <v>23</v>
      </c>
      <c r="I752">
        <v>9</v>
      </c>
      <c r="J752" s="9">
        <v>4200</v>
      </c>
      <c r="K752" s="7">
        <v>0.05</v>
      </c>
      <c r="L752" s="9">
        <v>3990</v>
      </c>
      <c r="M752" s="10">
        <f>Sales_Data3[[#This Row],[Profit]]/Sales_Data3[[#This Row],[Sales]]</f>
        <v>0.95</v>
      </c>
      <c r="N752" t="str">
        <f t="shared" si="23"/>
        <v>Low</v>
      </c>
      <c r="O752" s="2">
        <v>44592</v>
      </c>
      <c r="P752" s="9">
        <v>4200</v>
      </c>
    </row>
    <row r="753" spans="1:16" x14ac:dyDescent="0.25">
      <c r="A753" t="s">
        <v>774</v>
      </c>
      <c r="B753" s="2">
        <v>44593</v>
      </c>
      <c r="C753">
        <v>2022</v>
      </c>
      <c r="D753" t="str">
        <f t="shared" si="22"/>
        <v>Feb</v>
      </c>
      <c r="E753" t="s">
        <v>12</v>
      </c>
      <c r="F753" t="s">
        <v>17</v>
      </c>
      <c r="G753" t="s">
        <v>22</v>
      </c>
      <c r="H753" t="s">
        <v>23</v>
      </c>
      <c r="I753">
        <v>8</v>
      </c>
      <c r="J753" s="9">
        <v>9500</v>
      </c>
      <c r="K753" s="7">
        <v>0.1</v>
      </c>
      <c r="L753" s="9">
        <v>8550</v>
      </c>
      <c r="M753" s="10">
        <f>Sales_Data3[[#This Row],[Profit]]/Sales_Data3[[#This Row],[Sales]]</f>
        <v>0.9</v>
      </c>
      <c r="N753" t="str">
        <f t="shared" si="23"/>
        <v>Medium</v>
      </c>
      <c r="O753" s="2">
        <v>44593</v>
      </c>
      <c r="P753" s="9">
        <v>9500</v>
      </c>
    </row>
    <row r="754" spans="1:16" x14ac:dyDescent="0.25">
      <c r="A754" t="s">
        <v>775</v>
      </c>
      <c r="B754" s="2">
        <v>44594</v>
      </c>
      <c r="C754">
        <v>2022</v>
      </c>
      <c r="D754" t="str">
        <f t="shared" si="22"/>
        <v>Feb</v>
      </c>
      <c r="E754" t="s">
        <v>12</v>
      </c>
      <c r="F754" t="s">
        <v>2023</v>
      </c>
      <c r="G754" t="s">
        <v>19</v>
      </c>
      <c r="H754" t="s">
        <v>23</v>
      </c>
      <c r="I754">
        <v>4</v>
      </c>
      <c r="J754" s="9">
        <v>4200</v>
      </c>
      <c r="K754" s="7">
        <v>0.15000000000000002</v>
      </c>
      <c r="L754" s="9">
        <v>3570</v>
      </c>
      <c r="M754" s="10">
        <f>Sales_Data3[[#This Row],[Profit]]/Sales_Data3[[#This Row],[Sales]]</f>
        <v>0.85</v>
      </c>
      <c r="N754" t="str">
        <f t="shared" si="23"/>
        <v>Low</v>
      </c>
      <c r="O754" s="2">
        <v>44594</v>
      </c>
      <c r="P754" s="9">
        <v>4200</v>
      </c>
    </row>
    <row r="755" spans="1:16" x14ac:dyDescent="0.25">
      <c r="A755" t="s">
        <v>776</v>
      </c>
      <c r="B755" s="2">
        <v>44595</v>
      </c>
      <c r="C755">
        <v>2022</v>
      </c>
      <c r="D755" t="str">
        <f t="shared" si="22"/>
        <v>Feb</v>
      </c>
      <c r="E755" t="s">
        <v>12</v>
      </c>
      <c r="F755" t="s">
        <v>18</v>
      </c>
      <c r="G755" t="s">
        <v>20</v>
      </c>
      <c r="H755" t="s">
        <v>23</v>
      </c>
      <c r="I755">
        <v>7</v>
      </c>
      <c r="J755" s="9">
        <v>6400</v>
      </c>
      <c r="K755" s="7">
        <v>0.2</v>
      </c>
      <c r="L755" s="9">
        <v>5120</v>
      </c>
      <c r="M755" s="10">
        <f>Sales_Data3[[#This Row],[Profit]]/Sales_Data3[[#This Row],[Sales]]</f>
        <v>0.8</v>
      </c>
      <c r="N755" t="str">
        <f t="shared" si="23"/>
        <v>Medium</v>
      </c>
      <c r="O755" s="2">
        <v>44595</v>
      </c>
      <c r="P755" s="9">
        <v>6400</v>
      </c>
    </row>
    <row r="756" spans="1:16" x14ac:dyDescent="0.25">
      <c r="A756" t="s">
        <v>777</v>
      </c>
      <c r="B756" s="2">
        <v>44596</v>
      </c>
      <c r="C756">
        <v>2022</v>
      </c>
      <c r="D756" t="str">
        <f t="shared" si="22"/>
        <v>Feb</v>
      </c>
      <c r="E756" t="s">
        <v>12</v>
      </c>
      <c r="F756" t="s">
        <v>2024</v>
      </c>
      <c r="G756" t="s">
        <v>21</v>
      </c>
      <c r="H756" t="s">
        <v>23</v>
      </c>
      <c r="I756">
        <v>9</v>
      </c>
      <c r="J756" s="9">
        <v>4500</v>
      </c>
      <c r="K756" s="7">
        <v>0.25</v>
      </c>
      <c r="L756" s="9">
        <v>3375</v>
      </c>
      <c r="M756" s="10">
        <f>Sales_Data3[[#This Row],[Profit]]/Sales_Data3[[#This Row],[Sales]]</f>
        <v>0.75</v>
      </c>
      <c r="N756" t="str">
        <f t="shared" si="23"/>
        <v>Low</v>
      </c>
      <c r="O756" s="2">
        <v>44596</v>
      </c>
      <c r="P756" s="9">
        <v>4500</v>
      </c>
    </row>
    <row r="757" spans="1:16" x14ac:dyDescent="0.25">
      <c r="A757" t="s">
        <v>778</v>
      </c>
      <c r="B757" s="2">
        <v>44597</v>
      </c>
      <c r="C757">
        <v>2022</v>
      </c>
      <c r="D757" t="str">
        <f t="shared" si="22"/>
        <v>Feb</v>
      </c>
      <c r="E757" t="s">
        <v>12</v>
      </c>
      <c r="F757" t="s">
        <v>2025</v>
      </c>
      <c r="G757" t="s">
        <v>22</v>
      </c>
      <c r="H757" t="s">
        <v>23</v>
      </c>
      <c r="I757">
        <v>4</v>
      </c>
      <c r="J757" s="9">
        <v>11500</v>
      </c>
      <c r="K757" s="7">
        <v>0.05</v>
      </c>
      <c r="L757" s="9">
        <v>10925</v>
      </c>
      <c r="M757" s="10">
        <f>Sales_Data3[[#This Row],[Profit]]/Sales_Data3[[#This Row],[Sales]]</f>
        <v>0.95</v>
      </c>
      <c r="N757" t="str">
        <f t="shared" si="23"/>
        <v>High</v>
      </c>
      <c r="O757" s="2">
        <v>44597</v>
      </c>
      <c r="P757" s="9">
        <v>11500</v>
      </c>
    </row>
    <row r="758" spans="1:16" x14ac:dyDescent="0.25">
      <c r="A758" t="s">
        <v>779</v>
      </c>
      <c r="B758" s="2">
        <v>44598</v>
      </c>
      <c r="C758">
        <v>2022</v>
      </c>
      <c r="D758" t="str">
        <f t="shared" si="22"/>
        <v>Feb</v>
      </c>
      <c r="E758" t="s">
        <v>12</v>
      </c>
      <c r="F758" t="s">
        <v>2026</v>
      </c>
      <c r="G758" t="s">
        <v>19</v>
      </c>
      <c r="H758" t="s">
        <v>23</v>
      </c>
      <c r="I758">
        <v>7</v>
      </c>
      <c r="J758" s="9">
        <v>6600</v>
      </c>
      <c r="K758" s="7">
        <v>0.1</v>
      </c>
      <c r="L758" s="9">
        <v>5940</v>
      </c>
      <c r="M758" s="10">
        <f>Sales_Data3[[#This Row],[Profit]]/Sales_Data3[[#This Row],[Sales]]</f>
        <v>0.9</v>
      </c>
      <c r="N758" t="str">
        <f t="shared" si="23"/>
        <v>Medium</v>
      </c>
      <c r="O758" s="2">
        <v>44598</v>
      </c>
      <c r="P758" s="9">
        <v>6600</v>
      </c>
    </row>
    <row r="759" spans="1:16" x14ac:dyDescent="0.25">
      <c r="A759" t="s">
        <v>780</v>
      </c>
      <c r="B759" s="2">
        <v>44599</v>
      </c>
      <c r="C759">
        <v>2022</v>
      </c>
      <c r="D759" t="str">
        <f t="shared" si="22"/>
        <v>Feb</v>
      </c>
      <c r="E759" t="s">
        <v>12</v>
      </c>
      <c r="F759" t="s">
        <v>2027</v>
      </c>
      <c r="G759" t="s">
        <v>20</v>
      </c>
      <c r="H759" t="s">
        <v>23</v>
      </c>
      <c r="I759">
        <v>10</v>
      </c>
      <c r="J759" s="9">
        <v>10000</v>
      </c>
      <c r="K759" s="7">
        <v>0.15000000000000002</v>
      </c>
      <c r="L759" s="9">
        <v>8500</v>
      </c>
      <c r="M759" s="10">
        <f>Sales_Data3[[#This Row],[Profit]]/Sales_Data3[[#This Row],[Sales]]</f>
        <v>0.85</v>
      </c>
      <c r="N759" t="str">
        <f t="shared" si="23"/>
        <v>Medium</v>
      </c>
      <c r="O759" s="2">
        <v>44599</v>
      </c>
      <c r="P759" s="9">
        <v>10000</v>
      </c>
    </row>
    <row r="760" spans="1:16" x14ac:dyDescent="0.25">
      <c r="A760" t="s">
        <v>781</v>
      </c>
      <c r="B760" s="2">
        <v>44600</v>
      </c>
      <c r="C760">
        <v>2022</v>
      </c>
      <c r="D760" t="str">
        <f t="shared" si="22"/>
        <v>Feb</v>
      </c>
      <c r="E760" t="s">
        <v>12</v>
      </c>
      <c r="F760" t="s">
        <v>2028</v>
      </c>
      <c r="G760" t="s">
        <v>21</v>
      </c>
      <c r="H760" t="s">
        <v>23</v>
      </c>
      <c r="I760">
        <v>1</v>
      </c>
      <c r="J760" s="9">
        <v>10000</v>
      </c>
      <c r="K760" s="7">
        <v>0.2</v>
      </c>
      <c r="L760" s="9">
        <v>8000</v>
      </c>
      <c r="M760" s="10">
        <f>Sales_Data3[[#This Row],[Profit]]/Sales_Data3[[#This Row],[Sales]]</f>
        <v>0.8</v>
      </c>
      <c r="N760" t="str">
        <f t="shared" si="23"/>
        <v>Medium</v>
      </c>
      <c r="O760" s="2">
        <v>44600</v>
      </c>
      <c r="P760" s="9">
        <v>10000</v>
      </c>
    </row>
    <row r="761" spans="1:16" x14ac:dyDescent="0.25">
      <c r="A761" t="s">
        <v>782</v>
      </c>
      <c r="B761" s="2">
        <v>44601</v>
      </c>
      <c r="C761">
        <v>2022</v>
      </c>
      <c r="D761" t="str">
        <f t="shared" si="22"/>
        <v>Feb</v>
      </c>
      <c r="E761" t="s">
        <v>12</v>
      </c>
      <c r="F761" t="s">
        <v>2029</v>
      </c>
      <c r="G761" t="s">
        <v>22</v>
      </c>
      <c r="H761" t="s">
        <v>23</v>
      </c>
      <c r="I761">
        <v>10</v>
      </c>
      <c r="J761" s="9">
        <v>8200</v>
      </c>
      <c r="K761" s="7">
        <v>0.25</v>
      </c>
      <c r="L761" s="9">
        <v>6150</v>
      </c>
      <c r="M761" s="10">
        <f>Sales_Data3[[#This Row],[Profit]]/Sales_Data3[[#This Row],[Sales]]</f>
        <v>0.75</v>
      </c>
      <c r="N761" t="str">
        <f t="shared" si="23"/>
        <v>Medium</v>
      </c>
      <c r="O761" s="2">
        <v>44601</v>
      </c>
      <c r="P761" s="9">
        <v>8200</v>
      </c>
    </row>
    <row r="762" spans="1:16" x14ac:dyDescent="0.25">
      <c r="A762" t="s">
        <v>783</v>
      </c>
      <c r="B762" s="2">
        <v>44602</v>
      </c>
      <c r="C762">
        <v>2022</v>
      </c>
      <c r="D762" t="str">
        <f t="shared" si="22"/>
        <v>Feb</v>
      </c>
      <c r="E762" t="s">
        <v>13</v>
      </c>
      <c r="F762" t="s">
        <v>16</v>
      </c>
      <c r="G762" t="s">
        <v>19</v>
      </c>
      <c r="H762" t="s">
        <v>24</v>
      </c>
      <c r="I762">
        <v>1</v>
      </c>
      <c r="J762" s="9">
        <v>13700</v>
      </c>
      <c r="K762" s="7">
        <v>0.05</v>
      </c>
      <c r="L762" s="9">
        <v>13015</v>
      </c>
      <c r="M762" s="10">
        <f>Sales_Data3[[#This Row],[Profit]]/Sales_Data3[[#This Row],[Sales]]</f>
        <v>0.95</v>
      </c>
      <c r="N762" t="str">
        <f t="shared" si="23"/>
        <v>High</v>
      </c>
      <c r="O762" s="2">
        <v>44602</v>
      </c>
      <c r="P762" s="9">
        <v>13700</v>
      </c>
    </row>
    <row r="763" spans="1:16" x14ac:dyDescent="0.25">
      <c r="A763" t="s">
        <v>784</v>
      </c>
      <c r="B763" s="2">
        <v>44603</v>
      </c>
      <c r="C763">
        <v>2022</v>
      </c>
      <c r="D763" t="str">
        <f t="shared" si="22"/>
        <v>Feb</v>
      </c>
      <c r="E763" t="s">
        <v>13</v>
      </c>
      <c r="F763" t="s">
        <v>2030</v>
      </c>
      <c r="G763" t="s">
        <v>20</v>
      </c>
      <c r="H763" t="s">
        <v>24</v>
      </c>
      <c r="I763">
        <v>10</v>
      </c>
      <c r="J763" s="9">
        <v>13800</v>
      </c>
      <c r="K763" s="7">
        <v>0.1</v>
      </c>
      <c r="L763" s="9">
        <v>12420</v>
      </c>
      <c r="M763" s="10">
        <f>Sales_Data3[[#This Row],[Profit]]/Sales_Data3[[#This Row],[Sales]]</f>
        <v>0.9</v>
      </c>
      <c r="N763" t="str">
        <f t="shared" si="23"/>
        <v>High</v>
      </c>
      <c r="O763" s="2">
        <v>44603</v>
      </c>
      <c r="P763" s="9">
        <v>13800</v>
      </c>
    </row>
    <row r="764" spans="1:16" x14ac:dyDescent="0.25">
      <c r="A764" t="s">
        <v>785</v>
      </c>
      <c r="B764" s="2">
        <v>44604</v>
      </c>
      <c r="C764">
        <v>2022</v>
      </c>
      <c r="D764" t="str">
        <f t="shared" si="22"/>
        <v>Feb</v>
      </c>
      <c r="E764" t="s">
        <v>13</v>
      </c>
      <c r="F764" t="s">
        <v>2031</v>
      </c>
      <c r="G764" t="s">
        <v>21</v>
      </c>
      <c r="H764" t="s">
        <v>24</v>
      </c>
      <c r="I764">
        <v>1</v>
      </c>
      <c r="J764" s="9">
        <v>7800</v>
      </c>
      <c r="K764" s="7">
        <v>0.15000000000000002</v>
      </c>
      <c r="L764" s="9">
        <v>6630</v>
      </c>
      <c r="M764" s="10">
        <f>Sales_Data3[[#This Row],[Profit]]/Sales_Data3[[#This Row],[Sales]]</f>
        <v>0.85</v>
      </c>
      <c r="N764" t="str">
        <f t="shared" si="23"/>
        <v>Medium</v>
      </c>
      <c r="O764" s="2">
        <v>44604</v>
      </c>
      <c r="P764" s="9">
        <v>7800</v>
      </c>
    </row>
    <row r="765" spans="1:16" x14ac:dyDescent="0.25">
      <c r="A765" t="s">
        <v>786</v>
      </c>
      <c r="B765" s="2">
        <v>44605</v>
      </c>
      <c r="C765">
        <v>2022</v>
      </c>
      <c r="D765" t="str">
        <f t="shared" si="22"/>
        <v>Feb</v>
      </c>
      <c r="E765" t="s">
        <v>13</v>
      </c>
      <c r="F765" t="s">
        <v>2032</v>
      </c>
      <c r="G765" t="s">
        <v>22</v>
      </c>
      <c r="H765" t="s">
        <v>24</v>
      </c>
      <c r="I765">
        <v>6</v>
      </c>
      <c r="J765" s="9">
        <v>4300</v>
      </c>
      <c r="K765" s="7">
        <v>0.2</v>
      </c>
      <c r="L765" s="9">
        <v>3440</v>
      </c>
      <c r="M765" s="10">
        <f>Sales_Data3[[#This Row],[Profit]]/Sales_Data3[[#This Row],[Sales]]</f>
        <v>0.8</v>
      </c>
      <c r="N765" t="str">
        <f t="shared" si="23"/>
        <v>Low</v>
      </c>
      <c r="O765" s="2">
        <v>44605</v>
      </c>
      <c r="P765" s="9">
        <v>4300</v>
      </c>
    </row>
    <row r="766" spans="1:16" x14ac:dyDescent="0.25">
      <c r="A766" t="s">
        <v>787</v>
      </c>
      <c r="B766" s="2">
        <v>44606</v>
      </c>
      <c r="C766">
        <v>2022</v>
      </c>
      <c r="D766" t="str">
        <f t="shared" si="22"/>
        <v>Feb</v>
      </c>
      <c r="E766" t="s">
        <v>13</v>
      </c>
      <c r="F766" t="s">
        <v>2033</v>
      </c>
      <c r="G766" t="s">
        <v>19</v>
      </c>
      <c r="H766" t="s">
        <v>24</v>
      </c>
      <c r="I766">
        <v>10</v>
      </c>
      <c r="J766" s="9">
        <v>8900</v>
      </c>
      <c r="K766" s="7">
        <v>0.25</v>
      </c>
      <c r="L766" s="9">
        <v>6675</v>
      </c>
      <c r="M766" s="10">
        <f>Sales_Data3[[#This Row],[Profit]]/Sales_Data3[[#This Row],[Sales]]</f>
        <v>0.75</v>
      </c>
      <c r="N766" t="str">
        <f t="shared" si="23"/>
        <v>Medium</v>
      </c>
      <c r="O766" s="2">
        <v>44606</v>
      </c>
      <c r="P766" s="9">
        <v>8900</v>
      </c>
    </row>
    <row r="767" spans="1:16" x14ac:dyDescent="0.25">
      <c r="A767" t="s">
        <v>788</v>
      </c>
      <c r="B767" s="2">
        <v>44607</v>
      </c>
      <c r="C767">
        <v>2022</v>
      </c>
      <c r="D767" t="str">
        <f t="shared" si="22"/>
        <v>Feb</v>
      </c>
      <c r="E767" t="s">
        <v>13</v>
      </c>
      <c r="F767" t="s">
        <v>2034</v>
      </c>
      <c r="G767" t="s">
        <v>20</v>
      </c>
      <c r="H767" t="s">
        <v>24</v>
      </c>
      <c r="I767">
        <v>8</v>
      </c>
      <c r="J767" s="9">
        <v>10700</v>
      </c>
      <c r="K767" s="7">
        <v>0.05</v>
      </c>
      <c r="L767" s="9">
        <v>10165</v>
      </c>
      <c r="M767" s="10">
        <f>Sales_Data3[[#This Row],[Profit]]/Sales_Data3[[#This Row],[Sales]]</f>
        <v>0.95</v>
      </c>
      <c r="N767" t="str">
        <f t="shared" si="23"/>
        <v>High</v>
      </c>
      <c r="O767" s="2">
        <v>44607</v>
      </c>
      <c r="P767" s="9">
        <v>10700</v>
      </c>
    </row>
    <row r="768" spans="1:16" x14ac:dyDescent="0.25">
      <c r="A768" t="s">
        <v>789</v>
      </c>
      <c r="B768" s="2">
        <v>44608</v>
      </c>
      <c r="C768">
        <v>2022</v>
      </c>
      <c r="D768" t="str">
        <f t="shared" si="22"/>
        <v>Feb</v>
      </c>
      <c r="E768" t="s">
        <v>13</v>
      </c>
      <c r="F768" t="s">
        <v>2035</v>
      </c>
      <c r="G768" t="s">
        <v>21</v>
      </c>
      <c r="H768" t="s">
        <v>24</v>
      </c>
      <c r="I768">
        <v>7</v>
      </c>
      <c r="J768" s="9">
        <v>13100</v>
      </c>
      <c r="K768" s="7">
        <v>0.1</v>
      </c>
      <c r="L768" s="9">
        <v>11790</v>
      </c>
      <c r="M768" s="10">
        <f>Sales_Data3[[#This Row],[Profit]]/Sales_Data3[[#This Row],[Sales]]</f>
        <v>0.9</v>
      </c>
      <c r="N768" t="str">
        <f t="shared" si="23"/>
        <v>High</v>
      </c>
      <c r="O768" s="2">
        <v>44608</v>
      </c>
      <c r="P768" s="9">
        <v>13100</v>
      </c>
    </row>
    <row r="769" spans="1:16" x14ac:dyDescent="0.25">
      <c r="A769" t="s">
        <v>790</v>
      </c>
      <c r="B769" s="2">
        <v>44609</v>
      </c>
      <c r="C769">
        <v>2022</v>
      </c>
      <c r="D769" t="str">
        <f t="shared" si="22"/>
        <v>Feb</v>
      </c>
      <c r="E769" t="s">
        <v>13</v>
      </c>
      <c r="F769" t="s">
        <v>2036</v>
      </c>
      <c r="G769" t="s">
        <v>22</v>
      </c>
      <c r="H769" t="s">
        <v>24</v>
      </c>
      <c r="I769">
        <v>9</v>
      </c>
      <c r="J769" s="9">
        <v>6300</v>
      </c>
      <c r="K769" s="7">
        <v>0.15000000000000002</v>
      </c>
      <c r="L769" s="9">
        <v>5355</v>
      </c>
      <c r="M769" s="10">
        <f>Sales_Data3[[#This Row],[Profit]]/Sales_Data3[[#This Row],[Sales]]</f>
        <v>0.85</v>
      </c>
      <c r="N769" t="str">
        <f t="shared" si="23"/>
        <v>Medium</v>
      </c>
      <c r="O769" s="2">
        <v>44609</v>
      </c>
      <c r="P769" s="9">
        <v>6300</v>
      </c>
    </row>
    <row r="770" spans="1:16" x14ac:dyDescent="0.25">
      <c r="A770" t="s">
        <v>791</v>
      </c>
      <c r="B770" s="2">
        <v>44610</v>
      </c>
      <c r="C770">
        <v>2022</v>
      </c>
      <c r="D770" t="str">
        <f t="shared" ref="D770:D833" si="24">TEXT(B770,"MMM")</f>
        <v>Feb</v>
      </c>
      <c r="E770" t="s">
        <v>13</v>
      </c>
      <c r="F770" t="s">
        <v>2037</v>
      </c>
      <c r="G770" t="s">
        <v>19</v>
      </c>
      <c r="H770" t="s">
        <v>24</v>
      </c>
      <c r="I770">
        <v>2</v>
      </c>
      <c r="J770" s="9">
        <v>14500</v>
      </c>
      <c r="K770" s="7">
        <v>0.2</v>
      </c>
      <c r="L770" s="9">
        <v>11600</v>
      </c>
      <c r="M770" s="10">
        <f>Sales_Data3[[#This Row],[Profit]]/Sales_Data3[[#This Row],[Sales]]</f>
        <v>0.8</v>
      </c>
      <c r="N770" t="str">
        <f t="shared" ref="N770:N833" si="25">IF(J770&gt;10000,"High",IF(J770&gt;5000,"Medium","Low"))</f>
        <v>High</v>
      </c>
      <c r="O770" s="2">
        <v>44610</v>
      </c>
      <c r="P770" s="9">
        <v>14500</v>
      </c>
    </row>
    <row r="771" spans="1:16" x14ac:dyDescent="0.25">
      <c r="A771" t="s">
        <v>792</v>
      </c>
      <c r="B771" s="2">
        <v>44611</v>
      </c>
      <c r="C771">
        <v>2022</v>
      </c>
      <c r="D771" t="str">
        <f t="shared" si="24"/>
        <v>Feb</v>
      </c>
      <c r="E771" t="s">
        <v>13</v>
      </c>
      <c r="F771" t="s">
        <v>2038</v>
      </c>
      <c r="G771" t="s">
        <v>20</v>
      </c>
      <c r="H771" t="s">
        <v>24</v>
      </c>
      <c r="I771">
        <v>1</v>
      </c>
      <c r="J771" s="9">
        <v>10900</v>
      </c>
      <c r="K771" s="7">
        <v>0.25</v>
      </c>
      <c r="L771" s="9">
        <v>8175</v>
      </c>
      <c r="M771" s="10">
        <f>Sales_Data3[[#This Row],[Profit]]/Sales_Data3[[#This Row],[Sales]]</f>
        <v>0.75</v>
      </c>
      <c r="N771" t="str">
        <f t="shared" si="25"/>
        <v>High</v>
      </c>
      <c r="O771" s="2">
        <v>44611</v>
      </c>
      <c r="P771" s="9">
        <v>10900</v>
      </c>
    </row>
    <row r="772" spans="1:16" x14ac:dyDescent="0.25">
      <c r="A772" t="s">
        <v>793</v>
      </c>
      <c r="B772" s="2">
        <v>44612</v>
      </c>
      <c r="C772">
        <v>2022</v>
      </c>
      <c r="D772" t="str">
        <f t="shared" si="24"/>
        <v>Feb</v>
      </c>
      <c r="E772" t="s">
        <v>14</v>
      </c>
      <c r="F772" t="s">
        <v>2039</v>
      </c>
      <c r="G772" t="s">
        <v>21</v>
      </c>
      <c r="H772" t="s">
        <v>25</v>
      </c>
      <c r="I772">
        <v>10</v>
      </c>
      <c r="J772" s="9">
        <v>11100</v>
      </c>
      <c r="K772" s="7">
        <v>0.05</v>
      </c>
      <c r="L772" s="9">
        <v>10545</v>
      </c>
      <c r="M772" s="10">
        <f>Sales_Data3[[#This Row],[Profit]]/Sales_Data3[[#This Row],[Sales]]</f>
        <v>0.95</v>
      </c>
      <c r="N772" t="str">
        <f t="shared" si="25"/>
        <v>High</v>
      </c>
      <c r="O772" s="2">
        <v>44612</v>
      </c>
      <c r="P772" s="9">
        <v>11100</v>
      </c>
    </row>
    <row r="773" spans="1:16" x14ac:dyDescent="0.25">
      <c r="A773" t="s">
        <v>794</v>
      </c>
      <c r="B773" s="2">
        <v>44613</v>
      </c>
      <c r="C773">
        <v>2022</v>
      </c>
      <c r="D773" t="str">
        <f t="shared" si="24"/>
        <v>Feb</v>
      </c>
      <c r="E773" t="s">
        <v>14</v>
      </c>
      <c r="F773" t="s">
        <v>2040</v>
      </c>
      <c r="G773" t="s">
        <v>22</v>
      </c>
      <c r="H773" t="s">
        <v>25</v>
      </c>
      <c r="I773">
        <v>8</v>
      </c>
      <c r="J773" s="9">
        <v>5300</v>
      </c>
      <c r="K773" s="7">
        <v>0.1</v>
      </c>
      <c r="L773" s="9">
        <v>4770</v>
      </c>
      <c r="M773" s="10">
        <f>Sales_Data3[[#This Row],[Profit]]/Sales_Data3[[#This Row],[Sales]]</f>
        <v>0.9</v>
      </c>
      <c r="N773" t="str">
        <f t="shared" si="25"/>
        <v>Medium</v>
      </c>
      <c r="O773" s="2">
        <v>44613</v>
      </c>
      <c r="P773" s="9">
        <v>5300</v>
      </c>
    </row>
    <row r="774" spans="1:16" x14ac:dyDescent="0.25">
      <c r="A774" t="s">
        <v>795</v>
      </c>
      <c r="B774" s="2">
        <v>44614</v>
      </c>
      <c r="C774">
        <v>2022</v>
      </c>
      <c r="D774" t="str">
        <f t="shared" si="24"/>
        <v>Feb</v>
      </c>
      <c r="E774" t="s">
        <v>14</v>
      </c>
      <c r="F774" t="s">
        <v>2041</v>
      </c>
      <c r="G774" t="s">
        <v>19</v>
      </c>
      <c r="H774" t="s">
        <v>25</v>
      </c>
      <c r="I774">
        <v>1</v>
      </c>
      <c r="J774" s="9">
        <v>13500</v>
      </c>
      <c r="K774" s="7">
        <v>0.15000000000000002</v>
      </c>
      <c r="L774" s="9">
        <v>11475</v>
      </c>
      <c r="M774" s="10">
        <f>Sales_Data3[[#This Row],[Profit]]/Sales_Data3[[#This Row],[Sales]]</f>
        <v>0.85</v>
      </c>
      <c r="N774" t="str">
        <f t="shared" si="25"/>
        <v>High</v>
      </c>
      <c r="O774" s="2">
        <v>44614</v>
      </c>
      <c r="P774" s="9">
        <v>13500</v>
      </c>
    </row>
    <row r="775" spans="1:16" x14ac:dyDescent="0.25">
      <c r="A775" t="s">
        <v>796</v>
      </c>
      <c r="B775" s="2">
        <v>44615</v>
      </c>
      <c r="C775">
        <v>2022</v>
      </c>
      <c r="D775" t="str">
        <f t="shared" si="24"/>
        <v>Feb</v>
      </c>
      <c r="E775" t="s">
        <v>14</v>
      </c>
      <c r="F775" t="s">
        <v>2042</v>
      </c>
      <c r="G775" t="s">
        <v>20</v>
      </c>
      <c r="H775" t="s">
        <v>25</v>
      </c>
      <c r="I775">
        <v>10</v>
      </c>
      <c r="J775" s="9">
        <v>6100</v>
      </c>
      <c r="K775" s="7">
        <v>0.2</v>
      </c>
      <c r="L775" s="9">
        <v>4880</v>
      </c>
      <c r="M775" s="10">
        <f>Sales_Data3[[#This Row],[Profit]]/Sales_Data3[[#This Row],[Sales]]</f>
        <v>0.8</v>
      </c>
      <c r="N775" t="str">
        <f t="shared" si="25"/>
        <v>Medium</v>
      </c>
      <c r="O775" s="2">
        <v>44615</v>
      </c>
      <c r="P775" s="9">
        <v>6100</v>
      </c>
    </row>
    <row r="776" spans="1:16" x14ac:dyDescent="0.25">
      <c r="A776" t="s">
        <v>797</v>
      </c>
      <c r="B776" s="2">
        <v>44616</v>
      </c>
      <c r="C776">
        <v>2022</v>
      </c>
      <c r="D776" t="str">
        <f t="shared" si="24"/>
        <v>Feb</v>
      </c>
      <c r="E776" t="s">
        <v>14</v>
      </c>
      <c r="F776" t="s">
        <v>2043</v>
      </c>
      <c r="G776" t="s">
        <v>21</v>
      </c>
      <c r="H776" t="s">
        <v>25</v>
      </c>
      <c r="I776">
        <v>7</v>
      </c>
      <c r="J776" s="9">
        <v>6600</v>
      </c>
      <c r="K776" s="7">
        <v>0.25</v>
      </c>
      <c r="L776" s="9">
        <v>4950</v>
      </c>
      <c r="M776" s="10">
        <f>Sales_Data3[[#This Row],[Profit]]/Sales_Data3[[#This Row],[Sales]]</f>
        <v>0.75</v>
      </c>
      <c r="N776" t="str">
        <f t="shared" si="25"/>
        <v>Medium</v>
      </c>
      <c r="O776" s="2">
        <v>44616</v>
      </c>
      <c r="P776" s="9">
        <v>6600</v>
      </c>
    </row>
    <row r="777" spans="1:16" x14ac:dyDescent="0.25">
      <c r="A777" t="s">
        <v>798</v>
      </c>
      <c r="B777" s="2">
        <v>44617</v>
      </c>
      <c r="C777">
        <v>2022</v>
      </c>
      <c r="D777" t="str">
        <f t="shared" si="24"/>
        <v>Feb</v>
      </c>
      <c r="E777" t="s">
        <v>14</v>
      </c>
      <c r="F777" t="s">
        <v>2044</v>
      </c>
      <c r="G777" t="s">
        <v>22</v>
      </c>
      <c r="H777" t="s">
        <v>25</v>
      </c>
      <c r="I777">
        <v>8</v>
      </c>
      <c r="J777" s="9">
        <v>7500</v>
      </c>
      <c r="K777" s="7">
        <v>0.05</v>
      </c>
      <c r="L777" s="9">
        <v>7125</v>
      </c>
      <c r="M777" s="10">
        <f>Sales_Data3[[#This Row],[Profit]]/Sales_Data3[[#This Row],[Sales]]</f>
        <v>0.95</v>
      </c>
      <c r="N777" t="str">
        <f t="shared" si="25"/>
        <v>Medium</v>
      </c>
      <c r="O777" s="2">
        <v>44617</v>
      </c>
      <c r="P777" s="9">
        <v>7500</v>
      </c>
    </row>
    <row r="778" spans="1:16" x14ac:dyDescent="0.25">
      <c r="A778" t="s">
        <v>799</v>
      </c>
      <c r="B778" s="2">
        <v>44618</v>
      </c>
      <c r="C778">
        <v>2022</v>
      </c>
      <c r="D778" t="str">
        <f t="shared" si="24"/>
        <v>Feb</v>
      </c>
      <c r="E778" t="s">
        <v>14</v>
      </c>
      <c r="F778" t="s">
        <v>2045</v>
      </c>
      <c r="G778" t="s">
        <v>19</v>
      </c>
      <c r="H778" t="s">
        <v>25</v>
      </c>
      <c r="I778">
        <v>5</v>
      </c>
      <c r="J778" s="9">
        <v>10800</v>
      </c>
      <c r="K778" s="7">
        <v>0.1</v>
      </c>
      <c r="L778" s="9">
        <v>9720</v>
      </c>
      <c r="M778" s="10">
        <f>Sales_Data3[[#This Row],[Profit]]/Sales_Data3[[#This Row],[Sales]]</f>
        <v>0.9</v>
      </c>
      <c r="N778" t="str">
        <f t="shared" si="25"/>
        <v>High</v>
      </c>
      <c r="O778" s="2">
        <v>44618</v>
      </c>
      <c r="P778" s="9">
        <v>10800</v>
      </c>
    </row>
    <row r="779" spans="1:16" x14ac:dyDescent="0.25">
      <c r="A779" t="s">
        <v>800</v>
      </c>
      <c r="B779" s="2">
        <v>44619</v>
      </c>
      <c r="C779">
        <v>2022</v>
      </c>
      <c r="D779" t="str">
        <f t="shared" si="24"/>
        <v>Feb</v>
      </c>
      <c r="E779" t="s">
        <v>14</v>
      </c>
      <c r="F779" t="s">
        <v>2046</v>
      </c>
      <c r="G779" t="s">
        <v>20</v>
      </c>
      <c r="H779" t="s">
        <v>25</v>
      </c>
      <c r="I779">
        <v>6</v>
      </c>
      <c r="J779" s="9">
        <v>9000</v>
      </c>
      <c r="K779" s="7">
        <v>0.15000000000000002</v>
      </c>
      <c r="L779" s="9">
        <v>7650</v>
      </c>
      <c r="M779" s="10">
        <f>Sales_Data3[[#This Row],[Profit]]/Sales_Data3[[#This Row],[Sales]]</f>
        <v>0.85</v>
      </c>
      <c r="N779" t="str">
        <f t="shared" si="25"/>
        <v>Medium</v>
      </c>
      <c r="O779" s="2">
        <v>44619</v>
      </c>
      <c r="P779" s="9">
        <v>9000</v>
      </c>
    </row>
    <row r="780" spans="1:16" x14ac:dyDescent="0.25">
      <c r="A780" t="s">
        <v>801</v>
      </c>
      <c r="B780" s="2">
        <v>44620</v>
      </c>
      <c r="C780">
        <v>2022</v>
      </c>
      <c r="D780" t="str">
        <f t="shared" si="24"/>
        <v>Feb</v>
      </c>
      <c r="E780" t="s">
        <v>14</v>
      </c>
      <c r="F780" t="s">
        <v>2047</v>
      </c>
      <c r="G780" t="s">
        <v>21</v>
      </c>
      <c r="H780" t="s">
        <v>25</v>
      </c>
      <c r="I780">
        <v>6</v>
      </c>
      <c r="J780" s="9">
        <v>8900</v>
      </c>
      <c r="K780" s="7">
        <v>0.2</v>
      </c>
      <c r="L780" s="9">
        <v>7120</v>
      </c>
      <c r="M780" s="10">
        <f>Sales_Data3[[#This Row],[Profit]]/Sales_Data3[[#This Row],[Sales]]</f>
        <v>0.8</v>
      </c>
      <c r="N780" t="str">
        <f t="shared" si="25"/>
        <v>Medium</v>
      </c>
      <c r="O780" s="2">
        <v>44620</v>
      </c>
      <c r="P780" s="9">
        <v>8900</v>
      </c>
    </row>
    <row r="781" spans="1:16" x14ac:dyDescent="0.25">
      <c r="A781" t="s">
        <v>802</v>
      </c>
      <c r="B781" s="2">
        <v>44621</v>
      </c>
      <c r="C781">
        <v>2022</v>
      </c>
      <c r="D781" t="str">
        <f t="shared" si="24"/>
        <v>Mar</v>
      </c>
      <c r="E781" t="s">
        <v>14</v>
      </c>
      <c r="F781" t="s">
        <v>2048</v>
      </c>
      <c r="G781" t="s">
        <v>22</v>
      </c>
      <c r="H781" t="s">
        <v>25</v>
      </c>
      <c r="I781">
        <v>3</v>
      </c>
      <c r="J781" s="9">
        <v>10100</v>
      </c>
      <c r="K781" s="7">
        <v>0.25</v>
      </c>
      <c r="L781" s="9">
        <v>7575</v>
      </c>
      <c r="M781" s="10">
        <f>Sales_Data3[[#This Row],[Profit]]/Sales_Data3[[#This Row],[Sales]]</f>
        <v>0.75</v>
      </c>
      <c r="N781" t="str">
        <f t="shared" si="25"/>
        <v>High</v>
      </c>
      <c r="O781" s="2">
        <v>44621</v>
      </c>
      <c r="P781" s="9">
        <v>10100</v>
      </c>
    </row>
    <row r="782" spans="1:16" x14ac:dyDescent="0.25">
      <c r="A782" t="s">
        <v>803</v>
      </c>
      <c r="B782" s="2">
        <v>44622</v>
      </c>
      <c r="C782">
        <v>2022</v>
      </c>
      <c r="D782" t="str">
        <f t="shared" si="24"/>
        <v>Mar</v>
      </c>
      <c r="E782" t="s">
        <v>12</v>
      </c>
      <c r="F782" t="s">
        <v>15</v>
      </c>
      <c r="G782" t="s">
        <v>19</v>
      </c>
      <c r="H782" t="s">
        <v>23</v>
      </c>
      <c r="I782">
        <v>10</v>
      </c>
      <c r="J782" s="9">
        <v>6500</v>
      </c>
      <c r="K782" s="7">
        <v>0.05</v>
      </c>
      <c r="L782" s="9">
        <v>6175</v>
      </c>
      <c r="M782" s="10">
        <f>Sales_Data3[[#This Row],[Profit]]/Sales_Data3[[#This Row],[Sales]]</f>
        <v>0.95</v>
      </c>
      <c r="N782" t="str">
        <f t="shared" si="25"/>
        <v>Medium</v>
      </c>
      <c r="O782" s="2">
        <v>44622</v>
      </c>
      <c r="P782" s="9">
        <v>6500</v>
      </c>
    </row>
    <row r="783" spans="1:16" x14ac:dyDescent="0.25">
      <c r="A783" t="s">
        <v>804</v>
      </c>
      <c r="B783" s="2">
        <v>44623</v>
      </c>
      <c r="C783">
        <v>2022</v>
      </c>
      <c r="D783" t="str">
        <f t="shared" si="24"/>
        <v>Mar</v>
      </c>
      <c r="E783" t="s">
        <v>12</v>
      </c>
      <c r="F783" t="s">
        <v>17</v>
      </c>
      <c r="G783" t="s">
        <v>20</v>
      </c>
      <c r="H783" t="s">
        <v>23</v>
      </c>
      <c r="I783">
        <v>2</v>
      </c>
      <c r="J783" s="9">
        <v>11600</v>
      </c>
      <c r="K783" s="7">
        <v>0.1</v>
      </c>
      <c r="L783" s="9">
        <v>10440</v>
      </c>
      <c r="M783" s="10">
        <f>Sales_Data3[[#This Row],[Profit]]/Sales_Data3[[#This Row],[Sales]]</f>
        <v>0.9</v>
      </c>
      <c r="N783" t="str">
        <f t="shared" si="25"/>
        <v>High</v>
      </c>
      <c r="O783" s="2">
        <v>44623</v>
      </c>
      <c r="P783" s="9">
        <v>11600</v>
      </c>
    </row>
    <row r="784" spans="1:16" x14ac:dyDescent="0.25">
      <c r="A784" t="s">
        <v>805</v>
      </c>
      <c r="B784" s="2">
        <v>44624</v>
      </c>
      <c r="C784">
        <v>2022</v>
      </c>
      <c r="D784" t="str">
        <f t="shared" si="24"/>
        <v>Mar</v>
      </c>
      <c r="E784" t="s">
        <v>12</v>
      </c>
      <c r="F784" t="s">
        <v>2023</v>
      </c>
      <c r="G784" t="s">
        <v>21</v>
      </c>
      <c r="H784" t="s">
        <v>23</v>
      </c>
      <c r="I784">
        <v>1</v>
      </c>
      <c r="J784" s="9">
        <v>11600</v>
      </c>
      <c r="K784" s="7">
        <v>0.15000000000000002</v>
      </c>
      <c r="L784" s="9">
        <v>9860</v>
      </c>
      <c r="M784" s="10">
        <f>Sales_Data3[[#This Row],[Profit]]/Sales_Data3[[#This Row],[Sales]]</f>
        <v>0.85</v>
      </c>
      <c r="N784" t="str">
        <f t="shared" si="25"/>
        <v>High</v>
      </c>
      <c r="O784" s="2">
        <v>44624</v>
      </c>
      <c r="P784" s="9">
        <v>11600</v>
      </c>
    </row>
    <row r="785" spans="1:16" x14ac:dyDescent="0.25">
      <c r="A785" t="s">
        <v>806</v>
      </c>
      <c r="B785" s="2">
        <v>44625</v>
      </c>
      <c r="C785">
        <v>2022</v>
      </c>
      <c r="D785" t="str">
        <f t="shared" si="24"/>
        <v>Mar</v>
      </c>
      <c r="E785" t="s">
        <v>12</v>
      </c>
      <c r="F785" t="s">
        <v>18</v>
      </c>
      <c r="G785" t="s">
        <v>22</v>
      </c>
      <c r="H785" t="s">
        <v>23</v>
      </c>
      <c r="I785">
        <v>2</v>
      </c>
      <c r="J785" s="9">
        <v>11200</v>
      </c>
      <c r="K785" s="7">
        <v>0.2</v>
      </c>
      <c r="L785" s="9">
        <v>8960</v>
      </c>
      <c r="M785" s="10">
        <f>Sales_Data3[[#This Row],[Profit]]/Sales_Data3[[#This Row],[Sales]]</f>
        <v>0.8</v>
      </c>
      <c r="N785" t="str">
        <f t="shared" si="25"/>
        <v>High</v>
      </c>
      <c r="O785" s="2">
        <v>44625</v>
      </c>
      <c r="P785" s="9">
        <v>11200</v>
      </c>
    </row>
    <row r="786" spans="1:16" x14ac:dyDescent="0.25">
      <c r="A786" t="s">
        <v>807</v>
      </c>
      <c r="B786" s="2">
        <v>44626</v>
      </c>
      <c r="C786">
        <v>2022</v>
      </c>
      <c r="D786" t="str">
        <f t="shared" si="24"/>
        <v>Mar</v>
      </c>
      <c r="E786" t="s">
        <v>12</v>
      </c>
      <c r="F786" t="s">
        <v>2024</v>
      </c>
      <c r="G786" t="s">
        <v>19</v>
      </c>
      <c r="H786" t="s">
        <v>23</v>
      </c>
      <c r="I786">
        <v>8</v>
      </c>
      <c r="J786" s="9">
        <v>12600</v>
      </c>
      <c r="K786" s="7">
        <v>0.25</v>
      </c>
      <c r="L786" s="9">
        <v>9450</v>
      </c>
      <c r="M786" s="10">
        <f>Sales_Data3[[#This Row],[Profit]]/Sales_Data3[[#This Row],[Sales]]</f>
        <v>0.75</v>
      </c>
      <c r="N786" t="str">
        <f t="shared" si="25"/>
        <v>High</v>
      </c>
      <c r="O786" s="2">
        <v>44626</v>
      </c>
      <c r="P786" s="9">
        <v>12600</v>
      </c>
    </row>
    <row r="787" spans="1:16" x14ac:dyDescent="0.25">
      <c r="A787" t="s">
        <v>808</v>
      </c>
      <c r="B787" s="2">
        <v>44627</v>
      </c>
      <c r="C787">
        <v>2022</v>
      </c>
      <c r="D787" t="str">
        <f t="shared" si="24"/>
        <v>Mar</v>
      </c>
      <c r="E787" t="s">
        <v>12</v>
      </c>
      <c r="F787" t="s">
        <v>2025</v>
      </c>
      <c r="G787" t="s">
        <v>20</v>
      </c>
      <c r="H787" t="s">
        <v>23</v>
      </c>
      <c r="I787">
        <v>7</v>
      </c>
      <c r="J787" s="9">
        <v>12400</v>
      </c>
      <c r="K787" s="7">
        <v>0.05</v>
      </c>
      <c r="L787" s="9">
        <v>11780</v>
      </c>
      <c r="M787" s="10">
        <f>Sales_Data3[[#This Row],[Profit]]/Sales_Data3[[#This Row],[Sales]]</f>
        <v>0.95</v>
      </c>
      <c r="N787" t="str">
        <f t="shared" si="25"/>
        <v>High</v>
      </c>
      <c r="O787" s="2">
        <v>44627</v>
      </c>
      <c r="P787" s="9">
        <v>12400</v>
      </c>
    </row>
    <row r="788" spans="1:16" x14ac:dyDescent="0.25">
      <c r="A788" t="s">
        <v>809</v>
      </c>
      <c r="B788" s="2">
        <v>44628</v>
      </c>
      <c r="C788">
        <v>2022</v>
      </c>
      <c r="D788" t="str">
        <f t="shared" si="24"/>
        <v>Mar</v>
      </c>
      <c r="E788" t="s">
        <v>12</v>
      </c>
      <c r="F788" t="s">
        <v>2026</v>
      </c>
      <c r="G788" t="s">
        <v>21</v>
      </c>
      <c r="H788" t="s">
        <v>23</v>
      </c>
      <c r="I788">
        <v>8</v>
      </c>
      <c r="J788" s="9">
        <v>14600</v>
      </c>
      <c r="K788" s="7">
        <v>0.1</v>
      </c>
      <c r="L788" s="9">
        <v>13140</v>
      </c>
      <c r="M788" s="10">
        <f>Sales_Data3[[#This Row],[Profit]]/Sales_Data3[[#This Row],[Sales]]</f>
        <v>0.9</v>
      </c>
      <c r="N788" t="str">
        <f t="shared" si="25"/>
        <v>High</v>
      </c>
      <c r="O788" s="2">
        <v>44628</v>
      </c>
      <c r="P788" s="9">
        <v>14600</v>
      </c>
    </row>
    <row r="789" spans="1:16" x14ac:dyDescent="0.25">
      <c r="A789" t="s">
        <v>810</v>
      </c>
      <c r="B789" s="2">
        <v>44629</v>
      </c>
      <c r="C789">
        <v>2022</v>
      </c>
      <c r="D789" t="str">
        <f t="shared" si="24"/>
        <v>Mar</v>
      </c>
      <c r="E789" t="s">
        <v>12</v>
      </c>
      <c r="F789" t="s">
        <v>2027</v>
      </c>
      <c r="G789" t="s">
        <v>22</v>
      </c>
      <c r="H789" t="s">
        <v>23</v>
      </c>
      <c r="I789">
        <v>3</v>
      </c>
      <c r="J789" s="9">
        <v>5600</v>
      </c>
      <c r="K789" s="7">
        <v>0.15000000000000002</v>
      </c>
      <c r="L789" s="9">
        <v>4760</v>
      </c>
      <c r="M789" s="10">
        <f>Sales_Data3[[#This Row],[Profit]]/Sales_Data3[[#This Row],[Sales]]</f>
        <v>0.85</v>
      </c>
      <c r="N789" t="str">
        <f t="shared" si="25"/>
        <v>Medium</v>
      </c>
      <c r="O789" s="2">
        <v>44629</v>
      </c>
      <c r="P789" s="9">
        <v>5600</v>
      </c>
    </row>
    <row r="790" spans="1:16" x14ac:dyDescent="0.25">
      <c r="A790" t="s">
        <v>811</v>
      </c>
      <c r="B790" s="2">
        <v>44630</v>
      </c>
      <c r="C790">
        <v>2022</v>
      </c>
      <c r="D790" t="str">
        <f t="shared" si="24"/>
        <v>Mar</v>
      </c>
      <c r="E790" t="s">
        <v>12</v>
      </c>
      <c r="F790" t="s">
        <v>2028</v>
      </c>
      <c r="G790" t="s">
        <v>19</v>
      </c>
      <c r="H790" t="s">
        <v>23</v>
      </c>
      <c r="I790">
        <v>6</v>
      </c>
      <c r="J790" s="9">
        <v>7400</v>
      </c>
      <c r="K790" s="7">
        <v>0.2</v>
      </c>
      <c r="L790" s="9">
        <v>5920</v>
      </c>
      <c r="M790" s="10">
        <f>Sales_Data3[[#This Row],[Profit]]/Sales_Data3[[#This Row],[Sales]]</f>
        <v>0.8</v>
      </c>
      <c r="N790" t="str">
        <f t="shared" si="25"/>
        <v>Medium</v>
      </c>
      <c r="O790" s="2">
        <v>44630</v>
      </c>
      <c r="P790" s="9">
        <v>7400</v>
      </c>
    </row>
    <row r="791" spans="1:16" x14ac:dyDescent="0.25">
      <c r="A791" t="s">
        <v>812</v>
      </c>
      <c r="B791" s="2">
        <v>44631</v>
      </c>
      <c r="C791">
        <v>2022</v>
      </c>
      <c r="D791" t="str">
        <f t="shared" si="24"/>
        <v>Mar</v>
      </c>
      <c r="E791" t="s">
        <v>12</v>
      </c>
      <c r="F791" t="s">
        <v>2029</v>
      </c>
      <c r="G791" t="s">
        <v>20</v>
      </c>
      <c r="H791" t="s">
        <v>23</v>
      </c>
      <c r="I791">
        <v>2</v>
      </c>
      <c r="J791" s="9">
        <v>4600</v>
      </c>
      <c r="K791" s="7">
        <v>0.25</v>
      </c>
      <c r="L791" s="9">
        <v>3450</v>
      </c>
      <c r="M791" s="10">
        <f>Sales_Data3[[#This Row],[Profit]]/Sales_Data3[[#This Row],[Sales]]</f>
        <v>0.75</v>
      </c>
      <c r="N791" t="str">
        <f t="shared" si="25"/>
        <v>Low</v>
      </c>
      <c r="O791" s="2">
        <v>44631</v>
      </c>
      <c r="P791" s="9">
        <v>4600</v>
      </c>
    </row>
    <row r="792" spans="1:16" x14ac:dyDescent="0.25">
      <c r="A792" t="s">
        <v>813</v>
      </c>
      <c r="B792" s="2">
        <v>44632</v>
      </c>
      <c r="C792">
        <v>2022</v>
      </c>
      <c r="D792" t="str">
        <f t="shared" si="24"/>
        <v>Mar</v>
      </c>
      <c r="E792" t="s">
        <v>13</v>
      </c>
      <c r="F792" t="s">
        <v>16</v>
      </c>
      <c r="G792" t="s">
        <v>21</v>
      </c>
      <c r="H792" t="s">
        <v>24</v>
      </c>
      <c r="I792">
        <v>10</v>
      </c>
      <c r="J792" s="9">
        <v>10800</v>
      </c>
      <c r="K792" s="7">
        <v>0.05</v>
      </c>
      <c r="L792" s="9">
        <v>10260</v>
      </c>
      <c r="M792" s="10">
        <f>Sales_Data3[[#This Row],[Profit]]/Sales_Data3[[#This Row],[Sales]]</f>
        <v>0.95</v>
      </c>
      <c r="N792" t="str">
        <f t="shared" si="25"/>
        <v>High</v>
      </c>
      <c r="O792" s="2">
        <v>44632</v>
      </c>
      <c r="P792" s="9">
        <v>10800</v>
      </c>
    </row>
    <row r="793" spans="1:16" x14ac:dyDescent="0.25">
      <c r="A793" t="s">
        <v>814</v>
      </c>
      <c r="B793" s="2">
        <v>44633</v>
      </c>
      <c r="C793">
        <v>2022</v>
      </c>
      <c r="D793" t="str">
        <f t="shared" si="24"/>
        <v>Mar</v>
      </c>
      <c r="E793" t="s">
        <v>13</v>
      </c>
      <c r="F793" t="s">
        <v>2030</v>
      </c>
      <c r="G793" t="s">
        <v>22</v>
      </c>
      <c r="H793" t="s">
        <v>24</v>
      </c>
      <c r="I793">
        <v>6</v>
      </c>
      <c r="J793" s="9">
        <v>8000</v>
      </c>
      <c r="K793" s="7">
        <v>0.1</v>
      </c>
      <c r="L793" s="9">
        <v>7200</v>
      </c>
      <c r="M793" s="10">
        <f>Sales_Data3[[#This Row],[Profit]]/Sales_Data3[[#This Row],[Sales]]</f>
        <v>0.9</v>
      </c>
      <c r="N793" t="str">
        <f t="shared" si="25"/>
        <v>Medium</v>
      </c>
      <c r="O793" s="2">
        <v>44633</v>
      </c>
      <c r="P793" s="9">
        <v>8000</v>
      </c>
    </row>
    <row r="794" spans="1:16" x14ac:dyDescent="0.25">
      <c r="A794" t="s">
        <v>815</v>
      </c>
      <c r="B794" s="2">
        <v>44634</v>
      </c>
      <c r="C794">
        <v>2022</v>
      </c>
      <c r="D794" t="str">
        <f t="shared" si="24"/>
        <v>Mar</v>
      </c>
      <c r="E794" t="s">
        <v>13</v>
      </c>
      <c r="F794" t="s">
        <v>2031</v>
      </c>
      <c r="G794" t="s">
        <v>19</v>
      </c>
      <c r="H794" t="s">
        <v>24</v>
      </c>
      <c r="I794">
        <v>1</v>
      </c>
      <c r="J794" s="9">
        <v>12600</v>
      </c>
      <c r="K794" s="7">
        <v>0.15000000000000002</v>
      </c>
      <c r="L794" s="9">
        <v>10710</v>
      </c>
      <c r="M794" s="10">
        <f>Sales_Data3[[#This Row],[Profit]]/Sales_Data3[[#This Row],[Sales]]</f>
        <v>0.85</v>
      </c>
      <c r="N794" t="str">
        <f t="shared" si="25"/>
        <v>High</v>
      </c>
      <c r="O794" s="2">
        <v>44634</v>
      </c>
      <c r="P794" s="9">
        <v>12600</v>
      </c>
    </row>
    <row r="795" spans="1:16" x14ac:dyDescent="0.25">
      <c r="A795" t="s">
        <v>816</v>
      </c>
      <c r="B795" s="2">
        <v>44635</v>
      </c>
      <c r="C795">
        <v>2022</v>
      </c>
      <c r="D795" t="str">
        <f t="shared" si="24"/>
        <v>Mar</v>
      </c>
      <c r="E795" t="s">
        <v>13</v>
      </c>
      <c r="F795" t="s">
        <v>2032</v>
      </c>
      <c r="G795" t="s">
        <v>20</v>
      </c>
      <c r="H795" t="s">
        <v>24</v>
      </c>
      <c r="I795">
        <v>9</v>
      </c>
      <c r="J795" s="9">
        <v>6900</v>
      </c>
      <c r="K795" s="7">
        <v>0.2</v>
      </c>
      <c r="L795" s="9">
        <v>5520</v>
      </c>
      <c r="M795" s="10">
        <f>Sales_Data3[[#This Row],[Profit]]/Sales_Data3[[#This Row],[Sales]]</f>
        <v>0.8</v>
      </c>
      <c r="N795" t="str">
        <f t="shared" si="25"/>
        <v>Medium</v>
      </c>
      <c r="O795" s="2">
        <v>44635</v>
      </c>
      <c r="P795" s="9">
        <v>6900</v>
      </c>
    </row>
    <row r="796" spans="1:16" x14ac:dyDescent="0.25">
      <c r="A796" t="s">
        <v>817</v>
      </c>
      <c r="B796" s="2">
        <v>44636</v>
      </c>
      <c r="C796">
        <v>2022</v>
      </c>
      <c r="D796" t="str">
        <f t="shared" si="24"/>
        <v>Mar</v>
      </c>
      <c r="E796" t="s">
        <v>13</v>
      </c>
      <c r="F796" t="s">
        <v>2033</v>
      </c>
      <c r="G796" t="s">
        <v>21</v>
      </c>
      <c r="H796" t="s">
        <v>24</v>
      </c>
      <c r="I796">
        <v>4</v>
      </c>
      <c r="J796" s="9">
        <v>8400</v>
      </c>
      <c r="K796" s="7">
        <v>0.25</v>
      </c>
      <c r="L796" s="9">
        <v>6300</v>
      </c>
      <c r="M796" s="10">
        <f>Sales_Data3[[#This Row],[Profit]]/Sales_Data3[[#This Row],[Sales]]</f>
        <v>0.75</v>
      </c>
      <c r="N796" t="str">
        <f t="shared" si="25"/>
        <v>Medium</v>
      </c>
      <c r="O796" s="2">
        <v>44636</v>
      </c>
      <c r="P796" s="9">
        <v>8400</v>
      </c>
    </row>
    <row r="797" spans="1:16" x14ac:dyDescent="0.25">
      <c r="A797" t="s">
        <v>818</v>
      </c>
      <c r="B797" s="2">
        <v>44637</v>
      </c>
      <c r="C797">
        <v>2022</v>
      </c>
      <c r="D797" t="str">
        <f t="shared" si="24"/>
        <v>Mar</v>
      </c>
      <c r="E797" t="s">
        <v>13</v>
      </c>
      <c r="F797" t="s">
        <v>2034</v>
      </c>
      <c r="G797" t="s">
        <v>22</v>
      </c>
      <c r="H797" t="s">
        <v>24</v>
      </c>
      <c r="I797">
        <v>10</v>
      </c>
      <c r="J797" s="9">
        <v>10900</v>
      </c>
      <c r="K797" s="7">
        <v>0.05</v>
      </c>
      <c r="L797" s="9">
        <v>10355</v>
      </c>
      <c r="M797" s="10">
        <f>Sales_Data3[[#This Row],[Profit]]/Sales_Data3[[#This Row],[Sales]]</f>
        <v>0.95</v>
      </c>
      <c r="N797" t="str">
        <f t="shared" si="25"/>
        <v>High</v>
      </c>
      <c r="O797" s="2">
        <v>44637</v>
      </c>
      <c r="P797" s="9">
        <v>10900</v>
      </c>
    </row>
    <row r="798" spans="1:16" x14ac:dyDescent="0.25">
      <c r="A798" t="s">
        <v>819</v>
      </c>
      <c r="B798" s="2">
        <v>44638</v>
      </c>
      <c r="C798">
        <v>2022</v>
      </c>
      <c r="D798" t="str">
        <f t="shared" si="24"/>
        <v>Mar</v>
      </c>
      <c r="E798" t="s">
        <v>13</v>
      </c>
      <c r="F798" t="s">
        <v>2035</v>
      </c>
      <c r="G798" t="s">
        <v>19</v>
      </c>
      <c r="H798" t="s">
        <v>24</v>
      </c>
      <c r="I798">
        <v>4</v>
      </c>
      <c r="J798" s="9">
        <v>8000</v>
      </c>
      <c r="K798" s="7">
        <v>0.1</v>
      </c>
      <c r="L798" s="9">
        <v>7200</v>
      </c>
      <c r="M798" s="10">
        <f>Sales_Data3[[#This Row],[Profit]]/Sales_Data3[[#This Row],[Sales]]</f>
        <v>0.9</v>
      </c>
      <c r="N798" t="str">
        <f t="shared" si="25"/>
        <v>Medium</v>
      </c>
      <c r="O798" s="2">
        <v>44638</v>
      </c>
      <c r="P798" s="9">
        <v>8000</v>
      </c>
    </row>
    <row r="799" spans="1:16" x14ac:dyDescent="0.25">
      <c r="A799" t="s">
        <v>820</v>
      </c>
      <c r="B799" s="2">
        <v>44639</v>
      </c>
      <c r="C799">
        <v>2022</v>
      </c>
      <c r="D799" t="str">
        <f t="shared" si="24"/>
        <v>Mar</v>
      </c>
      <c r="E799" t="s">
        <v>13</v>
      </c>
      <c r="F799" t="s">
        <v>2036</v>
      </c>
      <c r="G799" t="s">
        <v>20</v>
      </c>
      <c r="H799" t="s">
        <v>24</v>
      </c>
      <c r="I799">
        <v>2</v>
      </c>
      <c r="J799" s="9">
        <v>11900</v>
      </c>
      <c r="K799" s="7">
        <v>0.15000000000000002</v>
      </c>
      <c r="L799" s="9">
        <v>10115</v>
      </c>
      <c r="M799" s="10">
        <f>Sales_Data3[[#This Row],[Profit]]/Sales_Data3[[#This Row],[Sales]]</f>
        <v>0.85</v>
      </c>
      <c r="N799" t="str">
        <f t="shared" si="25"/>
        <v>High</v>
      </c>
      <c r="O799" s="2">
        <v>44639</v>
      </c>
      <c r="P799" s="9">
        <v>11900</v>
      </c>
    </row>
    <row r="800" spans="1:16" x14ac:dyDescent="0.25">
      <c r="A800" t="s">
        <v>821</v>
      </c>
      <c r="B800" s="2">
        <v>44640</v>
      </c>
      <c r="C800">
        <v>2022</v>
      </c>
      <c r="D800" t="str">
        <f t="shared" si="24"/>
        <v>Mar</v>
      </c>
      <c r="E800" t="s">
        <v>13</v>
      </c>
      <c r="F800" t="s">
        <v>2037</v>
      </c>
      <c r="G800" t="s">
        <v>21</v>
      </c>
      <c r="H800" t="s">
        <v>24</v>
      </c>
      <c r="I800">
        <v>6</v>
      </c>
      <c r="J800" s="9">
        <v>8000</v>
      </c>
      <c r="K800" s="7">
        <v>0.2</v>
      </c>
      <c r="L800" s="9">
        <v>6400</v>
      </c>
      <c r="M800" s="10">
        <f>Sales_Data3[[#This Row],[Profit]]/Sales_Data3[[#This Row],[Sales]]</f>
        <v>0.8</v>
      </c>
      <c r="N800" t="str">
        <f t="shared" si="25"/>
        <v>Medium</v>
      </c>
      <c r="O800" s="2">
        <v>44640</v>
      </c>
      <c r="P800" s="9">
        <v>8000</v>
      </c>
    </row>
    <row r="801" spans="1:16" x14ac:dyDescent="0.25">
      <c r="A801" t="s">
        <v>822</v>
      </c>
      <c r="B801" s="2">
        <v>44641</v>
      </c>
      <c r="C801">
        <v>2022</v>
      </c>
      <c r="D801" t="str">
        <f t="shared" si="24"/>
        <v>Mar</v>
      </c>
      <c r="E801" t="s">
        <v>13</v>
      </c>
      <c r="F801" t="s">
        <v>2038</v>
      </c>
      <c r="G801" t="s">
        <v>22</v>
      </c>
      <c r="H801" t="s">
        <v>24</v>
      </c>
      <c r="I801">
        <v>10</v>
      </c>
      <c r="J801" s="9">
        <v>10000</v>
      </c>
      <c r="K801" s="7">
        <v>0.25</v>
      </c>
      <c r="L801" s="9">
        <v>7500</v>
      </c>
      <c r="M801" s="10">
        <f>Sales_Data3[[#This Row],[Profit]]/Sales_Data3[[#This Row],[Sales]]</f>
        <v>0.75</v>
      </c>
      <c r="N801" t="str">
        <f t="shared" si="25"/>
        <v>Medium</v>
      </c>
      <c r="O801" s="2">
        <v>44641</v>
      </c>
      <c r="P801" s="9">
        <v>10000</v>
      </c>
    </row>
    <row r="802" spans="1:16" x14ac:dyDescent="0.25">
      <c r="A802" t="s">
        <v>823</v>
      </c>
      <c r="B802" s="2">
        <v>44642</v>
      </c>
      <c r="C802">
        <v>2022</v>
      </c>
      <c r="D802" t="str">
        <f t="shared" si="24"/>
        <v>Mar</v>
      </c>
      <c r="E802" t="s">
        <v>14</v>
      </c>
      <c r="F802" t="s">
        <v>2039</v>
      </c>
      <c r="G802" t="s">
        <v>19</v>
      </c>
      <c r="H802" t="s">
        <v>25</v>
      </c>
      <c r="I802">
        <v>6</v>
      </c>
      <c r="J802" s="9">
        <v>11300</v>
      </c>
      <c r="K802" s="7">
        <v>0.05</v>
      </c>
      <c r="L802" s="9">
        <v>10735</v>
      </c>
      <c r="M802" s="10">
        <f>Sales_Data3[[#This Row],[Profit]]/Sales_Data3[[#This Row],[Sales]]</f>
        <v>0.95</v>
      </c>
      <c r="N802" t="str">
        <f t="shared" si="25"/>
        <v>High</v>
      </c>
      <c r="O802" s="2">
        <v>44642</v>
      </c>
      <c r="P802" s="9">
        <v>11300</v>
      </c>
    </row>
    <row r="803" spans="1:16" x14ac:dyDescent="0.25">
      <c r="A803" t="s">
        <v>824</v>
      </c>
      <c r="B803" s="2">
        <v>44643</v>
      </c>
      <c r="C803">
        <v>2022</v>
      </c>
      <c r="D803" t="str">
        <f t="shared" si="24"/>
        <v>Mar</v>
      </c>
      <c r="E803" t="s">
        <v>14</v>
      </c>
      <c r="F803" t="s">
        <v>2040</v>
      </c>
      <c r="G803" t="s">
        <v>20</v>
      </c>
      <c r="H803" t="s">
        <v>25</v>
      </c>
      <c r="I803">
        <v>7</v>
      </c>
      <c r="J803" s="9">
        <v>7100</v>
      </c>
      <c r="K803" s="7">
        <v>0.1</v>
      </c>
      <c r="L803" s="9">
        <v>6390</v>
      </c>
      <c r="M803" s="10">
        <f>Sales_Data3[[#This Row],[Profit]]/Sales_Data3[[#This Row],[Sales]]</f>
        <v>0.9</v>
      </c>
      <c r="N803" t="str">
        <f t="shared" si="25"/>
        <v>Medium</v>
      </c>
      <c r="O803" s="2">
        <v>44643</v>
      </c>
      <c r="P803" s="9">
        <v>7100</v>
      </c>
    </row>
    <row r="804" spans="1:16" x14ac:dyDescent="0.25">
      <c r="A804" t="s">
        <v>825</v>
      </c>
      <c r="B804" s="2">
        <v>44644</v>
      </c>
      <c r="C804">
        <v>2022</v>
      </c>
      <c r="D804" t="str">
        <f t="shared" si="24"/>
        <v>Mar</v>
      </c>
      <c r="E804" t="s">
        <v>14</v>
      </c>
      <c r="F804" t="s">
        <v>2041</v>
      </c>
      <c r="G804" t="s">
        <v>21</v>
      </c>
      <c r="H804" t="s">
        <v>25</v>
      </c>
      <c r="I804">
        <v>10</v>
      </c>
      <c r="J804" s="9">
        <v>4300</v>
      </c>
      <c r="K804" s="7">
        <v>0.15000000000000002</v>
      </c>
      <c r="L804" s="9">
        <v>3655</v>
      </c>
      <c r="M804" s="10">
        <f>Sales_Data3[[#This Row],[Profit]]/Sales_Data3[[#This Row],[Sales]]</f>
        <v>0.85</v>
      </c>
      <c r="N804" t="str">
        <f t="shared" si="25"/>
        <v>Low</v>
      </c>
      <c r="O804" s="2">
        <v>44644</v>
      </c>
      <c r="P804" s="9">
        <v>4300</v>
      </c>
    </row>
    <row r="805" spans="1:16" x14ac:dyDescent="0.25">
      <c r="A805" t="s">
        <v>826</v>
      </c>
      <c r="B805" s="2">
        <v>44645</v>
      </c>
      <c r="C805">
        <v>2022</v>
      </c>
      <c r="D805" t="str">
        <f t="shared" si="24"/>
        <v>Mar</v>
      </c>
      <c r="E805" t="s">
        <v>14</v>
      </c>
      <c r="F805" t="s">
        <v>2042</v>
      </c>
      <c r="G805" t="s">
        <v>22</v>
      </c>
      <c r="H805" t="s">
        <v>25</v>
      </c>
      <c r="I805">
        <v>5</v>
      </c>
      <c r="J805" s="9">
        <v>7900</v>
      </c>
      <c r="K805" s="7">
        <v>0.2</v>
      </c>
      <c r="L805" s="9">
        <v>6320</v>
      </c>
      <c r="M805" s="10">
        <f>Sales_Data3[[#This Row],[Profit]]/Sales_Data3[[#This Row],[Sales]]</f>
        <v>0.8</v>
      </c>
      <c r="N805" t="str">
        <f t="shared" si="25"/>
        <v>Medium</v>
      </c>
      <c r="O805" s="2">
        <v>44645</v>
      </c>
      <c r="P805" s="9">
        <v>7900</v>
      </c>
    </row>
    <row r="806" spans="1:16" x14ac:dyDescent="0.25">
      <c r="A806" t="s">
        <v>827</v>
      </c>
      <c r="B806" s="2">
        <v>44646</v>
      </c>
      <c r="C806">
        <v>2022</v>
      </c>
      <c r="D806" t="str">
        <f t="shared" si="24"/>
        <v>Mar</v>
      </c>
      <c r="E806" t="s">
        <v>14</v>
      </c>
      <c r="F806" t="s">
        <v>2043</v>
      </c>
      <c r="G806" t="s">
        <v>19</v>
      </c>
      <c r="H806" t="s">
        <v>25</v>
      </c>
      <c r="I806">
        <v>7</v>
      </c>
      <c r="J806" s="9">
        <v>5400</v>
      </c>
      <c r="K806" s="7">
        <v>0.25</v>
      </c>
      <c r="L806" s="9">
        <v>4050</v>
      </c>
      <c r="M806" s="10">
        <f>Sales_Data3[[#This Row],[Profit]]/Sales_Data3[[#This Row],[Sales]]</f>
        <v>0.75</v>
      </c>
      <c r="N806" t="str">
        <f t="shared" si="25"/>
        <v>Medium</v>
      </c>
      <c r="O806" s="2">
        <v>44646</v>
      </c>
      <c r="P806" s="9">
        <v>5400</v>
      </c>
    </row>
    <row r="807" spans="1:16" x14ac:dyDescent="0.25">
      <c r="A807" t="s">
        <v>828</v>
      </c>
      <c r="B807" s="2">
        <v>44647</v>
      </c>
      <c r="C807">
        <v>2022</v>
      </c>
      <c r="D807" t="str">
        <f t="shared" si="24"/>
        <v>Mar</v>
      </c>
      <c r="E807" t="s">
        <v>14</v>
      </c>
      <c r="F807" t="s">
        <v>2044</v>
      </c>
      <c r="G807" t="s">
        <v>20</v>
      </c>
      <c r="H807" t="s">
        <v>25</v>
      </c>
      <c r="I807">
        <v>2</v>
      </c>
      <c r="J807" s="9">
        <v>10900</v>
      </c>
      <c r="K807" s="7">
        <v>0.05</v>
      </c>
      <c r="L807" s="9">
        <v>10355</v>
      </c>
      <c r="M807" s="10">
        <f>Sales_Data3[[#This Row],[Profit]]/Sales_Data3[[#This Row],[Sales]]</f>
        <v>0.95</v>
      </c>
      <c r="N807" t="str">
        <f t="shared" si="25"/>
        <v>High</v>
      </c>
      <c r="O807" s="2">
        <v>44647</v>
      </c>
      <c r="P807" s="9">
        <v>10900</v>
      </c>
    </row>
    <row r="808" spans="1:16" x14ac:dyDescent="0.25">
      <c r="A808" t="s">
        <v>829</v>
      </c>
      <c r="B808" s="2">
        <v>44648</v>
      </c>
      <c r="C808">
        <v>2022</v>
      </c>
      <c r="D808" t="str">
        <f t="shared" si="24"/>
        <v>Mar</v>
      </c>
      <c r="E808" t="s">
        <v>14</v>
      </c>
      <c r="F808" t="s">
        <v>2045</v>
      </c>
      <c r="G808" t="s">
        <v>21</v>
      </c>
      <c r="H808" t="s">
        <v>25</v>
      </c>
      <c r="I808">
        <v>4</v>
      </c>
      <c r="J808" s="9">
        <v>9800</v>
      </c>
      <c r="K808" s="7">
        <v>0.1</v>
      </c>
      <c r="L808" s="9">
        <v>8820</v>
      </c>
      <c r="M808" s="10">
        <f>Sales_Data3[[#This Row],[Profit]]/Sales_Data3[[#This Row],[Sales]]</f>
        <v>0.9</v>
      </c>
      <c r="N808" t="str">
        <f t="shared" si="25"/>
        <v>Medium</v>
      </c>
      <c r="O808" s="2">
        <v>44648</v>
      </c>
      <c r="P808" s="9">
        <v>9800</v>
      </c>
    </row>
    <row r="809" spans="1:16" x14ac:dyDescent="0.25">
      <c r="A809" t="s">
        <v>830</v>
      </c>
      <c r="B809" s="2">
        <v>44649</v>
      </c>
      <c r="C809">
        <v>2022</v>
      </c>
      <c r="D809" t="str">
        <f t="shared" si="24"/>
        <v>Mar</v>
      </c>
      <c r="E809" t="s">
        <v>14</v>
      </c>
      <c r="F809" t="s">
        <v>2046</v>
      </c>
      <c r="G809" t="s">
        <v>22</v>
      </c>
      <c r="H809" t="s">
        <v>25</v>
      </c>
      <c r="I809">
        <v>8</v>
      </c>
      <c r="J809" s="9">
        <v>9500</v>
      </c>
      <c r="K809" s="7">
        <v>0.15000000000000002</v>
      </c>
      <c r="L809" s="9">
        <v>8075</v>
      </c>
      <c r="M809" s="10">
        <f>Sales_Data3[[#This Row],[Profit]]/Sales_Data3[[#This Row],[Sales]]</f>
        <v>0.85</v>
      </c>
      <c r="N809" t="str">
        <f t="shared" si="25"/>
        <v>Medium</v>
      </c>
      <c r="O809" s="2">
        <v>44649</v>
      </c>
      <c r="P809" s="9">
        <v>9500</v>
      </c>
    </row>
    <row r="810" spans="1:16" x14ac:dyDescent="0.25">
      <c r="A810" t="s">
        <v>831</v>
      </c>
      <c r="B810" s="2">
        <v>44650</v>
      </c>
      <c r="C810">
        <v>2022</v>
      </c>
      <c r="D810" t="str">
        <f t="shared" si="24"/>
        <v>Mar</v>
      </c>
      <c r="E810" t="s">
        <v>14</v>
      </c>
      <c r="F810" t="s">
        <v>2047</v>
      </c>
      <c r="G810" t="s">
        <v>19</v>
      </c>
      <c r="H810" t="s">
        <v>25</v>
      </c>
      <c r="I810">
        <v>2</v>
      </c>
      <c r="J810" s="9">
        <v>10600</v>
      </c>
      <c r="K810" s="7">
        <v>0.2</v>
      </c>
      <c r="L810" s="9">
        <v>8480</v>
      </c>
      <c r="M810" s="10">
        <f>Sales_Data3[[#This Row],[Profit]]/Sales_Data3[[#This Row],[Sales]]</f>
        <v>0.8</v>
      </c>
      <c r="N810" t="str">
        <f t="shared" si="25"/>
        <v>High</v>
      </c>
      <c r="O810" s="2">
        <v>44650</v>
      </c>
      <c r="P810" s="9">
        <v>10600</v>
      </c>
    </row>
    <row r="811" spans="1:16" x14ac:dyDescent="0.25">
      <c r="A811" t="s">
        <v>832</v>
      </c>
      <c r="B811" s="2">
        <v>44651</v>
      </c>
      <c r="C811">
        <v>2022</v>
      </c>
      <c r="D811" t="str">
        <f t="shared" si="24"/>
        <v>Mar</v>
      </c>
      <c r="E811" t="s">
        <v>14</v>
      </c>
      <c r="F811" t="s">
        <v>2048</v>
      </c>
      <c r="G811" t="s">
        <v>20</v>
      </c>
      <c r="H811" t="s">
        <v>25</v>
      </c>
      <c r="I811">
        <v>5</v>
      </c>
      <c r="J811" s="9">
        <v>5400</v>
      </c>
      <c r="K811" s="7">
        <v>0.25</v>
      </c>
      <c r="L811" s="9">
        <v>4050</v>
      </c>
      <c r="M811" s="10">
        <f>Sales_Data3[[#This Row],[Profit]]/Sales_Data3[[#This Row],[Sales]]</f>
        <v>0.75</v>
      </c>
      <c r="N811" t="str">
        <f t="shared" si="25"/>
        <v>Medium</v>
      </c>
      <c r="O811" s="2">
        <v>44651</v>
      </c>
      <c r="P811" s="9">
        <v>5400</v>
      </c>
    </row>
    <row r="812" spans="1:16" x14ac:dyDescent="0.25">
      <c r="A812" t="s">
        <v>833</v>
      </c>
      <c r="B812" s="2">
        <v>44652</v>
      </c>
      <c r="C812">
        <v>2022</v>
      </c>
      <c r="D812" t="str">
        <f t="shared" si="24"/>
        <v>Apr</v>
      </c>
      <c r="E812" t="s">
        <v>12</v>
      </c>
      <c r="F812" t="s">
        <v>15</v>
      </c>
      <c r="G812" t="s">
        <v>21</v>
      </c>
      <c r="H812" t="s">
        <v>23</v>
      </c>
      <c r="I812">
        <v>3</v>
      </c>
      <c r="J812" s="9">
        <v>9200</v>
      </c>
      <c r="K812" s="7">
        <v>0.05</v>
      </c>
      <c r="L812" s="9">
        <v>8740</v>
      </c>
      <c r="M812" s="10">
        <f>Sales_Data3[[#This Row],[Profit]]/Sales_Data3[[#This Row],[Sales]]</f>
        <v>0.95</v>
      </c>
      <c r="N812" t="str">
        <f t="shared" si="25"/>
        <v>Medium</v>
      </c>
      <c r="O812" s="2">
        <v>44652</v>
      </c>
      <c r="P812" s="9">
        <v>9200</v>
      </c>
    </row>
    <row r="813" spans="1:16" x14ac:dyDescent="0.25">
      <c r="A813" t="s">
        <v>834</v>
      </c>
      <c r="B813" s="2">
        <v>44653</v>
      </c>
      <c r="C813">
        <v>2022</v>
      </c>
      <c r="D813" t="str">
        <f t="shared" si="24"/>
        <v>Apr</v>
      </c>
      <c r="E813" t="s">
        <v>12</v>
      </c>
      <c r="F813" t="s">
        <v>17</v>
      </c>
      <c r="G813" t="s">
        <v>22</v>
      </c>
      <c r="H813" t="s">
        <v>23</v>
      </c>
      <c r="I813">
        <v>1</v>
      </c>
      <c r="J813" s="9">
        <v>5700</v>
      </c>
      <c r="K813" s="7">
        <v>0.1</v>
      </c>
      <c r="L813" s="9">
        <v>5130</v>
      </c>
      <c r="M813" s="10">
        <f>Sales_Data3[[#This Row],[Profit]]/Sales_Data3[[#This Row],[Sales]]</f>
        <v>0.9</v>
      </c>
      <c r="N813" t="str">
        <f t="shared" si="25"/>
        <v>Medium</v>
      </c>
      <c r="O813" s="2">
        <v>44653</v>
      </c>
      <c r="P813" s="9">
        <v>5700</v>
      </c>
    </row>
    <row r="814" spans="1:16" x14ac:dyDescent="0.25">
      <c r="A814" t="s">
        <v>835</v>
      </c>
      <c r="B814" s="2">
        <v>44654</v>
      </c>
      <c r="C814">
        <v>2022</v>
      </c>
      <c r="D814" t="str">
        <f t="shared" si="24"/>
        <v>Apr</v>
      </c>
      <c r="E814" t="s">
        <v>12</v>
      </c>
      <c r="F814" t="s">
        <v>2023</v>
      </c>
      <c r="G814" t="s">
        <v>19</v>
      </c>
      <c r="H814" t="s">
        <v>23</v>
      </c>
      <c r="I814">
        <v>8</v>
      </c>
      <c r="J814" s="9">
        <v>9600</v>
      </c>
      <c r="K814" s="7">
        <v>0.15000000000000002</v>
      </c>
      <c r="L814" s="9">
        <v>8160</v>
      </c>
      <c r="M814" s="10">
        <f>Sales_Data3[[#This Row],[Profit]]/Sales_Data3[[#This Row],[Sales]]</f>
        <v>0.85</v>
      </c>
      <c r="N814" t="str">
        <f t="shared" si="25"/>
        <v>Medium</v>
      </c>
      <c r="O814" s="2">
        <v>44654</v>
      </c>
      <c r="P814" s="9">
        <v>9600</v>
      </c>
    </row>
    <row r="815" spans="1:16" x14ac:dyDescent="0.25">
      <c r="A815" t="s">
        <v>836</v>
      </c>
      <c r="B815" s="2">
        <v>44655</v>
      </c>
      <c r="C815">
        <v>2022</v>
      </c>
      <c r="D815" t="str">
        <f t="shared" si="24"/>
        <v>Apr</v>
      </c>
      <c r="E815" t="s">
        <v>12</v>
      </c>
      <c r="F815" t="s">
        <v>18</v>
      </c>
      <c r="G815" t="s">
        <v>20</v>
      </c>
      <c r="H815" t="s">
        <v>23</v>
      </c>
      <c r="I815">
        <v>3</v>
      </c>
      <c r="J815" s="9">
        <v>13600</v>
      </c>
      <c r="K815" s="7">
        <v>0.2</v>
      </c>
      <c r="L815" s="9">
        <v>10880</v>
      </c>
      <c r="M815" s="10">
        <f>Sales_Data3[[#This Row],[Profit]]/Sales_Data3[[#This Row],[Sales]]</f>
        <v>0.8</v>
      </c>
      <c r="N815" t="str">
        <f t="shared" si="25"/>
        <v>High</v>
      </c>
      <c r="O815" s="2">
        <v>44655</v>
      </c>
      <c r="P815" s="9">
        <v>13600</v>
      </c>
    </row>
    <row r="816" spans="1:16" x14ac:dyDescent="0.25">
      <c r="A816" t="s">
        <v>837</v>
      </c>
      <c r="B816" s="2">
        <v>44656</v>
      </c>
      <c r="C816">
        <v>2022</v>
      </c>
      <c r="D816" t="str">
        <f t="shared" si="24"/>
        <v>Apr</v>
      </c>
      <c r="E816" t="s">
        <v>12</v>
      </c>
      <c r="F816" t="s">
        <v>2024</v>
      </c>
      <c r="G816" t="s">
        <v>21</v>
      </c>
      <c r="H816" t="s">
        <v>23</v>
      </c>
      <c r="I816">
        <v>9</v>
      </c>
      <c r="J816" s="9">
        <v>5600</v>
      </c>
      <c r="K816" s="7">
        <v>0.25</v>
      </c>
      <c r="L816" s="9">
        <v>4200</v>
      </c>
      <c r="M816" s="10">
        <f>Sales_Data3[[#This Row],[Profit]]/Sales_Data3[[#This Row],[Sales]]</f>
        <v>0.75</v>
      </c>
      <c r="N816" t="str">
        <f t="shared" si="25"/>
        <v>Medium</v>
      </c>
      <c r="O816" s="2">
        <v>44656</v>
      </c>
      <c r="P816" s="9">
        <v>5600</v>
      </c>
    </row>
    <row r="817" spans="1:16" x14ac:dyDescent="0.25">
      <c r="A817" t="s">
        <v>838</v>
      </c>
      <c r="B817" s="2">
        <v>44657</v>
      </c>
      <c r="C817">
        <v>2022</v>
      </c>
      <c r="D817" t="str">
        <f t="shared" si="24"/>
        <v>Apr</v>
      </c>
      <c r="E817" t="s">
        <v>12</v>
      </c>
      <c r="F817" t="s">
        <v>2025</v>
      </c>
      <c r="G817" t="s">
        <v>22</v>
      </c>
      <c r="H817" t="s">
        <v>23</v>
      </c>
      <c r="I817">
        <v>5</v>
      </c>
      <c r="J817" s="9">
        <v>8400</v>
      </c>
      <c r="K817" s="7">
        <v>0.05</v>
      </c>
      <c r="L817" s="9">
        <v>7980</v>
      </c>
      <c r="M817" s="10">
        <f>Sales_Data3[[#This Row],[Profit]]/Sales_Data3[[#This Row],[Sales]]</f>
        <v>0.95</v>
      </c>
      <c r="N817" t="str">
        <f t="shared" si="25"/>
        <v>Medium</v>
      </c>
      <c r="O817" s="2">
        <v>44657</v>
      </c>
      <c r="P817" s="9">
        <v>8400</v>
      </c>
    </row>
    <row r="818" spans="1:16" x14ac:dyDescent="0.25">
      <c r="A818" t="s">
        <v>839</v>
      </c>
      <c r="B818" s="2">
        <v>44658</v>
      </c>
      <c r="C818">
        <v>2022</v>
      </c>
      <c r="D818" t="str">
        <f t="shared" si="24"/>
        <v>Apr</v>
      </c>
      <c r="E818" t="s">
        <v>12</v>
      </c>
      <c r="F818" t="s">
        <v>2026</v>
      </c>
      <c r="G818" t="s">
        <v>19</v>
      </c>
      <c r="H818" t="s">
        <v>23</v>
      </c>
      <c r="I818">
        <v>7</v>
      </c>
      <c r="J818" s="9">
        <v>10000</v>
      </c>
      <c r="K818" s="7">
        <v>0.1</v>
      </c>
      <c r="L818" s="9">
        <v>9000</v>
      </c>
      <c r="M818" s="10">
        <f>Sales_Data3[[#This Row],[Profit]]/Sales_Data3[[#This Row],[Sales]]</f>
        <v>0.9</v>
      </c>
      <c r="N818" t="str">
        <f t="shared" si="25"/>
        <v>Medium</v>
      </c>
      <c r="O818" s="2">
        <v>44658</v>
      </c>
      <c r="P818" s="9">
        <v>10000</v>
      </c>
    </row>
    <row r="819" spans="1:16" x14ac:dyDescent="0.25">
      <c r="A819" t="s">
        <v>840</v>
      </c>
      <c r="B819" s="2">
        <v>44659</v>
      </c>
      <c r="C819">
        <v>2022</v>
      </c>
      <c r="D819" t="str">
        <f t="shared" si="24"/>
        <v>Apr</v>
      </c>
      <c r="E819" t="s">
        <v>12</v>
      </c>
      <c r="F819" t="s">
        <v>2027</v>
      </c>
      <c r="G819" t="s">
        <v>20</v>
      </c>
      <c r="H819" t="s">
        <v>23</v>
      </c>
      <c r="I819">
        <v>5</v>
      </c>
      <c r="J819" s="9">
        <v>14100</v>
      </c>
      <c r="K819" s="7">
        <v>0.15000000000000002</v>
      </c>
      <c r="L819" s="9">
        <v>11985</v>
      </c>
      <c r="M819" s="10">
        <f>Sales_Data3[[#This Row],[Profit]]/Sales_Data3[[#This Row],[Sales]]</f>
        <v>0.85</v>
      </c>
      <c r="N819" t="str">
        <f t="shared" si="25"/>
        <v>High</v>
      </c>
      <c r="O819" s="2">
        <v>44659</v>
      </c>
      <c r="P819" s="9">
        <v>14100</v>
      </c>
    </row>
    <row r="820" spans="1:16" x14ac:dyDescent="0.25">
      <c r="A820" t="s">
        <v>841</v>
      </c>
      <c r="B820" s="2">
        <v>44660</v>
      </c>
      <c r="C820">
        <v>2022</v>
      </c>
      <c r="D820" t="str">
        <f t="shared" si="24"/>
        <v>Apr</v>
      </c>
      <c r="E820" t="s">
        <v>12</v>
      </c>
      <c r="F820" t="s">
        <v>2028</v>
      </c>
      <c r="G820" t="s">
        <v>21</v>
      </c>
      <c r="H820" t="s">
        <v>23</v>
      </c>
      <c r="I820">
        <v>5</v>
      </c>
      <c r="J820" s="9">
        <v>10200</v>
      </c>
      <c r="K820" s="7">
        <v>0.2</v>
      </c>
      <c r="L820" s="9">
        <v>8160</v>
      </c>
      <c r="M820" s="10">
        <f>Sales_Data3[[#This Row],[Profit]]/Sales_Data3[[#This Row],[Sales]]</f>
        <v>0.8</v>
      </c>
      <c r="N820" t="str">
        <f t="shared" si="25"/>
        <v>High</v>
      </c>
      <c r="O820" s="2">
        <v>44660</v>
      </c>
      <c r="P820" s="9">
        <v>10200</v>
      </c>
    </row>
    <row r="821" spans="1:16" x14ac:dyDescent="0.25">
      <c r="A821" t="s">
        <v>842</v>
      </c>
      <c r="B821" s="2">
        <v>44661</v>
      </c>
      <c r="C821">
        <v>2022</v>
      </c>
      <c r="D821" t="str">
        <f t="shared" si="24"/>
        <v>Apr</v>
      </c>
      <c r="E821" t="s">
        <v>12</v>
      </c>
      <c r="F821" t="s">
        <v>2029</v>
      </c>
      <c r="G821" t="s">
        <v>22</v>
      </c>
      <c r="H821" t="s">
        <v>23</v>
      </c>
      <c r="I821">
        <v>5</v>
      </c>
      <c r="J821" s="9">
        <v>11200</v>
      </c>
      <c r="K821" s="7">
        <v>0.25</v>
      </c>
      <c r="L821" s="9">
        <v>8400</v>
      </c>
      <c r="M821" s="10">
        <f>Sales_Data3[[#This Row],[Profit]]/Sales_Data3[[#This Row],[Sales]]</f>
        <v>0.75</v>
      </c>
      <c r="N821" t="str">
        <f t="shared" si="25"/>
        <v>High</v>
      </c>
      <c r="O821" s="2">
        <v>44661</v>
      </c>
      <c r="P821" s="9">
        <v>11200</v>
      </c>
    </row>
    <row r="822" spans="1:16" x14ac:dyDescent="0.25">
      <c r="A822" t="s">
        <v>843</v>
      </c>
      <c r="B822" s="2">
        <v>44662</v>
      </c>
      <c r="C822">
        <v>2022</v>
      </c>
      <c r="D822" t="str">
        <f t="shared" si="24"/>
        <v>Apr</v>
      </c>
      <c r="E822" t="s">
        <v>13</v>
      </c>
      <c r="F822" t="s">
        <v>16</v>
      </c>
      <c r="G822" t="s">
        <v>19</v>
      </c>
      <c r="H822" t="s">
        <v>24</v>
      </c>
      <c r="I822">
        <v>6</v>
      </c>
      <c r="J822" s="9">
        <v>11200</v>
      </c>
      <c r="K822" s="7">
        <v>0.05</v>
      </c>
      <c r="L822" s="9">
        <v>10640</v>
      </c>
      <c r="M822" s="10">
        <f>Sales_Data3[[#This Row],[Profit]]/Sales_Data3[[#This Row],[Sales]]</f>
        <v>0.95</v>
      </c>
      <c r="N822" t="str">
        <f t="shared" si="25"/>
        <v>High</v>
      </c>
      <c r="O822" s="2">
        <v>44662</v>
      </c>
      <c r="P822" s="9">
        <v>11200</v>
      </c>
    </row>
    <row r="823" spans="1:16" x14ac:dyDescent="0.25">
      <c r="A823" t="s">
        <v>844</v>
      </c>
      <c r="B823" s="2">
        <v>44663</v>
      </c>
      <c r="C823">
        <v>2022</v>
      </c>
      <c r="D823" t="str">
        <f t="shared" si="24"/>
        <v>Apr</v>
      </c>
      <c r="E823" t="s">
        <v>13</v>
      </c>
      <c r="F823" t="s">
        <v>2030</v>
      </c>
      <c r="G823" t="s">
        <v>20</v>
      </c>
      <c r="H823" t="s">
        <v>24</v>
      </c>
      <c r="I823">
        <v>9</v>
      </c>
      <c r="J823" s="9">
        <v>8700</v>
      </c>
      <c r="K823" s="7">
        <v>0.1</v>
      </c>
      <c r="L823" s="9">
        <v>7830</v>
      </c>
      <c r="M823" s="10">
        <f>Sales_Data3[[#This Row],[Profit]]/Sales_Data3[[#This Row],[Sales]]</f>
        <v>0.9</v>
      </c>
      <c r="N823" t="str">
        <f t="shared" si="25"/>
        <v>Medium</v>
      </c>
      <c r="O823" s="2">
        <v>44663</v>
      </c>
      <c r="P823" s="9">
        <v>8700</v>
      </c>
    </row>
    <row r="824" spans="1:16" x14ac:dyDescent="0.25">
      <c r="A824" t="s">
        <v>845</v>
      </c>
      <c r="B824" s="2">
        <v>44664</v>
      </c>
      <c r="C824">
        <v>2022</v>
      </c>
      <c r="D824" t="str">
        <f t="shared" si="24"/>
        <v>Apr</v>
      </c>
      <c r="E824" t="s">
        <v>13</v>
      </c>
      <c r="F824" t="s">
        <v>2031</v>
      </c>
      <c r="G824" t="s">
        <v>21</v>
      </c>
      <c r="H824" t="s">
        <v>24</v>
      </c>
      <c r="I824">
        <v>7</v>
      </c>
      <c r="J824" s="9">
        <v>4600</v>
      </c>
      <c r="K824" s="7">
        <v>0.15000000000000002</v>
      </c>
      <c r="L824" s="9">
        <v>3910</v>
      </c>
      <c r="M824" s="10">
        <f>Sales_Data3[[#This Row],[Profit]]/Sales_Data3[[#This Row],[Sales]]</f>
        <v>0.85</v>
      </c>
      <c r="N824" t="str">
        <f t="shared" si="25"/>
        <v>Low</v>
      </c>
      <c r="O824" s="2">
        <v>44664</v>
      </c>
      <c r="P824" s="9">
        <v>4600</v>
      </c>
    </row>
    <row r="825" spans="1:16" x14ac:dyDescent="0.25">
      <c r="A825" t="s">
        <v>846</v>
      </c>
      <c r="B825" s="2">
        <v>44665</v>
      </c>
      <c r="C825">
        <v>2022</v>
      </c>
      <c r="D825" t="str">
        <f t="shared" si="24"/>
        <v>Apr</v>
      </c>
      <c r="E825" t="s">
        <v>13</v>
      </c>
      <c r="F825" t="s">
        <v>2032</v>
      </c>
      <c r="G825" t="s">
        <v>22</v>
      </c>
      <c r="H825" t="s">
        <v>24</v>
      </c>
      <c r="I825">
        <v>10</v>
      </c>
      <c r="J825" s="9">
        <v>6100</v>
      </c>
      <c r="K825" s="7">
        <v>0.2</v>
      </c>
      <c r="L825" s="9">
        <v>4880</v>
      </c>
      <c r="M825" s="10">
        <f>Sales_Data3[[#This Row],[Profit]]/Sales_Data3[[#This Row],[Sales]]</f>
        <v>0.8</v>
      </c>
      <c r="N825" t="str">
        <f t="shared" si="25"/>
        <v>Medium</v>
      </c>
      <c r="O825" s="2">
        <v>44665</v>
      </c>
      <c r="P825" s="9">
        <v>6100</v>
      </c>
    </row>
    <row r="826" spans="1:16" x14ac:dyDescent="0.25">
      <c r="A826" t="s">
        <v>847</v>
      </c>
      <c r="B826" s="2">
        <v>44666</v>
      </c>
      <c r="C826">
        <v>2022</v>
      </c>
      <c r="D826" t="str">
        <f t="shared" si="24"/>
        <v>Apr</v>
      </c>
      <c r="E826" t="s">
        <v>13</v>
      </c>
      <c r="F826" t="s">
        <v>2033</v>
      </c>
      <c r="G826" t="s">
        <v>19</v>
      </c>
      <c r="H826" t="s">
        <v>24</v>
      </c>
      <c r="I826">
        <v>2</v>
      </c>
      <c r="J826" s="9">
        <v>14900</v>
      </c>
      <c r="K826" s="7">
        <v>0.25</v>
      </c>
      <c r="L826" s="9">
        <v>11175</v>
      </c>
      <c r="M826" s="10">
        <f>Sales_Data3[[#This Row],[Profit]]/Sales_Data3[[#This Row],[Sales]]</f>
        <v>0.75</v>
      </c>
      <c r="N826" t="str">
        <f t="shared" si="25"/>
        <v>High</v>
      </c>
      <c r="O826" s="2">
        <v>44666</v>
      </c>
      <c r="P826" s="9">
        <v>14900</v>
      </c>
    </row>
    <row r="827" spans="1:16" x14ac:dyDescent="0.25">
      <c r="A827" t="s">
        <v>848</v>
      </c>
      <c r="B827" s="2">
        <v>44667</v>
      </c>
      <c r="C827">
        <v>2022</v>
      </c>
      <c r="D827" t="str">
        <f t="shared" si="24"/>
        <v>Apr</v>
      </c>
      <c r="E827" t="s">
        <v>13</v>
      </c>
      <c r="F827" t="s">
        <v>2034</v>
      </c>
      <c r="G827" t="s">
        <v>20</v>
      </c>
      <c r="H827" t="s">
        <v>24</v>
      </c>
      <c r="I827">
        <v>7</v>
      </c>
      <c r="J827" s="9">
        <v>14200</v>
      </c>
      <c r="K827" s="7">
        <v>0.05</v>
      </c>
      <c r="L827" s="9">
        <v>13490</v>
      </c>
      <c r="M827" s="10">
        <f>Sales_Data3[[#This Row],[Profit]]/Sales_Data3[[#This Row],[Sales]]</f>
        <v>0.95</v>
      </c>
      <c r="N827" t="str">
        <f t="shared" si="25"/>
        <v>High</v>
      </c>
      <c r="O827" s="2">
        <v>44667</v>
      </c>
      <c r="P827" s="9">
        <v>14200</v>
      </c>
    </row>
    <row r="828" spans="1:16" x14ac:dyDescent="0.25">
      <c r="A828" t="s">
        <v>849</v>
      </c>
      <c r="B828" s="2">
        <v>44668</v>
      </c>
      <c r="C828">
        <v>2022</v>
      </c>
      <c r="D828" t="str">
        <f t="shared" si="24"/>
        <v>Apr</v>
      </c>
      <c r="E828" t="s">
        <v>13</v>
      </c>
      <c r="F828" t="s">
        <v>2035</v>
      </c>
      <c r="G828" t="s">
        <v>21</v>
      </c>
      <c r="H828" t="s">
        <v>24</v>
      </c>
      <c r="I828">
        <v>9</v>
      </c>
      <c r="J828" s="9">
        <v>7700</v>
      </c>
      <c r="K828" s="7">
        <v>0.1</v>
      </c>
      <c r="L828" s="9">
        <v>6930</v>
      </c>
      <c r="M828" s="10">
        <f>Sales_Data3[[#This Row],[Profit]]/Sales_Data3[[#This Row],[Sales]]</f>
        <v>0.9</v>
      </c>
      <c r="N828" t="str">
        <f t="shared" si="25"/>
        <v>Medium</v>
      </c>
      <c r="O828" s="2">
        <v>44668</v>
      </c>
      <c r="P828" s="9">
        <v>7700</v>
      </c>
    </row>
    <row r="829" spans="1:16" x14ac:dyDescent="0.25">
      <c r="A829" t="s">
        <v>850</v>
      </c>
      <c r="B829" s="2">
        <v>44669</v>
      </c>
      <c r="C829">
        <v>2022</v>
      </c>
      <c r="D829" t="str">
        <f t="shared" si="24"/>
        <v>Apr</v>
      </c>
      <c r="E829" t="s">
        <v>13</v>
      </c>
      <c r="F829" t="s">
        <v>2036</v>
      </c>
      <c r="G829" t="s">
        <v>22</v>
      </c>
      <c r="H829" t="s">
        <v>24</v>
      </c>
      <c r="I829">
        <v>1</v>
      </c>
      <c r="J829" s="9">
        <v>11900</v>
      </c>
      <c r="K829" s="7">
        <v>0.15000000000000002</v>
      </c>
      <c r="L829" s="9">
        <v>10115</v>
      </c>
      <c r="M829" s="10">
        <f>Sales_Data3[[#This Row],[Profit]]/Sales_Data3[[#This Row],[Sales]]</f>
        <v>0.85</v>
      </c>
      <c r="N829" t="str">
        <f t="shared" si="25"/>
        <v>High</v>
      </c>
      <c r="O829" s="2">
        <v>44669</v>
      </c>
      <c r="P829" s="9">
        <v>11900</v>
      </c>
    </row>
    <row r="830" spans="1:16" x14ac:dyDescent="0.25">
      <c r="A830" t="s">
        <v>851</v>
      </c>
      <c r="B830" s="2">
        <v>44670</v>
      </c>
      <c r="C830">
        <v>2022</v>
      </c>
      <c r="D830" t="str">
        <f t="shared" si="24"/>
        <v>Apr</v>
      </c>
      <c r="E830" t="s">
        <v>13</v>
      </c>
      <c r="F830" t="s">
        <v>2037</v>
      </c>
      <c r="G830" t="s">
        <v>19</v>
      </c>
      <c r="H830" t="s">
        <v>24</v>
      </c>
      <c r="I830">
        <v>7</v>
      </c>
      <c r="J830" s="9">
        <v>12300</v>
      </c>
      <c r="K830" s="7">
        <v>0.2</v>
      </c>
      <c r="L830" s="9">
        <v>9840</v>
      </c>
      <c r="M830" s="10">
        <f>Sales_Data3[[#This Row],[Profit]]/Sales_Data3[[#This Row],[Sales]]</f>
        <v>0.8</v>
      </c>
      <c r="N830" t="str">
        <f t="shared" si="25"/>
        <v>High</v>
      </c>
      <c r="O830" s="2">
        <v>44670</v>
      </c>
      <c r="P830" s="9">
        <v>12300</v>
      </c>
    </row>
    <row r="831" spans="1:16" x14ac:dyDescent="0.25">
      <c r="A831" t="s">
        <v>852</v>
      </c>
      <c r="B831" s="2">
        <v>44671</v>
      </c>
      <c r="C831">
        <v>2022</v>
      </c>
      <c r="D831" t="str">
        <f t="shared" si="24"/>
        <v>Apr</v>
      </c>
      <c r="E831" t="s">
        <v>13</v>
      </c>
      <c r="F831" t="s">
        <v>2038</v>
      </c>
      <c r="G831" t="s">
        <v>20</v>
      </c>
      <c r="H831" t="s">
        <v>24</v>
      </c>
      <c r="I831">
        <v>3</v>
      </c>
      <c r="J831" s="9">
        <v>12600</v>
      </c>
      <c r="K831" s="7">
        <v>0.25</v>
      </c>
      <c r="L831" s="9">
        <v>9450</v>
      </c>
      <c r="M831" s="10">
        <f>Sales_Data3[[#This Row],[Profit]]/Sales_Data3[[#This Row],[Sales]]</f>
        <v>0.75</v>
      </c>
      <c r="N831" t="str">
        <f t="shared" si="25"/>
        <v>High</v>
      </c>
      <c r="O831" s="2">
        <v>44671</v>
      </c>
      <c r="P831" s="9">
        <v>12600</v>
      </c>
    </row>
    <row r="832" spans="1:16" x14ac:dyDescent="0.25">
      <c r="A832" t="s">
        <v>853</v>
      </c>
      <c r="B832" s="2">
        <v>44672</v>
      </c>
      <c r="C832">
        <v>2022</v>
      </c>
      <c r="D832" t="str">
        <f t="shared" si="24"/>
        <v>Apr</v>
      </c>
      <c r="E832" t="s">
        <v>14</v>
      </c>
      <c r="F832" t="s">
        <v>2039</v>
      </c>
      <c r="G832" t="s">
        <v>21</v>
      </c>
      <c r="H832" t="s">
        <v>25</v>
      </c>
      <c r="I832">
        <v>10</v>
      </c>
      <c r="J832" s="9">
        <v>5100</v>
      </c>
      <c r="K832" s="7">
        <v>0.05</v>
      </c>
      <c r="L832" s="9">
        <v>4845</v>
      </c>
      <c r="M832" s="10">
        <f>Sales_Data3[[#This Row],[Profit]]/Sales_Data3[[#This Row],[Sales]]</f>
        <v>0.95</v>
      </c>
      <c r="N832" t="str">
        <f t="shared" si="25"/>
        <v>Medium</v>
      </c>
      <c r="O832" s="2">
        <v>44672</v>
      </c>
      <c r="P832" s="9">
        <v>5100</v>
      </c>
    </row>
    <row r="833" spans="1:16" x14ac:dyDescent="0.25">
      <c r="A833" t="s">
        <v>854</v>
      </c>
      <c r="B833" s="2">
        <v>44673</v>
      </c>
      <c r="C833">
        <v>2022</v>
      </c>
      <c r="D833" t="str">
        <f t="shared" si="24"/>
        <v>Apr</v>
      </c>
      <c r="E833" t="s">
        <v>14</v>
      </c>
      <c r="F833" t="s">
        <v>2040</v>
      </c>
      <c r="G833" t="s">
        <v>22</v>
      </c>
      <c r="H833" t="s">
        <v>25</v>
      </c>
      <c r="I833">
        <v>4</v>
      </c>
      <c r="J833" s="9">
        <v>5400</v>
      </c>
      <c r="K833" s="7">
        <v>0.1</v>
      </c>
      <c r="L833" s="9">
        <v>4860</v>
      </c>
      <c r="M833" s="10">
        <f>Sales_Data3[[#This Row],[Profit]]/Sales_Data3[[#This Row],[Sales]]</f>
        <v>0.9</v>
      </c>
      <c r="N833" t="str">
        <f t="shared" si="25"/>
        <v>Medium</v>
      </c>
      <c r="O833" s="2">
        <v>44673</v>
      </c>
      <c r="P833" s="9">
        <v>5400</v>
      </c>
    </row>
    <row r="834" spans="1:16" x14ac:dyDescent="0.25">
      <c r="A834" t="s">
        <v>855</v>
      </c>
      <c r="B834" s="2">
        <v>44674</v>
      </c>
      <c r="C834">
        <v>2022</v>
      </c>
      <c r="D834" t="str">
        <f t="shared" ref="D834:D897" si="26">TEXT(B834,"MMM")</f>
        <v>Apr</v>
      </c>
      <c r="E834" t="s">
        <v>14</v>
      </c>
      <c r="F834" t="s">
        <v>2041</v>
      </c>
      <c r="G834" t="s">
        <v>19</v>
      </c>
      <c r="H834" t="s">
        <v>25</v>
      </c>
      <c r="I834">
        <v>9</v>
      </c>
      <c r="J834" s="9">
        <v>6100</v>
      </c>
      <c r="K834" s="7">
        <v>0.15000000000000002</v>
      </c>
      <c r="L834" s="9">
        <v>5185</v>
      </c>
      <c r="M834" s="10">
        <f>Sales_Data3[[#This Row],[Profit]]/Sales_Data3[[#This Row],[Sales]]</f>
        <v>0.85</v>
      </c>
      <c r="N834" t="str">
        <f t="shared" ref="N834:N897" si="27">IF(J834&gt;10000,"High",IF(J834&gt;5000,"Medium","Low"))</f>
        <v>Medium</v>
      </c>
      <c r="O834" s="2">
        <v>44674</v>
      </c>
      <c r="P834" s="9">
        <v>6100</v>
      </c>
    </row>
    <row r="835" spans="1:16" x14ac:dyDescent="0.25">
      <c r="A835" t="s">
        <v>856</v>
      </c>
      <c r="B835" s="2">
        <v>44675</v>
      </c>
      <c r="C835">
        <v>2022</v>
      </c>
      <c r="D835" t="str">
        <f t="shared" si="26"/>
        <v>Apr</v>
      </c>
      <c r="E835" t="s">
        <v>14</v>
      </c>
      <c r="F835" t="s">
        <v>2042</v>
      </c>
      <c r="G835" t="s">
        <v>20</v>
      </c>
      <c r="H835" t="s">
        <v>25</v>
      </c>
      <c r="I835">
        <v>3</v>
      </c>
      <c r="J835" s="9">
        <v>12900</v>
      </c>
      <c r="K835" s="7">
        <v>0.2</v>
      </c>
      <c r="L835" s="9">
        <v>10320</v>
      </c>
      <c r="M835" s="10">
        <f>Sales_Data3[[#This Row],[Profit]]/Sales_Data3[[#This Row],[Sales]]</f>
        <v>0.8</v>
      </c>
      <c r="N835" t="str">
        <f t="shared" si="27"/>
        <v>High</v>
      </c>
      <c r="O835" s="2">
        <v>44675</v>
      </c>
      <c r="P835" s="9">
        <v>12900</v>
      </c>
    </row>
    <row r="836" spans="1:16" x14ac:dyDescent="0.25">
      <c r="A836" t="s">
        <v>857</v>
      </c>
      <c r="B836" s="2">
        <v>44676</v>
      </c>
      <c r="C836">
        <v>2022</v>
      </c>
      <c r="D836" t="str">
        <f t="shared" si="26"/>
        <v>Apr</v>
      </c>
      <c r="E836" t="s">
        <v>14</v>
      </c>
      <c r="F836" t="s">
        <v>2043</v>
      </c>
      <c r="G836" t="s">
        <v>21</v>
      </c>
      <c r="H836" t="s">
        <v>25</v>
      </c>
      <c r="I836">
        <v>5</v>
      </c>
      <c r="J836" s="9">
        <v>9500</v>
      </c>
      <c r="K836" s="7">
        <v>0.25</v>
      </c>
      <c r="L836" s="9">
        <v>7125</v>
      </c>
      <c r="M836" s="10">
        <f>Sales_Data3[[#This Row],[Profit]]/Sales_Data3[[#This Row],[Sales]]</f>
        <v>0.75</v>
      </c>
      <c r="N836" t="str">
        <f t="shared" si="27"/>
        <v>Medium</v>
      </c>
      <c r="O836" s="2">
        <v>44676</v>
      </c>
      <c r="P836" s="9">
        <v>9500</v>
      </c>
    </row>
    <row r="837" spans="1:16" x14ac:dyDescent="0.25">
      <c r="A837" t="s">
        <v>858</v>
      </c>
      <c r="B837" s="2">
        <v>44677</v>
      </c>
      <c r="C837">
        <v>2022</v>
      </c>
      <c r="D837" t="str">
        <f t="shared" si="26"/>
        <v>Apr</v>
      </c>
      <c r="E837" t="s">
        <v>14</v>
      </c>
      <c r="F837" t="s">
        <v>2044</v>
      </c>
      <c r="G837" t="s">
        <v>22</v>
      </c>
      <c r="H837" t="s">
        <v>25</v>
      </c>
      <c r="I837">
        <v>5</v>
      </c>
      <c r="J837" s="9">
        <v>11400</v>
      </c>
      <c r="K837" s="7">
        <v>0.05</v>
      </c>
      <c r="L837" s="9">
        <v>10830</v>
      </c>
      <c r="M837" s="10">
        <f>Sales_Data3[[#This Row],[Profit]]/Sales_Data3[[#This Row],[Sales]]</f>
        <v>0.95</v>
      </c>
      <c r="N837" t="str">
        <f t="shared" si="27"/>
        <v>High</v>
      </c>
      <c r="O837" s="2">
        <v>44677</v>
      </c>
      <c r="P837" s="9">
        <v>11400</v>
      </c>
    </row>
    <row r="838" spans="1:16" x14ac:dyDescent="0.25">
      <c r="A838" t="s">
        <v>859</v>
      </c>
      <c r="B838" s="2">
        <v>44678</v>
      </c>
      <c r="C838">
        <v>2022</v>
      </c>
      <c r="D838" t="str">
        <f t="shared" si="26"/>
        <v>Apr</v>
      </c>
      <c r="E838" t="s">
        <v>14</v>
      </c>
      <c r="F838" t="s">
        <v>2045</v>
      </c>
      <c r="G838" t="s">
        <v>19</v>
      </c>
      <c r="H838" t="s">
        <v>25</v>
      </c>
      <c r="I838">
        <v>5</v>
      </c>
      <c r="J838" s="9">
        <v>5100</v>
      </c>
      <c r="K838" s="7">
        <v>0.1</v>
      </c>
      <c r="L838" s="9">
        <v>4590</v>
      </c>
      <c r="M838" s="10">
        <f>Sales_Data3[[#This Row],[Profit]]/Sales_Data3[[#This Row],[Sales]]</f>
        <v>0.9</v>
      </c>
      <c r="N838" t="str">
        <f t="shared" si="27"/>
        <v>Medium</v>
      </c>
      <c r="O838" s="2">
        <v>44678</v>
      </c>
      <c r="P838" s="9">
        <v>5100</v>
      </c>
    </row>
    <row r="839" spans="1:16" x14ac:dyDescent="0.25">
      <c r="A839" t="s">
        <v>860</v>
      </c>
      <c r="B839" s="2">
        <v>44679</v>
      </c>
      <c r="C839">
        <v>2022</v>
      </c>
      <c r="D839" t="str">
        <f t="shared" si="26"/>
        <v>Apr</v>
      </c>
      <c r="E839" t="s">
        <v>14</v>
      </c>
      <c r="F839" t="s">
        <v>2046</v>
      </c>
      <c r="G839" t="s">
        <v>20</v>
      </c>
      <c r="H839" t="s">
        <v>25</v>
      </c>
      <c r="I839">
        <v>1</v>
      </c>
      <c r="J839" s="9">
        <v>12700</v>
      </c>
      <c r="K839" s="7">
        <v>0.15000000000000002</v>
      </c>
      <c r="L839" s="9">
        <v>10795</v>
      </c>
      <c r="M839" s="10">
        <f>Sales_Data3[[#This Row],[Profit]]/Sales_Data3[[#This Row],[Sales]]</f>
        <v>0.85</v>
      </c>
      <c r="N839" t="str">
        <f t="shared" si="27"/>
        <v>High</v>
      </c>
      <c r="O839" s="2">
        <v>44679</v>
      </c>
      <c r="P839" s="9">
        <v>12700</v>
      </c>
    </row>
    <row r="840" spans="1:16" x14ac:dyDescent="0.25">
      <c r="A840" t="s">
        <v>861</v>
      </c>
      <c r="B840" s="2">
        <v>44680</v>
      </c>
      <c r="C840">
        <v>2022</v>
      </c>
      <c r="D840" t="str">
        <f t="shared" si="26"/>
        <v>Apr</v>
      </c>
      <c r="E840" t="s">
        <v>14</v>
      </c>
      <c r="F840" t="s">
        <v>2047</v>
      </c>
      <c r="G840" t="s">
        <v>21</v>
      </c>
      <c r="H840" t="s">
        <v>25</v>
      </c>
      <c r="I840">
        <v>8</v>
      </c>
      <c r="J840" s="9">
        <v>5100</v>
      </c>
      <c r="K840" s="7">
        <v>0.2</v>
      </c>
      <c r="L840" s="9">
        <v>4080</v>
      </c>
      <c r="M840" s="10">
        <f>Sales_Data3[[#This Row],[Profit]]/Sales_Data3[[#This Row],[Sales]]</f>
        <v>0.8</v>
      </c>
      <c r="N840" t="str">
        <f t="shared" si="27"/>
        <v>Medium</v>
      </c>
      <c r="O840" s="2">
        <v>44680</v>
      </c>
      <c r="P840" s="9">
        <v>5100</v>
      </c>
    </row>
    <row r="841" spans="1:16" x14ac:dyDescent="0.25">
      <c r="A841" t="s">
        <v>862</v>
      </c>
      <c r="B841" s="2">
        <v>44681</v>
      </c>
      <c r="C841">
        <v>2022</v>
      </c>
      <c r="D841" t="str">
        <f t="shared" si="26"/>
        <v>Apr</v>
      </c>
      <c r="E841" t="s">
        <v>14</v>
      </c>
      <c r="F841" t="s">
        <v>2048</v>
      </c>
      <c r="G841" t="s">
        <v>22</v>
      </c>
      <c r="H841" t="s">
        <v>25</v>
      </c>
      <c r="I841">
        <v>8</v>
      </c>
      <c r="J841" s="9">
        <v>7800</v>
      </c>
      <c r="K841" s="7">
        <v>0.25</v>
      </c>
      <c r="L841" s="9">
        <v>5850</v>
      </c>
      <c r="M841" s="10">
        <f>Sales_Data3[[#This Row],[Profit]]/Sales_Data3[[#This Row],[Sales]]</f>
        <v>0.75</v>
      </c>
      <c r="N841" t="str">
        <f t="shared" si="27"/>
        <v>Medium</v>
      </c>
      <c r="O841" s="2">
        <v>44681</v>
      </c>
      <c r="P841" s="9">
        <v>7800</v>
      </c>
    </row>
    <row r="842" spans="1:16" x14ac:dyDescent="0.25">
      <c r="A842" t="s">
        <v>863</v>
      </c>
      <c r="B842" s="2">
        <v>44682</v>
      </c>
      <c r="C842">
        <v>2022</v>
      </c>
      <c r="D842" t="str">
        <f t="shared" si="26"/>
        <v>May</v>
      </c>
      <c r="E842" t="s">
        <v>12</v>
      </c>
      <c r="F842" t="s">
        <v>15</v>
      </c>
      <c r="G842" t="s">
        <v>19</v>
      </c>
      <c r="H842" t="s">
        <v>23</v>
      </c>
      <c r="I842">
        <v>1</v>
      </c>
      <c r="J842" s="9">
        <v>9000</v>
      </c>
      <c r="K842" s="7">
        <v>0.05</v>
      </c>
      <c r="L842" s="9">
        <v>8550</v>
      </c>
      <c r="M842" s="10">
        <f>Sales_Data3[[#This Row],[Profit]]/Sales_Data3[[#This Row],[Sales]]</f>
        <v>0.95</v>
      </c>
      <c r="N842" t="str">
        <f t="shared" si="27"/>
        <v>Medium</v>
      </c>
      <c r="O842" s="2">
        <v>44682</v>
      </c>
      <c r="P842" s="9">
        <v>9000</v>
      </c>
    </row>
    <row r="843" spans="1:16" x14ac:dyDescent="0.25">
      <c r="A843" t="s">
        <v>864</v>
      </c>
      <c r="B843" s="2">
        <v>44683</v>
      </c>
      <c r="C843">
        <v>2022</v>
      </c>
      <c r="D843" t="str">
        <f t="shared" si="26"/>
        <v>May</v>
      </c>
      <c r="E843" t="s">
        <v>12</v>
      </c>
      <c r="F843" t="s">
        <v>17</v>
      </c>
      <c r="G843" t="s">
        <v>20</v>
      </c>
      <c r="H843" t="s">
        <v>23</v>
      </c>
      <c r="I843">
        <v>5</v>
      </c>
      <c r="J843" s="9">
        <v>13700</v>
      </c>
      <c r="K843" s="7">
        <v>0.1</v>
      </c>
      <c r="L843" s="9">
        <v>12330</v>
      </c>
      <c r="M843" s="10">
        <f>Sales_Data3[[#This Row],[Profit]]/Sales_Data3[[#This Row],[Sales]]</f>
        <v>0.9</v>
      </c>
      <c r="N843" t="str">
        <f t="shared" si="27"/>
        <v>High</v>
      </c>
      <c r="O843" s="2">
        <v>44683</v>
      </c>
      <c r="P843" s="9">
        <v>13700</v>
      </c>
    </row>
    <row r="844" spans="1:16" x14ac:dyDescent="0.25">
      <c r="A844" t="s">
        <v>865</v>
      </c>
      <c r="B844" s="2">
        <v>44684</v>
      </c>
      <c r="C844">
        <v>2022</v>
      </c>
      <c r="D844" t="str">
        <f t="shared" si="26"/>
        <v>May</v>
      </c>
      <c r="E844" t="s">
        <v>12</v>
      </c>
      <c r="F844" t="s">
        <v>2023</v>
      </c>
      <c r="G844" t="s">
        <v>21</v>
      </c>
      <c r="H844" t="s">
        <v>23</v>
      </c>
      <c r="I844">
        <v>4</v>
      </c>
      <c r="J844" s="9">
        <v>13100</v>
      </c>
      <c r="K844" s="7">
        <v>0.15000000000000002</v>
      </c>
      <c r="L844" s="9">
        <v>11135</v>
      </c>
      <c r="M844" s="10">
        <f>Sales_Data3[[#This Row],[Profit]]/Sales_Data3[[#This Row],[Sales]]</f>
        <v>0.85</v>
      </c>
      <c r="N844" t="str">
        <f t="shared" si="27"/>
        <v>High</v>
      </c>
      <c r="O844" s="2">
        <v>44684</v>
      </c>
      <c r="P844" s="9">
        <v>13100</v>
      </c>
    </row>
    <row r="845" spans="1:16" x14ac:dyDescent="0.25">
      <c r="A845" t="s">
        <v>866</v>
      </c>
      <c r="B845" s="2">
        <v>44685</v>
      </c>
      <c r="C845">
        <v>2022</v>
      </c>
      <c r="D845" t="str">
        <f t="shared" si="26"/>
        <v>May</v>
      </c>
      <c r="E845" t="s">
        <v>12</v>
      </c>
      <c r="F845" t="s">
        <v>18</v>
      </c>
      <c r="G845" t="s">
        <v>22</v>
      </c>
      <c r="H845" t="s">
        <v>23</v>
      </c>
      <c r="I845">
        <v>10</v>
      </c>
      <c r="J845" s="9">
        <v>7000</v>
      </c>
      <c r="K845" s="7">
        <v>0.2</v>
      </c>
      <c r="L845" s="9">
        <v>5600</v>
      </c>
      <c r="M845" s="10">
        <f>Sales_Data3[[#This Row],[Profit]]/Sales_Data3[[#This Row],[Sales]]</f>
        <v>0.8</v>
      </c>
      <c r="N845" t="str">
        <f t="shared" si="27"/>
        <v>Medium</v>
      </c>
      <c r="O845" s="2">
        <v>44685</v>
      </c>
      <c r="P845" s="9">
        <v>7000</v>
      </c>
    </row>
    <row r="846" spans="1:16" x14ac:dyDescent="0.25">
      <c r="A846" t="s">
        <v>867</v>
      </c>
      <c r="B846" s="2">
        <v>44686</v>
      </c>
      <c r="C846">
        <v>2022</v>
      </c>
      <c r="D846" t="str">
        <f t="shared" si="26"/>
        <v>May</v>
      </c>
      <c r="E846" t="s">
        <v>12</v>
      </c>
      <c r="F846" t="s">
        <v>2024</v>
      </c>
      <c r="G846" t="s">
        <v>19</v>
      </c>
      <c r="H846" t="s">
        <v>23</v>
      </c>
      <c r="I846">
        <v>5</v>
      </c>
      <c r="J846" s="9">
        <v>13400</v>
      </c>
      <c r="K846" s="7">
        <v>0.25</v>
      </c>
      <c r="L846" s="9">
        <v>10050</v>
      </c>
      <c r="M846" s="10">
        <f>Sales_Data3[[#This Row],[Profit]]/Sales_Data3[[#This Row],[Sales]]</f>
        <v>0.75</v>
      </c>
      <c r="N846" t="str">
        <f t="shared" si="27"/>
        <v>High</v>
      </c>
      <c r="O846" s="2">
        <v>44686</v>
      </c>
      <c r="P846" s="9">
        <v>13400</v>
      </c>
    </row>
    <row r="847" spans="1:16" x14ac:dyDescent="0.25">
      <c r="A847" t="s">
        <v>868</v>
      </c>
      <c r="B847" s="2">
        <v>44687</v>
      </c>
      <c r="C847">
        <v>2022</v>
      </c>
      <c r="D847" t="str">
        <f t="shared" si="26"/>
        <v>May</v>
      </c>
      <c r="E847" t="s">
        <v>12</v>
      </c>
      <c r="F847" t="s">
        <v>2025</v>
      </c>
      <c r="G847" t="s">
        <v>20</v>
      </c>
      <c r="H847" t="s">
        <v>23</v>
      </c>
      <c r="I847">
        <v>1</v>
      </c>
      <c r="J847" s="9">
        <v>9400</v>
      </c>
      <c r="K847" s="7">
        <v>0.05</v>
      </c>
      <c r="L847" s="9">
        <v>8930</v>
      </c>
      <c r="M847" s="10">
        <f>Sales_Data3[[#This Row],[Profit]]/Sales_Data3[[#This Row],[Sales]]</f>
        <v>0.95</v>
      </c>
      <c r="N847" t="str">
        <f t="shared" si="27"/>
        <v>Medium</v>
      </c>
      <c r="O847" s="2">
        <v>44687</v>
      </c>
      <c r="P847" s="9">
        <v>9400</v>
      </c>
    </row>
    <row r="848" spans="1:16" x14ac:dyDescent="0.25">
      <c r="A848" t="s">
        <v>869</v>
      </c>
      <c r="B848" s="2">
        <v>44688</v>
      </c>
      <c r="C848">
        <v>2022</v>
      </c>
      <c r="D848" t="str">
        <f t="shared" si="26"/>
        <v>May</v>
      </c>
      <c r="E848" t="s">
        <v>12</v>
      </c>
      <c r="F848" t="s">
        <v>2026</v>
      </c>
      <c r="G848" t="s">
        <v>21</v>
      </c>
      <c r="H848" t="s">
        <v>23</v>
      </c>
      <c r="I848">
        <v>4</v>
      </c>
      <c r="J848" s="9">
        <v>14000</v>
      </c>
      <c r="K848" s="7">
        <v>0.1</v>
      </c>
      <c r="L848" s="9">
        <v>12600</v>
      </c>
      <c r="M848" s="10">
        <f>Sales_Data3[[#This Row],[Profit]]/Sales_Data3[[#This Row],[Sales]]</f>
        <v>0.9</v>
      </c>
      <c r="N848" t="str">
        <f t="shared" si="27"/>
        <v>High</v>
      </c>
      <c r="O848" s="2">
        <v>44688</v>
      </c>
      <c r="P848" s="9">
        <v>14000</v>
      </c>
    </row>
    <row r="849" spans="1:16" x14ac:dyDescent="0.25">
      <c r="A849" t="s">
        <v>870</v>
      </c>
      <c r="B849" s="2">
        <v>44689</v>
      </c>
      <c r="C849">
        <v>2022</v>
      </c>
      <c r="D849" t="str">
        <f t="shared" si="26"/>
        <v>May</v>
      </c>
      <c r="E849" t="s">
        <v>12</v>
      </c>
      <c r="F849" t="s">
        <v>2027</v>
      </c>
      <c r="G849" t="s">
        <v>22</v>
      </c>
      <c r="H849" t="s">
        <v>23</v>
      </c>
      <c r="I849">
        <v>8</v>
      </c>
      <c r="J849" s="9">
        <v>4000</v>
      </c>
      <c r="K849" s="7">
        <v>0.15000000000000002</v>
      </c>
      <c r="L849" s="9">
        <v>3400</v>
      </c>
      <c r="M849" s="10">
        <f>Sales_Data3[[#This Row],[Profit]]/Sales_Data3[[#This Row],[Sales]]</f>
        <v>0.85</v>
      </c>
      <c r="N849" t="str">
        <f t="shared" si="27"/>
        <v>Low</v>
      </c>
      <c r="O849" s="2">
        <v>44689</v>
      </c>
      <c r="P849" s="9">
        <v>4000</v>
      </c>
    </row>
    <row r="850" spans="1:16" x14ac:dyDescent="0.25">
      <c r="A850" t="s">
        <v>871</v>
      </c>
      <c r="B850" s="2">
        <v>44690</v>
      </c>
      <c r="C850">
        <v>2022</v>
      </c>
      <c r="D850" t="str">
        <f t="shared" si="26"/>
        <v>May</v>
      </c>
      <c r="E850" t="s">
        <v>12</v>
      </c>
      <c r="F850" t="s">
        <v>2028</v>
      </c>
      <c r="G850" t="s">
        <v>19</v>
      </c>
      <c r="H850" t="s">
        <v>23</v>
      </c>
      <c r="I850">
        <v>4</v>
      </c>
      <c r="J850" s="9">
        <v>12600</v>
      </c>
      <c r="K850" s="7">
        <v>0.2</v>
      </c>
      <c r="L850" s="9">
        <v>10080</v>
      </c>
      <c r="M850" s="10">
        <f>Sales_Data3[[#This Row],[Profit]]/Sales_Data3[[#This Row],[Sales]]</f>
        <v>0.8</v>
      </c>
      <c r="N850" t="str">
        <f t="shared" si="27"/>
        <v>High</v>
      </c>
      <c r="O850" s="2">
        <v>44690</v>
      </c>
      <c r="P850" s="9">
        <v>12600</v>
      </c>
    </row>
    <row r="851" spans="1:16" x14ac:dyDescent="0.25">
      <c r="A851" t="s">
        <v>872</v>
      </c>
      <c r="B851" s="2">
        <v>44691</v>
      </c>
      <c r="C851">
        <v>2022</v>
      </c>
      <c r="D851" t="str">
        <f t="shared" si="26"/>
        <v>May</v>
      </c>
      <c r="E851" t="s">
        <v>12</v>
      </c>
      <c r="F851" t="s">
        <v>2029</v>
      </c>
      <c r="G851" t="s">
        <v>20</v>
      </c>
      <c r="H851" t="s">
        <v>23</v>
      </c>
      <c r="I851">
        <v>7</v>
      </c>
      <c r="J851" s="9">
        <v>11800</v>
      </c>
      <c r="K851" s="7">
        <v>0.25</v>
      </c>
      <c r="L851" s="9">
        <v>8850</v>
      </c>
      <c r="M851" s="10">
        <f>Sales_Data3[[#This Row],[Profit]]/Sales_Data3[[#This Row],[Sales]]</f>
        <v>0.75</v>
      </c>
      <c r="N851" t="str">
        <f t="shared" si="27"/>
        <v>High</v>
      </c>
      <c r="O851" s="2">
        <v>44691</v>
      </c>
      <c r="P851" s="9">
        <v>11800</v>
      </c>
    </row>
    <row r="852" spans="1:16" x14ac:dyDescent="0.25">
      <c r="A852" t="s">
        <v>873</v>
      </c>
      <c r="B852" s="2">
        <v>44692</v>
      </c>
      <c r="C852">
        <v>2022</v>
      </c>
      <c r="D852" t="str">
        <f t="shared" si="26"/>
        <v>May</v>
      </c>
      <c r="E852" t="s">
        <v>13</v>
      </c>
      <c r="F852" t="s">
        <v>16</v>
      </c>
      <c r="G852" t="s">
        <v>21</v>
      </c>
      <c r="H852" t="s">
        <v>24</v>
      </c>
      <c r="I852">
        <v>2</v>
      </c>
      <c r="J852" s="9">
        <v>4900</v>
      </c>
      <c r="K852" s="7">
        <v>0.05</v>
      </c>
      <c r="L852" s="9">
        <v>4655</v>
      </c>
      <c r="M852" s="10">
        <f>Sales_Data3[[#This Row],[Profit]]/Sales_Data3[[#This Row],[Sales]]</f>
        <v>0.95</v>
      </c>
      <c r="N852" t="str">
        <f t="shared" si="27"/>
        <v>Low</v>
      </c>
      <c r="O852" s="2">
        <v>44692</v>
      </c>
      <c r="P852" s="9">
        <v>4900</v>
      </c>
    </row>
    <row r="853" spans="1:16" x14ac:dyDescent="0.25">
      <c r="A853" t="s">
        <v>874</v>
      </c>
      <c r="B853" s="2">
        <v>44693</v>
      </c>
      <c r="C853">
        <v>2022</v>
      </c>
      <c r="D853" t="str">
        <f t="shared" si="26"/>
        <v>May</v>
      </c>
      <c r="E853" t="s">
        <v>13</v>
      </c>
      <c r="F853" t="s">
        <v>2030</v>
      </c>
      <c r="G853" t="s">
        <v>22</v>
      </c>
      <c r="H853" t="s">
        <v>24</v>
      </c>
      <c r="I853">
        <v>1</v>
      </c>
      <c r="J853" s="9">
        <v>4600</v>
      </c>
      <c r="K853" s="7">
        <v>0.1</v>
      </c>
      <c r="L853" s="9">
        <v>4140</v>
      </c>
      <c r="M853" s="10">
        <f>Sales_Data3[[#This Row],[Profit]]/Sales_Data3[[#This Row],[Sales]]</f>
        <v>0.9</v>
      </c>
      <c r="N853" t="str">
        <f t="shared" si="27"/>
        <v>Low</v>
      </c>
      <c r="O853" s="2">
        <v>44693</v>
      </c>
      <c r="P853" s="9">
        <v>4600</v>
      </c>
    </row>
    <row r="854" spans="1:16" x14ac:dyDescent="0.25">
      <c r="A854" t="s">
        <v>875</v>
      </c>
      <c r="B854" s="2">
        <v>44694</v>
      </c>
      <c r="C854">
        <v>2022</v>
      </c>
      <c r="D854" t="str">
        <f t="shared" si="26"/>
        <v>May</v>
      </c>
      <c r="E854" t="s">
        <v>13</v>
      </c>
      <c r="F854" t="s">
        <v>2031</v>
      </c>
      <c r="G854" t="s">
        <v>19</v>
      </c>
      <c r="H854" t="s">
        <v>24</v>
      </c>
      <c r="I854">
        <v>10</v>
      </c>
      <c r="J854" s="9">
        <v>7700</v>
      </c>
      <c r="K854" s="7">
        <v>0.15000000000000002</v>
      </c>
      <c r="L854" s="9">
        <v>6545</v>
      </c>
      <c r="M854" s="10">
        <f>Sales_Data3[[#This Row],[Profit]]/Sales_Data3[[#This Row],[Sales]]</f>
        <v>0.85</v>
      </c>
      <c r="N854" t="str">
        <f t="shared" si="27"/>
        <v>Medium</v>
      </c>
      <c r="O854" s="2">
        <v>44694</v>
      </c>
      <c r="P854" s="9">
        <v>7700</v>
      </c>
    </row>
    <row r="855" spans="1:16" x14ac:dyDescent="0.25">
      <c r="A855" t="s">
        <v>876</v>
      </c>
      <c r="B855" s="2">
        <v>44695</v>
      </c>
      <c r="C855">
        <v>2022</v>
      </c>
      <c r="D855" t="str">
        <f t="shared" si="26"/>
        <v>May</v>
      </c>
      <c r="E855" t="s">
        <v>13</v>
      </c>
      <c r="F855" t="s">
        <v>2032</v>
      </c>
      <c r="G855" t="s">
        <v>20</v>
      </c>
      <c r="H855" t="s">
        <v>24</v>
      </c>
      <c r="I855">
        <v>8</v>
      </c>
      <c r="J855" s="9">
        <v>8600</v>
      </c>
      <c r="K855" s="7">
        <v>0.2</v>
      </c>
      <c r="L855" s="9">
        <v>6880</v>
      </c>
      <c r="M855" s="10">
        <f>Sales_Data3[[#This Row],[Profit]]/Sales_Data3[[#This Row],[Sales]]</f>
        <v>0.8</v>
      </c>
      <c r="N855" t="str">
        <f t="shared" si="27"/>
        <v>Medium</v>
      </c>
      <c r="O855" s="2">
        <v>44695</v>
      </c>
      <c r="P855" s="9">
        <v>8600</v>
      </c>
    </row>
    <row r="856" spans="1:16" x14ac:dyDescent="0.25">
      <c r="A856" t="s">
        <v>877</v>
      </c>
      <c r="B856" s="2">
        <v>44696</v>
      </c>
      <c r="C856">
        <v>2022</v>
      </c>
      <c r="D856" t="str">
        <f t="shared" si="26"/>
        <v>May</v>
      </c>
      <c r="E856" t="s">
        <v>13</v>
      </c>
      <c r="F856" t="s">
        <v>2033</v>
      </c>
      <c r="G856" t="s">
        <v>21</v>
      </c>
      <c r="H856" t="s">
        <v>24</v>
      </c>
      <c r="I856">
        <v>6</v>
      </c>
      <c r="J856" s="9">
        <v>6200</v>
      </c>
      <c r="K856" s="7">
        <v>0.25</v>
      </c>
      <c r="L856" s="9">
        <v>4650</v>
      </c>
      <c r="M856" s="10">
        <f>Sales_Data3[[#This Row],[Profit]]/Sales_Data3[[#This Row],[Sales]]</f>
        <v>0.75</v>
      </c>
      <c r="N856" t="str">
        <f t="shared" si="27"/>
        <v>Medium</v>
      </c>
      <c r="O856" s="2">
        <v>44696</v>
      </c>
      <c r="P856" s="9">
        <v>6200</v>
      </c>
    </row>
    <row r="857" spans="1:16" x14ac:dyDescent="0.25">
      <c r="A857" t="s">
        <v>878</v>
      </c>
      <c r="B857" s="2">
        <v>44697</v>
      </c>
      <c r="C857">
        <v>2022</v>
      </c>
      <c r="D857" t="str">
        <f t="shared" si="26"/>
        <v>May</v>
      </c>
      <c r="E857" t="s">
        <v>13</v>
      </c>
      <c r="F857" t="s">
        <v>2034</v>
      </c>
      <c r="G857" t="s">
        <v>22</v>
      </c>
      <c r="H857" t="s">
        <v>24</v>
      </c>
      <c r="I857">
        <v>1</v>
      </c>
      <c r="J857" s="9">
        <v>5800</v>
      </c>
      <c r="K857" s="7">
        <v>0.05</v>
      </c>
      <c r="L857" s="9">
        <v>5510</v>
      </c>
      <c r="M857" s="10">
        <f>Sales_Data3[[#This Row],[Profit]]/Sales_Data3[[#This Row],[Sales]]</f>
        <v>0.95</v>
      </c>
      <c r="N857" t="str">
        <f t="shared" si="27"/>
        <v>Medium</v>
      </c>
      <c r="O857" s="2">
        <v>44697</v>
      </c>
      <c r="P857" s="9">
        <v>5800</v>
      </c>
    </row>
    <row r="858" spans="1:16" x14ac:dyDescent="0.25">
      <c r="A858" t="s">
        <v>879</v>
      </c>
      <c r="B858" s="2">
        <v>44698</v>
      </c>
      <c r="C858">
        <v>2022</v>
      </c>
      <c r="D858" t="str">
        <f t="shared" si="26"/>
        <v>May</v>
      </c>
      <c r="E858" t="s">
        <v>13</v>
      </c>
      <c r="F858" t="s">
        <v>2035</v>
      </c>
      <c r="G858" t="s">
        <v>19</v>
      </c>
      <c r="H858" t="s">
        <v>24</v>
      </c>
      <c r="I858">
        <v>7</v>
      </c>
      <c r="J858" s="9">
        <v>6900</v>
      </c>
      <c r="K858" s="7">
        <v>0.1</v>
      </c>
      <c r="L858" s="9">
        <v>6210</v>
      </c>
      <c r="M858" s="10">
        <f>Sales_Data3[[#This Row],[Profit]]/Sales_Data3[[#This Row],[Sales]]</f>
        <v>0.9</v>
      </c>
      <c r="N858" t="str">
        <f t="shared" si="27"/>
        <v>Medium</v>
      </c>
      <c r="O858" s="2">
        <v>44698</v>
      </c>
      <c r="P858" s="9">
        <v>6900</v>
      </c>
    </row>
    <row r="859" spans="1:16" x14ac:dyDescent="0.25">
      <c r="A859" t="s">
        <v>880</v>
      </c>
      <c r="B859" s="2">
        <v>44699</v>
      </c>
      <c r="C859">
        <v>2022</v>
      </c>
      <c r="D859" t="str">
        <f t="shared" si="26"/>
        <v>May</v>
      </c>
      <c r="E859" t="s">
        <v>13</v>
      </c>
      <c r="F859" t="s">
        <v>2036</v>
      </c>
      <c r="G859" t="s">
        <v>20</v>
      </c>
      <c r="H859" t="s">
        <v>24</v>
      </c>
      <c r="I859">
        <v>5</v>
      </c>
      <c r="J859" s="9">
        <v>14200</v>
      </c>
      <c r="K859" s="7">
        <v>0.15000000000000002</v>
      </c>
      <c r="L859" s="9">
        <v>12070</v>
      </c>
      <c r="M859" s="10">
        <f>Sales_Data3[[#This Row],[Profit]]/Sales_Data3[[#This Row],[Sales]]</f>
        <v>0.85</v>
      </c>
      <c r="N859" t="str">
        <f t="shared" si="27"/>
        <v>High</v>
      </c>
      <c r="O859" s="2">
        <v>44699</v>
      </c>
      <c r="P859" s="9">
        <v>14200</v>
      </c>
    </row>
    <row r="860" spans="1:16" x14ac:dyDescent="0.25">
      <c r="A860" t="s">
        <v>881</v>
      </c>
      <c r="B860" s="2">
        <v>44700</v>
      </c>
      <c r="C860">
        <v>2022</v>
      </c>
      <c r="D860" t="str">
        <f t="shared" si="26"/>
        <v>May</v>
      </c>
      <c r="E860" t="s">
        <v>13</v>
      </c>
      <c r="F860" t="s">
        <v>2037</v>
      </c>
      <c r="G860" t="s">
        <v>21</v>
      </c>
      <c r="H860" t="s">
        <v>24</v>
      </c>
      <c r="I860">
        <v>1</v>
      </c>
      <c r="J860" s="9">
        <v>10100</v>
      </c>
      <c r="K860" s="7">
        <v>0.2</v>
      </c>
      <c r="L860" s="9">
        <v>8080</v>
      </c>
      <c r="M860" s="10">
        <f>Sales_Data3[[#This Row],[Profit]]/Sales_Data3[[#This Row],[Sales]]</f>
        <v>0.8</v>
      </c>
      <c r="N860" t="str">
        <f t="shared" si="27"/>
        <v>High</v>
      </c>
      <c r="O860" s="2">
        <v>44700</v>
      </c>
      <c r="P860" s="9">
        <v>10100</v>
      </c>
    </row>
    <row r="861" spans="1:16" x14ac:dyDescent="0.25">
      <c r="A861" t="s">
        <v>882</v>
      </c>
      <c r="B861" s="2">
        <v>44701</v>
      </c>
      <c r="C861">
        <v>2022</v>
      </c>
      <c r="D861" t="str">
        <f t="shared" si="26"/>
        <v>May</v>
      </c>
      <c r="E861" t="s">
        <v>13</v>
      </c>
      <c r="F861" t="s">
        <v>2038</v>
      </c>
      <c r="G861" t="s">
        <v>22</v>
      </c>
      <c r="H861" t="s">
        <v>24</v>
      </c>
      <c r="I861">
        <v>10</v>
      </c>
      <c r="J861" s="9">
        <v>4300</v>
      </c>
      <c r="K861" s="7">
        <v>0.25</v>
      </c>
      <c r="L861" s="9">
        <v>3225</v>
      </c>
      <c r="M861" s="10">
        <f>Sales_Data3[[#This Row],[Profit]]/Sales_Data3[[#This Row],[Sales]]</f>
        <v>0.75</v>
      </c>
      <c r="N861" t="str">
        <f t="shared" si="27"/>
        <v>Low</v>
      </c>
      <c r="O861" s="2">
        <v>44701</v>
      </c>
      <c r="P861" s="9">
        <v>4300</v>
      </c>
    </row>
    <row r="862" spans="1:16" x14ac:dyDescent="0.25">
      <c r="A862" t="s">
        <v>883</v>
      </c>
      <c r="B862" s="2">
        <v>44702</v>
      </c>
      <c r="C862">
        <v>2022</v>
      </c>
      <c r="D862" t="str">
        <f t="shared" si="26"/>
        <v>May</v>
      </c>
      <c r="E862" t="s">
        <v>14</v>
      </c>
      <c r="F862" t="s">
        <v>2039</v>
      </c>
      <c r="G862" t="s">
        <v>19</v>
      </c>
      <c r="H862" t="s">
        <v>25</v>
      </c>
      <c r="I862">
        <v>1</v>
      </c>
      <c r="J862" s="9">
        <v>9800</v>
      </c>
      <c r="K862" s="7">
        <v>0.05</v>
      </c>
      <c r="L862" s="9">
        <v>9310</v>
      </c>
      <c r="M862" s="10">
        <f>Sales_Data3[[#This Row],[Profit]]/Sales_Data3[[#This Row],[Sales]]</f>
        <v>0.95</v>
      </c>
      <c r="N862" t="str">
        <f t="shared" si="27"/>
        <v>Medium</v>
      </c>
      <c r="O862" s="2">
        <v>44702</v>
      </c>
      <c r="P862" s="9">
        <v>9800</v>
      </c>
    </row>
    <row r="863" spans="1:16" x14ac:dyDescent="0.25">
      <c r="A863" t="s">
        <v>884</v>
      </c>
      <c r="B863" s="2">
        <v>44703</v>
      </c>
      <c r="C863">
        <v>2022</v>
      </c>
      <c r="D863" t="str">
        <f t="shared" si="26"/>
        <v>May</v>
      </c>
      <c r="E863" t="s">
        <v>14</v>
      </c>
      <c r="F863" t="s">
        <v>2040</v>
      </c>
      <c r="G863" t="s">
        <v>20</v>
      </c>
      <c r="H863" t="s">
        <v>25</v>
      </c>
      <c r="I863">
        <v>8</v>
      </c>
      <c r="J863" s="9">
        <v>6100</v>
      </c>
      <c r="K863" s="7">
        <v>0.1</v>
      </c>
      <c r="L863" s="9">
        <v>5490</v>
      </c>
      <c r="M863" s="10">
        <f>Sales_Data3[[#This Row],[Profit]]/Sales_Data3[[#This Row],[Sales]]</f>
        <v>0.9</v>
      </c>
      <c r="N863" t="str">
        <f t="shared" si="27"/>
        <v>Medium</v>
      </c>
      <c r="O863" s="2">
        <v>44703</v>
      </c>
      <c r="P863" s="9">
        <v>6100</v>
      </c>
    </row>
    <row r="864" spans="1:16" x14ac:dyDescent="0.25">
      <c r="A864" t="s">
        <v>885</v>
      </c>
      <c r="B864" s="2">
        <v>44704</v>
      </c>
      <c r="C864">
        <v>2022</v>
      </c>
      <c r="D864" t="str">
        <f t="shared" si="26"/>
        <v>May</v>
      </c>
      <c r="E864" t="s">
        <v>14</v>
      </c>
      <c r="F864" t="s">
        <v>2041</v>
      </c>
      <c r="G864" t="s">
        <v>21</v>
      </c>
      <c r="H864" t="s">
        <v>25</v>
      </c>
      <c r="I864">
        <v>1</v>
      </c>
      <c r="J864" s="9">
        <v>7600</v>
      </c>
      <c r="K864" s="7">
        <v>0.15000000000000002</v>
      </c>
      <c r="L864" s="9">
        <v>6460</v>
      </c>
      <c r="M864" s="10">
        <f>Sales_Data3[[#This Row],[Profit]]/Sales_Data3[[#This Row],[Sales]]</f>
        <v>0.85</v>
      </c>
      <c r="N864" t="str">
        <f t="shared" si="27"/>
        <v>Medium</v>
      </c>
      <c r="O864" s="2">
        <v>44704</v>
      </c>
      <c r="P864" s="9">
        <v>7600</v>
      </c>
    </row>
    <row r="865" spans="1:16" x14ac:dyDescent="0.25">
      <c r="A865" t="s">
        <v>886</v>
      </c>
      <c r="B865" s="2">
        <v>44705</v>
      </c>
      <c r="C865">
        <v>2022</v>
      </c>
      <c r="D865" t="str">
        <f t="shared" si="26"/>
        <v>May</v>
      </c>
      <c r="E865" t="s">
        <v>14</v>
      </c>
      <c r="F865" t="s">
        <v>2042</v>
      </c>
      <c r="G865" t="s">
        <v>22</v>
      </c>
      <c r="H865" t="s">
        <v>25</v>
      </c>
      <c r="I865">
        <v>5</v>
      </c>
      <c r="J865" s="9">
        <v>13000</v>
      </c>
      <c r="K865" s="7">
        <v>0.2</v>
      </c>
      <c r="L865" s="9">
        <v>10400</v>
      </c>
      <c r="M865" s="10">
        <f>Sales_Data3[[#This Row],[Profit]]/Sales_Data3[[#This Row],[Sales]]</f>
        <v>0.8</v>
      </c>
      <c r="N865" t="str">
        <f t="shared" si="27"/>
        <v>High</v>
      </c>
      <c r="O865" s="2">
        <v>44705</v>
      </c>
      <c r="P865" s="9">
        <v>13000</v>
      </c>
    </row>
    <row r="866" spans="1:16" x14ac:dyDescent="0.25">
      <c r="A866" t="s">
        <v>887</v>
      </c>
      <c r="B866" s="2">
        <v>44706</v>
      </c>
      <c r="C866">
        <v>2022</v>
      </c>
      <c r="D866" t="str">
        <f t="shared" si="26"/>
        <v>May</v>
      </c>
      <c r="E866" t="s">
        <v>14</v>
      </c>
      <c r="F866" t="s">
        <v>2043</v>
      </c>
      <c r="G866" t="s">
        <v>19</v>
      </c>
      <c r="H866" t="s">
        <v>25</v>
      </c>
      <c r="I866">
        <v>4</v>
      </c>
      <c r="J866" s="9">
        <v>9600</v>
      </c>
      <c r="K866" s="7">
        <v>0.25</v>
      </c>
      <c r="L866" s="9">
        <v>7200</v>
      </c>
      <c r="M866" s="10">
        <f>Sales_Data3[[#This Row],[Profit]]/Sales_Data3[[#This Row],[Sales]]</f>
        <v>0.75</v>
      </c>
      <c r="N866" t="str">
        <f t="shared" si="27"/>
        <v>Medium</v>
      </c>
      <c r="O866" s="2">
        <v>44706</v>
      </c>
      <c r="P866" s="9">
        <v>9600</v>
      </c>
    </row>
    <row r="867" spans="1:16" x14ac:dyDescent="0.25">
      <c r="A867" t="s">
        <v>888</v>
      </c>
      <c r="B867" s="2">
        <v>44707</v>
      </c>
      <c r="C867">
        <v>2022</v>
      </c>
      <c r="D867" t="str">
        <f t="shared" si="26"/>
        <v>May</v>
      </c>
      <c r="E867" t="s">
        <v>14</v>
      </c>
      <c r="F867" t="s">
        <v>2044</v>
      </c>
      <c r="G867" t="s">
        <v>20</v>
      </c>
      <c r="H867" t="s">
        <v>25</v>
      </c>
      <c r="I867">
        <v>10</v>
      </c>
      <c r="J867" s="9">
        <v>9600</v>
      </c>
      <c r="K867" s="7">
        <v>0.05</v>
      </c>
      <c r="L867" s="9">
        <v>9120</v>
      </c>
      <c r="M867" s="10">
        <f>Sales_Data3[[#This Row],[Profit]]/Sales_Data3[[#This Row],[Sales]]</f>
        <v>0.95</v>
      </c>
      <c r="N867" t="str">
        <f t="shared" si="27"/>
        <v>Medium</v>
      </c>
      <c r="O867" s="2">
        <v>44707</v>
      </c>
      <c r="P867" s="9">
        <v>9600</v>
      </c>
    </row>
    <row r="868" spans="1:16" x14ac:dyDescent="0.25">
      <c r="A868" t="s">
        <v>889</v>
      </c>
      <c r="B868" s="2">
        <v>44708</v>
      </c>
      <c r="C868">
        <v>2022</v>
      </c>
      <c r="D868" t="str">
        <f t="shared" si="26"/>
        <v>May</v>
      </c>
      <c r="E868" t="s">
        <v>14</v>
      </c>
      <c r="F868" t="s">
        <v>2045</v>
      </c>
      <c r="G868" t="s">
        <v>21</v>
      </c>
      <c r="H868" t="s">
        <v>25</v>
      </c>
      <c r="I868">
        <v>4</v>
      </c>
      <c r="J868" s="9">
        <v>4600</v>
      </c>
      <c r="K868" s="7">
        <v>0.1</v>
      </c>
      <c r="L868" s="9">
        <v>4140</v>
      </c>
      <c r="M868" s="10">
        <f>Sales_Data3[[#This Row],[Profit]]/Sales_Data3[[#This Row],[Sales]]</f>
        <v>0.9</v>
      </c>
      <c r="N868" t="str">
        <f t="shared" si="27"/>
        <v>Low</v>
      </c>
      <c r="O868" s="2">
        <v>44708</v>
      </c>
      <c r="P868" s="9">
        <v>4600</v>
      </c>
    </row>
    <row r="869" spans="1:16" x14ac:dyDescent="0.25">
      <c r="A869" t="s">
        <v>890</v>
      </c>
      <c r="B869" s="2">
        <v>44709</v>
      </c>
      <c r="C869">
        <v>2022</v>
      </c>
      <c r="D869" t="str">
        <f t="shared" si="26"/>
        <v>May</v>
      </c>
      <c r="E869" t="s">
        <v>14</v>
      </c>
      <c r="F869" t="s">
        <v>2046</v>
      </c>
      <c r="G869" t="s">
        <v>22</v>
      </c>
      <c r="H869" t="s">
        <v>25</v>
      </c>
      <c r="I869">
        <v>4</v>
      </c>
      <c r="J869" s="9">
        <v>7600</v>
      </c>
      <c r="K869" s="7">
        <v>0.15000000000000002</v>
      </c>
      <c r="L869" s="9">
        <v>6460</v>
      </c>
      <c r="M869" s="10">
        <f>Sales_Data3[[#This Row],[Profit]]/Sales_Data3[[#This Row],[Sales]]</f>
        <v>0.85</v>
      </c>
      <c r="N869" t="str">
        <f t="shared" si="27"/>
        <v>Medium</v>
      </c>
      <c r="O869" s="2">
        <v>44709</v>
      </c>
      <c r="P869" s="9">
        <v>7600</v>
      </c>
    </row>
    <row r="870" spans="1:16" x14ac:dyDescent="0.25">
      <c r="A870" t="s">
        <v>891</v>
      </c>
      <c r="B870" s="2">
        <v>44710</v>
      </c>
      <c r="C870">
        <v>2022</v>
      </c>
      <c r="D870" t="str">
        <f t="shared" si="26"/>
        <v>May</v>
      </c>
      <c r="E870" t="s">
        <v>14</v>
      </c>
      <c r="F870" t="s">
        <v>2047</v>
      </c>
      <c r="G870" t="s">
        <v>19</v>
      </c>
      <c r="H870" t="s">
        <v>25</v>
      </c>
      <c r="I870">
        <v>2</v>
      </c>
      <c r="J870" s="9">
        <v>7000</v>
      </c>
      <c r="K870" s="7">
        <v>0.2</v>
      </c>
      <c r="L870" s="9">
        <v>5600</v>
      </c>
      <c r="M870" s="10">
        <f>Sales_Data3[[#This Row],[Profit]]/Sales_Data3[[#This Row],[Sales]]</f>
        <v>0.8</v>
      </c>
      <c r="N870" t="str">
        <f t="shared" si="27"/>
        <v>Medium</v>
      </c>
      <c r="O870" s="2">
        <v>44710</v>
      </c>
      <c r="P870" s="9">
        <v>7000</v>
      </c>
    </row>
    <row r="871" spans="1:16" x14ac:dyDescent="0.25">
      <c r="A871" t="s">
        <v>892</v>
      </c>
      <c r="B871" s="2">
        <v>44711</v>
      </c>
      <c r="C871">
        <v>2022</v>
      </c>
      <c r="D871" t="str">
        <f t="shared" si="26"/>
        <v>May</v>
      </c>
      <c r="E871" t="s">
        <v>14</v>
      </c>
      <c r="F871" t="s">
        <v>2048</v>
      </c>
      <c r="G871" t="s">
        <v>20</v>
      </c>
      <c r="H871" t="s">
        <v>25</v>
      </c>
      <c r="I871">
        <v>2</v>
      </c>
      <c r="J871" s="9">
        <v>7000</v>
      </c>
      <c r="K871" s="7">
        <v>0.25</v>
      </c>
      <c r="L871" s="9">
        <v>5250</v>
      </c>
      <c r="M871" s="10">
        <f>Sales_Data3[[#This Row],[Profit]]/Sales_Data3[[#This Row],[Sales]]</f>
        <v>0.75</v>
      </c>
      <c r="N871" t="str">
        <f t="shared" si="27"/>
        <v>Medium</v>
      </c>
      <c r="O871" s="2">
        <v>44711</v>
      </c>
      <c r="P871" s="9">
        <v>7000</v>
      </c>
    </row>
    <row r="872" spans="1:16" x14ac:dyDescent="0.25">
      <c r="A872" t="s">
        <v>893</v>
      </c>
      <c r="B872" s="2">
        <v>44712</v>
      </c>
      <c r="C872">
        <v>2022</v>
      </c>
      <c r="D872" t="str">
        <f t="shared" si="26"/>
        <v>May</v>
      </c>
      <c r="E872" t="s">
        <v>12</v>
      </c>
      <c r="F872" t="s">
        <v>15</v>
      </c>
      <c r="G872" t="s">
        <v>21</v>
      </c>
      <c r="H872" t="s">
        <v>23</v>
      </c>
      <c r="I872">
        <v>10</v>
      </c>
      <c r="J872" s="9">
        <v>11600</v>
      </c>
      <c r="K872" s="7">
        <v>0.05</v>
      </c>
      <c r="L872" s="9">
        <v>11020</v>
      </c>
      <c r="M872" s="10">
        <f>Sales_Data3[[#This Row],[Profit]]/Sales_Data3[[#This Row],[Sales]]</f>
        <v>0.95</v>
      </c>
      <c r="N872" t="str">
        <f t="shared" si="27"/>
        <v>High</v>
      </c>
      <c r="O872" s="2">
        <v>44712</v>
      </c>
      <c r="P872" s="9">
        <v>11600</v>
      </c>
    </row>
    <row r="873" spans="1:16" x14ac:dyDescent="0.25">
      <c r="A873" t="s">
        <v>894</v>
      </c>
      <c r="B873" s="2">
        <v>44713</v>
      </c>
      <c r="C873">
        <v>2022</v>
      </c>
      <c r="D873" t="str">
        <f t="shared" si="26"/>
        <v>Jun</v>
      </c>
      <c r="E873" t="s">
        <v>12</v>
      </c>
      <c r="F873" t="s">
        <v>17</v>
      </c>
      <c r="G873" t="s">
        <v>22</v>
      </c>
      <c r="H873" t="s">
        <v>23</v>
      </c>
      <c r="I873">
        <v>4</v>
      </c>
      <c r="J873" s="9">
        <v>14600</v>
      </c>
      <c r="K873" s="7">
        <v>0.1</v>
      </c>
      <c r="L873" s="9">
        <v>13140</v>
      </c>
      <c r="M873" s="10">
        <f>Sales_Data3[[#This Row],[Profit]]/Sales_Data3[[#This Row],[Sales]]</f>
        <v>0.9</v>
      </c>
      <c r="N873" t="str">
        <f t="shared" si="27"/>
        <v>High</v>
      </c>
      <c r="O873" s="2">
        <v>44713</v>
      </c>
      <c r="P873" s="9">
        <v>14600</v>
      </c>
    </row>
    <row r="874" spans="1:16" x14ac:dyDescent="0.25">
      <c r="A874" t="s">
        <v>895</v>
      </c>
      <c r="B874" s="2">
        <v>44714</v>
      </c>
      <c r="C874">
        <v>2022</v>
      </c>
      <c r="D874" t="str">
        <f t="shared" si="26"/>
        <v>Jun</v>
      </c>
      <c r="E874" t="s">
        <v>12</v>
      </c>
      <c r="F874" t="s">
        <v>2023</v>
      </c>
      <c r="G874" t="s">
        <v>19</v>
      </c>
      <c r="H874" t="s">
        <v>23</v>
      </c>
      <c r="I874">
        <v>2</v>
      </c>
      <c r="J874" s="9">
        <v>14000</v>
      </c>
      <c r="K874" s="7">
        <v>0.15000000000000002</v>
      </c>
      <c r="L874" s="9">
        <v>11900</v>
      </c>
      <c r="M874" s="10">
        <f>Sales_Data3[[#This Row],[Profit]]/Sales_Data3[[#This Row],[Sales]]</f>
        <v>0.85</v>
      </c>
      <c r="N874" t="str">
        <f t="shared" si="27"/>
        <v>High</v>
      </c>
      <c r="O874" s="2">
        <v>44714</v>
      </c>
      <c r="P874" s="9">
        <v>14000</v>
      </c>
    </row>
    <row r="875" spans="1:16" x14ac:dyDescent="0.25">
      <c r="A875" t="s">
        <v>896</v>
      </c>
      <c r="B875" s="2">
        <v>44715</v>
      </c>
      <c r="C875">
        <v>2022</v>
      </c>
      <c r="D875" t="str">
        <f t="shared" si="26"/>
        <v>Jun</v>
      </c>
      <c r="E875" t="s">
        <v>12</v>
      </c>
      <c r="F875" t="s">
        <v>18</v>
      </c>
      <c r="G875" t="s">
        <v>20</v>
      </c>
      <c r="H875" t="s">
        <v>23</v>
      </c>
      <c r="I875">
        <v>10</v>
      </c>
      <c r="J875" s="9">
        <v>9100</v>
      </c>
      <c r="K875" s="7">
        <v>0.2</v>
      </c>
      <c r="L875" s="9">
        <v>7280</v>
      </c>
      <c r="M875" s="10">
        <f>Sales_Data3[[#This Row],[Profit]]/Sales_Data3[[#This Row],[Sales]]</f>
        <v>0.8</v>
      </c>
      <c r="N875" t="str">
        <f t="shared" si="27"/>
        <v>Medium</v>
      </c>
      <c r="O875" s="2">
        <v>44715</v>
      </c>
      <c r="P875" s="9">
        <v>9100</v>
      </c>
    </row>
    <row r="876" spans="1:16" x14ac:dyDescent="0.25">
      <c r="A876" t="s">
        <v>897</v>
      </c>
      <c r="B876" s="2">
        <v>44716</v>
      </c>
      <c r="C876">
        <v>2022</v>
      </c>
      <c r="D876" t="str">
        <f t="shared" si="26"/>
        <v>Jun</v>
      </c>
      <c r="E876" t="s">
        <v>12</v>
      </c>
      <c r="F876" t="s">
        <v>2024</v>
      </c>
      <c r="G876" t="s">
        <v>21</v>
      </c>
      <c r="H876" t="s">
        <v>23</v>
      </c>
      <c r="I876">
        <v>1</v>
      </c>
      <c r="J876" s="9">
        <v>6900</v>
      </c>
      <c r="K876" s="7">
        <v>0.25</v>
      </c>
      <c r="L876" s="9">
        <v>5175</v>
      </c>
      <c r="M876" s="10">
        <f>Sales_Data3[[#This Row],[Profit]]/Sales_Data3[[#This Row],[Sales]]</f>
        <v>0.75</v>
      </c>
      <c r="N876" t="str">
        <f t="shared" si="27"/>
        <v>Medium</v>
      </c>
      <c r="O876" s="2">
        <v>44716</v>
      </c>
      <c r="P876" s="9">
        <v>6900</v>
      </c>
    </row>
    <row r="877" spans="1:16" x14ac:dyDescent="0.25">
      <c r="A877" t="s">
        <v>898</v>
      </c>
      <c r="B877" s="2">
        <v>44717</v>
      </c>
      <c r="C877">
        <v>2022</v>
      </c>
      <c r="D877" t="str">
        <f t="shared" si="26"/>
        <v>Jun</v>
      </c>
      <c r="E877" t="s">
        <v>12</v>
      </c>
      <c r="F877" t="s">
        <v>2025</v>
      </c>
      <c r="G877" t="s">
        <v>22</v>
      </c>
      <c r="H877" t="s">
        <v>23</v>
      </c>
      <c r="I877">
        <v>7</v>
      </c>
      <c r="J877" s="9">
        <v>11500</v>
      </c>
      <c r="K877" s="7">
        <v>0.05</v>
      </c>
      <c r="L877" s="9">
        <v>10925</v>
      </c>
      <c r="M877" s="10">
        <f>Sales_Data3[[#This Row],[Profit]]/Sales_Data3[[#This Row],[Sales]]</f>
        <v>0.95</v>
      </c>
      <c r="N877" t="str">
        <f t="shared" si="27"/>
        <v>High</v>
      </c>
      <c r="O877" s="2">
        <v>44717</v>
      </c>
      <c r="P877" s="9">
        <v>11500</v>
      </c>
    </row>
    <row r="878" spans="1:16" x14ac:dyDescent="0.25">
      <c r="A878" t="s">
        <v>899</v>
      </c>
      <c r="B878" s="2">
        <v>44718</v>
      </c>
      <c r="C878">
        <v>2022</v>
      </c>
      <c r="D878" t="str">
        <f t="shared" si="26"/>
        <v>Jun</v>
      </c>
      <c r="E878" t="s">
        <v>12</v>
      </c>
      <c r="F878" t="s">
        <v>2026</v>
      </c>
      <c r="G878" t="s">
        <v>19</v>
      </c>
      <c r="H878" t="s">
        <v>23</v>
      </c>
      <c r="I878">
        <v>3</v>
      </c>
      <c r="J878" s="9">
        <v>14000</v>
      </c>
      <c r="K878" s="7">
        <v>0.1</v>
      </c>
      <c r="L878" s="9">
        <v>12600</v>
      </c>
      <c r="M878" s="10">
        <f>Sales_Data3[[#This Row],[Profit]]/Sales_Data3[[#This Row],[Sales]]</f>
        <v>0.9</v>
      </c>
      <c r="N878" t="str">
        <f t="shared" si="27"/>
        <v>High</v>
      </c>
      <c r="O878" s="2">
        <v>44718</v>
      </c>
      <c r="P878" s="9">
        <v>14000</v>
      </c>
    </row>
    <row r="879" spans="1:16" x14ac:dyDescent="0.25">
      <c r="A879" t="s">
        <v>900</v>
      </c>
      <c r="B879" s="2">
        <v>44719</v>
      </c>
      <c r="C879">
        <v>2022</v>
      </c>
      <c r="D879" t="str">
        <f t="shared" si="26"/>
        <v>Jun</v>
      </c>
      <c r="E879" t="s">
        <v>12</v>
      </c>
      <c r="F879" t="s">
        <v>2027</v>
      </c>
      <c r="G879" t="s">
        <v>20</v>
      </c>
      <c r="H879" t="s">
        <v>23</v>
      </c>
      <c r="I879">
        <v>10</v>
      </c>
      <c r="J879" s="9">
        <v>14700</v>
      </c>
      <c r="K879" s="7">
        <v>0.15000000000000002</v>
      </c>
      <c r="L879" s="9">
        <v>12495</v>
      </c>
      <c r="M879" s="10">
        <f>Sales_Data3[[#This Row],[Profit]]/Sales_Data3[[#This Row],[Sales]]</f>
        <v>0.85</v>
      </c>
      <c r="N879" t="str">
        <f t="shared" si="27"/>
        <v>High</v>
      </c>
      <c r="O879" s="2">
        <v>44719</v>
      </c>
      <c r="P879" s="9">
        <v>14700</v>
      </c>
    </row>
    <row r="880" spans="1:16" x14ac:dyDescent="0.25">
      <c r="A880" t="s">
        <v>901</v>
      </c>
      <c r="B880" s="2">
        <v>44720</v>
      </c>
      <c r="C880">
        <v>2022</v>
      </c>
      <c r="D880" t="str">
        <f t="shared" si="26"/>
        <v>Jun</v>
      </c>
      <c r="E880" t="s">
        <v>12</v>
      </c>
      <c r="F880" t="s">
        <v>2028</v>
      </c>
      <c r="G880" t="s">
        <v>21</v>
      </c>
      <c r="H880" t="s">
        <v>23</v>
      </c>
      <c r="I880">
        <v>6</v>
      </c>
      <c r="J880" s="9">
        <v>13900</v>
      </c>
      <c r="K880" s="7">
        <v>0.2</v>
      </c>
      <c r="L880" s="9">
        <v>11120</v>
      </c>
      <c r="M880" s="10">
        <f>Sales_Data3[[#This Row],[Profit]]/Sales_Data3[[#This Row],[Sales]]</f>
        <v>0.8</v>
      </c>
      <c r="N880" t="str">
        <f t="shared" si="27"/>
        <v>High</v>
      </c>
      <c r="O880" s="2">
        <v>44720</v>
      </c>
      <c r="P880" s="9">
        <v>13900</v>
      </c>
    </row>
    <row r="881" spans="1:16" x14ac:dyDescent="0.25">
      <c r="A881" t="s">
        <v>902</v>
      </c>
      <c r="B881" s="2">
        <v>44721</v>
      </c>
      <c r="C881">
        <v>2022</v>
      </c>
      <c r="D881" t="str">
        <f t="shared" si="26"/>
        <v>Jun</v>
      </c>
      <c r="E881" t="s">
        <v>12</v>
      </c>
      <c r="F881" t="s">
        <v>2029</v>
      </c>
      <c r="G881" t="s">
        <v>22</v>
      </c>
      <c r="H881" t="s">
        <v>23</v>
      </c>
      <c r="I881">
        <v>2</v>
      </c>
      <c r="J881" s="9">
        <v>7800</v>
      </c>
      <c r="K881" s="7">
        <v>0.25</v>
      </c>
      <c r="L881" s="9">
        <v>5850</v>
      </c>
      <c r="M881" s="10">
        <f>Sales_Data3[[#This Row],[Profit]]/Sales_Data3[[#This Row],[Sales]]</f>
        <v>0.75</v>
      </c>
      <c r="N881" t="str">
        <f t="shared" si="27"/>
        <v>Medium</v>
      </c>
      <c r="O881" s="2">
        <v>44721</v>
      </c>
      <c r="P881" s="9">
        <v>7800</v>
      </c>
    </row>
    <row r="882" spans="1:16" x14ac:dyDescent="0.25">
      <c r="A882" t="s">
        <v>903</v>
      </c>
      <c r="B882" s="2">
        <v>44722</v>
      </c>
      <c r="C882">
        <v>2022</v>
      </c>
      <c r="D882" t="str">
        <f t="shared" si="26"/>
        <v>Jun</v>
      </c>
      <c r="E882" t="s">
        <v>13</v>
      </c>
      <c r="F882" t="s">
        <v>16</v>
      </c>
      <c r="G882" t="s">
        <v>19</v>
      </c>
      <c r="H882" t="s">
        <v>24</v>
      </c>
      <c r="I882">
        <v>4</v>
      </c>
      <c r="J882" s="9">
        <v>11600</v>
      </c>
      <c r="K882" s="7">
        <v>0.05</v>
      </c>
      <c r="L882" s="9">
        <v>11020</v>
      </c>
      <c r="M882" s="10">
        <f>Sales_Data3[[#This Row],[Profit]]/Sales_Data3[[#This Row],[Sales]]</f>
        <v>0.95</v>
      </c>
      <c r="N882" t="str">
        <f t="shared" si="27"/>
        <v>High</v>
      </c>
      <c r="O882" s="2">
        <v>44722</v>
      </c>
      <c r="P882" s="9">
        <v>11600</v>
      </c>
    </row>
    <row r="883" spans="1:16" x14ac:dyDescent="0.25">
      <c r="A883" t="s">
        <v>904</v>
      </c>
      <c r="B883" s="2">
        <v>44723</v>
      </c>
      <c r="C883">
        <v>2022</v>
      </c>
      <c r="D883" t="str">
        <f t="shared" si="26"/>
        <v>Jun</v>
      </c>
      <c r="E883" t="s">
        <v>13</v>
      </c>
      <c r="F883" t="s">
        <v>2030</v>
      </c>
      <c r="G883" t="s">
        <v>20</v>
      </c>
      <c r="H883" t="s">
        <v>24</v>
      </c>
      <c r="I883">
        <v>7</v>
      </c>
      <c r="J883" s="9">
        <v>4100</v>
      </c>
      <c r="K883" s="7">
        <v>0.1</v>
      </c>
      <c r="L883" s="9">
        <v>3690</v>
      </c>
      <c r="M883" s="10">
        <f>Sales_Data3[[#This Row],[Profit]]/Sales_Data3[[#This Row],[Sales]]</f>
        <v>0.9</v>
      </c>
      <c r="N883" t="str">
        <f t="shared" si="27"/>
        <v>Low</v>
      </c>
      <c r="O883" s="2">
        <v>44723</v>
      </c>
      <c r="P883" s="9">
        <v>4100</v>
      </c>
    </row>
    <row r="884" spans="1:16" x14ac:dyDescent="0.25">
      <c r="A884" t="s">
        <v>905</v>
      </c>
      <c r="B884" s="2">
        <v>44724</v>
      </c>
      <c r="C884">
        <v>2022</v>
      </c>
      <c r="D884" t="str">
        <f t="shared" si="26"/>
        <v>Jun</v>
      </c>
      <c r="E884" t="s">
        <v>13</v>
      </c>
      <c r="F884" t="s">
        <v>2031</v>
      </c>
      <c r="G884" t="s">
        <v>21</v>
      </c>
      <c r="H884" t="s">
        <v>24</v>
      </c>
      <c r="I884">
        <v>10</v>
      </c>
      <c r="J884" s="9">
        <v>6300</v>
      </c>
      <c r="K884" s="7">
        <v>0.15000000000000002</v>
      </c>
      <c r="L884" s="9">
        <v>5355</v>
      </c>
      <c r="M884" s="10">
        <f>Sales_Data3[[#This Row],[Profit]]/Sales_Data3[[#This Row],[Sales]]</f>
        <v>0.85</v>
      </c>
      <c r="N884" t="str">
        <f t="shared" si="27"/>
        <v>Medium</v>
      </c>
      <c r="O884" s="2">
        <v>44724</v>
      </c>
      <c r="P884" s="9">
        <v>6300</v>
      </c>
    </row>
    <row r="885" spans="1:16" x14ac:dyDescent="0.25">
      <c r="A885" t="s">
        <v>906</v>
      </c>
      <c r="B885" s="2">
        <v>44725</v>
      </c>
      <c r="C885">
        <v>2022</v>
      </c>
      <c r="D885" t="str">
        <f t="shared" si="26"/>
        <v>Jun</v>
      </c>
      <c r="E885" t="s">
        <v>13</v>
      </c>
      <c r="F885" t="s">
        <v>2032</v>
      </c>
      <c r="G885" t="s">
        <v>22</v>
      </c>
      <c r="H885" t="s">
        <v>24</v>
      </c>
      <c r="I885">
        <v>1</v>
      </c>
      <c r="J885" s="9">
        <v>8600</v>
      </c>
      <c r="K885" s="7">
        <v>0.2</v>
      </c>
      <c r="L885" s="9">
        <v>6880</v>
      </c>
      <c r="M885" s="10">
        <f>Sales_Data3[[#This Row],[Profit]]/Sales_Data3[[#This Row],[Sales]]</f>
        <v>0.8</v>
      </c>
      <c r="N885" t="str">
        <f t="shared" si="27"/>
        <v>Medium</v>
      </c>
      <c r="O885" s="2">
        <v>44725</v>
      </c>
      <c r="P885" s="9">
        <v>8600</v>
      </c>
    </row>
    <row r="886" spans="1:16" x14ac:dyDescent="0.25">
      <c r="A886" t="s">
        <v>907</v>
      </c>
      <c r="B886" s="2">
        <v>44726</v>
      </c>
      <c r="C886">
        <v>2022</v>
      </c>
      <c r="D886" t="str">
        <f t="shared" si="26"/>
        <v>Jun</v>
      </c>
      <c r="E886" t="s">
        <v>13</v>
      </c>
      <c r="F886" t="s">
        <v>2033</v>
      </c>
      <c r="G886" t="s">
        <v>19</v>
      </c>
      <c r="H886" t="s">
        <v>24</v>
      </c>
      <c r="I886">
        <v>7</v>
      </c>
      <c r="J886" s="9">
        <v>14300</v>
      </c>
      <c r="K886" s="7">
        <v>0.25</v>
      </c>
      <c r="L886" s="9">
        <v>10725</v>
      </c>
      <c r="M886" s="10">
        <f>Sales_Data3[[#This Row],[Profit]]/Sales_Data3[[#This Row],[Sales]]</f>
        <v>0.75</v>
      </c>
      <c r="N886" t="str">
        <f t="shared" si="27"/>
        <v>High</v>
      </c>
      <c r="O886" s="2">
        <v>44726</v>
      </c>
      <c r="P886" s="9">
        <v>14300</v>
      </c>
    </row>
    <row r="887" spans="1:16" x14ac:dyDescent="0.25">
      <c r="A887" t="s">
        <v>908</v>
      </c>
      <c r="B887" s="2">
        <v>44727</v>
      </c>
      <c r="C887">
        <v>2022</v>
      </c>
      <c r="D887" t="str">
        <f t="shared" si="26"/>
        <v>Jun</v>
      </c>
      <c r="E887" t="s">
        <v>13</v>
      </c>
      <c r="F887" t="s">
        <v>2034</v>
      </c>
      <c r="G887" t="s">
        <v>20</v>
      </c>
      <c r="H887" t="s">
        <v>24</v>
      </c>
      <c r="I887">
        <v>2</v>
      </c>
      <c r="J887" s="9">
        <v>7900</v>
      </c>
      <c r="K887" s="7">
        <v>0.05</v>
      </c>
      <c r="L887" s="9">
        <v>7505</v>
      </c>
      <c r="M887" s="10">
        <f>Sales_Data3[[#This Row],[Profit]]/Sales_Data3[[#This Row],[Sales]]</f>
        <v>0.95</v>
      </c>
      <c r="N887" t="str">
        <f t="shared" si="27"/>
        <v>Medium</v>
      </c>
      <c r="O887" s="2">
        <v>44727</v>
      </c>
      <c r="P887" s="9">
        <v>7900</v>
      </c>
    </row>
    <row r="888" spans="1:16" x14ac:dyDescent="0.25">
      <c r="A888" t="s">
        <v>909</v>
      </c>
      <c r="B888" s="2">
        <v>44728</v>
      </c>
      <c r="C888">
        <v>2022</v>
      </c>
      <c r="D888" t="str">
        <f t="shared" si="26"/>
        <v>Jun</v>
      </c>
      <c r="E888" t="s">
        <v>13</v>
      </c>
      <c r="F888" t="s">
        <v>2035</v>
      </c>
      <c r="G888" t="s">
        <v>21</v>
      </c>
      <c r="H888" t="s">
        <v>24</v>
      </c>
      <c r="I888">
        <v>10</v>
      </c>
      <c r="J888" s="9">
        <v>4100</v>
      </c>
      <c r="K888" s="7">
        <v>0.1</v>
      </c>
      <c r="L888" s="9">
        <v>3690</v>
      </c>
      <c r="M888" s="10">
        <f>Sales_Data3[[#This Row],[Profit]]/Sales_Data3[[#This Row],[Sales]]</f>
        <v>0.9</v>
      </c>
      <c r="N888" t="str">
        <f t="shared" si="27"/>
        <v>Low</v>
      </c>
      <c r="O888" s="2">
        <v>44728</v>
      </c>
      <c r="P888" s="9">
        <v>4100</v>
      </c>
    </row>
    <row r="889" spans="1:16" x14ac:dyDescent="0.25">
      <c r="A889" t="s">
        <v>910</v>
      </c>
      <c r="B889" s="2">
        <v>44729</v>
      </c>
      <c r="C889">
        <v>2022</v>
      </c>
      <c r="D889" t="str">
        <f t="shared" si="26"/>
        <v>Jun</v>
      </c>
      <c r="E889" t="s">
        <v>13</v>
      </c>
      <c r="F889" t="s">
        <v>2036</v>
      </c>
      <c r="G889" t="s">
        <v>22</v>
      </c>
      <c r="H889" t="s">
        <v>24</v>
      </c>
      <c r="I889">
        <v>10</v>
      </c>
      <c r="J889" s="9">
        <v>14600</v>
      </c>
      <c r="K889" s="7">
        <v>0.15000000000000002</v>
      </c>
      <c r="L889" s="9">
        <v>12410</v>
      </c>
      <c r="M889" s="10">
        <f>Sales_Data3[[#This Row],[Profit]]/Sales_Data3[[#This Row],[Sales]]</f>
        <v>0.85</v>
      </c>
      <c r="N889" t="str">
        <f t="shared" si="27"/>
        <v>High</v>
      </c>
      <c r="O889" s="2">
        <v>44729</v>
      </c>
      <c r="P889" s="9">
        <v>14600</v>
      </c>
    </row>
    <row r="890" spans="1:16" x14ac:dyDescent="0.25">
      <c r="A890" t="s">
        <v>911</v>
      </c>
      <c r="B890" s="2">
        <v>44730</v>
      </c>
      <c r="C890">
        <v>2022</v>
      </c>
      <c r="D890" t="str">
        <f t="shared" si="26"/>
        <v>Jun</v>
      </c>
      <c r="E890" t="s">
        <v>13</v>
      </c>
      <c r="F890" t="s">
        <v>2037</v>
      </c>
      <c r="G890" t="s">
        <v>19</v>
      </c>
      <c r="H890" t="s">
        <v>24</v>
      </c>
      <c r="I890">
        <v>2</v>
      </c>
      <c r="J890" s="9">
        <v>4800</v>
      </c>
      <c r="K890" s="7">
        <v>0.2</v>
      </c>
      <c r="L890" s="9">
        <v>3840</v>
      </c>
      <c r="M890" s="10">
        <f>Sales_Data3[[#This Row],[Profit]]/Sales_Data3[[#This Row],[Sales]]</f>
        <v>0.8</v>
      </c>
      <c r="N890" t="str">
        <f t="shared" si="27"/>
        <v>Low</v>
      </c>
      <c r="O890" s="2">
        <v>44730</v>
      </c>
      <c r="P890" s="9">
        <v>4800</v>
      </c>
    </row>
    <row r="891" spans="1:16" x14ac:dyDescent="0.25">
      <c r="A891" t="s">
        <v>912</v>
      </c>
      <c r="B891" s="2">
        <v>44731</v>
      </c>
      <c r="C891">
        <v>2022</v>
      </c>
      <c r="D891" t="str">
        <f t="shared" si="26"/>
        <v>Jun</v>
      </c>
      <c r="E891" t="s">
        <v>13</v>
      </c>
      <c r="F891" t="s">
        <v>2038</v>
      </c>
      <c r="G891" t="s">
        <v>20</v>
      </c>
      <c r="H891" t="s">
        <v>24</v>
      </c>
      <c r="I891">
        <v>8</v>
      </c>
      <c r="J891" s="9">
        <v>6600</v>
      </c>
      <c r="K891" s="7">
        <v>0.25</v>
      </c>
      <c r="L891" s="9">
        <v>4950</v>
      </c>
      <c r="M891" s="10">
        <f>Sales_Data3[[#This Row],[Profit]]/Sales_Data3[[#This Row],[Sales]]</f>
        <v>0.75</v>
      </c>
      <c r="N891" t="str">
        <f t="shared" si="27"/>
        <v>Medium</v>
      </c>
      <c r="O891" s="2">
        <v>44731</v>
      </c>
      <c r="P891" s="9">
        <v>6600</v>
      </c>
    </row>
    <row r="892" spans="1:16" x14ac:dyDescent="0.25">
      <c r="A892" t="s">
        <v>913</v>
      </c>
      <c r="B892" s="2">
        <v>44732</v>
      </c>
      <c r="C892">
        <v>2022</v>
      </c>
      <c r="D892" t="str">
        <f t="shared" si="26"/>
        <v>Jun</v>
      </c>
      <c r="E892" t="s">
        <v>14</v>
      </c>
      <c r="F892" t="s">
        <v>2039</v>
      </c>
      <c r="G892" t="s">
        <v>21</v>
      </c>
      <c r="H892" t="s">
        <v>25</v>
      </c>
      <c r="I892">
        <v>4</v>
      </c>
      <c r="J892" s="9">
        <v>6700</v>
      </c>
      <c r="K892" s="7">
        <v>0.05</v>
      </c>
      <c r="L892" s="9">
        <v>6365</v>
      </c>
      <c r="M892" s="10">
        <f>Sales_Data3[[#This Row],[Profit]]/Sales_Data3[[#This Row],[Sales]]</f>
        <v>0.95</v>
      </c>
      <c r="N892" t="str">
        <f t="shared" si="27"/>
        <v>Medium</v>
      </c>
      <c r="O892" s="2">
        <v>44732</v>
      </c>
      <c r="P892" s="9">
        <v>6700</v>
      </c>
    </row>
    <row r="893" spans="1:16" x14ac:dyDescent="0.25">
      <c r="A893" t="s">
        <v>914</v>
      </c>
      <c r="B893" s="2">
        <v>44733</v>
      </c>
      <c r="C893">
        <v>2022</v>
      </c>
      <c r="D893" t="str">
        <f t="shared" si="26"/>
        <v>Jun</v>
      </c>
      <c r="E893" t="s">
        <v>14</v>
      </c>
      <c r="F893" t="s">
        <v>2040</v>
      </c>
      <c r="G893" t="s">
        <v>22</v>
      </c>
      <c r="H893" t="s">
        <v>25</v>
      </c>
      <c r="I893">
        <v>3</v>
      </c>
      <c r="J893" s="9">
        <v>4900</v>
      </c>
      <c r="K893" s="7">
        <v>0.1</v>
      </c>
      <c r="L893" s="9">
        <v>4410</v>
      </c>
      <c r="M893" s="10">
        <f>Sales_Data3[[#This Row],[Profit]]/Sales_Data3[[#This Row],[Sales]]</f>
        <v>0.9</v>
      </c>
      <c r="N893" t="str">
        <f t="shared" si="27"/>
        <v>Low</v>
      </c>
      <c r="O893" s="2">
        <v>44733</v>
      </c>
      <c r="P893" s="9">
        <v>4900</v>
      </c>
    </row>
    <row r="894" spans="1:16" x14ac:dyDescent="0.25">
      <c r="A894" t="s">
        <v>915</v>
      </c>
      <c r="B894" s="2">
        <v>44734</v>
      </c>
      <c r="C894">
        <v>2022</v>
      </c>
      <c r="D894" t="str">
        <f t="shared" si="26"/>
        <v>Jun</v>
      </c>
      <c r="E894" t="s">
        <v>14</v>
      </c>
      <c r="F894" t="s">
        <v>2041</v>
      </c>
      <c r="G894" t="s">
        <v>19</v>
      </c>
      <c r="H894" t="s">
        <v>25</v>
      </c>
      <c r="I894">
        <v>5</v>
      </c>
      <c r="J894" s="9">
        <v>10300</v>
      </c>
      <c r="K894" s="7">
        <v>0.15000000000000002</v>
      </c>
      <c r="L894" s="9">
        <v>8755</v>
      </c>
      <c r="M894" s="10">
        <f>Sales_Data3[[#This Row],[Profit]]/Sales_Data3[[#This Row],[Sales]]</f>
        <v>0.85</v>
      </c>
      <c r="N894" t="str">
        <f t="shared" si="27"/>
        <v>High</v>
      </c>
      <c r="O894" s="2">
        <v>44734</v>
      </c>
      <c r="P894" s="9">
        <v>10300</v>
      </c>
    </row>
    <row r="895" spans="1:16" x14ac:dyDescent="0.25">
      <c r="A895" t="s">
        <v>916</v>
      </c>
      <c r="B895" s="2">
        <v>44735</v>
      </c>
      <c r="C895">
        <v>2022</v>
      </c>
      <c r="D895" t="str">
        <f t="shared" si="26"/>
        <v>Jun</v>
      </c>
      <c r="E895" t="s">
        <v>14</v>
      </c>
      <c r="F895" t="s">
        <v>2042</v>
      </c>
      <c r="G895" t="s">
        <v>20</v>
      </c>
      <c r="H895" t="s">
        <v>25</v>
      </c>
      <c r="I895">
        <v>4</v>
      </c>
      <c r="J895" s="9">
        <v>5400</v>
      </c>
      <c r="K895" s="7">
        <v>0.2</v>
      </c>
      <c r="L895" s="9">
        <v>4320</v>
      </c>
      <c r="M895" s="10">
        <f>Sales_Data3[[#This Row],[Profit]]/Sales_Data3[[#This Row],[Sales]]</f>
        <v>0.8</v>
      </c>
      <c r="N895" t="str">
        <f t="shared" si="27"/>
        <v>Medium</v>
      </c>
      <c r="O895" s="2">
        <v>44735</v>
      </c>
      <c r="P895" s="9">
        <v>5400</v>
      </c>
    </row>
    <row r="896" spans="1:16" x14ac:dyDescent="0.25">
      <c r="A896" t="s">
        <v>917</v>
      </c>
      <c r="B896" s="2">
        <v>44736</v>
      </c>
      <c r="C896">
        <v>2022</v>
      </c>
      <c r="D896" t="str">
        <f t="shared" si="26"/>
        <v>Jun</v>
      </c>
      <c r="E896" t="s">
        <v>14</v>
      </c>
      <c r="F896" t="s">
        <v>2043</v>
      </c>
      <c r="G896" t="s">
        <v>21</v>
      </c>
      <c r="H896" t="s">
        <v>25</v>
      </c>
      <c r="I896">
        <v>5</v>
      </c>
      <c r="J896" s="9">
        <v>14100</v>
      </c>
      <c r="K896" s="7">
        <v>0.25</v>
      </c>
      <c r="L896" s="9">
        <v>10575</v>
      </c>
      <c r="M896" s="10">
        <f>Sales_Data3[[#This Row],[Profit]]/Sales_Data3[[#This Row],[Sales]]</f>
        <v>0.75</v>
      </c>
      <c r="N896" t="str">
        <f t="shared" si="27"/>
        <v>High</v>
      </c>
      <c r="O896" s="2">
        <v>44736</v>
      </c>
      <c r="P896" s="9">
        <v>14100</v>
      </c>
    </row>
    <row r="897" spans="1:16" x14ac:dyDescent="0.25">
      <c r="A897" t="s">
        <v>918</v>
      </c>
      <c r="B897" s="2">
        <v>44737</v>
      </c>
      <c r="C897">
        <v>2022</v>
      </c>
      <c r="D897" t="str">
        <f t="shared" si="26"/>
        <v>Jun</v>
      </c>
      <c r="E897" t="s">
        <v>14</v>
      </c>
      <c r="F897" t="s">
        <v>2044</v>
      </c>
      <c r="G897" t="s">
        <v>22</v>
      </c>
      <c r="H897" t="s">
        <v>25</v>
      </c>
      <c r="I897">
        <v>2</v>
      </c>
      <c r="J897" s="9">
        <v>9600</v>
      </c>
      <c r="K897" s="7">
        <v>0.05</v>
      </c>
      <c r="L897" s="9">
        <v>9120</v>
      </c>
      <c r="M897" s="10">
        <f>Sales_Data3[[#This Row],[Profit]]/Sales_Data3[[#This Row],[Sales]]</f>
        <v>0.95</v>
      </c>
      <c r="N897" t="str">
        <f t="shared" si="27"/>
        <v>Medium</v>
      </c>
      <c r="O897" s="2">
        <v>44737</v>
      </c>
      <c r="P897" s="9">
        <v>9600</v>
      </c>
    </row>
    <row r="898" spans="1:16" x14ac:dyDescent="0.25">
      <c r="A898" t="s">
        <v>919</v>
      </c>
      <c r="B898" s="2">
        <v>44738</v>
      </c>
      <c r="C898">
        <v>2022</v>
      </c>
      <c r="D898" t="str">
        <f t="shared" ref="D898:D961" si="28">TEXT(B898,"MMM")</f>
        <v>Jun</v>
      </c>
      <c r="E898" t="s">
        <v>14</v>
      </c>
      <c r="F898" t="s">
        <v>2045</v>
      </c>
      <c r="G898" t="s">
        <v>19</v>
      </c>
      <c r="H898" t="s">
        <v>25</v>
      </c>
      <c r="I898">
        <v>5</v>
      </c>
      <c r="J898" s="9">
        <v>7500</v>
      </c>
      <c r="K898" s="7">
        <v>0.1</v>
      </c>
      <c r="L898" s="9">
        <v>6750</v>
      </c>
      <c r="M898" s="10">
        <f>Sales_Data3[[#This Row],[Profit]]/Sales_Data3[[#This Row],[Sales]]</f>
        <v>0.9</v>
      </c>
      <c r="N898" t="str">
        <f t="shared" ref="N898:N961" si="29">IF(J898&gt;10000,"High",IF(J898&gt;5000,"Medium","Low"))</f>
        <v>Medium</v>
      </c>
      <c r="O898" s="2">
        <v>44738</v>
      </c>
      <c r="P898" s="9">
        <v>7500</v>
      </c>
    </row>
    <row r="899" spans="1:16" x14ac:dyDescent="0.25">
      <c r="A899" t="s">
        <v>920</v>
      </c>
      <c r="B899" s="2">
        <v>44739</v>
      </c>
      <c r="C899">
        <v>2022</v>
      </c>
      <c r="D899" t="str">
        <f t="shared" si="28"/>
        <v>Jun</v>
      </c>
      <c r="E899" t="s">
        <v>14</v>
      </c>
      <c r="F899" t="s">
        <v>2046</v>
      </c>
      <c r="G899" t="s">
        <v>20</v>
      </c>
      <c r="H899" t="s">
        <v>25</v>
      </c>
      <c r="I899">
        <v>7</v>
      </c>
      <c r="J899" s="9">
        <v>14300</v>
      </c>
      <c r="K899" s="7">
        <v>0.15000000000000002</v>
      </c>
      <c r="L899" s="9">
        <v>12155</v>
      </c>
      <c r="M899" s="10">
        <f>Sales_Data3[[#This Row],[Profit]]/Sales_Data3[[#This Row],[Sales]]</f>
        <v>0.85</v>
      </c>
      <c r="N899" t="str">
        <f t="shared" si="29"/>
        <v>High</v>
      </c>
      <c r="O899" s="2">
        <v>44739</v>
      </c>
      <c r="P899" s="9">
        <v>14300</v>
      </c>
    </row>
    <row r="900" spans="1:16" x14ac:dyDescent="0.25">
      <c r="A900" t="s">
        <v>921</v>
      </c>
      <c r="B900" s="2">
        <v>44740</v>
      </c>
      <c r="C900">
        <v>2022</v>
      </c>
      <c r="D900" t="str">
        <f t="shared" si="28"/>
        <v>Jun</v>
      </c>
      <c r="E900" t="s">
        <v>14</v>
      </c>
      <c r="F900" t="s">
        <v>2047</v>
      </c>
      <c r="G900" t="s">
        <v>21</v>
      </c>
      <c r="H900" t="s">
        <v>25</v>
      </c>
      <c r="I900">
        <v>1</v>
      </c>
      <c r="J900" s="9">
        <v>11400</v>
      </c>
      <c r="K900" s="7">
        <v>0.2</v>
      </c>
      <c r="L900" s="9">
        <v>9120</v>
      </c>
      <c r="M900" s="10">
        <f>Sales_Data3[[#This Row],[Profit]]/Sales_Data3[[#This Row],[Sales]]</f>
        <v>0.8</v>
      </c>
      <c r="N900" t="str">
        <f t="shared" si="29"/>
        <v>High</v>
      </c>
      <c r="O900" s="2">
        <v>44740</v>
      </c>
      <c r="P900" s="9">
        <v>11400</v>
      </c>
    </row>
    <row r="901" spans="1:16" x14ac:dyDescent="0.25">
      <c r="A901" t="s">
        <v>922</v>
      </c>
      <c r="B901" s="2">
        <v>44741</v>
      </c>
      <c r="C901">
        <v>2022</v>
      </c>
      <c r="D901" t="str">
        <f t="shared" si="28"/>
        <v>Jun</v>
      </c>
      <c r="E901" t="s">
        <v>14</v>
      </c>
      <c r="F901" t="s">
        <v>2048</v>
      </c>
      <c r="G901" t="s">
        <v>22</v>
      </c>
      <c r="H901" t="s">
        <v>25</v>
      </c>
      <c r="I901">
        <v>1</v>
      </c>
      <c r="J901" s="9">
        <v>6200</v>
      </c>
      <c r="K901" s="7">
        <v>0.25</v>
      </c>
      <c r="L901" s="9">
        <v>4650</v>
      </c>
      <c r="M901" s="10">
        <f>Sales_Data3[[#This Row],[Profit]]/Sales_Data3[[#This Row],[Sales]]</f>
        <v>0.75</v>
      </c>
      <c r="N901" t="str">
        <f t="shared" si="29"/>
        <v>Medium</v>
      </c>
      <c r="O901" s="2">
        <v>44741</v>
      </c>
      <c r="P901" s="9">
        <v>6200</v>
      </c>
    </row>
    <row r="902" spans="1:16" x14ac:dyDescent="0.25">
      <c r="A902" t="s">
        <v>923</v>
      </c>
      <c r="B902" s="2">
        <v>44742</v>
      </c>
      <c r="C902">
        <v>2022</v>
      </c>
      <c r="D902" t="str">
        <f t="shared" si="28"/>
        <v>Jun</v>
      </c>
      <c r="E902" t="s">
        <v>12</v>
      </c>
      <c r="F902" t="s">
        <v>15</v>
      </c>
      <c r="G902" t="s">
        <v>19</v>
      </c>
      <c r="H902" t="s">
        <v>23</v>
      </c>
      <c r="I902">
        <v>8</v>
      </c>
      <c r="J902" s="9">
        <v>9900</v>
      </c>
      <c r="K902" s="7">
        <v>0.05</v>
      </c>
      <c r="L902" s="9">
        <v>9405</v>
      </c>
      <c r="M902" s="10">
        <f>Sales_Data3[[#This Row],[Profit]]/Sales_Data3[[#This Row],[Sales]]</f>
        <v>0.95</v>
      </c>
      <c r="N902" t="str">
        <f t="shared" si="29"/>
        <v>Medium</v>
      </c>
      <c r="O902" s="2">
        <v>44742</v>
      </c>
      <c r="P902" s="9">
        <v>9900</v>
      </c>
    </row>
    <row r="903" spans="1:16" x14ac:dyDescent="0.25">
      <c r="A903" t="s">
        <v>924</v>
      </c>
      <c r="B903" s="2">
        <v>44743</v>
      </c>
      <c r="C903">
        <v>2022</v>
      </c>
      <c r="D903" t="str">
        <f t="shared" si="28"/>
        <v>Jul</v>
      </c>
      <c r="E903" t="s">
        <v>12</v>
      </c>
      <c r="F903" t="s">
        <v>17</v>
      </c>
      <c r="G903" t="s">
        <v>20</v>
      </c>
      <c r="H903" t="s">
        <v>23</v>
      </c>
      <c r="I903">
        <v>4</v>
      </c>
      <c r="J903" s="9">
        <v>8900</v>
      </c>
      <c r="K903" s="7">
        <v>0.1</v>
      </c>
      <c r="L903" s="9">
        <v>8010</v>
      </c>
      <c r="M903" s="10">
        <f>Sales_Data3[[#This Row],[Profit]]/Sales_Data3[[#This Row],[Sales]]</f>
        <v>0.9</v>
      </c>
      <c r="N903" t="str">
        <f t="shared" si="29"/>
        <v>Medium</v>
      </c>
      <c r="O903" s="2">
        <v>44743</v>
      </c>
      <c r="P903" s="9">
        <v>8900</v>
      </c>
    </row>
    <row r="904" spans="1:16" x14ac:dyDescent="0.25">
      <c r="A904" t="s">
        <v>925</v>
      </c>
      <c r="B904" s="2">
        <v>44744</v>
      </c>
      <c r="C904">
        <v>2022</v>
      </c>
      <c r="D904" t="str">
        <f t="shared" si="28"/>
        <v>Jul</v>
      </c>
      <c r="E904" t="s">
        <v>12</v>
      </c>
      <c r="F904" t="s">
        <v>2023</v>
      </c>
      <c r="G904" t="s">
        <v>21</v>
      </c>
      <c r="H904" t="s">
        <v>23</v>
      </c>
      <c r="I904">
        <v>5</v>
      </c>
      <c r="J904" s="9">
        <v>12500</v>
      </c>
      <c r="K904" s="7">
        <v>0.15000000000000002</v>
      </c>
      <c r="L904" s="9">
        <v>10625</v>
      </c>
      <c r="M904" s="10">
        <f>Sales_Data3[[#This Row],[Profit]]/Sales_Data3[[#This Row],[Sales]]</f>
        <v>0.85</v>
      </c>
      <c r="N904" t="str">
        <f t="shared" si="29"/>
        <v>High</v>
      </c>
      <c r="O904" s="2">
        <v>44744</v>
      </c>
      <c r="P904" s="9">
        <v>12500</v>
      </c>
    </row>
    <row r="905" spans="1:16" x14ac:dyDescent="0.25">
      <c r="A905" t="s">
        <v>926</v>
      </c>
      <c r="B905" s="2">
        <v>44745</v>
      </c>
      <c r="C905">
        <v>2022</v>
      </c>
      <c r="D905" t="str">
        <f t="shared" si="28"/>
        <v>Jul</v>
      </c>
      <c r="E905" t="s">
        <v>12</v>
      </c>
      <c r="F905" t="s">
        <v>18</v>
      </c>
      <c r="G905" t="s">
        <v>22</v>
      </c>
      <c r="H905" t="s">
        <v>23</v>
      </c>
      <c r="I905">
        <v>10</v>
      </c>
      <c r="J905" s="9">
        <v>10200</v>
      </c>
      <c r="K905" s="7">
        <v>0.2</v>
      </c>
      <c r="L905" s="9">
        <v>8160</v>
      </c>
      <c r="M905" s="10">
        <f>Sales_Data3[[#This Row],[Profit]]/Sales_Data3[[#This Row],[Sales]]</f>
        <v>0.8</v>
      </c>
      <c r="N905" t="str">
        <f t="shared" si="29"/>
        <v>High</v>
      </c>
      <c r="O905" s="2">
        <v>44745</v>
      </c>
      <c r="P905" s="9">
        <v>10200</v>
      </c>
    </row>
    <row r="906" spans="1:16" x14ac:dyDescent="0.25">
      <c r="A906" t="s">
        <v>927</v>
      </c>
      <c r="B906" s="2">
        <v>44746</v>
      </c>
      <c r="C906">
        <v>2022</v>
      </c>
      <c r="D906" t="str">
        <f t="shared" si="28"/>
        <v>Jul</v>
      </c>
      <c r="E906" t="s">
        <v>12</v>
      </c>
      <c r="F906" t="s">
        <v>2024</v>
      </c>
      <c r="G906" t="s">
        <v>19</v>
      </c>
      <c r="H906" t="s">
        <v>23</v>
      </c>
      <c r="I906">
        <v>2</v>
      </c>
      <c r="J906" s="9">
        <v>5300</v>
      </c>
      <c r="K906" s="7">
        <v>0.25</v>
      </c>
      <c r="L906" s="9">
        <v>3975</v>
      </c>
      <c r="M906" s="10">
        <f>Sales_Data3[[#This Row],[Profit]]/Sales_Data3[[#This Row],[Sales]]</f>
        <v>0.75</v>
      </c>
      <c r="N906" t="str">
        <f t="shared" si="29"/>
        <v>Medium</v>
      </c>
      <c r="O906" s="2">
        <v>44746</v>
      </c>
      <c r="P906" s="9">
        <v>5300</v>
      </c>
    </row>
    <row r="907" spans="1:16" x14ac:dyDescent="0.25">
      <c r="A907" t="s">
        <v>928</v>
      </c>
      <c r="B907" s="2">
        <v>44747</v>
      </c>
      <c r="C907">
        <v>2022</v>
      </c>
      <c r="D907" t="str">
        <f t="shared" si="28"/>
        <v>Jul</v>
      </c>
      <c r="E907" t="s">
        <v>12</v>
      </c>
      <c r="F907" t="s">
        <v>2025</v>
      </c>
      <c r="G907" t="s">
        <v>20</v>
      </c>
      <c r="H907" t="s">
        <v>23</v>
      </c>
      <c r="I907">
        <v>1</v>
      </c>
      <c r="J907" s="9">
        <v>12000</v>
      </c>
      <c r="K907" s="7">
        <v>0.05</v>
      </c>
      <c r="L907" s="9">
        <v>11400</v>
      </c>
      <c r="M907" s="10">
        <f>Sales_Data3[[#This Row],[Profit]]/Sales_Data3[[#This Row],[Sales]]</f>
        <v>0.95</v>
      </c>
      <c r="N907" t="str">
        <f t="shared" si="29"/>
        <v>High</v>
      </c>
      <c r="O907" s="2">
        <v>44747</v>
      </c>
      <c r="P907" s="9">
        <v>12000</v>
      </c>
    </row>
    <row r="908" spans="1:16" x14ac:dyDescent="0.25">
      <c r="A908" t="s">
        <v>929</v>
      </c>
      <c r="B908" s="2">
        <v>44748</v>
      </c>
      <c r="C908">
        <v>2022</v>
      </c>
      <c r="D908" t="str">
        <f t="shared" si="28"/>
        <v>Jul</v>
      </c>
      <c r="E908" t="s">
        <v>12</v>
      </c>
      <c r="F908" t="s">
        <v>2026</v>
      </c>
      <c r="G908" t="s">
        <v>21</v>
      </c>
      <c r="H908" t="s">
        <v>23</v>
      </c>
      <c r="I908">
        <v>3</v>
      </c>
      <c r="J908" s="9">
        <v>12300</v>
      </c>
      <c r="K908" s="7">
        <v>0.1</v>
      </c>
      <c r="L908" s="9">
        <v>11070</v>
      </c>
      <c r="M908" s="10">
        <f>Sales_Data3[[#This Row],[Profit]]/Sales_Data3[[#This Row],[Sales]]</f>
        <v>0.9</v>
      </c>
      <c r="N908" t="str">
        <f t="shared" si="29"/>
        <v>High</v>
      </c>
      <c r="O908" s="2">
        <v>44748</v>
      </c>
      <c r="P908" s="9">
        <v>12300</v>
      </c>
    </row>
    <row r="909" spans="1:16" x14ac:dyDescent="0.25">
      <c r="A909" t="s">
        <v>930</v>
      </c>
      <c r="B909" s="2">
        <v>44749</v>
      </c>
      <c r="C909">
        <v>2022</v>
      </c>
      <c r="D909" t="str">
        <f t="shared" si="28"/>
        <v>Jul</v>
      </c>
      <c r="E909" t="s">
        <v>12</v>
      </c>
      <c r="F909" t="s">
        <v>2027</v>
      </c>
      <c r="G909" t="s">
        <v>22</v>
      </c>
      <c r="H909" t="s">
        <v>23</v>
      </c>
      <c r="I909">
        <v>6</v>
      </c>
      <c r="J909" s="9">
        <v>11400</v>
      </c>
      <c r="K909" s="7">
        <v>0.15000000000000002</v>
      </c>
      <c r="L909" s="9">
        <v>9690</v>
      </c>
      <c r="M909" s="10">
        <f>Sales_Data3[[#This Row],[Profit]]/Sales_Data3[[#This Row],[Sales]]</f>
        <v>0.85</v>
      </c>
      <c r="N909" t="str">
        <f t="shared" si="29"/>
        <v>High</v>
      </c>
      <c r="O909" s="2">
        <v>44749</v>
      </c>
      <c r="P909" s="9">
        <v>11400</v>
      </c>
    </row>
    <row r="910" spans="1:16" x14ac:dyDescent="0.25">
      <c r="A910" t="s">
        <v>931</v>
      </c>
      <c r="B910" s="2">
        <v>44750</v>
      </c>
      <c r="C910">
        <v>2022</v>
      </c>
      <c r="D910" t="str">
        <f t="shared" si="28"/>
        <v>Jul</v>
      </c>
      <c r="E910" t="s">
        <v>12</v>
      </c>
      <c r="F910" t="s">
        <v>2028</v>
      </c>
      <c r="G910" t="s">
        <v>19</v>
      </c>
      <c r="H910" t="s">
        <v>23</v>
      </c>
      <c r="I910">
        <v>10</v>
      </c>
      <c r="J910" s="9">
        <v>13600</v>
      </c>
      <c r="K910" s="7">
        <v>0.2</v>
      </c>
      <c r="L910" s="9">
        <v>10880</v>
      </c>
      <c r="M910" s="10">
        <f>Sales_Data3[[#This Row],[Profit]]/Sales_Data3[[#This Row],[Sales]]</f>
        <v>0.8</v>
      </c>
      <c r="N910" t="str">
        <f t="shared" si="29"/>
        <v>High</v>
      </c>
      <c r="O910" s="2">
        <v>44750</v>
      </c>
      <c r="P910" s="9">
        <v>13600</v>
      </c>
    </row>
    <row r="911" spans="1:16" x14ac:dyDescent="0.25">
      <c r="A911" t="s">
        <v>932</v>
      </c>
      <c r="B911" s="2">
        <v>44751</v>
      </c>
      <c r="C911">
        <v>2022</v>
      </c>
      <c r="D911" t="str">
        <f t="shared" si="28"/>
        <v>Jul</v>
      </c>
      <c r="E911" t="s">
        <v>12</v>
      </c>
      <c r="F911" t="s">
        <v>2029</v>
      </c>
      <c r="G911" t="s">
        <v>20</v>
      </c>
      <c r="H911" t="s">
        <v>23</v>
      </c>
      <c r="I911">
        <v>9</v>
      </c>
      <c r="J911" s="9">
        <v>7000</v>
      </c>
      <c r="K911" s="7">
        <v>0.25</v>
      </c>
      <c r="L911" s="9">
        <v>5250</v>
      </c>
      <c r="M911" s="10">
        <f>Sales_Data3[[#This Row],[Profit]]/Sales_Data3[[#This Row],[Sales]]</f>
        <v>0.75</v>
      </c>
      <c r="N911" t="str">
        <f t="shared" si="29"/>
        <v>Medium</v>
      </c>
      <c r="O911" s="2">
        <v>44751</v>
      </c>
      <c r="P911" s="9">
        <v>7000</v>
      </c>
    </row>
    <row r="912" spans="1:16" x14ac:dyDescent="0.25">
      <c r="A912" t="s">
        <v>933</v>
      </c>
      <c r="B912" s="2">
        <v>44752</v>
      </c>
      <c r="C912">
        <v>2022</v>
      </c>
      <c r="D912" t="str">
        <f t="shared" si="28"/>
        <v>Jul</v>
      </c>
      <c r="E912" t="s">
        <v>13</v>
      </c>
      <c r="F912" t="s">
        <v>16</v>
      </c>
      <c r="G912" t="s">
        <v>21</v>
      </c>
      <c r="H912" t="s">
        <v>24</v>
      </c>
      <c r="I912">
        <v>8</v>
      </c>
      <c r="J912" s="9">
        <v>10300</v>
      </c>
      <c r="K912" s="7">
        <v>0.05</v>
      </c>
      <c r="L912" s="9">
        <v>9785</v>
      </c>
      <c r="M912" s="10">
        <f>Sales_Data3[[#This Row],[Profit]]/Sales_Data3[[#This Row],[Sales]]</f>
        <v>0.95</v>
      </c>
      <c r="N912" t="str">
        <f t="shared" si="29"/>
        <v>High</v>
      </c>
      <c r="O912" s="2">
        <v>44752</v>
      </c>
      <c r="P912" s="9">
        <v>10300</v>
      </c>
    </row>
    <row r="913" spans="1:16" x14ac:dyDescent="0.25">
      <c r="A913" t="s">
        <v>934</v>
      </c>
      <c r="B913" s="2">
        <v>44753</v>
      </c>
      <c r="C913">
        <v>2022</v>
      </c>
      <c r="D913" t="str">
        <f t="shared" si="28"/>
        <v>Jul</v>
      </c>
      <c r="E913" t="s">
        <v>13</v>
      </c>
      <c r="F913" t="s">
        <v>2030</v>
      </c>
      <c r="G913" t="s">
        <v>22</v>
      </c>
      <c r="H913" t="s">
        <v>24</v>
      </c>
      <c r="I913">
        <v>1</v>
      </c>
      <c r="J913" s="9">
        <v>5600</v>
      </c>
      <c r="K913" s="7">
        <v>0.1</v>
      </c>
      <c r="L913" s="9">
        <v>5040</v>
      </c>
      <c r="M913" s="10">
        <f>Sales_Data3[[#This Row],[Profit]]/Sales_Data3[[#This Row],[Sales]]</f>
        <v>0.9</v>
      </c>
      <c r="N913" t="str">
        <f t="shared" si="29"/>
        <v>Medium</v>
      </c>
      <c r="O913" s="2">
        <v>44753</v>
      </c>
      <c r="P913" s="9">
        <v>5600</v>
      </c>
    </row>
    <row r="914" spans="1:16" x14ac:dyDescent="0.25">
      <c r="A914" t="s">
        <v>935</v>
      </c>
      <c r="B914" s="2">
        <v>44754</v>
      </c>
      <c r="C914">
        <v>2022</v>
      </c>
      <c r="D914" t="str">
        <f t="shared" si="28"/>
        <v>Jul</v>
      </c>
      <c r="E914" t="s">
        <v>13</v>
      </c>
      <c r="F914" t="s">
        <v>2031</v>
      </c>
      <c r="G914" t="s">
        <v>19</v>
      </c>
      <c r="H914" t="s">
        <v>24</v>
      </c>
      <c r="I914">
        <v>6</v>
      </c>
      <c r="J914" s="9">
        <v>14900</v>
      </c>
      <c r="K914" s="7">
        <v>0.15000000000000002</v>
      </c>
      <c r="L914" s="9">
        <v>12665</v>
      </c>
      <c r="M914" s="10">
        <f>Sales_Data3[[#This Row],[Profit]]/Sales_Data3[[#This Row],[Sales]]</f>
        <v>0.85</v>
      </c>
      <c r="N914" t="str">
        <f t="shared" si="29"/>
        <v>High</v>
      </c>
      <c r="O914" s="2">
        <v>44754</v>
      </c>
      <c r="P914" s="9">
        <v>14900</v>
      </c>
    </row>
    <row r="915" spans="1:16" x14ac:dyDescent="0.25">
      <c r="A915" t="s">
        <v>936</v>
      </c>
      <c r="B915" s="2">
        <v>44755</v>
      </c>
      <c r="C915">
        <v>2022</v>
      </c>
      <c r="D915" t="str">
        <f t="shared" si="28"/>
        <v>Jul</v>
      </c>
      <c r="E915" t="s">
        <v>13</v>
      </c>
      <c r="F915" t="s">
        <v>2032</v>
      </c>
      <c r="G915" t="s">
        <v>20</v>
      </c>
      <c r="H915" t="s">
        <v>24</v>
      </c>
      <c r="I915">
        <v>3</v>
      </c>
      <c r="J915" s="9">
        <v>11100</v>
      </c>
      <c r="K915" s="7">
        <v>0.2</v>
      </c>
      <c r="L915" s="9">
        <v>8880</v>
      </c>
      <c r="M915" s="10">
        <f>Sales_Data3[[#This Row],[Profit]]/Sales_Data3[[#This Row],[Sales]]</f>
        <v>0.8</v>
      </c>
      <c r="N915" t="str">
        <f t="shared" si="29"/>
        <v>High</v>
      </c>
      <c r="O915" s="2">
        <v>44755</v>
      </c>
      <c r="P915" s="9">
        <v>11100</v>
      </c>
    </row>
    <row r="916" spans="1:16" x14ac:dyDescent="0.25">
      <c r="A916" t="s">
        <v>937</v>
      </c>
      <c r="B916" s="2">
        <v>44756</v>
      </c>
      <c r="C916">
        <v>2022</v>
      </c>
      <c r="D916" t="str">
        <f t="shared" si="28"/>
        <v>Jul</v>
      </c>
      <c r="E916" t="s">
        <v>13</v>
      </c>
      <c r="F916" t="s">
        <v>2033</v>
      </c>
      <c r="G916" t="s">
        <v>21</v>
      </c>
      <c r="H916" t="s">
        <v>24</v>
      </c>
      <c r="I916">
        <v>4</v>
      </c>
      <c r="J916" s="9">
        <v>10300</v>
      </c>
      <c r="K916" s="7">
        <v>0.25</v>
      </c>
      <c r="L916" s="9">
        <v>7725</v>
      </c>
      <c r="M916" s="10">
        <f>Sales_Data3[[#This Row],[Profit]]/Sales_Data3[[#This Row],[Sales]]</f>
        <v>0.75</v>
      </c>
      <c r="N916" t="str">
        <f t="shared" si="29"/>
        <v>High</v>
      </c>
      <c r="O916" s="2">
        <v>44756</v>
      </c>
      <c r="P916" s="9">
        <v>10300</v>
      </c>
    </row>
    <row r="917" spans="1:16" x14ac:dyDescent="0.25">
      <c r="A917" t="s">
        <v>938</v>
      </c>
      <c r="B917" s="2">
        <v>44757</v>
      </c>
      <c r="C917">
        <v>2022</v>
      </c>
      <c r="D917" t="str">
        <f t="shared" si="28"/>
        <v>Jul</v>
      </c>
      <c r="E917" t="s">
        <v>13</v>
      </c>
      <c r="F917" t="s">
        <v>2034</v>
      </c>
      <c r="G917" t="s">
        <v>22</v>
      </c>
      <c r="H917" t="s">
        <v>24</v>
      </c>
      <c r="I917">
        <v>8</v>
      </c>
      <c r="J917" s="9">
        <v>11500</v>
      </c>
      <c r="K917" s="7">
        <v>0.05</v>
      </c>
      <c r="L917" s="9">
        <v>10925</v>
      </c>
      <c r="M917" s="10">
        <f>Sales_Data3[[#This Row],[Profit]]/Sales_Data3[[#This Row],[Sales]]</f>
        <v>0.95</v>
      </c>
      <c r="N917" t="str">
        <f t="shared" si="29"/>
        <v>High</v>
      </c>
      <c r="O917" s="2">
        <v>44757</v>
      </c>
      <c r="P917" s="9">
        <v>11500</v>
      </c>
    </row>
    <row r="918" spans="1:16" x14ac:dyDescent="0.25">
      <c r="A918" t="s">
        <v>939</v>
      </c>
      <c r="B918" s="2">
        <v>44758</v>
      </c>
      <c r="C918">
        <v>2022</v>
      </c>
      <c r="D918" t="str">
        <f t="shared" si="28"/>
        <v>Jul</v>
      </c>
      <c r="E918" t="s">
        <v>13</v>
      </c>
      <c r="F918" t="s">
        <v>2035</v>
      </c>
      <c r="G918" t="s">
        <v>19</v>
      </c>
      <c r="H918" t="s">
        <v>24</v>
      </c>
      <c r="I918">
        <v>6</v>
      </c>
      <c r="J918" s="9">
        <v>8700</v>
      </c>
      <c r="K918" s="7">
        <v>0.1</v>
      </c>
      <c r="L918" s="9">
        <v>7830</v>
      </c>
      <c r="M918" s="10">
        <f>Sales_Data3[[#This Row],[Profit]]/Sales_Data3[[#This Row],[Sales]]</f>
        <v>0.9</v>
      </c>
      <c r="N918" t="str">
        <f t="shared" si="29"/>
        <v>Medium</v>
      </c>
      <c r="O918" s="2">
        <v>44758</v>
      </c>
      <c r="P918" s="9">
        <v>8700</v>
      </c>
    </row>
    <row r="919" spans="1:16" x14ac:dyDescent="0.25">
      <c r="A919" t="s">
        <v>940</v>
      </c>
      <c r="B919" s="2">
        <v>44759</v>
      </c>
      <c r="C919">
        <v>2022</v>
      </c>
      <c r="D919" t="str">
        <f t="shared" si="28"/>
        <v>Jul</v>
      </c>
      <c r="E919" t="s">
        <v>13</v>
      </c>
      <c r="F919" t="s">
        <v>2036</v>
      </c>
      <c r="G919" t="s">
        <v>20</v>
      </c>
      <c r="H919" t="s">
        <v>24</v>
      </c>
      <c r="I919">
        <v>6</v>
      </c>
      <c r="J919" s="9">
        <v>4100</v>
      </c>
      <c r="K919" s="7">
        <v>0.15000000000000002</v>
      </c>
      <c r="L919" s="9">
        <v>3485</v>
      </c>
      <c r="M919" s="10">
        <f>Sales_Data3[[#This Row],[Profit]]/Sales_Data3[[#This Row],[Sales]]</f>
        <v>0.85</v>
      </c>
      <c r="N919" t="str">
        <f t="shared" si="29"/>
        <v>Low</v>
      </c>
      <c r="O919" s="2">
        <v>44759</v>
      </c>
      <c r="P919" s="9">
        <v>4100</v>
      </c>
    </row>
    <row r="920" spans="1:16" x14ac:dyDescent="0.25">
      <c r="A920" t="s">
        <v>941</v>
      </c>
      <c r="B920" s="2">
        <v>44760</v>
      </c>
      <c r="C920">
        <v>2022</v>
      </c>
      <c r="D920" t="str">
        <f t="shared" si="28"/>
        <v>Jul</v>
      </c>
      <c r="E920" t="s">
        <v>13</v>
      </c>
      <c r="F920" t="s">
        <v>2037</v>
      </c>
      <c r="G920" t="s">
        <v>21</v>
      </c>
      <c r="H920" t="s">
        <v>24</v>
      </c>
      <c r="I920">
        <v>1</v>
      </c>
      <c r="J920" s="9">
        <v>5500</v>
      </c>
      <c r="K920" s="7">
        <v>0.2</v>
      </c>
      <c r="L920" s="9">
        <v>4400</v>
      </c>
      <c r="M920" s="10">
        <f>Sales_Data3[[#This Row],[Profit]]/Sales_Data3[[#This Row],[Sales]]</f>
        <v>0.8</v>
      </c>
      <c r="N920" t="str">
        <f t="shared" si="29"/>
        <v>Medium</v>
      </c>
      <c r="O920" s="2">
        <v>44760</v>
      </c>
      <c r="P920" s="9">
        <v>5500</v>
      </c>
    </row>
    <row r="921" spans="1:16" x14ac:dyDescent="0.25">
      <c r="A921" t="s">
        <v>942</v>
      </c>
      <c r="B921" s="2">
        <v>44761</v>
      </c>
      <c r="C921">
        <v>2022</v>
      </c>
      <c r="D921" t="str">
        <f t="shared" si="28"/>
        <v>Jul</v>
      </c>
      <c r="E921" t="s">
        <v>13</v>
      </c>
      <c r="F921" t="s">
        <v>2038</v>
      </c>
      <c r="G921" t="s">
        <v>22</v>
      </c>
      <c r="H921" t="s">
        <v>24</v>
      </c>
      <c r="I921">
        <v>1</v>
      </c>
      <c r="J921" s="9">
        <v>12000</v>
      </c>
      <c r="K921" s="7">
        <v>0.25</v>
      </c>
      <c r="L921" s="9">
        <v>9000</v>
      </c>
      <c r="M921" s="10">
        <f>Sales_Data3[[#This Row],[Profit]]/Sales_Data3[[#This Row],[Sales]]</f>
        <v>0.75</v>
      </c>
      <c r="N921" t="str">
        <f t="shared" si="29"/>
        <v>High</v>
      </c>
      <c r="O921" s="2">
        <v>44761</v>
      </c>
      <c r="P921" s="9">
        <v>12000</v>
      </c>
    </row>
    <row r="922" spans="1:16" x14ac:dyDescent="0.25">
      <c r="A922" t="s">
        <v>943</v>
      </c>
      <c r="B922" s="2">
        <v>44762</v>
      </c>
      <c r="C922">
        <v>2022</v>
      </c>
      <c r="D922" t="str">
        <f t="shared" si="28"/>
        <v>Jul</v>
      </c>
      <c r="E922" t="s">
        <v>14</v>
      </c>
      <c r="F922" t="s">
        <v>2039</v>
      </c>
      <c r="G922" t="s">
        <v>19</v>
      </c>
      <c r="H922" t="s">
        <v>25</v>
      </c>
      <c r="I922">
        <v>5</v>
      </c>
      <c r="J922" s="9">
        <v>8800</v>
      </c>
      <c r="K922" s="7">
        <v>0.05</v>
      </c>
      <c r="L922" s="9">
        <v>8360</v>
      </c>
      <c r="M922" s="10">
        <f>Sales_Data3[[#This Row],[Profit]]/Sales_Data3[[#This Row],[Sales]]</f>
        <v>0.95</v>
      </c>
      <c r="N922" t="str">
        <f t="shared" si="29"/>
        <v>Medium</v>
      </c>
      <c r="O922" s="2">
        <v>44762</v>
      </c>
      <c r="P922" s="9">
        <v>8800</v>
      </c>
    </row>
    <row r="923" spans="1:16" x14ac:dyDescent="0.25">
      <c r="A923" t="s">
        <v>944</v>
      </c>
      <c r="B923" s="2">
        <v>44763</v>
      </c>
      <c r="C923">
        <v>2022</v>
      </c>
      <c r="D923" t="str">
        <f t="shared" si="28"/>
        <v>Jul</v>
      </c>
      <c r="E923" t="s">
        <v>14</v>
      </c>
      <c r="F923" t="s">
        <v>2040</v>
      </c>
      <c r="G923" t="s">
        <v>20</v>
      </c>
      <c r="H923" t="s">
        <v>25</v>
      </c>
      <c r="I923">
        <v>1</v>
      </c>
      <c r="J923" s="9">
        <v>9400</v>
      </c>
      <c r="K923" s="7">
        <v>0.1</v>
      </c>
      <c r="L923" s="9">
        <v>8460</v>
      </c>
      <c r="M923" s="10">
        <f>Sales_Data3[[#This Row],[Profit]]/Sales_Data3[[#This Row],[Sales]]</f>
        <v>0.9</v>
      </c>
      <c r="N923" t="str">
        <f t="shared" si="29"/>
        <v>Medium</v>
      </c>
      <c r="O923" s="2">
        <v>44763</v>
      </c>
      <c r="P923" s="9">
        <v>9400</v>
      </c>
    </row>
    <row r="924" spans="1:16" x14ac:dyDescent="0.25">
      <c r="A924" t="s">
        <v>945</v>
      </c>
      <c r="B924" s="2">
        <v>44764</v>
      </c>
      <c r="C924">
        <v>2022</v>
      </c>
      <c r="D924" t="str">
        <f t="shared" si="28"/>
        <v>Jul</v>
      </c>
      <c r="E924" t="s">
        <v>14</v>
      </c>
      <c r="F924" t="s">
        <v>2041</v>
      </c>
      <c r="G924" t="s">
        <v>21</v>
      </c>
      <c r="H924" t="s">
        <v>25</v>
      </c>
      <c r="I924">
        <v>4</v>
      </c>
      <c r="J924" s="9">
        <v>11800</v>
      </c>
      <c r="K924" s="7">
        <v>0.15000000000000002</v>
      </c>
      <c r="L924" s="9">
        <v>10030</v>
      </c>
      <c r="M924" s="10">
        <f>Sales_Data3[[#This Row],[Profit]]/Sales_Data3[[#This Row],[Sales]]</f>
        <v>0.85</v>
      </c>
      <c r="N924" t="str">
        <f t="shared" si="29"/>
        <v>High</v>
      </c>
      <c r="O924" s="2">
        <v>44764</v>
      </c>
      <c r="P924" s="9">
        <v>11800</v>
      </c>
    </row>
    <row r="925" spans="1:16" x14ac:dyDescent="0.25">
      <c r="A925" t="s">
        <v>946</v>
      </c>
      <c r="B925" s="2">
        <v>44765</v>
      </c>
      <c r="C925">
        <v>2022</v>
      </c>
      <c r="D925" t="str">
        <f t="shared" si="28"/>
        <v>Jul</v>
      </c>
      <c r="E925" t="s">
        <v>14</v>
      </c>
      <c r="F925" t="s">
        <v>2042</v>
      </c>
      <c r="G925" t="s">
        <v>22</v>
      </c>
      <c r="H925" t="s">
        <v>25</v>
      </c>
      <c r="I925">
        <v>8</v>
      </c>
      <c r="J925" s="9">
        <v>4000</v>
      </c>
      <c r="K925" s="7">
        <v>0.2</v>
      </c>
      <c r="L925" s="9">
        <v>3200</v>
      </c>
      <c r="M925" s="10">
        <f>Sales_Data3[[#This Row],[Profit]]/Sales_Data3[[#This Row],[Sales]]</f>
        <v>0.8</v>
      </c>
      <c r="N925" t="str">
        <f t="shared" si="29"/>
        <v>Low</v>
      </c>
      <c r="O925" s="2">
        <v>44765</v>
      </c>
      <c r="P925" s="9">
        <v>4000</v>
      </c>
    </row>
    <row r="926" spans="1:16" x14ac:dyDescent="0.25">
      <c r="A926" t="s">
        <v>947</v>
      </c>
      <c r="B926" s="2">
        <v>44766</v>
      </c>
      <c r="C926">
        <v>2022</v>
      </c>
      <c r="D926" t="str">
        <f t="shared" si="28"/>
        <v>Jul</v>
      </c>
      <c r="E926" t="s">
        <v>14</v>
      </c>
      <c r="F926" t="s">
        <v>2043</v>
      </c>
      <c r="G926" t="s">
        <v>19</v>
      </c>
      <c r="H926" t="s">
        <v>25</v>
      </c>
      <c r="I926">
        <v>5</v>
      </c>
      <c r="J926" s="9">
        <v>5300</v>
      </c>
      <c r="K926" s="7">
        <v>0.25</v>
      </c>
      <c r="L926" s="9">
        <v>3975</v>
      </c>
      <c r="M926" s="10">
        <f>Sales_Data3[[#This Row],[Profit]]/Sales_Data3[[#This Row],[Sales]]</f>
        <v>0.75</v>
      </c>
      <c r="N926" t="str">
        <f t="shared" si="29"/>
        <v>Medium</v>
      </c>
      <c r="O926" s="2">
        <v>44766</v>
      </c>
      <c r="P926" s="9">
        <v>5300</v>
      </c>
    </row>
    <row r="927" spans="1:16" x14ac:dyDescent="0.25">
      <c r="A927" t="s">
        <v>948</v>
      </c>
      <c r="B927" s="2">
        <v>44767</v>
      </c>
      <c r="C927">
        <v>2022</v>
      </c>
      <c r="D927" t="str">
        <f t="shared" si="28"/>
        <v>Jul</v>
      </c>
      <c r="E927" t="s">
        <v>14</v>
      </c>
      <c r="F927" t="s">
        <v>2044</v>
      </c>
      <c r="G927" t="s">
        <v>20</v>
      </c>
      <c r="H927" t="s">
        <v>25</v>
      </c>
      <c r="I927">
        <v>2</v>
      </c>
      <c r="J927" s="9">
        <v>11000</v>
      </c>
      <c r="K927" s="7">
        <v>0.05</v>
      </c>
      <c r="L927" s="9">
        <v>10450</v>
      </c>
      <c r="M927" s="10">
        <f>Sales_Data3[[#This Row],[Profit]]/Sales_Data3[[#This Row],[Sales]]</f>
        <v>0.95</v>
      </c>
      <c r="N927" t="str">
        <f t="shared" si="29"/>
        <v>High</v>
      </c>
      <c r="O927" s="2">
        <v>44767</v>
      </c>
      <c r="P927" s="9">
        <v>11000</v>
      </c>
    </row>
    <row r="928" spans="1:16" x14ac:dyDescent="0.25">
      <c r="A928" t="s">
        <v>949</v>
      </c>
      <c r="B928" s="2">
        <v>44768</v>
      </c>
      <c r="C928">
        <v>2022</v>
      </c>
      <c r="D928" t="str">
        <f t="shared" si="28"/>
        <v>Jul</v>
      </c>
      <c r="E928" t="s">
        <v>14</v>
      </c>
      <c r="F928" t="s">
        <v>2045</v>
      </c>
      <c r="G928" t="s">
        <v>21</v>
      </c>
      <c r="H928" t="s">
        <v>25</v>
      </c>
      <c r="I928">
        <v>7</v>
      </c>
      <c r="J928" s="9">
        <v>8200</v>
      </c>
      <c r="K928" s="7">
        <v>0.1</v>
      </c>
      <c r="L928" s="9">
        <v>7380</v>
      </c>
      <c r="M928" s="10">
        <f>Sales_Data3[[#This Row],[Profit]]/Sales_Data3[[#This Row],[Sales]]</f>
        <v>0.9</v>
      </c>
      <c r="N928" t="str">
        <f t="shared" si="29"/>
        <v>Medium</v>
      </c>
      <c r="O928" s="2">
        <v>44768</v>
      </c>
      <c r="P928" s="9">
        <v>8200</v>
      </c>
    </row>
    <row r="929" spans="1:16" x14ac:dyDescent="0.25">
      <c r="A929" t="s">
        <v>950</v>
      </c>
      <c r="B929" s="2">
        <v>44769</v>
      </c>
      <c r="C929">
        <v>2022</v>
      </c>
      <c r="D929" t="str">
        <f t="shared" si="28"/>
        <v>Jul</v>
      </c>
      <c r="E929" t="s">
        <v>14</v>
      </c>
      <c r="F929" t="s">
        <v>2046</v>
      </c>
      <c r="G929" t="s">
        <v>22</v>
      </c>
      <c r="H929" t="s">
        <v>25</v>
      </c>
      <c r="I929">
        <v>3</v>
      </c>
      <c r="J929" s="9">
        <v>8600</v>
      </c>
      <c r="K929" s="7">
        <v>0.15000000000000002</v>
      </c>
      <c r="L929" s="9">
        <v>7310</v>
      </c>
      <c r="M929" s="10">
        <f>Sales_Data3[[#This Row],[Profit]]/Sales_Data3[[#This Row],[Sales]]</f>
        <v>0.85</v>
      </c>
      <c r="N929" t="str">
        <f t="shared" si="29"/>
        <v>Medium</v>
      </c>
      <c r="O929" s="2">
        <v>44769</v>
      </c>
      <c r="P929" s="9">
        <v>8600</v>
      </c>
    </row>
    <row r="930" spans="1:16" x14ac:dyDescent="0.25">
      <c r="A930" t="s">
        <v>951</v>
      </c>
      <c r="B930" s="2">
        <v>44770</v>
      </c>
      <c r="C930">
        <v>2022</v>
      </c>
      <c r="D930" t="str">
        <f t="shared" si="28"/>
        <v>Jul</v>
      </c>
      <c r="E930" t="s">
        <v>14</v>
      </c>
      <c r="F930" t="s">
        <v>2047</v>
      </c>
      <c r="G930" t="s">
        <v>19</v>
      </c>
      <c r="H930" t="s">
        <v>25</v>
      </c>
      <c r="I930">
        <v>2</v>
      </c>
      <c r="J930" s="9">
        <v>8100</v>
      </c>
      <c r="K930" s="7">
        <v>0.2</v>
      </c>
      <c r="L930" s="9">
        <v>6480</v>
      </c>
      <c r="M930" s="10">
        <f>Sales_Data3[[#This Row],[Profit]]/Sales_Data3[[#This Row],[Sales]]</f>
        <v>0.8</v>
      </c>
      <c r="N930" t="str">
        <f t="shared" si="29"/>
        <v>Medium</v>
      </c>
      <c r="O930" s="2">
        <v>44770</v>
      </c>
      <c r="P930" s="9">
        <v>8100</v>
      </c>
    </row>
    <row r="931" spans="1:16" x14ac:dyDescent="0.25">
      <c r="A931" t="s">
        <v>952</v>
      </c>
      <c r="B931" s="2">
        <v>44771</v>
      </c>
      <c r="C931">
        <v>2022</v>
      </c>
      <c r="D931" t="str">
        <f t="shared" si="28"/>
        <v>Jul</v>
      </c>
      <c r="E931" t="s">
        <v>14</v>
      </c>
      <c r="F931" t="s">
        <v>2048</v>
      </c>
      <c r="G931" t="s">
        <v>20</v>
      </c>
      <c r="H931" t="s">
        <v>25</v>
      </c>
      <c r="I931">
        <v>3</v>
      </c>
      <c r="J931" s="9">
        <v>11100</v>
      </c>
      <c r="K931" s="7">
        <v>0.25</v>
      </c>
      <c r="L931" s="9">
        <v>8325</v>
      </c>
      <c r="M931" s="10">
        <f>Sales_Data3[[#This Row],[Profit]]/Sales_Data3[[#This Row],[Sales]]</f>
        <v>0.75</v>
      </c>
      <c r="N931" t="str">
        <f t="shared" si="29"/>
        <v>High</v>
      </c>
      <c r="O931" s="2">
        <v>44771</v>
      </c>
      <c r="P931" s="9">
        <v>11100</v>
      </c>
    </row>
    <row r="932" spans="1:16" x14ac:dyDescent="0.25">
      <c r="A932" t="s">
        <v>953</v>
      </c>
      <c r="B932" s="2">
        <v>44772</v>
      </c>
      <c r="C932">
        <v>2022</v>
      </c>
      <c r="D932" t="str">
        <f t="shared" si="28"/>
        <v>Jul</v>
      </c>
      <c r="E932" t="s">
        <v>12</v>
      </c>
      <c r="F932" t="s">
        <v>15</v>
      </c>
      <c r="G932" t="s">
        <v>21</v>
      </c>
      <c r="H932" t="s">
        <v>23</v>
      </c>
      <c r="I932">
        <v>5</v>
      </c>
      <c r="J932" s="9">
        <v>9300</v>
      </c>
      <c r="K932" s="7">
        <v>0.05</v>
      </c>
      <c r="L932" s="9">
        <v>8835</v>
      </c>
      <c r="M932" s="10">
        <f>Sales_Data3[[#This Row],[Profit]]/Sales_Data3[[#This Row],[Sales]]</f>
        <v>0.95</v>
      </c>
      <c r="N932" t="str">
        <f t="shared" si="29"/>
        <v>Medium</v>
      </c>
      <c r="O932" s="2">
        <v>44772</v>
      </c>
      <c r="P932" s="9">
        <v>9300</v>
      </c>
    </row>
    <row r="933" spans="1:16" x14ac:dyDescent="0.25">
      <c r="A933" t="s">
        <v>954</v>
      </c>
      <c r="B933" s="2">
        <v>44773</v>
      </c>
      <c r="C933">
        <v>2022</v>
      </c>
      <c r="D933" t="str">
        <f t="shared" si="28"/>
        <v>Jul</v>
      </c>
      <c r="E933" t="s">
        <v>12</v>
      </c>
      <c r="F933" t="s">
        <v>17</v>
      </c>
      <c r="G933" t="s">
        <v>22</v>
      </c>
      <c r="H933" t="s">
        <v>23</v>
      </c>
      <c r="I933">
        <v>8</v>
      </c>
      <c r="J933" s="9">
        <v>7300</v>
      </c>
      <c r="K933" s="7">
        <v>0.1</v>
      </c>
      <c r="L933" s="9">
        <v>6570</v>
      </c>
      <c r="M933" s="10">
        <f>Sales_Data3[[#This Row],[Profit]]/Sales_Data3[[#This Row],[Sales]]</f>
        <v>0.9</v>
      </c>
      <c r="N933" t="str">
        <f t="shared" si="29"/>
        <v>Medium</v>
      </c>
      <c r="O933" s="2">
        <v>44773</v>
      </c>
      <c r="P933" s="9">
        <v>7300</v>
      </c>
    </row>
    <row r="934" spans="1:16" x14ac:dyDescent="0.25">
      <c r="A934" t="s">
        <v>955</v>
      </c>
      <c r="B934" s="2">
        <v>44774</v>
      </c>
      <c r="C934">
        <v>2022</v>
      </c>
      <c r="D934" t="str">
        <f t="shared" si="28"/>
        <v>Aug</v>
      </c>
      <c r="E934" t="s">
        <v>12</v>
      </c>
      <c r="F934" t="s">
        <v>2023</v>
      </c>
      <c r="G934" t="s">
        <v>19</v>
      </c>
      <c r="H934" t="s">
        <v>23</v>
      </c>
      <c r="I934">
        <v>10</v>
      </c>
      <c r="J934" s="9">
        <v>13300</v>
      </c>
      <c r="K934" s="7">
        <v>0.15000000000000002</v>
      </c>
      <c r="L934" s="9">
        <v>11305</v>
      </c>
      <c r="M934" s="10">
        <f>Sales_Data3[[#This Row],[Profit]]/Sales_Data3[[#This Row],[Sales]]</f>
        <v>0.85</v>
      </c>
      <c r="N934" t="str">
        <f t="shared" si="29"/>
        <v>High</v>
      </c>
      <c r="O934" s="2">
        <v>44774</v>
      </c>
      <c r="P934" s="9">
        <v>13300</v>
      </c>
    </row>
    <row r="935" spans="1:16" x14ac:dyDescent="0.25">
      <c r="A935" t="s">
        <v>956</v>
      </c>
      <c r="B935" s="2">
        <v>44775</v>
      </c>
      <c r="C935">
        <v>2022</v>
      </c>
      <c r="D935" t="str">
        <f t="shared" si="28"/>
        <v>Aug</v>
      </c>
      <c r="E935" t="s">
        <v>12</v>
      </c>
      <c r="F935" t="s">
        <v>18</v>
      </c>
      <c r="G935" t="s">
        <v>20</v>
      </c>
      <c r="H935" t="s">
        <v>23</v>
      </c>
      <c r="I935">
        <v>2</v>
      </c>
      <c r="J935" s="9">
        <v>8300</v>
      </c>
      <c r="K935" s="7">
        <v>0.2</v>
      </c>
      <c r="L935" s="9">
        <v>6640</v>
      </c>
      <c r="M935" s="10">
        <f>Sales_Data3[[#This Row],[Profit]]/Sales_Data3[[#This Row],[Sales]]</f>
        <v>0.8</v>
      </c>
      <c r="N935" t="str">
        <f t="shared" si="29"/>
        <v>Medium</v>
      </c>
      <c r="O935" s="2">
        <v>44775</v>
      </c>
      <c r="P935" s="9">
        <v>8300</v>
      </c>
    </row>
    <row r="936" spans="1:16" x14ac:dyDescent="0.25">
      <c r="A936" t="s">
        <v>957</v>
      </c>
      <c r="B936" s="2">
        <v>44776</v>
      </c>
      <c r="C936">
        <v>2022</v>
      </c>
      <c r="D936" t="str">
        <f t="shared" si="28"/>
        <v>Aug</v>
      </c>
      <c r="E936" t="s">
        <v>12</v>
      </c>
      <c r="F936" t="s">
        <v>2024</v>
      </c>
      <c r="G936" t="s">
        <v>21</v>
      </c>
      <c r="H936" t="s">
        <v>23</v>
      </c>
      <c r="I936">
        <v>3</v>
      </c>
      <c r="J936" s="9">
        <v>14800</v>
      </c>
      <c r="K936" s="7">
        <v>0.25</v>
      </c>
      <c r="L936" s="9">
        <v>11100</v>
      </c>
      <c r="M936" s="10">
        <f>Sales_Data3[[#This Row],[Profit]]/Sales_Data3[[#This Row],[Sales]]</f>
        <v>0.75</v>
      </c>
      <c r="N936" t="str">
        <f t="shared" si="29"/>
        <v>High</v>
      </c>
      <c r="O936" s="2">
        <v>44776</v>
      </c>
      <c r="P936" s="9">
        <v>14800</v>
      </c>
    </row>
    <row r="937" spans="1:16" x14ac:dyDescent="0.25">
      <c r="A937" t="s">
        <v>958</v>
      </c>
      <c r="B937" s="2">
        <v>44777</v>
      </c>
      <c r="C937">
        <v>2022</v>
      </c>
      <c r="D937" t="str">
        <f t="shared" si="28"/>
        <v>Aug</v>
      </c>
      <c r="E937" t="s">
        <v>12</v>
      </c>
      <c r="F937" t="s">
        <v>2025</v>
      </c>
      <c r="G937" t="s">
        <v>22</v>
      </c>
      <c r="H937" t="s">
        <v>23</v>
      </c>
      <c r="I937">
        <v>2</v>
      </c>
      <c r="J937" s="9">
        <v>12500</v>
      </c>
      <c r="K937" s="7">
        <v>0.05</v>
      </c>
      <c r="L937" s="9">
        <v>11875</v>
      </c>
      <c r="M937" s="10">
        <f>Sales_Data3[[#This Row],[Profit]]/Sales_Data3[[#This Row],[Sales]]</f>
        <v>0.95</v>
      </c>
      <c r="N937" t="str">
        <f t="shared" si="29"/>
        <v>High</v>
      </c>
      <c r="O937" s="2">
        <v>44777</v>
      </c>
      <c r="P937" s="9">
        <v>12500</v>
      </c>
    </row>
    <row r="938" spans="1:16" x14ac:dyDescent="0.25">
      <c r="A938" t="s">
        <v>959</v>
      </c>
      <c r="B938" s="2">
        <v>44778</v>
      </c>
      <c r="C938">
        <v>2022</v>
      </c>
      <c r="D938" t="str">
        <f t="shared" si="28"/>
        <v>Aug</v>
      </c>
      <c r="E938" t="s">
        <v>12</v>
      </c>
      <c r="F938" t="s">
        <v>2026</v>
      </c>
      <c r="G938" t="s">
        <v>19</v>
      </c>
      <c r="H938" t="s">
        <v>23</v>
      </c>
      <c r="I938">
        <v>1</v>
      </c>
      <c r="J938" s="9">
        <v>8300</v>
      </c>
      <c r="K938" s="7">
        <v>0.1</v>
      </c>
      <c r="L938" s="9">
        <v>7470</v>
      </c>
      <c r="M938" s="10">
        <f>Sales_Data3[[#This Row],[Profit]]/Sales_Data3[[#This Row],[Sales]]</f>
        <v>0.9</v>
      </c>
      <c r="N938" t="str">
        <f t="shared" si="29"/>
        <v>Medium</v>
      </c>
      <c r="O938" s="2">
        <v>44778</v>
      </c>
      <c r="P938" s="9">
        <v>8300</v>
      </c>
    </row>
    <row r="939" spans="1:16" x14ac:dyDescent="0.25">
      <c r="A939" t="s">
        <v>960</v>
      </c>
      <c r="B939" s="2">
        <v>44779</v>
      </c>
      <c r="C939">
        <v>2022</v>
      </c>
      <c r="D939" t="str">
        <f t="shared" si="28"/>
        <v>Aug</v>
      </c>
      <c r="E939" t="s">
        <v>12</v>
      </c>
      <c r="F939" t="s">
        <v>2027</v>
      </c>
      <c r="G939" t="s">
        <v>20</v>
      </c>
      <c r="H939" t="s">
        <v>23</v>
      </c>
      <c r="I939">
        <v>5</v>
      </c>
      <c r="J939" s="9">
        <v>13800</v>
      </c>
      <c r="K939" s="7">
        <v>0.15000000000000002</v>
      </c>
      <c r="L939" s="9">
        <v>11730</v>
      </c>
      <c r="M939" s="10">
        <f>Sales_Data3[[#This Row],[Profit]]/Sales_Data3[[#This Row],[Sales]]</f>
        <v>0.85</v>
      </c>
      <c r="N939" t="str">
        <f t="shared" si="29"/>
        <v>High</v>
      </c>
      <c r="O939" s="2">
        <v>44779</v>
      </c>
      <c r="P939" s="9">
        <v>13800</v>
      </c>
    </row>
    <row r="940" spans="1:16" x14ac:dyDescent="0.25">
      <c r="A940" t="s">
        <v>961</v>
      </c>
      <c r="B940" s="2">
        <v>44780</v>
      </c>
      <c r="C940">
        <v>2022</v>
      </c>
      <c r="D940" t="str">
        <f t="shared" si="28"/>
        <v>Aug</v>
      </c>
      <c r="E940" t="s">
        <v>12</v>
      </c>
      <c r="F940" t="s">
        <v>2028</v>
      </c>
      <c r="G940" t="s">
        <v>21</v>
      </c>
      <c r="H940" t="s">
        <v>23</v>
      </c>
      <c r="I940">
        <v>8</v>
      </c>
      <c r="J940" s="9">
        <v>6400</v>
      </c>
      <c r="K940" s="7">
        <v>0.2</v>
      </c>
      <c r="L940" s="9">
        <v>5120</v>
      </c>
      <c r="M940" s="10">
        <f>Sales_Data3[[#This Row],[Profit]]/Sales_Data3[[#This Row],[Sales]]</f>
        <v>0.8</v>
      </c>
      <c r="N940" t="str">
        <f t="shared" si="29"/>
        <v>Medium</v>
      </c>
      <c r="O940" s="2">
        <v>44780</v>
      </c>
      <c r="P940" s="9">
        <v>6400</v>
      </c>
    </row>
    <row r="941" spans="1:16" x14ac:dyDescent="0.25">
      <c r="A941" t="s">
        <v>962</v>
      </c>
      <c r="B941" s="2">
        <v>44781</v>
      </c>
      <c r="C941">
        <v>2022</v>
      </c>
      <c r="D941" t="str">
        <f t="shared" si="28"/>
        <v>Aug</v>
      </c>
      <c r="E941" t="s">
        <v>12</v>
      </c>
      <c r="F941" t="s">
        <v>2029</v>
      </c>
      <c r="G941" t="s">
        <v>22</v>
      </c>
      <c r="H941" t="s">
        <v>23</v>
      </c>
      <c r="I941">
        <v>2</v>
      </c>
      <c r="J941" s="9">
        <v>4900</v>
      </c>
      <c r="K941" s="7">
        <v>0.25</v>
      </c>
      <c r="L941" s="9">
        <v>3675</v>
      </c>
      <c r="M941" s="10">
        <f>Sales_Data3[[#This Row],[Profit]]/Sales_Data3[[#This Row],[Sales]]</f>
        <v>0.75</v>
      </c>
      <c r="N941" t="str">
        <f t="shared" si="29"/>
        <v>Low</v>
      </c>
      <c r="O941" s="2">
        <v>44781</v>
      </c>
      <c r="P941" s="9">
        <v>4900</v>
      </c>
    </row>
    <row r="942" spans="1:16" x14ac:dyDescent="0.25">
      <c r="A942" t="s">
        <v>963</v>
      </c>
      <c r="B942" s="2">
        <v>44782</v>
      </c>
      <c r="C942">
        <v>2022</v>
      </c>
      <c r="D942" t="str">
        <f t="shared" si="28"/>
        <v>Aug</v>
      </c>
      <c r="E942" t="s">
        <v>13</v>
      </c>
      <c r="F942" t="s">
        <v>16</v>
      </c>
      <c r="G942" t="s">
        <v>19</v>
      </c>
      <c r="H942" t="s">
        <v>24</v>
      </c>
      <c r="I942">
        <v>4</v>
      </c>
      <c r="J942" s="9">
        <v>9600</v>
      </c>
      <c r="K942" s="7">
        <v>0.05</v>
      </c>
      <c r="L942" s="9">
        <v>9120</v>
      </c>
      <c r="M942" s="10">
        <f>Sales_Data3[[#This Row],[Profit]]/Sales_Data3[[#This Row],[Sales]]</f>
        <v>0.95</v>
      </c>
      <c r="N942" t="str">
        <f t="shared" si="29"/>
        <v>Medium</v>
      </c>
      <c r="O942" s="2">
        <v>44782</v>
      </c>
      <c r="P942" s="9">
        <v>9600</v>
      </c>
    </row>
    <row r="943" spans="1:16" x14ac:dyDescent="0.25">
      <c r="A943" t="s">
        <v>964</v>
      </c>
      <c r="B943" s="2">
        <v>44783</v>
      </c>
      <c r="C943">
        <v>2022</v>
      </c>
      <c r="D943" t="str">
        <f t="shared" si="28"/>
        <v>Aug</v>
      </c>
      <c r="E943" t="s">
        <v>13</v>
      </c>
      <c r="F943" t="s">
        <v>2030</v>
      </c>
      <c r="G943" t="s">
        <v>20</v>
      </c>
      <c r="H943" t="s">
        <v>24</v>
      </c>
      <c r="I943">
        <v>4</v>
      </c>
      <c r="J943" s="9">
        <v>4400</v>
      </c>
      <c r="K943" s="7">
        <v>0.1</v>
      </c>
      <c r="L943" s="9">
        <v>3960</v>
      </c>
      <c r="M943" s="10">
        <f>Sales_Data3[[#This Row],[Profit]]/Sales_Data3[[#This Row],[Sales]]</f>
        <v>0.9</v>
      </c>
      <c r="N943" t="str">
        <f t="shared" si="29"/>
        <v>Low</v>
      </c>
      <c r="O943" s="2">
        <v>44783</v>
      </c>
      <c r="P943" s="9">
        <v>4400</v>
      </c>
    </row>
    <row r="944" spans="1:16" x14ac:dyDescent="0.25">
      <c r="A944" t="s">
        <v>965</v>
      </c>
      <c r="B944" s="2">
        <v>44784</v>
      </c>
      <c r="C944">
        <v>2022</v>
      </c>
      <c r="D944" t="str">
        <f t="shared" si="28"/>
        <v>Aug</v>
      </c>
      <c r="E944" t="s">
        <v>13</v>
      </c>
      <c r="F944" t="s">
        <v>2031</v>
      </c>
      <c r="G944" t="s">
        <v>21</v>
      </c>
      <c r="H944" t="s">
        <v>24</v>
      </c>
      <c r="I944">
        <v>7</v>
      </c>
      <c r="J944" s="9">
        <v>10200</v>
      </c>
      <c r="K944" s="7">
        <v>0.15000000000000002</v>
      </c>
      <c r="L944" s="9">
        <v>8670</v>
      </c>
      <c r="M944" s="10">
        <f>Sales_Data3[[#This Row],[Profit]]/Sales_Data3[[#This Row],[Sales]]</f>
        <v>0.85</v>
      </c>
      <c r="N944" t="str">
        <f t="shared" si="29"/>
        <v>High</v>
      </c>
      <c r="O944" s="2">
        <v>44784</v>
      </c>
      <c r="P944" s="9">
        <v>10200</v>
      </c>
    </row>
    <row r="945" spans="1:16" x14ac:dyDescent="0.25">
      <c r="A945" t="s">
        <v>966</v>
      </c>
      <c r="B945" s="2">
        <v>44785</v>
      </c>
      <c r="C945">
        <v>2022</v>
      </c>
      <c r="D945" t="str">
        <f t="shared" si="28"/>
        <v>Aug</v>
      </c>
      <c r="E945" t="s">
        <v>13</v>
      </c>
      <c r="F945" t="s">
        <v>2032</v>
      </c>
      <c r="G945" t="s">
        <v>22</v>
      </c>
      <c r="H945" t="s">
        <v>24</v>
      </c>
      <c r="I945">
        <v>2</v>
      </c>
      <c r="J945" s="9">
        <v>8600</v>
      </c>
      <c r="K945" s="7">
        <v>0.2</v>
      </c>
      <c r="L945" s="9">
        <v>6880</v>
      </c>
      <c r="M945" s="10">
        <f>Sales_Data3[[#This Row],[Profit]]/Sales_Data3[[#This Row],[Sales]]</f>
        <v>0.8</v>
      </c>
      <c r="N945" t="str">
        <f t="shared" si="29"/>
        <v>Medium</v>
      </c>
      <c r="O945" s="2">
        <v>44785</v>
      </c>
      <c r="P945" s="9">
        <v>8600</v>
      </c>
    </row>
    <row r="946" spans="1:16" x14ac:dyDescent="0.25">
      <c r="A946" t="s">
        <v>967</v>
      </c>
      <c r="B946" s="2">
        <v>44786</v>
      </c>
      <c r="C946">
        <v>2022</v>
      </c>
      <c r="D946" t="str">
        <f t="shared" si="28"/>
        <v>Aug</v>
      </c>
      <c r="E946" t="s">
        <v>13</v>
      </c>
      <c r="F946" t="s">
        <v>2033</v>
      </c>
      <c r="G946" t="s">
        <v>19</v>
      </c>
      <c r="H946" t="s">
        <v>24</v>
      </c>
      <c r="I946">
        <v>1</v>
      </c>
      <c r="J946" s="9">
        <v>10400</v>
      </c>
      <c r="K946" s="7">
        <v>0.25</v>
      </c>
      <c r="L946" s="9">
        <v>7800</v>
      </c>
      <c r="M946" s="10">
        <f>Sales_Data3[[#This Row],[Profit]]/Sales_Data3[[#This Row],[Sales]]</f>
        <v>0.75</v>
      </c>
      <c r="N946" t="str">
        <f t="shared" si="29"/>
        <v>High</v>
      </c>
      <c r="O946" s="2">
        <v>44786</v>
      </c>
      <c r="P946" s="9">
        <v>10400</v>
      </c>
    </row>
    <row r="947" spans="1:16" x14ac:dyDescent="0.25">
      <c r="A947" t="s">
        <v>968</v>
      </c>
      <c r="B947" s="2">
        <v>44787</v>
      </c>
      <c r="C947">
        <v>2022</v>
      </c>
      <c r="D947" t="str">
        <f t="shared" si="28"/>
        <v>Aug</v>
      </c>
      <c r="E947" t="s">
        <v>13</v>
      </c>
      <c r="F947" t="s">
        <v>2034</v>
      </c>
      <c r="G947" t="s">
        <v>20</v>
      </c>
      <c r="H947" t="s">
        <v>24</v>
      </c>
      <c r="I947">
        <v>5</v>
      </c>
      <c r="J947" s="9">
        <v>12000</v>
      </c>
      <c r="K947" s="7">
        <v>0.05</v>
      </c>
      <c r="L947" s="9">
        <v>11400</v>
      </c>
      <c r="M947" s="10">
        <f>Sales_Data3[[#This Row],[Profit]]/Sales_Data3[[#This Row],[Sales]]</f>
        <v>0.95</v>
      </c>
      <c r="N947" t="str">
        <f t="shared" si="29"/>
        <v>High</v>
      </c>
      <c r="O947" s="2">
        <v>44787</v>
      </c>
      <c r="P947" s="9">
        <v>12000</v>
      </c>
    </row>
    <row r="948" spans="1:16" x14ac:dyDescent="0.25">
      <c r="A948" t="s">
        <v>969</v>
      </c>
      <c r="B948" s="2">
        <v>44788</v>
      </c>
      <c r="C948">
        <v>2022</v>
      </c>
      <c r="D948" t="str">
        <f t="shared" si="28"/>
        <v>Aug</v>
      </c>
      <c r="E948" t="s">
        <v>13</v>
      </c>
      <c r="F948" t="s">
        <v>2035</v>
      </c>
      <c r="G948" t="s">
        <v>21</v>
      </c>
      <c r="H948" t="s">
        <v>24</v>
      </c>
      <c r="I948">
        <v>4</v>
      </c>
      <c r="J948" s="9">
        <v>12400</v>
      </c>
      <c r="K948" s="7">
        <v>0.1</v>
      </c>
      <c r="L948" s="9">
        <v>11160</v>
      </c>
      <c r="M948" s="10">
        <f>Sales_Data3[[#This Row],[Profit]]/Sales_Data3[[#This Row],[Sales]]</f>
        <v>0.9</v>
      </c>
      <c r="N948" t="str">
        <f t="shared" si="29"/>
        <v>High</v>
      </c>
      <c r="O948" s="2">
        <v>44788</v>
      </c>
      <c r="P948" s="9">
        <v>12400</v>
      </c>
    </row>
    <row r="949" spans="1:16" x14ac:dyDescent="0.25">
      <c r="A949" t="s">
        <v>970</v>
      </c>
      <c r="B949" s="2">
        <v>44789</v>
      </c>
      <c r="C949">
        <v>2022</v>
      </c>
      <c r="D949" t="str">
        <f t="shared" si="28"/>
        <v>Aug</v>
      </c>
      <c r="E949" t="s">
        <v>13</v>
      </c>
      <c r="F949" t="s">
        <v>2036</v>
      </c>
      <c r="G949" t="s">
        <v>22</v>
      </c>
      <c r="H949" t="s">
        <v>24</v>
      </c>
      <c r="I949">
        <v>1</v>
      </c>
      <c r="J949" s="9">
        <v>14700</v>
      </c>
      <c r="K949" s="7">
        <v>0.15000000000000002</v>
      </c>
      <c r="L949" s="9">
        <v>12495</v>
      </c>
      <c r="M949" s="10">
        <f>Sales_Data3[[#This Row],[Profit]]/Sales_Data3[[#This Row],[Sales]]</f>
        <v>0.85</v>
      </c>
      <c r="N949" t="str">
        <f t="shared" si="29"/>
        <v>High</v>
      </c>
      <c r="O949" s="2">
        <v>44789</v>
      </c>
      <c r="P949" s="9">
        <v>14700</v>
      </c>
    </row>
    <row r="950" spans="1:16" x14ac:dyDescent="0.25">
      <c r="A950" t="s">
        <v>971</v>
      </c>
      <c r="B950" s="2">
        <v>44790</v>
      </c>
      <c r="C950">
        <v>2022</v>
      </c>
      <c r="D950" t="str">
        <f t="shared" si="28"/>
        <v>Aug</v>
      </c>
      <c r="E950" t="s">
        <v>13</v>
      </c>
      <c r="F950" t="s">
        <v>2037</v>
      </c>
      <c r="G950" t="s">
        <v>19</v>
      </c>
      <c r="H950" t="s">
        <v>24</v>
      </c>
      <c r="I950">
        <v>10</v>
      </c>
      <c r="J950" s="9">
        <v>13400</v>
      </c>
      <c r="K950" s="7">
        <v>0.2</v>
      </c>
      <c r="L950" s="9">
        <v>10720</v>
      </c>
      <c r="M950" s="10">
        <f>Sales_Data3[[#This Row],[Profit]]/Sales_Data3[[#This Row],[Sales]]</f>
        <v>0.8</v>
      </c>
      <c r="N950" t="str">
        <f t="shared" si="29"/>
        <v>High</v>
      </c>
      <c r="O950" s="2">
        <v>44790</v>
      </c>
      <c r="P950" s="9">
        <v>13400</v>
      </c>
    </row>
    <row r="951" spans="1:16" x14ac:dyDescent="0.25">
      <c r="A951" t="s">
        <v>972</v>
      </c>
      <c r="B951" s="2">
        <v>44791</v>
      </c>
      <c r="C951">
        <v>2022</v>
      </c>
      <c r="D951" t="str">
        <f t="shared" si="28"/>
        <v>Aug</v>
      </c>
      <c r="E951" t="s">
        <v>13</v>
      </c>
      <c r="F951" t="s">
        <v>2038</v>
      </c>
      <c r="G951" t="s">
        <v>20</v>
      </c>
      <c r="H951" t="s">
        <v>24</v>
      </c>
      <c r="I951">
        <v>1</v>
      </c>
      <c r="J951" s="9">
        <v>9000</v>
      </c>
      <c r="K951" s="7">
        <v>0.25</v>
      </c>
      <c r="L951" s="9">
        <v>6750</v>
      </c>
      <c r="M951" s="10">
        <f>Sales_Data3[[#This Row],[Profit]]/Sales_Data3[[#This Row],[Sales]]</f>
        <v>0.75</v>
      </c>
      <c r="N951" t="str">
        <f t="shared" si="29"/>
        <v>Medium</v>
      </c>
      <c r="O951" s="2">
        <v>44791</v>
      </c>
      <c r="P951" s="9">
        <v>9000</v>
      </c>
    </row>
    <row r="952" spans="1:16" x14ac:dyDescent="0.25">
      <c r="A952" t="s">
        <v>973</v>
      </c>
      <c r="B952" s="2">
        <v>44792</v>
      </c>
      <c r="C952">
        <v>2022</v>
      </c>
      <c r="D952" t="str">
        <f t="shared" si="28"/>
        <v>Aug</v>
      </c>
      <c r="E952" t="s">
        <v>14</v>
      </c>
      <c r="F952" t="s">
        <v>2039</v>
      </c>
      <c r="G952" t="s">
        <v>21</v>
      </c>
      <c r="H952" t="s">
        <v>25</v>
      </c>
      <c r="I952">
        <v>2</v>
      </c>
      <c r="J952" s="9">
        <v>5100</v>
      </c>
      <c r="K952" s="7">
        <v>0.05</v>
      </c>
      <c r="L952" s="9">
        <v>4845</v>
      </c>
      <c r="M952" s="10">
        <f>Sales_Data3[[#This Row],[Profit]]/Sales_Data3[[#This Row],[Sales]]</f>
        <v>0.95</v>
      </c>
      <c r="N952" t="str">
        <f t="shared" si="29"/>
        <v>Medium</v>
      </c>
      <c r="O952" s="2">
        <v>44792</v>
      </c>
      <c r="P952" s="9">
        <v>5100</v>
      </c>
    </row>
    <row r="953" spans="1:16" x14ac:dyDescent="0.25">
      <c r="A953" t="s">
        <v>974</v>
      </c>
      <c r="B953" s="2">
        <v>44793</v>
      </c>
      <c r="C953">
        <v>2022</v>
      </c>
      <c r="D953" t="str">
        <f t="shared" si="28"/>
        <v>Aug</v>
      </c>
      <c r="E953" t="s">
        <v>14</v>
      </c>
      <c r="F953" t="s">
        <v>2040</v>
      </c>
      <c r="G953" t="s">
        <v>22</v>
      </c>
      <c r="H953" t="s">
        <v>25</v>
      </c>
      <c r="I953">
        <v>5</v>
      </c>
      <c r="J953" s="9">
        <v>14000</v>
      </c>
      <c r="K953" s="7">
        <v>0.1</v>
      </c>
      <c r="L953" s="9">
        <v>12600</v>
      </c>
      <c r="M953" s="10">
        <f>Sales_Data3[[#This Row],[Profit]]/Sales_Data3[[#This Row],[Sales]]</f>
        <v>0.9</v>
      </c>
      <c r="N953" t="str">
        <f t="shared" si="29"/>
        <v>High</v>
      </c>
      <c r="O953" s="2">
        <v>44793</v>
      </c>
      <c r="P953" s="9">
        <v>14000</v>
      </c>
    </row>
    <row r="954" spans="1:16" x14ac:dyDescent="0.25">
      <c r="A954" t="s">
        <v>975</v>
      </c>
      <c r="B954" s="2">
        <v>44794</v>
      </c>
      <c r="C954">
        <v>2022</v>
      </c>
      <c r="D954" t="str">
        <f t="shared" si="28"/>
        <v>Aug</v>
      </c>
      <c r="E954" t="s">
        <v>14</v>
      </c>
      <c r="F954" t="s">
        <v>2041</v>
      </c>
      <c r="G954" t="s">
        <v>19</v>
      </c>
      <c r="H954" t="s">
        <v>25</v>
      </c>
      <c r="I954">
        <v>10</v>
      </c>
      <c r="J954" s="9">
        <v>11900</v>
      </c>
      <c r="K954" s="7">
        <v>0.15000000000000002</v>
      </c>
      <c r="L954" s="9">
        <v>10115</v>
      </c>
      <c r="M954" s="10">
        <f>Sales_Data3[[#This Row],[Profit]]/Sales_Data3[[#This Row],[Sales]]</f>
        <v>0.85</v>
      </c>
      <c r="N954" t="str">
        <f t="shared" si="29"/>
        <v>High</v>
      </c>
      <c r="O954" s="2">
        <v>44794</v>
      </c>
      <c r="P954" s="9">
        <v>11900</v>
      </c>
    </row>
    <row r="955" spans="1:16" x14ac:dyDescent="0.25">
      <c r="A955" t="s">
        <v>976</v>
      </c>
      <c r="B955" s="2">
        <v>44795</v>
      </c>
      <c r="C955">
        <v>2022</v>
      </c>
      <c r="D955" t="str">
        <f t="shared" si="28"/>
        <v>Aug</v>
      </c>
      <c r="E955" t="s">
        <v>14</v>
      </c>
      <c r="F955" t="s">
        <v>2042</v>
      </c>
      <c r="G955" t="s">
        <v>20</v>
      </c>
      <c r="H955" t="s">
        <v>25</v>
      </c>
      <c r="I955">
        <v>6</v>
      </c>
      <c r="J955" s="9">
        <v>9000</v>
      </c>
      <c r="K955" s="7">
        <v>0.2</v>
      </c>
      <c r="L955" s="9">
        <v>7200</v>
      </c>
      <c r="M955" s="10">
        <f>Sales_Data3[[#This Row],[Profit]]/Sales_Data3[[#This Row],[Sales]]</f>
        <v>0.8</v>
      </c>
      <c r="N955" t="str">
        <f t="shared" si="29"/>
        <v>Medium</v>
      </c>
      <c r="O955" s="2">
        <v>44795</v>
      </c>
      <c r="P955" s="9">
        <v>9000</v>
      </c>
    </row>
    <row r="956" spans="1:16" x14ac:dyDescent="0.25">
      <c r="A956" t="s">
        <v>977</v>
      </c>
      <c r="B956" s="2">
        <v>44796</v>
      </c>
      <c r="C956">
        <v>2022</v>
      </c>
      <c r="D956" t="str">
        <f t="shared" si="28"/>
        <v>Aug</v>
      </c>
      <c r="E956" t="s">
        <v>14</v>
      </c>
      <c r="F956" t="s">
        <v>2043</v>
      </c>
      <c r="G956" t="s">
        <v>21</v>
      </c>
      <c r="H956" t="s">
        <v>25</v>
      </c>
      <c r="I956">
        <v>7</v>
      </c>
      <c r="J956" s="9">
        <v>4800</v>
      </c>
      <c r="K956" s="7">
        <v>0.25</v>
      </c>
      <c r="L956" s="9">
        <v>3600</v>
      </c>
      <c r="M956" s="10">
        <f>Sales_Data3[[#This Row],[Profit]]/Sales_Data3[[#This Row],[Sales]]</f>
        <v>0.75</v>
      </c>
      <c r="N956" t="str">
        <f t="shared" si="29"/>
        <v>Low</v>
      </c>
      <c r="O956" s="2">
        <v>44796</v>
      </c>
      <c r="P956" s="9">
        <v>4800</v>
      </c>
    </row>
    <row r="957" spans="1:16" x14ac:dyDescent="0.25">
      <c r="A957" t="s">
        <v>978</v>
      </c>
      <c r="B957" s="2">
        <v>44797</v>
      </c>
      <c r="C957">
        <v>2022</v>
      </c>
      <c r="D957" t="str">
        <f t="shared" si="28"/>
        <v>Aug</v>
      </c>
      <c r="E957" t="s">
        <v>14</v>
      </c>
      <c r="F957" t="s">
        <v>2044</v>
      </c>
      <c r="G957" t="s">
        <v>22</v>
      </c>
      <c r="H957" t="s">
        <v>25</v>
      </c>
      <c r="I957">
        <v>10</v>
      </c>
      <c r="J957" s="9">
        <v>7400</v>
      </c>
      <c r="K957" s="7">
        <v>0.05</v>
      </c>
      <c r="L957" s="9">
        <v>7030</v>
      </c>
      <c r="M957" s="10">
        <f>Sales_Data3[[#This Row],[Profit]]/Sales_Data3[[#This Row],[Sales]]</f>
        <v>0.95</v>
      </c>
      <c r="N957" t="str">
        <f t="shared" si="29"/>
        <v>Medium</v>
      </c>
      <c r="O957" s="2">
        <v>44797</v>
      </c>
      <c r="P957" s="9">
        <v>7400</v>
      </c>
    </row>
    <row r="958" spans="1:16" x14ac:dyDescent="0.25">
      <c r="A958" t="s">
        <v>979</v>
      </c>
      <c r="B958" s="2">
        <v>44798</v>
      </c>
      <c r="C958">
        <v>2022</v>
      </c>
      <c r="D958" t="str">
        <f t="shared" si="28"/>
        <v>Aug</v>
      </c>
      <c r="E958" t="s">
        <v>14</v>
      </c>
      <c r="F958" t="s">
        <v>2045</v>
      </c>
      <c r="G958" t="s">
        <v>19</v>
      </c>
      <c r="H958" t="s">
        <v>25</v>
      </c>
      <c r="I958">
        <v>6</v>
      </c>
      <c r="J958" s="9">
        <v>4200</v>
      </c>
      <c r="K958" s="7">
        <v>0.1</v>
      </c>
      <c r="L958" s="9">
        <v>3780</v>
      </c>
      <c r="M958" s="10">
        <f>Sales_Data3[[#This Row],[Profit]]/Sales_Data3[[#This Row],[Sales]]</f>
        <v>0.9</v>
      </c>
      <c r="N958" t="str">
        <f t="shared" si="29"/>
        <v>Low</v>
      </c>
      <c r="O958" s="2">
        <v>44798</v>
      </c>
      <c r="P958" s="9">
        <v>4200</v>
      </c>
    </row>
    <row r="959" spans="1:16" x14ac:dyDescent="0.25">
      <c r="A959" t="s">
        <v>980</v>
      </c>
      <c r="B959" s="2">
        <v>44799</v>
      </c>
      <c r="C959">
        <v>2022</v>
      </c>
      <c r="D959" t="str">
        <f t="shared" si="28"/>
        <v>Aug</v>
      </c>
      <c r="E959" t="s">
        <v>14</v>
      </c>
      <c r="F959" t="s">
        <v>2046</v>
      </c>
      <c r="G959" t="s">
        <v>20</v>
      </c>
      <c r="H959" t="s">
        <v>25</v>
      </c>
      <c r="I959">
        <v>1</v>
      </c>
      <c r="J959" s="9">
        <v>8700</v>
      </c>
      <c r="K959" s="7">
        <v>0.15000000000000002</v>
      </c>
      <c r="L959" s="9">
        <v>7395</v>
      </c>
      <c r="M959" s="10">
        <f>Sales_Data3[[#This Row],[Profit]]/Sales_Data3[[#This Row],[Sales]]</f>
        <v>0.85</v>
      </c>
      <c r="N959" t="str">
        <f t="shared" si="29"/>
        <v>Medium</v>
      </c>
      <c r="O959" s="2">
        <v>44799</v>
      </c>
      <c r="P959" s="9">
        <v>8700</v>
      </c>
    </row>
    <row r="960" spans="1:16" x14ac:dyDescent="0.25">
      <c r="A960" t="s">
        <v>981</v>
      </c>
      <c r="B960" s="2">
        <v>44800</v>
      </c>
      <c r="C960">
        <v>2022</v>
      </c>
      <c r="D960" t="str">
        <f t="shared" si="28"/>
        <v>Aug</v>
      </c>
      <c r="E960" t="s">
        <v>14</v>
      </c>
      <c r="F960" t="s">
        <v>2047</v>
      </c>
      <c r="G960" t="s">
        <v>21</v>
      </c>
      <c r="H960" t="s">
        <v>25</v>
      </c>
      <c r="I960">
        <v>9</v>
      </c>
      <c r="J960" s="9">
        <v>14700</v>
      </c>
      <c r="K960" s="7">
        <v>0.2</v>
      </c>
      <c r="L960" s="9">
        <v>11760</v>
      </c>
      <c r="M960" s="10">
        <f>Sales_Data3[[#This Row],[Profit]]/Sales_Data3[[#This Row],[Sales]]</f>
        <v>0.8</v>
      </c>
      <c r="N960" t="str">
        <f t="shared" si="29"/>
        <v>High</v>
      </c>
      <c r="O960" s="2">
        <v>44800</v>
      </c>
      <c r="P960" s="9">
        <v>14700</v>
      </c>
    </row>
    <row r="961" spans="1:16" x14ac:dyDescent="0.25">
      <c r="A961" t="s">
        <v>982</v>
      </c>
      <c r="B961" s="2">
        <v>44801</v>
      </c>
      <c r="C961">
        <v>2022</v>
      </c>
      <c r="D961" t="str">
        <f t="shared" si="28"/>
        <v>Aug</v>
      </c>
      <c r="E961" t="s">
        <v>14</v>
      </c>
      <c r="F961" t="s">
        <v>2048</v>
      </c>
      <c r="G961" t="s">
        <v>22</v>
      </c>
      <c r="H961" t="s">
        <v>25</v>
      </c>
      <c r="I961">
        <v>9</v>
      </c>
      <c r="J961" s="9">
        <v>9500</v>
      </c>
      <c r="K961" s="7">
        <v>0.25</v>
      </c>
      <c r="L961" s="9">
        <v>7125</v>
      </c>
      <c r="M961" s="10">
        <f>Sales_Data3[[#This Row],[Profit]]/Sales_Data3[[#This Row],[Sales]]</f>
        <v>0.75</v>
      </c>
      <c r="N961" t="str">
        <f t="shared" si="29"/>
        <v>Medium</v>
      </c>
      <c r="O961" s="2">
        <v>44801</v>
      </c>
      <c r="P961" s="9">
        <v>9500</v>
      </c>
    </row>
    <row r="962" spans="1:16" x14ac:dyDescent="0.25">
      <c r="A962" t="s">
        <v>983</v>
      </c>
      <c r="B962" s="2">
        <v>44802</v>
      </c>
      <c r="C962">
        <v>2022</v>
      </c>
      <c r="D962" t="str">
        <f t="shared" ref="D962:D1025" si="30">TEXT(B962,"MMM")</f>
        <v>Aug</v>
      </c>
      <c r="E962" t="s">
        <v>12</v>
      </c>
      <c r="F962" t="s">
        <v>15</v>
      </c>
      <c r="G962" t="s">
        <v>19</v>
      </c>
      <c r="H962" t="s">
        <v>23</v>
      </c>
      <c r="I962">
        <v>1</v>
      </c>
      <c r="J962" s="9">
        <v>12600</v>
      </c>
      <c r="K962" s="7">
        <v>0.05</v>
      </c>
      <c r="L962" s="9">
        <v>11970</v>
      </c>
      <c r="M962" s="10">
        <f>Sales_Data3[[#This Row],[Profit]]/Sales_Data3[[#This Row],[Sales]]</f>
        <v>0.95</v>
      </c>
      <c r="N962" t="str">
        <f t="shared" ref="N962:N1025" si="31">IF(J962&gt;10000,"High",IF(J962&gt;5000,"Medium","Low"))</f>
        <v>High</v>
      </c>
      <c r="O962" s="2">
        <v>44802</v>
      </c>
      <c r="P962" s="9">
        <v>12600</v>
      </c>
    </row>
    <row r="963" spans="1:16" x14ac:dyDescent="0.25">
      <c r="A963" t="s">
        <v>984</v>
      </c>
      <c r="B963" s="2">
        <v>44803</v>
      </c>
      <c r="C963">
        <v>2022</v>
      </c>
      <c r="D963" t="str">
        <f t="shared" si="30"/>
        <v>Aug</v>
      </c>
      <c r="E963" t="s">
        <v>12</v>
      </c>
      <c r="F963" t="s">
        <v>17</v>
      </c>
      <c r="G963" t="s">
        <v>20</v>
      </c>
      <c r="H963" t="s">
        <v>23</v>
      </c>
      <c r="I963">
        <v>6</v>
      </c>
      <c r="J963" s="9">
        <v>9500</v>
      </c>
      <c r="K963" s="7">
        <v>0.1</v>
      </c>
      <c r="L963" s="9">
        <v>8550</v>
      </c>
      <c r="M963" s="10">
        <f>Sales_Data3[[#This Row],[Profit]]/Sales_Data3[[#This Row],[Sales]]</f>
        <v>0.9</v>
      </c>
      <c r="N963" t="str">
        <f t="shared" si="31"/>
        <v>Medium</v>
      </c>
      <c r="O963" s="2">
        <v>44803</v>
      </c>
      <c r="P963" s="9">
        <v>9500</v>
      </c>
    </row>
    <row r="964" spans="1:16" x14ac:dyDescent="0.25">
      <c r="A964" t="s">
        <v>985</v>
      </c>
      <c r="B964" s="2">
        <v>44804</v>
      </c>
      <c r="C964">
        <v>2022</v>
      </c>
      <c r="D964" t="str">
        <f t="shared" si="30"/>
        <v>Aug</v>
      </c>
      <c r="E964" t="s">
        <v>12</v>
      </c>
      <c r="F964" t="s">
        <v>2023</v>
      </c>
      <c r="G964" t="s">
        <v>21</v>
      </c>
      <c r="H964" t="s">
        <v>23</v>
      </c>
      <c r="I964">
        <v>1</v>
      </c>
      <c r="J964" s="9">
        <v>4300</v>
      </c>
      <c r="K964" s="7">
        <v>0.15000000000000002</v>
      </c>
      <c r="L964" s="9">
        <v>3655</v>
      </c>
      <c r="M964" s="10">
        <f>Sales_Data3[[#This Row],[Profit]]/Sales_Data3[[#This Row],[Sales]]</f>
        <v>0.85</v>
      </c>
      <c r="N964" t="str">
        <f t="shared" si="31"/>
        <v>Low</v>
      </c>
      <c r="O964" s="2">
        <v>44804</v>
      </c>
      <c r="P964" s="9">
        <v>4300</v>
      </c>
    </row>
    <row r="965" spans="1:16" x14ac:dyDescent="0.25">
      <c r="A965" t="s">
        <v>986</v>
      </c>
      <c r="B965" s="2">
        <v>44805</v>
      </c>
      <c r="C965">
        <v>2022</v>
      </c>
      <c r="D965" t="str">
        <f t="shared" si="30"/>
        <v>Sep</v>
      </c>
      <c r="E965" t="s">
        <v>12</v>
      </c>
      <c r="F965" t="s">
        <v>18</v>
      </c>
      <c r="G965" t="s">
        <v>22</v>
      </c>
      <c r="H965" t="s">
        <v>23</v>
      </c>
      <c r="I965">
        <v>8</v>
      </c>
      <c r="J965" s="9">
        <v>12700</v>
      </c>
      <c r="K965" s="7">
        <v>0.2</v>
      </c>
      <c r="L965" s="9">
        <v>10160</v>
      </c>
      <c r="M965" s="10">
        <f>Sales_Data3[[#This Row],[Profit]]/Sales_Data3[[#This Row],[Sales]]</f>
        <v>0.8</v>
      </c>
      <c r="N965" t="str">
        <f t="shared" si="31"/>
        <v>High</v>
      </c>
      <c r="O965" s="2">
        <v>44805</v>
      </c>
      <c r="P965" s="9">
        <v>12700</v>
      </c>
    </row>
    <row r="966" spans="1:16" x14ac:dyDescent="0.25">
      <c r="A966" t="s">
        <v>987</v>
      </c>
      <c r="B966" s="2">
        <v>44806</v>
      </c>
      <c r="C966">
        <v>2022</v>
      </c>
      <c r="D966" t="str">
        <f t="shared" si="30"/>
        <v>Sep</v>
      </c>
      <c r="E966" t="s">
        <v>12</v>
      </c>
      <c r="F966" t="s">
        <v>2024</v>
      </c>
      <c r="G966" t="s">
        <v>19</v>
      </c>
      <c r="H966" t="s">
        <v>23</v>
      </c>
      <c r="I966">
        <v>1</v>
      </c>
      <c r="J966" s="9">
        <v>11600</v>
      </c>
      <c r="K966" s="7">
        <v>0.25</v>
      </c>
      <c r="L966" s="9">
        <v>8700</v>
      </c>
      <c r="M966" s="10">
        <f>Sales_Data3[[#This Row],[Profit]]/Sales_Data3[[#This Row],[Sales]]</f>
        <v>0.75</v>
      </c>
      <c r="N966" t="str">
        <f t="shared" si="31"/>
        <v>High</v>
      </c>
      <c r="O966" s="2">
        <v>44806</v>
      </c>
      <c r="P966" s="9">
        <v>11600</v>
      </c>
    </row>
    <row r="967" spans="1:16" x14ac:dyDescent="0.25">
      <c r="A967" t="s">
        <v>988</v>
      </c>
      <c r="B967" s="2">
        <v>44807</v>
      </c>
      <c r="C967">
        <v>2022</v>
      </c>
      <c r="D967" t="str">
        <f t="shared" si="30"/>
        <v>Sep</v>
      </c>
      <c r="E967" t="s">
        <v>12</v>
      </c>
      <c r="F967" t="s">
        <v>2025</v>
      </c>
      <c r="G967" t="s">
        <v>20</v>
      </c>
      <c r="H967" t="s">
        <v>23</v>
      </c>
      <c r="I967">
        <v>2</v>
      </c>
      <c r="J967" s="9">
        <v>12000</v>
      </c>
      <c r="K967" s="7">
        <v>0.05</v>
      </c>
      <c r="L967" s="9">
        <v>11400</v>
      </c>
      <c r="M967" s="10">
        <f>Sales_Data3[[#This Row],[Profit]]/Sales_Data3[[#This Row],[Sales]]</f>
        <v>0.95</v>
      </c>
      <c r="N967" t="str">
        <f t="shared" si="31"/>
        <v>High</v>
      </c>
      <c r="O967" s="2">
        <v>44807</v>
      </c>
      <c r="P967" s="9">
        <v>12000</v>
      </c>
    </row>
    <row r="968" spans="1:16" x14ac:dyDescent="0.25">
      <c r="A968" t="s">
        <v>989</v>
      </c>
      <c r="B968" s="2">
        <v>44808</v>
      </c>
      <c r="C968">
        <v>2022</v>
      </c>
      <c r="D968" t="str">
        <f t="shared" si="30"/>
        <v>Sep</v>
      </c>
      <c r="E968" t="s">
        <v>12</v>
      </c>
      <c r="F968" t="s">
        <v>2026</v>
      </c>
      <c r="G968" t="s">
        <v>21</v>
      </c>
      <c r="H968" t="s">
        <v>23</v>
      </c>
      <c r="I968">
        <v>8</v>
      </c>
      <c r="J968" s="9">
        <v>11600</v>
      </c>
      <c r="K968" s="7">
        <v>0.1</v>
      </c>
      <c r="L968" s="9">
        <v>10440</v>
      </c>
      <c r="M968" s="10">
        <f>Sales_Data3[[#This Row],[Profit]]/Sales_Data3[[#This Row],[Sales]]</f>
        <v>0.9</v>
      </c>
      <c r="N968" t="str">
        <f t="shared" si="31"/>
        <v>High</v>
      </c>
      <c r="O968" s="2">
        <v>44808</v>
      </c>
      <c r="P968" s="9">
        <v>11600</v>
      </c>
    </row>
    <row r="969" spans="1:16" x14ac:dyDescent="0.25">
      <c r="A969" t="s">
        <v>990</v>
      </c>
      <c r="B969" s="2">
        <v>44809</v>
      </c>
      <c r="C969">
        <v>2022</v>
      </c>
      <c r="D969" t="str">
        <f t="shared" si="30"/>
        <v>Sep</v>
      </c>
      <c r="E969" t="s">
        <v>12</v>
      </c>
      <c r="F969" t="s">
        <v>2027</v>
      </c>
      <c r="G969" t="s">
        <v>22</v>
      </c>
      <c r="H969" t="s">
        <v>23</v>
      </c>
      <c r="I969">
        <v>10</v>
      </c>
      <c r="J969" s="9">
        <v>9500</v>
      </c>
      <c r="K969" s="7">
        <v>0.15000000000000002</v>
      </c>
      <c r="L969" s="9">
        <v>8075</v>
      </c>
      <c r="M969" s="10">
        <f>Sales_Data3[[#This Row],[Profit]]/Sales_Data3[[#This Row],[Sales]]</f>
        <v>0.85</v>
      </c>
      <c r="N969" t="str">
        <f t="shared" si="31"/>
        <v>Medium</v>
      </c>
      <c r="O969" s="2">
        <v>44809</v>
      </c>
      <c r="P969" s="9">
        <v>9500</v>
      </c>
    </row>
    <row r="970" spans="1:16" x14ac:dyDescent="0.25">
      <c r="A970" t="s">
        <v>991</v>
      </c>
      <c r="B970" s="2">
        <v>44810</v>
      </c>
      <c r="C970">
        <v>2022</v>
      </c>
      <c r="D970" t="str">
        <f t="shared" si="30"/>
        <v>Sep</v>
      </c>
      <c r="E970" t="s">
        <v>12</v>
      </c>
      <c r="F970" t="s">
        <v>2028</v>
      </c>
      <c r="G970" t="s">
        <v>19</v>
      </c>
      <c r="H970" t="s">
        <v>23</v>
      </c>
      <c r="I970">
        <v>7</v>
      </c>
      <c r="J970" s="9">
        <v>12100</v>
      </c>
      <c r="K970" s="7">
        <v>0.2</v>
      </c>
      <c r="L970" s="9">
        <v>9680</v>
      </c>
      <c r="M970" s="10">
        <f>Sales_Data3[[#This Row],[Profit]]/Sales_Data3[[#This Row],[Sales]]</f>
        <v>0.8</v>
      </c>
      <c r="N970" t="str">
        <f t="shared" si="31"/>
        <v>High</v>
      </c>
      <c r="O970" s="2">
        <v>44810</v>
      </c>
      <c r="P970" s="9">
        <v>12100</v>
      </c>
    </row>
    <row r="971" spans="1:16" x14ac:dyDescent="0.25">
      <c r="A971" t="s">
        <v>992</v>
      </c>
      <c r="B971" s="2">
        <v>44811</v>
      </c>
      <c r="C971">
        <v>2022</v>
      </c>
      <c r="D971" t="str">
        <f t="shared" si="30"/>
        <v>Sep</v>
      </c>
      <c r="E971" t="s">
        <v>12</v>
      </c>
      <c r="F971" t="s">
        <v>2029</v>
      </c>
      <c r="G971" t="s">
        <v>20</v>
      </c>
      <c r="H971" t="s">
        <v>23</v>
      </c>
      <c r="I971">
        <v>8</v>
      </c>
      <c r="J971" s="9">
        <v>6700</v>
      </c>
      <c r="K971" s="7">
        <v>0.25</v>
      </c>
      <c r="L971" s="9">
        <v>5025</v>
      </c>
      <c r="M971" s="10">
        <f>Sales_Data3[[#This Row],[Profit]]/Sales_Data3[[#This Row],[Sales]]</f>
        <v>0.75</v>
      </c>
      <c r="N971" t="str">
        <f t="shared" si="31"/>
        <v>Medium</v>
      </c>
      <c r="O971" s="2">
        <v>44811</v>
      </c>
      <c r="P971" s="9">
        <v>6700</v>
      </c>
    </row>
    <row r="972" spans="1:16" x14ac:dyDescent="0.25">
      <c r="A972" t="s">
        <v>993</v>
      </c>
      <c r="B972" s="2">
        <v>44812</v>
      </c>
      <c r="C972">
        <v>2022</v>
      </c>
      <c r="D972" t="str">
        <f t="shared" si="30"/>
        <v>Sep</v>
      </c>
      <c r="E972" t="s">
        <v>13</v>
      </c>
      <c r="F972" t="s">
        <v>16</v>
      </c>
      <c r="G972" t="s">
        <v>21</v>
      </c>
      <c r="H972" t="s">
        <v>24</v>
      </c>
      <c r="I972">
        <v>5</v>
      </c>
      <c r="J972" s="9">
        <v>7100</v>
      </c>
      <c r="K972" s="7">
        <v>0.05</v>
      </c>
      <c r="L972" s="9">
        <v>6745</v>
      </c>
      <c r="M972" s="10">
        <f>Sales_Data3[[#This Row],[Profit]]/Sales_Data3[[#This Row],[Sales]]</f>
        <v>0.95</v>
      </c>
      <c r="N972" t="str">
        <f t="shared" si="31"/>
        <v>Medium</v>
      </c>
      <c r="O972" s="2">
        <v>44812</v>
      </c>
      <c r="P972" s="9">
        <v>7100</v>
      </c>
    </row>
    <row r="973" spans="1:16" x14ac:dyDescent="0.25">
      <c r="A973" t="s">
        <v>994</v>
      </c>
      <c r="B973" s="2">
        <v>44813</v>
      </c>
      <c r="C973">
        <v>2022</v>
      </c>
      <c r="D973" t="str">
        <f t="shared" si="30"/>
        <v>Sep</v>
      </c>
      <c r="E973" t="s">
        <v>13</v>
      </c>
      <c r="F973" t="s">
        <v>2030</v>
      </c>
      <c r="G973" t="s">
        <v>22</v>
      </c>
      <c r="H973" t="s">
        <v>24</v>
      </c>
      <c r="I973">
        <v>8</v>
      </c>
      <c r="J973" s="9">
        <v>12700</v>
      </c>
      <c r="K973" s="7">
        <v>0.1</v>
      </c>
      <c r="L973" s="9">
        <v>11430</v>
      </c>
      <c r="M973" s="10">
        <f>Sales_Data3[[#This Row],[Profit]]/Sales_Data3[[#This Row],[Sales]]</f>
        <v>0.9</v>
      </c>
      <c r="N973" t="str">
        <f t="shared" si="31"/>
        <v>High</v>
      </c>
      <c r="O973" s="2">
        <v>44813</v>
      </c>
      <c r="P973" s="9">
        <v>12700</v>
      </c>
    </row>
    <row r="974" spans="1:16" x14ac:dyDescent="0.25">
      <c r="A974" t="s">
        <v>995</v>
      </c>
      <c r="B974" s="2">
        <v>44814</v>
      </c>
      <c r="C974">
        <v>2022</v>
      </c>
      <c r="D974" t="str">
        <f t="shared" si="30"/>
        <v>Sep</v>
      </c>
      <c r="E974" t="s">
        <v>13</v>
      </c>
      <c r="F974" t="s">
        <v>2031</v>
      </c>
      <c r="G974" t="s">
        <v>19</v>
      </c>
      <c r="H974" t="s">
        <v>24</v>
      </c>
      <c r="I974">
        <v>1</v>
      </c>
      <c r="J974" s="9">
        <v>5400</v>
      </c>
      <c r="K974" s="7">
        <v>0.15000000000000002</v>
      </c>
      <c r="L974" s="9">
        <v>4590</v>
      </c>
      <c r="M974" s="10">
        <f>Sales_Data3[[#This Row],[Profit]]/Sales_Data3[[#This Row],[Sales]]</f>
        <v>0.85</v>
      </c>
      <c r="N974" t="str">
        <f t="shared" si="31"/>
        <v>Medium</v>
      </c>
      <c r="O974" s="2">
        <v>44814</v>
      </c>
      <c r="P974" s="9">
        <v>5400</v>
      </c>
    </row>
    <row r="975" spans="1:16" x14ac:dyDescent="0.25">
      <c r="A975" t="s">
        <v>996</v>
      </c>
      <c r="B975" s="2">
        <v>44815</v>
      </c>
      <c r="C975">
        <v>2022</v>
      </c>
      <c r="D975" t="str">
        <f t="shared" si="30"/>
        <v>Sep</v>
      </c>
      <c r="E975" t="s">
        <v>13</v>
      </c>
      <c r="F975" t="s">
        <v>2032</v>
      </c>
      <c r="G975" t="s">
        <v>20</v>
      </c>
      <c r="H975" t="s">
        <v>24</v>
      </c>
      <c r="I975">
        <v>2</v>
      </c>
      <c r="J975" s="9">
        <v>9200</v>
      </c>
      <c r="K975" s="7">
        <v>0.2</v>
      </c>
      <c r="L975" s="9">
        <v>7360</v>
      </c>
      <c r="M975" s="10">
        <f>Sales_Data3[[#This Row],[Profit]]/Sales_Data3[[#This Row],[Sales]]</f>
        <v>0.8</v>
      </c>
      <c r="N975" t="str">
        <f t="shared" si="31"/>
        <v>Medium</v>
      </c>
      <c r="O975" s="2">
        <v>44815</v>
      </c>
      <c r="P975" s="9">
        <v>9200</v>
      </c>
    </row>
    <row r="976" spans="1:16" x14ac:dyDescent="0.25">
      <c r="A976" t="s">
        <v>997</v>
      </c>
      <c r="B976" s="2">
        <v>44816</v>
      </c>
      <c r="C976">
        <v>2022</v>
      </c>
      <c r="D976" t="str">
        <f t="shared" si="30"/>
        <v>Sep</v>
      </c>
      <c r="E976" t="s">
        <v>13</v>
      </c>
      <c r="F976" t="s">
        <v>2033</v>
      </c>
      <c r="G976" t="s">
        <v>21</v>
      </c>
      <c r="H976" t="s">
        <v>24</v>
      </c>
      <c r="I976">
        <v>4</v>
      </c>
      <c r="J976" s="9">
        <v>5000</v>
      </c>
      <c r="K976" s="7">
        <v>0.25</v>
      </c>
      <c r="L976" s="9">
        <v>3750</v>
      </c>
      <c r="M976" s="10">
        <f>Sales_Data3[[#This Row],[Profit]]/Sales_Data3[[#This Row],[Sales]]</f>
        <v>0.75</v>
      </c>
      <c r="N976" t="str">
        <f t="shared" si="31"/>
        <v>Low</v>
      </c>
      <c r="O976" s="2">
        <v>44816</v>
      </c>
      <c r="P976" s="9">
        <v>5000</v>
      </c>
    </row>
    <row r="977" spans="1:16" x14ac:dyDescent="0.25">
      <c r="A977" t="s">
        <v>998</v>
      </c>
      <c r="B977" s="2">
        <v>44817</v>
      </c>
      <c r="C977">
        <v>2022</v>
      </c>
      <c r="D977" t="str">
        <f t="shared" si="30"/>
        <v>Sep</v>
      </c>
      <c r="E977" t="s">
        <v>13</v>
      </c>
      <c r="F977" t="s">
        <v>2034</v>
      </c>
      <c r="G977" t="s">
        <v>22</v>
      </c>
      <c r="H977" t="s">
        <v>24</v>
      </c>
      <c r="I977">
        <v>4</v>
      </c>
      <c r="J977" s="9">
        <v>11600</v>
      </c>
      <c r="K977" s="7">
        <v>0.05</v>
      </c>
      <c r="L977" s="9">
        <v>11020</v>
      </c>
      <c r="M977" s="10">
        <f>Sales_Data3[[#This Row],[Profit]]/Sales_Data3[[#This Row],[Sales]]</f>
        <v>0.95</v>
      </c>
      <c r="N977" t="str">
        <f t="shared" si="31"/>
        <v>High</v>
      </c>
      <c r="O977" s="2">
        <v>44817</v>
      </c>
      <c r="P977" s="9">
        <v>11600</v>
      </c>
    </row>
    <row r="978" spans="1:16" x14ac:dyDescent="0.25">
      <c r="A978" t="s">
        <v>999</v>
      </c>
      <c r="B978" s="2">
        <v>44818</v>
      </c>
      <c r="C978">
        <v>2022</v>
      </c>
      <c r="D978" t="str">
        <f t="shared" si="30"/>
        <v>Sep</v>
      </c>
      <c r="E978" t="s">
        <v>13</v>
      </c>
      <c r="F978" t="s">
        <v>2035</v>
      </c>
      <c r="G978" t="s">
        <v>19</v>
      </c>
      <c r="H978" t="s">
        <v>24</v>
      </c>
      <c r="I978">
        <v>9</v>
      </c>
      <c r="J978" s="9">
        <v>9000</v>
      </c>
      <c r="K978" s="7">
        <v>0.1</v>
      </c>
      <c r="L978" s="9">
        <v>8100</v>
      </c>
      <c r="M978" s="10">
        <f>Sales_Data3[[#This Row],[Profit]]/Sales_Data3[[#This Row],[Sales]]</f>
        <v>0.9</v>
      </c>
      <c r="N978" t="str">
        <f t="shared" si="31"/>
        <v>Medium</v>
      </c>
      <c r="O978" s="2">
        <v>44818</v>
      </c>
      <c r="P978" s="9">
        <v>9000</v>
      </c>
    </row>
    <row r="979" spans="1:16" x14ac:dyDescent="0.25">
      <c r="A979" t="s">
        <v>1000</v>
      </c>
      <c r="B979" s="2">
        <v>44819</v>
      </c>
      <c r="C979">
        <v>2022</v>
      </c>
      <c r="D979" t="str">
        <f t="shared" si="30"/>
        <v>Sep</v>
      </c>
      <c r="E979" t="s">
        <v>13</v>
      </c>
      <c r="F979" t="s">
        <v>2036</v>
      </c>
      <c r="G979" t="s">
        <v>20</v>
      </c>
      <c r="H979" t="s">
        <v>24</v>
      </c>
      <c r="I979">
        <v>8</v>
      </c>
      <c r="J979" s="9">
        <v>11700</v>
      </c>
      <c r="K979" s="7">
        <v>0.15000000000000002</v>
      </c>
      <c r="L979" s="9">
        <v>9945</v>
      </c>
      <c r="M979" s="10">
        <f>Sales_Data3[[#This Row],[Profit]]/Sales_Data3[[#This Row],[Sales]]</f>
        <v>0.85</v>
      </c>
      <c r="N979" t="str">
        <f t="shared" si="31"/>
        <v>High</v>
      </c>
      <c r="O979" s="2">
        <v>44819</v>
      </c>
      <c r="P979" s="9">
        <v>11700</v>
      </c>
    </row>
    <row r="980" spans="1:16" x14ac:dyDescent="0.25">
      <c r="A980" t="s">
        <v>1001</v>
      </c>
      <c r="B980" s="2">
        <v>44820</v>
      </c>
      <c r="C980">
        <v>2022</v>
      </c>
      <c r="D980" t="str">
        <f t="shared" si="30"/>
        <v>Sep</v>
      </c>
      <c r="E980" t="s">
        <v>13</v>
      </c>
      <c r="F980" t="s">
        <v>2037</v>
      </c>
      <c r="G980" t="s">
        <v>21</v>
      </c>
      <c r="H980" t="s">
        <v>24</v>
      </c>
      <c r="I980">
        <v>10</v>
      </c>
      <c r="J980" s="9">
        <v>14400</v>
      </c>
      <c r="K980" s="7">
        <v>0.2</v>
      </c>
      <c r="L980" s="9">
        <v>11520</v>
      </c>
      <c r="M980" s="10">
        <f>Sales_Data3[[#This Row],[Profit]]/Sales_Data3[[#This Row],[Sales]]</f>
        <v>0.8</v>
      </c>
      <c r="N980" t="str">
        <f t="shared" si="31"/>
        <v>High</v>
      </c>
      <c r="O980" s="2">
        <v>44820</v>
      </c>
      <c r="P980" s="9">
        <v>14400</v>
      </c>
    </row>
    <row r="981" spans="1:16" x14ac:dyDescent="0.25">
      <c r="A981" t="s">
        <v>1002</v>
      </c>
      <c r="B981" s="2">
        <v>44821</v>
      </c>
      <c r="C981">
        <v>2022</v>
      </c>
      <c r="D981" t="str">
        <f t="shared" si="30"/>
        <v>Sep</v>
      </c>
      <c r="E981" t="s">
        <v>13</v>
      </c>
      <c r="F981" t="s">
        <v>2038</v>
      </c>
      <c r="G981" t="s">
        <v>22</v>
      </c>
      <c r="H981" t="s">
        <v>24</v>
      </c>
      <c r="I981">
        <v>9</v>
      </c>
      <c r="J981" s="9">
        <v>8800</v>
      </c>
      <c r="K981" s="7">
        <v>0.25</v>
      </c>
      <c r="L981" s="9">
        <v>6600</v>
      </c>
      <c r="M981" s="10">
        <f>Sales_Data3[[#This Row],[Profit]]/Sales_Data3[[#This Row],[Sales]]</f>
        <v>0.75</v>
      </c>
      <c r="N981" t="str">
        <f t="shared" si="31"/>
        <v>Medium</v>
      </c>
      <c r="O981" s="2">
        <v>44821</v>
      </c>
      <c r="P981" s="9">
        <v>8800</v>
      </c>
    </row>
    <row r="982" spans="1:16" x14ac:dyDescent="0.25">
      <c r="A982" t="s">
        <v>1003</v>
      </c>
      <c r="B982" s="2">
        <v>44822</v>
      </c>
      <c r="C982">
        <v>2022</v>
      </c>
      <c r="D982" t="str">
        <f t="shared" si="30"/>
        <v>Sep</v>
      </c>
      <c r="E982" t="s">
        <v>14</v>
      </c>
      <c r="F982" t="s">
        <v>2039</v>
      </c>
      <c r="G982" t="s">
        <v>19</v>
      </c>
      <c r="H982" t="s">
        <v>25</v>
      </c>
      <c r="I982">
        <v>10</v>
      </c>
      <c r="J982" s="9">
        <v>8700</v>
      </c>
      <c r="K982" s="7">
        <v>0.05</v>
      </c>
      <c r="L982" s="9">
        <v>8265</v>
      </c>
      <c r="M982" s="10">
        <f>Sales_Data3[[#This Row],[Profit]]/Sales_Data3[[#This Row],[Sales]]</f>
        <v>0.95</v>
      </c>
      <c r="N982" t="str">
        <f t="shared" si="31"/>
        <v>Medium</v>
      </c>
      <c r="O982" s="2">
        <v>44822</v>
      </c>
      <c r="P982" s="9">
        <v>8700</v>
      </c>
    </row>
    <row r="983" spans="1:16" x14ac:dyDescent="0.25">
      <c r="A983" t="s">
        <v>1004</v>
      </c>
      <c r="B983" s="2">
        <v>44823</v>
      </c>
      <c r="C983">
        <v>2022</v>
      </c>
      <c r="D983" t="str">
        <f t="shared" si="30"/>
        <v>Sep</v>
      </c>
      <c r="E983" t="s">
        <v>14</v>
      </c>
      <c r="F983" t="s">
        <v>2040</v>
      </c>
      <c r="G983" t="s">
        <v>20</v>
      </c>
      <c r="H983" t="s">
        <v>25</v>
      </c>
      <c r="I983">
        <v>5</v>
      </c>
      <c r="J983" s="9">
        <v>13900</v>
      </c>
      <c r="K983" s="7">
        <v>0.1</v>
      </c>
      <c r="L983" s="9">
        <v>12510</v>
      </c>
      <c r="M983" s="10">
        <f>Sales_Data3[[#This Row],[Profit]]/Sales_Data3[[#This Row],[Sales]]</f>
        <v>0.9</v>
      </c>
      <c r="N983" t="str">
        <f t="shared" si="31"/>
        <v>High</v>
      </c>
      <c r="O983" s="2">
        <v>44823</v>
      </c>
      <c r="P983" s="9">
        <v>13900</v>
      </c>
    </row>
    <row r="984" spans="1:16" x14ac:dyDescent="0.25">
      <c r="A984" t="s">
        <v>1005</v>
      </c>
      <c r="B984" s="2">
        <v>44824</v>
      </c>
      <c r="C984">
        <v>2022</v>
      </c>
      <c r="D984" t="str">
        <f t="shared" si="30"/>
        <v>Sep</v>
      </c>
      <c r="E984" t="s">
        <v>14</v>
      </c>
      <c r="F984" t="s">
        <v>2041</v>
      </c>
      <c r="G984" t="s">
        <v>21</v>
      </c>
      <c r="H984" t="s">
        <v>25</v>
      </c>
      <c r="I984">
        <v>2</v>
      </c>
      <c r="J984" s="9">
        <v>14000</v>
      </c>
      <c r="K984" s="7">
        <v>0.15000000000000002</v>
      </c>
      <c r="L984" s="9">
        <v>11900</v>
      </c>
      <c r="M984" s="10">
        <f>Sales_Data3[[#This Row],[Profit]]/Sales_Data3[[#This Row],[Sales]]</f>
        <v>0.85</v>
      </c>
      <c r="N984" t="str">
        <f t="shared" si="31"/>
        <v>High</v>
      </c>
      <c r="O984" s="2">
        <v>44824</v>
      </c>
      <c r="P984" s="9">
        <v>14000</v>
      </c>
    </row>
    <row r="985" spans="1:16" x14ac:dyDescent="0.25">
      <c r="A985" t="s">
        <v>1006</v>
      </c>
      <c r="B985" s="2">
        <v>44825</v>
      </c>
      <c r="C985">
        <v>2022</v>
      </c>
      <c r="D985" t="str">
        <f t="shared" si="30"/>
        <v>Sep</v>
      </c>
      <c r="E985" t="s">
        <v>14</v>
      </c>
      <c r="F985" t="s">
        <v>2042</v>
      </c>
      <c r="G985" t="s">
        <v>22</v>
      </c>
      <c r="H985" t="s">
        <v>25</v>
      </c>
      <c r="I985">
        <v>7</v>
      </c>
      <c r="J985" s="9">
        <v>6500</v>
      </c>
      <c r="K985" s="7">
        <v>0.2</v>
      </c>
      <c r="L985" s="9">
        <v>5200</v>
      </c>
      <c r="M985" s="10">
        <f>Sales_Data3[[#This Row],[Profit]]/Sales_Data3[[#This Row],[Sales]]</f>
        <v>0.8</v>
      </c>
      <c r="N985" t="str">
        <f t="shared" si="31"/>
        <v>Medium</v>
      </c>
      <c r="O985" s="2">
        <v>44825</v>
      </c>
      <c r="P985" s="9">
        <v>6500</v>
      </c>
    </row>
    <row r="986" spans="1:16" x14ac:dyDescent="0.25">
      <c r="A986" t="s">
        <v>1007</v>
      </c>
      <c r="B986" s="2">
        <v>44826</v>
      </c>
      <c r="C986">
        <v>2022</v>
      </c>
      <c r="D986" t="str">
        <f t="shared" si="30"/>
        <v>Sep</v>
      </c>
      <c r="E986" t="s">
        <v>14</v>
      </c>
      <c r="F986" t="s">
        <v>2043</v>
      </c>
      <c r="G986" t="s">
        <v>19</v>
      </c>
      <c r="H986" t="s">
        <v>25</v>
      </c>
      <c r="I986">
        <v>9</v>
      </c>
      <c r="J986" s="9">
        <v>6500</v>
      </c>
      <c r="K986" s="7">
        <v>0.25</v>
      </c>
      <c r="L986" s="9">
        <v>4875</v>
      </c>
      <c r="M986" s="10">
        <f>Sales_Data3[[#This Row],[Profit]]/Sales_Data3[[#This Row],[Sales]]</f>
        <v>0.75</v>
      </c>
      <c r="N986" t="str">
        <f t="shared" si="31"/>
        <v>Medium</v>
      </c>
      <c r="O986" s="2">
        <v>44826</v>
      </c>
      <c r="P986" s="9">
        <v>6500</v>
      </c>
    </row>
    <row r="987" spans="1:16" x14ac:dyDescent="0.25">
      <c r="A987" t="s">
        <v>1008</v>
      </c>
      <c r="B987" s="2">
        <v>44827</v>
      </c>
      <c r="C987">
        <v>2022</v>
      </c>
      <c r="D987" t="str">
        <f t="shared" si="30"/>
        <v>Sep</v>
      </c>
      <c r="E987" t="s">
        <v>14</v>
      </c>
      <c r="F987" t="s">
        <v>2044</v>
      </c>
      <c r="G987" t="s">
        <v>20</v>
      </c>
      <c r="H987" t="s">
        <v>25</v>
      </c>
      <c r="I987">
        <v>8</v>
      </c>
      <c r="J987" s="9">
        <v>12700</v>
      </c>
      <c r="K987" s="7">
        <v>0.05</v>
      </c>
      <c r="L987" s="9">
        <v>12065</v>
      </c>
      <c r="M987" s="10">
        <f>Sales_Data3[[#This Row],[Profit]]/Sales_Data3[[#This Row],[Sales]]</f>
        <v>0.95</v>
      </c>
      <c r="N987" t="str">
        <f t="shared" si="31"/>
        <v>High</v>
      </c>
      <c r="O987" s="2">
        <v>44827</v>
      </c>
      <c r="P987" s="9">
        <v>12700</v>
      </c>
    </row>
    <row r="988" spans="1:16" x14ac:dyDescent="0.25">
      <c r="A988" t="s">
        <v>1009</v>
      </c>
      <c r="B988" s="2">
        <v>44828</v>
      </c>
      <c r="C988">
        <v>2022</v>
      </c>
      <c r="D988" t="str">
        <f t="shared" si="30"/>
        <v>Sep</v>
      </c>
      <c r="E988" t="s">
        <v>14</v>
      </c>
      <c r="F988" t="s">
        <v>2045</v>
      </c>
      <c r="G988" t="s">
        <v>21</v>
      </c>
      <c r="H988" t="s">
        <v>25</v>
      </c>
      <c r="I988">
        <v>9</v>
      </c>
      <c r="J988" s="9">
        <v>13800</v>
      </c>
      <c r="K988" s="7">
        <v>0.1</v>
      </c>
      <c r="L988" s="9">
        <v>12420</v>
      </c>
      <c r="M988" s="10">
        <f>Sales_Data3[[#This Row],[Profit]]/Sales_Data3[[#This Row],[Sales]]</f>
        <v>0.9</v>
      </c>
      <c r="N988" t="str">
        <f t="shared" si="31"/>
        <v>High</v>
      </c>
      <c r="O988" s="2">
        <v>44828</v>
      </c>
      <c r="P988" s="9">
        <v>13800</v>
      </c>
    </row>
    <row r="989" spans="1:16" x14ac:dyDescent="0.25">
      <c r="A989" t="s">
        <v>1010</v>
      </c>
      <c r="B989" s="2">
        <v>44829</v>
      </c>
      <c r="C989">
        <v>2022</v>
      </c>
      <c r="D989" t="str">
        <f t="shared" si="30"/>
        <v>Sep</v>
      </c>
      <c r="E989" t="s">
        <v>14</v>
      </c>
      <c r="F989" t="s">
        <v>2046</v>
      </c>
      <c r="G989" t="s">
        <v>22</v>
      </c>
      <c r="H989" t="s">
        <v>25</v>
      </c>
      <c r="I989">
        <v>1</v>
      </c>
      <c r="J989" s="9">
        <v>5800</v>
      </c>
      <c r="K989" s="7">
        <v>0.15000000000000002</v>
      </c>
      <c r="L989" s="9">
        <v>4930</v>
      </c>
      <c r="M989" s="10">
        <f>Sales_Data3[[#This Row],[Profit]]/Sales_Data3[[#This Row],[Sales]]</f>
        <v>0.85</v>
      </c>
      <c r="N989" t="str">
        <f t="shared" si="31"/>
        <v>Medium</v>
      </c>
      <c r="O989" s="2">
        <v>44829</v>
      </c>
      <c r="P989" s="9">
        <v>5800</v>
      </c>
    </row>
    <row r="990" spans="1:16" x14ac:dyDescent="0.25">
      <c r="A990" t="s">
        <v>1011</v>
      </c>
      <c r="B990" s="2">
        <v>44830</v>
      </c>
      <c r="C990">
        <v>2022</v>
      </c>
      <c r="D990" t="str">
        <f t="shared" si="30"/>
        <v>Sep</v>
      </c>
      <c r="E990" t="s">
        <v>14</v>
      </c>
      <c r="F990" t="s">
        <v>2047</v>
      </c>
      <c r="G990" t="s">
        <v>19</v>
      </c>
      <c r="H990" t="s">
        <v>25</v>
      </c>
      <c r="I990">
        <v>3</v>
      </c>
      <c r="J990" s="9">
        <v>13300</v>
      </c>
      <c r="K990" s="7">
        <v>0.2</v>
      </c>
      <c r="L990" s="9">
        <v>10640</v>
      </c>
      <c r="M990" s="10">
        <f>Sales_Data3[[#This Row],[Profit]]/Sales_Data3[[#This Row],[Sales]]</f>
        <v>0.8</v>
      </c>
      <c r="N990" t="str">
        <f t="shared" si="31"/>
        <v>High</v>
      </c>
      <c r="O990" s="2">
        <v>44830</v>
      </c>
      <c r="P990" s="9">
        <v>13300</v>
      </c>
    </row>
    <row r="991" spans="1:16" x14ac:dyDescent="0.25">
      <c r="A991" t="s">
        <v>1012</v>
      </c>
      <c r="B991" s="2">
        <v>44831</v>
      </c>
      <c r="C991">
        <v>2022</v>
      </c>
      <c r="D991" t="str">
        <f t="shared" si="30"/>
        <v>Sep</v>
      </c>
      <c r="E991" t="s">
        <v>14</v>
      </c>
      <c r="F991" t="s">
        <v>2048</v>
      </c>
      <c r="G991" t="s">
        <v>20</v>
      </c>
      <c r="H991" t="s">
        <v>25</v>
      </c>
      <c r="I991">
        <v>1</v>
      </c>
      <c r="J991" s="9">
        <v>10800</v>
      </c>
      <c r="K991" s="7">
        <v>0.25</v>
      </c>
      <c r="L991" s="9">
        <v>8100</v>
      </c>
      <c r="M991" s="10">
        <f>Sales_Data3[[#This Row],[Profit]]/Sales_Data3[[#This Row],[Sales]]</f>
        <v>0.75</v>
      </c>
      <c r="N991" t="str">
        <f t="shared" si="31"/>
        <v>High</v>
      </c>
      <c r="O991" s="2">
        <v>44831</v>
      </c>
      <c r="P991" s="9">
        <v>10800</v>
      </c>
    </row>
    <row r="992" spans="1:16" x14ac:dyDescent="0.25">
      <c r="A992" t="s">
        <v>1013</v>
      </c>
      <c r="B992" s="2">
        <v>44832</v>
      </c>
      <c r="C992">
        <v>2022</v>
      </c>
      <c r="D992" t="str">
        <f t="shared" si="30"/>
        <v>Sep</v>
      </c>
      <c r="E992" t="s">
        <v>12</v>
      </c>
      <c r="F992" t="s">
        <v>15</v>
      </c>
      <c r="G992" t="s">
        <v>21</v>
      </c>
      <c r="H992" t="s">
        <v>23</v>
      </c>
      <c r="I992">
        <v>8</v>
      </c>
      <c r="J992" s="9">
        <v>6700</v>
      </c>
      <c r="K992" s="7">
        <v>0.05</v>
      </c>
      <c r="L992" s="9">
        <v>6365</v>
      </c>
      <c r="M992" s="10">
        <f>Sales_Data3[[#This Row],[Profit]]/Sales_Data3[[#This Row],[Sales]]</f>
        <v>0.95</v>
      </c>
      <c r="N992" t="str">
        <f t="shared" si="31"/>
        <v>Medium</v>
      </c>
      <c r="O992" s="2">
        <v>44832</v>
      </c>
      <c r="P992" s="9">
        <v>6700</v>
      </c>
    </row>
    <row r="993" spans="1:16" x14ac:dyDescent="0.25">
      <c r="A993" t="s">
        <v>1014</v>
      </c>
      <c r="B993" s="2">
        <v>44833</v>
      </c>
      <c r="C993">
        <v>2022</v>
      </c>
      <c r="D993" t="str">
        <f t="shared" si="30"/>
        <v>Sep</v>
      </c>
      <c r="E993" t="s">
        <v>12</v>
      </c>
      <c r="F993" t="s">
        <v>17</v>
      </c>
      <c r="G993" t="s">
        <v>22</v>
      </c>
      <c r="H993" t="s">
        <v>23</v>
      </c>
      <c r="I993">
        <v>2</v>
      </c>
      <c r="J993" s="9">
        <v>8600</v>
      </c>
      <c r="K993" s="7">
        <v>0.1</v>
      </c>
      <c r="L993" s="9">
        <v>7740</v>
      </c>
      <c r="M993" s="10">
        <f>Sales_Data3[[#This Row],[Profit]]/Sales_Data3[[#This Row],[Sales]]</f>
        <v>0.9</v>
      </c>
      <c r="N993" t="str">
        <f t="shared" si="31"/>
        <v>Medium</v>
      </c>
      <c r="O993" s="2">
        <v>44833</v>
      </c>
      <c r="P993" s="9">
        <v>8600</v>
      </c>
    </row>
    <row r="994" spans="1:16" x14ac:dyDescent="0.25">
      <c r="A994" t="s">
        <v>1015</v>
      </c>
      <c r="B994" s="2">
        <v>44834</v>
      </c>
      <c r="C994">
        <v>2022</v>
      </c>
      <c r="D994" t="str">
        <f t="shared" si="30"/>
        <v>Sep</v>
      </c>
      <c r="E994" t="s">
        <v>12</v>
      </c>
      <c r="F994" t="s">
        <v>2023</v>
      </c>
      <c r="G994" t="s">
        <v>19</v>
      </c>
      <c r="H994" t="s">
        <v>23</v>
      </c>
      <c r="I994">
        <v>2</v>
      </c>
      <c r="J994" s="9">
        <v>12500</v>
      </c>
      <c r="K994" s="7">
        <v>0.15000000000000002</v>
      </c>
      <c r="L994" s="9">
        <v>10625</v>
      </c>
      <c r="M994" s="10">
        <f>Sales_Data3[[#This Row],[Profit]]/Sales_Data3[[#This Row],[Sales]]</f>
        <v>0.85</v>
      </c>
      <c r="N994" t="str">
        <f t="shared" si="31"/>
        <v>High</v>
      </c>
      <c r="O994" s="2">
        <v>44834</v>
      </c>
      <c r="P994" s="9">
        <v>12500</v>
      </c>
    </row>
    <row r="995" spans="1:16" x14ac:dyDescent="0.25">
      <c r="A995" t="s">
        <v>1016</v>
      </c>
      <c r="B995" s="2">
        <v>44835</v>
      </c>
      <c r="C995">
        <v>2022</v>
      </c>
      <c r="D995" t="str">
        <f t="shared" si="30"/>
        <v>Oct</v>
      </c>
      <c r="E995" t="s">
        <v>12</v>
      </c>
      <c r="F995" t="s">
        <v>18</v>
      </c>
      <c r="G995" t="s">
        <v>20</v>
      </c>
      <c r="H995" t="s">
        <v>23</v>
      </c>
      <c r="I995">
        <v>3</v>
      </c>
      <c r="J995" s="9">
        <v>14400</v>
      </c>
      <c r="K995" s="7">
        <v>0.2</v>
      </c>
      <c r="L995" s="9">
        <v>11520</v>
      </c>
      <c r="M995" s="10">
        <f>Sales_Data3[[#This Row],[Profit]]/Sales_Data3[[#This Row],[Sales]]</f>
        <v>0.8</v>
      </c>
      <c r="N995" t="str">
        <f t="shared" si="31"/>
        <v>High</v>
      </c>
      <c r="O995" s="2">
        <v>44835</v>
      </c>
      <c r="P995" s="9">
        <v>14400</v>
      </c>
    </row>
    <row r="996" spans="1:16" x14ac:dyDescent="0.25">
      <c r="A996" t="s">
        <v>1017</v>
      </c>
      <c r="B996" s="2">
        <v>44836</v>
      </c>
      <c r="C996">
        <v>2022</v>
      </c>
      <c r="D996" t="str">
        <f t="shared" si="30"/>
        <v>Oct</v>
      </c>
      <c r="E996" t="s">
        <v>12</v>
      </c>
      <c r="F996" t="s">
        <v>2024</v>
      </c>
      <c r="G996" t="s">
        <v>21</v>
      </c>
      <c r="H996" t="s">
        <v>23</v>
      </c>
      <c r="I996">
        <v>1</v>
      </c>
      <c r="J996" s="9">
        <v>8900</v>
      </c>
      <c r="K996" s="7">
        <v>0.25</v>
      </c>
      <c r="L996" s="9">
        <v>6675</v>
      </c>
      <c r="M996" s="10">
        <f>Sales_Data3[[#This Row],[Profit]]/Sales_Data3[[#This Row],[Sales]]</f>
        <v>0.75</v>
      </c>
      <c r="N996" t="str">
        <f t="shared" si="31"/>
        <v>Medium</v>
      </c>
      <c r="O996" s="2">
        <v>44836</v>
      </c>
      <c r="P996" s="9">
        <v>8900</v>
      </c>
    </row>
    <row r="997" spans="1:16" x14ac:dyDescent="0.25">
      <c r="A997" t="s">
        <v>1018</v>
      </c>
      <c r="B997" s="2">
        <v>44837</v>
      </c>
      <c r="C997">
        <v>2022</v>
      </c>
      <c r="D997" t="str">
        <f t="shared" si="30"/>
        <v>Oct</v>
      </c>
      <c r="E997" t="s">
        <v>12</v>
      </c>
      <c r="F997" t="s">
        <v>2025</v>
      </c>
      <c r="G997" t="s">
        <v>22</v>
      </c>
      <c r="H997" t="s">
        <v>23</v>
      </c>
      <c r="I997">
        <v>2</v>
      </c>
      <c r="J997" s="9">
        <v>5100</v>
      </c>
      <c r="K997" s="7">
        <v>0.05</v>
      </c>
      <c r="L997" s="9">
        <v>4845</v>
      </c>
      <c r="M997" s="10">
        <f>Sales_Data3[[#This Row],[Profit]]/Sales_Data3[[#This Row],[Sales]]</f>
        <v>0.95</v>
      </c>
      <c r="N997" t="str">
        <f t="shared" si="31"/>
        <v>Medium</v>
      </c>
      <c r="O997" s="2">
        <v>44837</v>
      </c>
      <c r="P997" s="9">
        <v>5100</v>
      </c>
    </row>
    <row r="998" spans="1:16" x14ac:dyDescent="0.25">
      <c r="A998" t="s">
        <v>1019</v>
      </c>
      <c r="B998" s="2">
        <v>44838</v>
      </c>
      <c r="C998">
        <v>2022</v>
      </c>
      <c r="D998" t="str">
        <f t="shared" si="30"/>
        <v>Oct</v>
      </c>
      <c r="E998" t="s">
        <v>12</v>
      </c>
      <c r="F998" t="s">
        <v>2026</v>
      </c>
      <c r="G998" t="s">
        <v>19</v>
      </c>
      <c r="H998" t="s">
        <v>23</v>
      </c>
      <c r="I998">
        <v>1</v>
      </c>
      <c r="J998" s="9">
        <v>6500</v>
      </c>
      <c r="K998" s="7">
        <v>0.1</v>
      </c>
      <c r="L998" s="9">
        <v>5850</v>
      </c>
      <c r="M998" s="10">
        <f>Sales_Data3[[#This Row],[Profit]]/Sales_Data3[[#This Row],[Sales]]</f>
        <v>0.9</v>
      </c>
      <c r="N998" t="str">
        <f t="shared" si="31"/>
        <v>Medium</v>
      </c>
      <c r="O998" s="2">
        <v>44838</v>
      </c>
      <c r="P998" s="9">
        <v>6500</v>
      </c>
    </row>
    <row r="999" spans="1:16" x14ac:dyDescent="0.25">
      <c r="A999" t="s">
        <v>1020</v>
      </c>
      <c r="B999" s="2">
        <v>44839</v>
      </c>
      <c r="C999">
        <v>2022</v>
      </c>
      <c r="D999" t="str">
        <f t="shared" si="30"/>
        <v>Oct</v>
      </c>
      <c r="E999" t="s">
        <v>12</v>
      </c>
      <c r="F999" t="s">
        <v>2027</v>
      </c>
      <c r="G999" t="s">
        <v>20</v>
      </c>
      <c r="H999" t="s">
        <v>23</v>
      </c>
      <c r="I999">
        <v>3</v>
      </c>
      <c r="J999" s="9">
        <v>12500</v>
      </c>
      <c r="K999" s="7">
        <v>0.15000000000000002</v>
      </c>
      <c r="L999" s="9">
        <v>10625</v>
      </c>
      <c r="M999" s="10">
        <f>Sales_Data3[[#This Row],[Profit]]/Sales_Data3[[#This Row],[Sales]]</f>
        <v>0.85</v>
      </c>
      <c r="N999" t="str">
        <f t="shared" si="31"/>
        <v>High</v>
      </c>
      <c r="O999" s="2">
        <v>44839</v>
      </c>
      <c r="P999" s="9">
        <v>12500</v>
      </c>
    </row>
    <row r="1000" spans="1:16" x14ac:dyDescent="0.25">
      <c r="A1000" t="s">
        <v>1021</v>
      </c>
      <c r="B1000" s="2">
        <v>44840</v>
      </c>
      <c r="C1000">
        <v>2022</v>
      </c>
      <c r="D1000" t="str">
        <f t="shared" si="30"/>
        <v>Oct</v>
      </c>
      <c r="E1000" t="s">
        <v>12</v>
      </c>
      <c r="F1000" t="s">
        <v>2028</v>
      </c>
      <c r="G1000" t="s">
        <v>21</v>
      </c>
      <c r="H1000" t="s">
        <v>23</v>
      </c>
      <c r="I1000">
        <v>9</v>
      </c>
      <c r="J1000" s="9">
        <v>13100</v>
      </c>
      <c r="K1000" s="7">
        <v>0.2</v>
      </c>
      <c r="L1000" s="9">
        <v>10480</v>
      </c>
      <c r="M1000" s="10">
        <f>Sales_Data3[[#This Row],[Profit]]/Sales_Data3[[#This Row],[Sales]]</f>
        <v>0.8</v>
      </c>
      <c r="N1000" t="str">
        <f t="shared" si="31"/>
        <v>High</v>
      </c>
      <c r="O1000" s="2">
        <v>44840</v>
      </c>
      <c r="P1000" s="9">
        <v>13100</v>
      </c>
    </row>
    <row r="1001" spans="1:16" x14ac:dyDescent="0.25">
      <c r="A1001" t="s">
        <v>1022</v>
      </c>
      <c r="B1001" s="2">
        <v>44841</v>
      </c>
      <c r="C1001">
        <v>2022</v>
      </c>
      <c r="D1001" t="str">
        <f t="shared" si="30"/>
        <v>Oct</v>
      </c>
      <c r="E1001" t="s">
        <v>12</v>
      </c>
      <c r="F1001" t="s">
        <v>2029</v>
      </c>
      <c r="G1001" t="s">
        <v>22</v>
      </c>
      <c r="H1001" t="s">
        <v>23</v>
      </c>
      <c r="I1001">
        <v>5</v>
      </c>
      <c r="J1001" s="9">
        <v>12200</v>
      </c>
      <c r="K1001" s="7">
        <v>0.25</v>
      </c>
      <c r="L1001" s="9">
        <v>9150</v>
      </c>
      <c r="M1001" s="10">
        <f>Sales_Data3[[#This Row],[Profit]]/Sales_Data3[[#This Row],[Sales]]</f>
        <v>0.75</v>
      </c>
      <c r="N1001" t="str">
        <f t="shared" si="31"/>
        <v>High</v>
      </c>
      <c r="O1001" s="2">
        <v>44841</v>
      </c>
      <c r="P1001" s="9">
        <v>12200</v>
      </c>
    </row>
    <row r="1002" spans="1:16" x14ac:dyDescent="0.25">
      <c r="A1002" t="s">
        <v>1023</v>
      </c>
      <c r="B1002" s="2">
        <v>44842</v>
      </c>
      <c r="C1002">
        <v>2022</v>
      </c>
      <c r="D1002" t="str">
        <f t="shared" si="30"/>
        <v>Oct</v>
      </c>
      <c r="E1002" t="s">
        <v>13</v>
      </c>
      <c r="F1002" t="s">
        <v>16</v>
      </c>
      <c r="G1002" t="s">
        <v>19</v>
      </c>
      <c r="H1002" t="s">
        <v>24</v>
      </c>
      <c r="I1002">
        <v>2</v>
      </c>
      <c r="J1002" s="9">
        <v>4800</v>
      </c>
      <c r="K1002" s="7">
        <v>0.05</v>
      </c>
      <c r="L1002" s="9">
        <v>4560</v>
      </c>
      <c r="M1002" s="10">
        <f>Sales_Data3[[#This Row],[Profit]]/Sales_Data3[[#This Row],[Sales]]</f>
        <v>0.95</v>
      </c>
      <c r="N1002" t="str">
        <f t="shared" si="31"/>
        <v>Low</v>
      </c>
      <c r="O1002" s="2">
        <v>44842</v>
      </c>
      <c r="P1002" s="9">
        <v>4800</v>
      </c>
    </row>
    <row r="1003" spans="1:16" x14ac:dyDescent="0.25">
      <c r="A1003" t="s">
        <v>1024</v>
      </c>
      <c r="B1003" s="2">
        <v>44843</v>
      </c>
      <c r="C1003">
        <v>2022</v>
      </c>
      <c r="D1003" t="str">
        <f t="shared" si="30"/>
        <v>Oct</v>
      </c>
      <c r="E1003" t="s">
        <v>13</v>
      </c>
      <c r="F1003" t="s">
        <v>2030</v>
      </c>
      <c r="G1003" t="s">
        <v>20</v>
      </c>
      <c r="H1003" t="s">
        <v>24</v>
      </c>
      <c r="I1003">
        <v>5</v>
      </c>
      <c r="J1003" s="9">
        <v>7000</v>
      </c>
      <c r="K1003" s="7">
        <v>0.1</v>
      </c>
      <c r="L1003" s="9">
        <v>6300</v>
      </c>
      <c r="M1003" s="10">
        <f>Sales_Data3[[#This Row],[Profit]]/Sales_Data3[[#This Row],[Sales]]</f>
        <v>0.9</v>
      </c>
      <c r="N1003" t="str">
        <f t="shared" si="31"/>
        <v>Medium</v>
      </c>
      <c r="O1003" s="2">
        <v>44843</v>
      </c>
      <c r="P1003" s="9">
        <v>7000</v>
      </c>
    </row>
    <row r="1004" spans="1:16" x14ac:dyDescent="0.25">
      <c r="A1004" t="s">
        <v>1025</v>
      </c>
      <c r="B1004" s="2">
        <v>44844</v>
      </c>
      <c r="C1004">
        <v>2022</v>
      </c>
      <c r="D1004" t="str">
        <f t="shared" si="30"/>
        <v>Oct</v>
      </c>
      <c r="E1004" t="s">
        <v>13</v>
      </c>
      <c r="F1004" t="s">
        <v>2031</v>
      </c>
      <c r="G1004" t="s">
        <v>21</v>
      </c>
      <c r="H1004" t="s">
        <v>24</v>
      </c>
      <c r="I1004">
        <v>10</v>
      </c>
      <c r="J1004" s="9">
        <v>9700</v>
      </c>
      <c r="K1004" s="7">
        <v>0.15000000000000002</v>
      </c>
      <c r="L1004" s="9">
        <v>8245</v>
      </c>
      <c r="M1004" s="10">
        <f>Sales_Data3[[#This Row],[Profit]]/Sales_Data3[[#This Row],[Sales]]</f>
        <v>0.85</v>
      </c>
      <c r="N1004" t="str">
        <f t="shared" si="31"/>
        <v>Medium</v>
      </c>
      <c r="O1004" s="2">
        <v>44844</v>
      </c>
      <c r="P1004" s="9">
        <v>9700</v>
      </c>
    </row>
    <row r="1005" spans="1:16" x14ac:dyDescent="0.25">
      <c r="A1005" t="s">
        <v>1026</v>
      </c>
      <c r="B1005" s="2">
        <v>44845</v>
      </c>
      <c r="C1005">
        <v>2022</v>
      </c>
      <c r="D1005" t="str">
        <f t="shared" si="30"/>
        <v>Oct</v>
      </c>
      <c r="E1005" t="s">
        <v>13</v>
      </c>
      <c r="F1005" t="s">
        <v>2032</v>
      </c>
      <c r="G1005" t="s">
        <v>22</v>
      </c>
      <c r="H1005" t="s">
        <v>24</v>
      </c>
      <c r="I1005">
        <v>5</v>
      </c>
      <c r="J1005" s="9">
        <v>14300</v>
      </c>
      <c r="K1005" s="7">
        <v>0.2</v>
      </c>
      <c r="L1005" s="9">
        <v>11440</v>
      </c>
      <c r="M1005" s="10">
        <f>Sales_Data3[[#This Row],[Profit]]/Sales_Data3[[#This Row],[Sales]]</f>
        <v>0.8</v>
      </c>
      <c r="N1005" t="str">
        <f t="shared" si="31"/>
        <v>High</v>
      </c>
      <c r="O1005" s="2">
        <v>44845</v>
      </c>
      <c r="P1005" s="9">
        <v>14300</v>
      </c>
    </row>
    <row r="1006" spans="1:16" x14ac:dyDescent="0.25">
      <c r="A1006" t="s">
        <v>1027</v>
      </c>
      <c r="B1006" s="2">
        <v>44846</v>
      </c>
      <c r="C1006">
        <v>2022</v>
      </c>
      <c r="D1006" t="str">
        <f t="shared" si="30"/>
        <v>Oct</v>
      </c>
      <c r="E1006" t="s">
        <v>13</v>
      </c>
      <c r="F1006" t="s">
        <v>2033</v>
      </c>
      <c r="G1006" t="s">
        <v>19</v>
      </c>
      <c r="H1006" t="s">
        <v>24</v>
      </c>
      <c r="I1006">
        <v>9</v>
      </c>
      <c r="J1006" s="9">
        <v>13000</v>
      </c>
      <c r="K1006" s="7">
        <v>0.25</v>
      </c>
      <c r="L1006" s="9">
        <v>9750</v>
      </c>
      <c r="M1006" s="10">
        <f>Sales_Data3[[#This Row],[Profit]]/Sales_Data3[[#This Row],[Sales]]</f>
        <v>0.75</v>
      </c>
      <c r="N1006" t="str">
        <f t="shared" si="31"/>
        <v>High</v>
      </c>
      <c r="O1006" s="2">
        <v>44846</v>
      </c>
      <c r="P1006" s="9">
        <v>13000</v>
      </c>
    </row>
    <row r="1007" spans="1:16" x14ac:dyDescent="0.25">
      <c r="A1007" t="s">
        <v>1028</v>
      </c>
      <c r="B1007" s="2">
        <v>44847</v>
      </c>
      <c r="C1007">
        <v>2022</v>
      </c>
      <c r="D1007" t="str">
        <f t="shared" si="30"/>
        <v>Oct</v>
      </c>
      <c r="E1007" t="s">
        <v>13</v>
      </c>
      <c r="F1007" t="s">
        <v>2034</v>
      </c>
      <c r="G1007" t="s">
        <v>20</v>
      </c>
      <c r="H1007" t="s">
        <v>24</v>
      </c>
      <c r="I1007">
        <v>10</v>
      </c>
      <c r="J1007" s="9">
        <v>8600</v>
      </c>
      <c r="K1007" s="7">
        <v>0.05</v>
      </c>
      <c r="L1007" s="9">
        <v>8170</v>
      </c>
      <c r="M1007" s="10">
        <f>Sales_Data3[[#This Row],[Profit]]/Sales_Data3[[#This Row],[Sales]]</f>
        <v>0.95</v>
      </c>
      <c r="N1007" t="str">
        <f t="shared" si="31"/>
        <v>Medium</v>
      </c>
      <c r="O1007" s="2">
        <v>44847</v>
      </c>
      <c r="P1007" s="9">
        <v>8600</v>
      </c>
    </row>
    <row r="1008" spans="1:16" x14ac:dyDescent="0.25">
      <c r="A1008" t="s">
        <v>1029</v>
      </c>
      <c r="B1008" s="2">
        <v>44848</v>
      </c>
      <c r="C1008">
        <v>2022</v>
      </c>
      <c r="D1008" t="str">
        <f t="shared" si="30"/>
        <v>Oct</v>
      </c>
      <c r="E1008" t="s">
        <v>13</v>
      </c>
      <c r="F1008" t="s">
        <v>2035</v>
      </c>
      <c r="G1008" t="s">
        <v>21</v>
      </c>
      <c r="H1008" t="s">
        <v>24</v>
      </c>
      <c r="I1008">
        <v>3</v>
      </c>
      <c r="J1008" s="9">
        <v>8400</v>
      </c>
      <c r="K1008" s="7">
        <v>0.1</v>
      </c>
      <c r="L1008" s="9">
        <v>7560</v>
      </c>
      <c r="M1008" s="10">
        <f>Sales_Data3[[#This Row],[Profit]]/Sales_Data3[[#This Row],[Sales]]</f>
        <v>0.9</v>
      </c>
      <c r="N1008" t="str">
        <f t="shared" si="31"/>
        <v>Medium</v>
      </c>
      <c r="O1008" s="2">
        <v>44848</v>
      </c>
      <c r="P1008" s="9">
        <v>8400</v>
      </c>
    </row>
    <row r="1009" spans="1:16" x14ac:dyDescent="0.25">
      <c r="A1009" t="s">
        <v>1030</v>
      </c>
      <c r="B1009" s="2">
        <v>44849</v>
      </c>
      <c r="C1009">
        <v>2022</v>
      </c>
      <c r="D1009" t="str">
        <f t="shared" si="30"/>
        <v>Oct</v>
      </c>
      <c r="E1009" t="s">
        <v>13</v>
      </c>
      <c r="F1009" t="s">
        <v>2036</v>
      </c>
      <c r="G1009" t="s">
        <v>22</v>
      </c>
      <c r="H1009" t="s">
        <v>24</v>
      </c>
      <c r="I1009">
        <v>8</v>
      </c>
      <c r="J1009" s="9">
        <v>6800</v>
      </c>
      <c r="K1009" s="7">
        <v>0.15000000000000002</v>
      </c>
      <c r="L1009" s="9">
        <v>5780</v>
      </c>
      <c r="M1009" s="10">
        <f>Sales_Data3[[#This Row],[Profit]]/Sales_Data3[[#This Row],[Sales]]</f>
        <v>0.85</v>
      </c>
      <c r="N1009" t="str">
        <f t="shared" si="31"/>
        <v>Medium</v>
      </c>
      <c r="O1009" s="2">
        <v>44849</v>
      </c>
      <c r="P1009" s="9">
        <v>6800</v>
      </c>
    </row>
    <row r="1010" spans="1:16" x14ac:dyDescent="0.25">
      <c r="A1010" t="s">
        <v>1031</v>
      </c>
      <c r="B1010" s="2">
        <v>44850</v>
      </c>
      <c r="C1010">
        <v>2022</v>
      </c>
      <c r="D1010" t="str">
        <f t="shared" si="30"/>
        <v>Oct</v>
      </c>
      <c r="E1010" t="s">
        <v>13</v>
      </c>
      <c r="F1010" t="s">
        <v>2037</v>
      </c>
      <c r="G1010" t="s">
        <v>19</v>
      </c>
      <c r="H1010" t="s">
        <v>24</v>
      </c>
      <c r="I1010">
        <v>1</v>
      </c>
      <c r="J1010" s="9">
        <v>6100</v>
      </c>
      <c r="K1010" s="7">
        <v>0.2</v>
      </c>
      <c r="L1010" s="9">
        <v>4880</v>
      </c>
      <c r="M1010" s="10">
        <f>Sales_Data3[[#This Row],[Profit]]/Sales_Data3[[#This Row],[Sales]]</f>
        <v>0.8</v>
      </c>
      <c r="N1010" t="str">
        <f t="shared" si="31"/>
        <v>Medium</v>
      </c>
      <c r="O1010" s="2">
        <v>44850</v>
      </c>
      <c r="P1010" s="9">
        <v>6100</v>
      </c>
    </row>
    <row r="1011" spans="1:16" x14ac:dyDescent="0.25">
      <c r="A1011" t="s">
        <v>1032</v>
      </c>
      <c r="B1011" s="2">
        <v>44851</v>
      </c>
      <c r="C1011">
        <v>2022</v>
      </c>
      <c r="D1011" t="str">
        <f t="shared" si="30"/>
        <v>Oct</v>
      </c>
      <c r="E1011" t="s">
        <v>13</v>
      </c>
      <c r="F1011" t="s">
        <v>2038</v>
      </c>
      <c r="G1011" t="s">
        <v>20</v>
      </c>
      <c r="H1011" t="s">
        <v>24</v>
      </c>
      <c r="I1011">
        <v>3</v>
      </c>
      <c r="J1011" s="9">
        <v>8100</v>
      </c>
      <c r="K1011" s="7">
        <v>0.25</v>
      </c>
      <c r="L1011" s="9">
        <v>6075</v>
      </c>
      <c r="M1011" s="10">
        <f>Sales_Data3[[#This Row],[Profit]]/Sales_Data3[[#This Row],[Sales]]</f>
        <v>0.75</v>
      </c>
      <c r="N1011" t="str">
        <f t="shared" si="31"/>
        <v>Medium</v>
      </c>
      <c r="O1011" s="2">
        <v>44851</v>
      </c>
      <c r="P1011" s="9">
        <v>8100</v>
      </c>
    </row>
    <row r="1012" spans="1:16" x14ac:dyDescent="0.25">
      <c r="A1012" t="s">
        <v>1033</v>
      </c>
      <c r="B1012" s="2">
        <v>44852</v>
      </c>
      <c r="C1012">
        <v>2022</v>
      </c>
      <c r="D1012" t="str">
        <f t="shared" si="30"/>
        <v>Oct</v>
      </c>
      <c r="E1012" t="s">
        <v>14</v>
      </c>
      <c r="F1012" t="s">
        <v>2039</v>
      </c>
      <c r="G1012" t="s">
        <v>21</v>
      </c>
      <c r="H1012" t="s">
        <v>25</v>
      </c>
      <c r="I1012">
        <v>1</v>
      </c>
      <c r="J1012" s="9">
        <v>14800</v>
      </c>
      <c r="K1012" s="7">
        <v>0.05</v>
      </c>
      <c r="L1012" s="9">
        <v>14060</v>
      </c>
      <c r="M1012" s="10">
        <f>Sales_Data3[[#This Row],[Profit]]/Sales_Data3[[#This Row],[Sales]]</f>
        <v>0.95</v>
      </c>
      <c r="N1012" t="str">
        <f t="shared" si="31"/>
        <v>High</v>
      </c>
      <c r="O1012" s="2">
        <v>44852</v>
      </c>
      <c r="P1012" s="9">
        <v>14800</v>
      </c>
    </row>
    <row r="1013" spans="1:16" x14ac:dyDescent="0.25">
      <c r="A1013" t="s">
        <v>1034</v>
      </c>
      <c r="B1013" s="2">
        <v>44853</v>
      </c>
      <c r="C1013">
        <v>2022</v>
      </c>
      <c r="D1013" t="str">
        <f t="shared" si="30"/>
        <v>Oct</v>
      </c>
      <c r="E1013" t="s">
        <v>14</v>
      </c>
      <c r="F1013" t="s">
        <v>2040</v>
      </c>
      <c r="G1013" t="s">
        <v>22</v>
      </c>
      <c r="H1013" t="s">
        <v>25</v>
      </c>
      <c r="I1013">
        <v>7</v>
      </c>
      <c r="J1013" s="9">
        <v>7000</v>
      </c>
      <c r="K1013" s="7">
        <v>0.1</v>
      </c>
      <c r="L1013" s="9">
        <v>6300</v>
      </c>
      <c r="M1013" s="10">
        <f>Sales_Data3[[#This Row],[Profit]]/Sales_Data3[[#This Row],[Sales]]</f>
        <v>0.9</v>
      </c>
      <c r="N1013" t="str">
        <f t="shared" si="31"/>
        <v>Medium</v>
      </c>
      <c r="O1013" s="2">
        <v>44853</v>
      </c>
      <c r="P1013" s="9">
        <v>7000</v>
      </c>
    </row>
    <row r="1014" spans="1:16" x14ac:dyDescent="0.25">
      <c r="A1014" t="s">
        <v>1035</v>
      </c>
      <c r="B1014" s="2">
        <v>44854</v>
      </c>
      <c r="C1014">
        <v>2022</v>
      </c>
      <c r="D1014" t="str">
        <f t="shared" si="30"/>
        <v>Oct</v>
      </c>
      <c r="E1014" t="s">
        <v>14</v>
      </c>
      <c r="F1014" t="s">
        <v>2041</v>
      </c>
      <c r="G1014" t="s">
        <v>19</v>
      </c>
      <c r="H1014" t="s">
        <v>25</v>
      </c>
      <c r="I1014">
        <v>2</v>
      </c>
      <c r="J1014" s="9">
        <v>6500</v>
      </c>
      <c r="K1014" s="7">
        <v>0.15000000000000002</v>
      </c>
      <c r="L1014" s="9">
        <v>5525</v>
      </c>
      <c r="M1014" s="10">
        <f>Sales_Data3[[#This Row],[Profit]]/Sales_Data3[[#This Row],[Sales]]</f>
        <v>0.85</v>
      </c>
      <c r="N1014" t="str">
        <f t="shared" si="31"/>
        <v>Medium</v>
      </c>
      <c r="O1014" s="2">
        <v>44854</v>
      </c>
      <c r="P1014" s="9">
        <v>6500</v>
      </c>
    </row>
    <row r="1015" spans="1:16" x14ac:dyDescent="0.25">
      <c r="A1015" t="s">
        <v>1036</v>
      </c>
      <c r="B1015" s="2">
        <v>44855</v>
      </c>
      <c r="C1015">
        <v>2022</v>
      </c>
      <c r="D1015" t="str">
        <f t="shared" si="30"/>
        <v>Oct</v>
      </c>
      <c r="E1015" t="s">
        <v>14</v>
      </c>
      <c r="F1015" t="s">
        <v>2042</v>
      </c>
      <c r="G1015" t="s">
        <v>20</v>
      </c>
      <c r="H1015" t="s">
        <v>25</v>
      </c>
      <c r="I1015">
        <v>5</v>
      </c>
      <c r="J1015" s="9">
        <v>6600</v>
      </c>
      <c r="K1015" s="7">
        <v>0.2</v>
      </c>
      <c r="L1015" s="9">
        <v>5280</v>
      </c>
      <c r="M1015" s="10">
        <f>Sales_Data3[[#This Row],[Profit]]/Sales_Data3[[#This Row],[Sales]]</f>
        <v>0.8</v>
      </c>
      <c r="N1015" t="str">
        <f t="shared" si="31"/>
        <v>Medium</v>
      </c>
      <c r="O1015" s="2">
        <v>44855</v>
      </c>
      <c r="P1015" s="9">
        <v>6600</v>
      </c>
    </row>
    <row r="1016" spans="1:16" x14ac:dyDescent="0.25">
      <c r="A1016" t="s">
        <v>1037</v>
      </c>
      <c r="B1016" s="2">
        <v>44856</v>
      </c>
      <c r="C1016">
        <v>2022</v>
      </c>
      <c r="D1016" t="str">
        <f t="shared" si="30"/>
        <v>Oct</v>
      </c>
      <c r="E1016" t="s">
        <v>14</v>
      </c>
      <c r="F1016" t="s">
        <v>2043</v>
      </c>
      <c r="G1016" t="s">
        <v>21</v>
      </c>
      <c r="H1016" t="s">
        <v>25</v>
      </c>
      <c r="I1016">
        <v>5</v>
      </c>
      <c r="J1016" s="9">
        <v>4900</v>
      </c>
      <c r="K1016" s="7">
        <v>0.25</v>
      </c>
      <c r="L1016" s="9">
        <v>3675</v>
      </c>
      <c r="M1016" s="10">
        <f>Sales_Data3[[#This Row],[Profit]]/Sales_Data3[[#This Row],[Sales]]</f>
        <v>0.75</v>
      </c>
      <c r="N1016" t="str">
        <f t="shared" si="31"/>
        <v>Low</v>
      </c>
      <c r="O1016" s="2">
        <v>44856</v>
      </c>
      <c r="P1016" s="9">
        <v>4900</v>
      </c>
    </row>
    <row r="1017" spans="1:16" x14ac:dyDescent="0.25">
      <c r="A1017" t="s">
        <v>1038</v>
      </c>
      <c r="B1017" s="2">
        <v>44857</v>
      </c>
      <c r="C1017">
        <v>2022</v>
      </c>
      <c r="D1017" t="str">
        <f t="shared" si="30"/>
        <v>Oct</v>
      </c>
      <c r="E1017" t="s">
        <v>14</v>
      </c>
      <c r="F1017" t="s">
        <v>2044</v>
      </c>
      <c r="G1017" t="s">
        <v>22</v>
      </c>
      <c r="H1017" t="s">
        <v>25</v>
      </c>
      <c r="I1017">
        <v>6</v>
      </c>
      <c r="J1017" s="9">
        <v>11100</v>
      </c>
      <c r="K1017" s="7">
        <v>0.05</v>
      </c>
      <c r="L1017" s="9">
        <v>10545</v>
      </c>
      <c r="M1017" s="10">
        <f>Sales_Data3[[#This Row],[Profit]]/Sales_Data3[[#This Row],[Sales]]</f>
        <v>0.95</v>
      </c>
      <c r="N1017" t="str">
        <f t="shared" si="31"/>
        <v>High</v>
      </c>
      <c r="O1017" s="2">
        <v>44857</v>
      </c>
      <c r="P1017" s="9">
        <v>11100</v>
      </c>
    </row>
    <row r="1018" spans="1:16" x14ac:dyDescent="0.25">
      <c r="A1018" t="s">
        <v>1039</v>
      </c>
      <c r="B1018" s="2">
        <v>44858</v>
      </c>
      <c r="C1018">
        <v>2022</v>
      </c>
      <c r="D1018" t="str">
        <f t="shared" si="30"/>
        <v>Oct</v>
      </c>
      <c r="E1018" t="s">
        <v>14</v>
      </c>
      <c r="F1018" t="s">
        <v>2045</v>
      </c>
      <c r="G1018" t="s">
        <v>19</v>
      </c>
      <c r="H1018" t="s">
        <v>25</v>
      </c>
      <c r="I1018">
        <v>1</v>
      </c>
      <c r="J1018" s="9">
        <v>13700</v>
      </c>
      <c r="K1018" s="7">
        <v>0.1</v>
      </c>
      <c r="L1018" s="9">
        <v>12330</v>
      </c>
      <c r="M1018" s="10">
        <f>Sales_Data3[[#This Row],[Profit]]/Sales_Data3[[#This Row],[Sales]]</f>
        <v>0.9</v>
      </c>
      <c r="N1018" t="str">
        <f t="shared" si="31"/>
        <v>High</v>
      </c>
      <c r="O1018" s="2">
        <v>44858</v>
      </c>
      <c r="P1018" s="9">
        <v>13700</v>
      </c>
    </row>
    <row r="1019" spans="1:16" x14ac:dyDescent="0.25">
      <c r="A1019" t="s">
        <v>1040</v>
      </c>
      <c r="B1019" s="2">
        <v>44859</v>
      </c>
      <c r="C1019">
        <v>2022</v>
      </c>
      <c r="D1019" t="str">
        <f t="shared" si="30"/>
        <v>Oct</v>
      </c>
      <c r="E1019" t="s">
        <v>14</v>
      </c>
      <c r="F1019" t="s">
        <v>2046</v>
      </c>
      <c r="G1019" t="s">
        <v>20</v>
      </c>
      <c r="H1019" t="s">
        <v>25</v>
      </c>
      <c r="I1019">
        <v>6</v>
      </c>
      <c r="J1019" s="9">
        <v>11900</v>
      </c>
      <c r="K1019" s="7">
        <v>0.15000000000000002</v>
      </c>
      <c r="L1019" s="9">
        <v>10115</v>
      </c>
      <c r="M1019" s="10">
        <f>Sales_Data3[[#This Row],[Profit]]/Sales_Data3[[#This Row],[Sales]]</f>
        <v>0.85</v>
      </c>
      <c r="N1019" t="str">
        <f t="shared" si="31"/>
        <v>High</v>
      </c>
      <c r="O1019" s="2">
        <v>44859</v>
      </c>
      <c r="P1019" s="9">
        <v>11900</v>
      </c>
    </row>
    <row r="1020" spans="1:16" x14ac:dyDescent="0.25">
      <c r="A1020" t="s">
        <v>1041</v>
      </c>
      <c r="B1020" s="2">
        <v>44860</v>
      </c>
      <c r="C1020">
        <v>2022</v>
      </c>
      <c r="D1020" t="str">
        <f t="shared" si="30"/>
        <v>Oct</v>
      </c>
      <c r="E1020" t="s">
        <v>14</v>
      </c>
      <c r="F1020" t="s">
        <v>2047</v>
      </c>
      <c r="G1020" t="s">
        <v>21</v>
      </c>
      <c r="H1020" t="s">
        <v>25</v>
      </c>
      <c r="I1020">
        <v>6</v>
      </c>
      <c r="J1020" s="9">
        <v>6100</v>
      </c>
      <c r="K1020" s="7">
        <v>0.2</v>
      </c>
      <c r="L1020" s="9">
        <v>4880</v>
      </c>
      <c r="M1020" s="10">
        <f>Sales_Data3[[#This Row],[Profit]]/Sales_Data3[[#This Row],[Sales]]</f>
        <v>0.8</v>
      </c>
      <c r="N1020" t="str">
        <f t="shared" si="31"/>
        <v>Medium</v>
      </c>
      <c r="O1020" s="2">
        <v>44860</v>
      </c>
      <c r="P1020" s="9">
        <v>6100</v>
      </c>
    </row>
    <row r="1021" spans="1:16" x14ac:dyDescent="0.25">
      <c r="A1021" t="s">
        <v>1042</v>
      </c>
      <c r="B1021" s="2">
        <v>44861</v>
      </c>
      <c r="C1021">
        <v>2022</v>
      </c>
      <c r="D1021" t="str">
        <f t="shared" si="30"/>
        <v>Oct</v>
      </c>
      <c r="E1021" t="s">
        <v>14</v>
      </c>
      <c r="F1021" t="s">
        <v>2048</v>
      </c>
      <c r="G1021" t="s">
        <v>22</v>
      </c>
      <c r="H1021" t="s">
        <v>25</v>
      </c>
      <c r="I1021">
        <v>3</v>
      </c>
      <c r="J1021" s="9">
        <v>8900</v>
      </c>
      <c r="K1021" s="7">
        <v>0.25</v>
      </c>
      <c r="L1021" s="9">
        <v>6675</v>
      </c>
      <c r="M1021" s="10">
        <f>Sales_Data3[[#This Row],[Profit]]/Sales_Data3[[#This Row],[Sales]]</f>
        <v>0.75</v>
      </c>
      <c r="N1021" t="str">
        <f t="shared" si="31"/>
        <v>Medium</v>
      </c>
      <c r="O1021" s="2">
        <v>44861</v>
      </c>
      <c r="P1021" s="9">
        <v>8900</v>
      </c>
    </row>
    <row r="1022" spans="1:16" x14ac:dyDescent="0.25">
      <c r="A1022" t="s">
        <v>1043</v>
      </c>
      <c r="B1022" s="2">
        <v>44862</v>
      </c>
      <c r="C1022">
        <v>2022</v>
      </c>
      <c r="D1022" t="str">
        <f t="shared" si="30"/>
        <v>Oct</v>
      </c>
      <c r="E1022" t="s">
        <v>12</v>
      </c>
      <c r="F1022" t="s">
        <v>15</v>
      </c>
      <c r="G1022" t="s">
        <v>19</v>
      </c>
      <c r="H1022" t="s">
        <v>23</v>
      </c>
      <c r="I1022">
        <v>6</v>
      </c>
      <c r="J1022" s="9">
        <v>9400</v>
      </c>
      <c r="K1022" s="7">
        <v>0.05</v>
      </c>
      <c r="L1022" s="9">
        <v>8930</v>
      </c>
      <c r="M1022" s="10">
        <f>Sales_Data3[[#This Row],[Profit]]/Sales_Data3[[#This Row],[Sales]]</f>
        <v>0.95</v>
      </c>
      <c r="N1022" t="str">
        <f t="shared" si="31"/>
        <v>Medium</v>
      </c>
      <c r="O1022" s="2">
        <v>44862</v>
      </c>
      <c r="P1022" s="9">
        <v>9400</v>
      </c>
    </row>
    <row r="1023" spans="1:16" x14ac:dyDescent="0.25">
      <c r="A1023" t="s">
        <v>1044</v>
      </c>
      <c r="B1023" s="2">
        <v>44863</v>
      </c>
      <c r="C1023">
        <v>2022</v>
      </c>
      <c r="D1023" t="str">
        <f t="shared" si="30"/>
        <v>Oct</v>
      </c>
      <c r="E1023" t="s">
        <v>12</v>
      </c>
      <c r="F1023" t="s">
        <v>17</v>
      </c>
      <c r="G1023" t="s">
        <v>20</v>
      </c>
      <c r="H1023" t="s">
        <v>23</v>
      </c>
      <c r="I1023">
        <v>9</v>
      </c>
      <c r="J1023" s="9">
        <v>8500</v>
      </c>
      <c r="K1023" s="7">
        <v>0.1</v>
      </c>
      <c r="L1023" s="9">
        <v>7650</v>
      </c>
      <c r="M1023" s="10">
        <f>Sales_Data3[[#This Row],[Profit]]/Sales_Data3[[#This Row],[Sales]]</f>
        <v>0.9</v>
      </c>
      <c r="N1023" t="str">
        <f t="shared" si="31"/>
        <v>Medium</v>
      </c>
      <c r="O1023" s="2">
        <v>44863</v>
      </c>
      <c r="P1023" s="9">
        <v>8500</v>
      </c>
    </row>
    <row r="1024" spans="1:16" x14ac:dyDescent="0.25">
      <c r="A1024" t="s">
        <v>1045</v>
      </c>
      <c r="B1024" s="2">
        <v>44864</v>
      </c>
      <c r="C1024">
        <v>2022</v>
      </c>
      <c r="D1024" t="str">
        <f t="shared" si="30"/>
        <v>Oct</v>
      </c>
      <c r="E1024" t="s">
        <v>12</v>
      </c>
      <c r="F1024" t="s">
        <v>2023</v>
      </c>
      <c r="G1024" t="s">
        <v>21</v>
      </c>
      <c r="H1024" t="s">
        <v>23</v>
      </c>
      <c r="I1024">
        <v>9</v>
      </c>
      <c r="J1024" s="9">
        <v>11300</v>
      </c>
      <c r="K1024" s="7">
        <v>0.15000000000000002</v>
      </c>
      <c r="L1024" s="9">
        <v>9605</v>
      </c>
      <c r="M1024" s="10">
        <f>Sales_Data3[[#This Row],[Profit]]/Sales_Data3[[#This Row],[Sales]]</f>
        <v>0.85</v>
      </c>
      <c r="N1024" t="str">
        <f t="shared" si="31"/>
        <v>High</v>
      </c>
      <c r="O1024" s="2">
        <v>44864</v>
      </c>
      <c r="P1024" s="9">
        <v>11300</v>
      </c>
    </row>
    <row r="1025" spans="1:16" x14ac:dyDescent="0.25">
      <c r="A1025" t="s">
        <v>1046</v>
      </c>
      <c r="B1025" s="2">
        <v>44865</v>
      </c>
      <c r="C1025">
        <v>2022</v>
      </c>
      <c r="D1025" t="str">
        <f t="shared" si="30"/>
        <v>Oct</v>
      </c>
      <c r="E1025" t="s">
        <v>12</v>
      </c>
      <c r="F1025" t="s">
        <v>18</v>
      </c>
      <c r="G1025" t="s">
        <v>22</v>
      </c>
      <c r="H1025" t="s">
        <v>23</v>
      </c>
      <c r="I1025">
        <v>1</v>
      </c>
      <c r="J1025" s="9">
        <v>5900</v>
      </c>
      <c r="K1025" s="7">
        <v>0.2</v>
      </c>
      <c r="L1025" s="9">
        <v>4720</v>
      </c>
      <c r="M1025" s="10">
        <f>Sales_Data3[[#This Row],[Profit]]/Sales_Data3[[#This Row],[Sales]]</f>
        <v>0.8</v>
      </c>
      <c r="N1025" t="str">
        <f t="shared" si="31"/>
        <v>Medium</v>
      </c>
      <c r="O1025" s="2">
        <v>44865</v>
      </c>
      <c r="P1025" s="9">
        <v>5900</v>
      </c>
    </row>
    <row r="1026" spans="1:16" x14ac:dyDescent="0.25">
      <c r="A1026" t="s">
        <v>1047</v>
      </c>
      <c r="B1026" s="2">
        <v>44866</v>
      </c>
      <c r="C1026">
        <v>2022</v>
      </c>
      <c r="D1026" t="str">
        <f t="shared" ref="D1026:D1089" si="32">TEXT(B1026,"MMM")</f>
        <v>Nov</v>
      </c>
      <c r="E1026" t="s">
        <v>12</v>
      </c>
      <c r="F1026" t="s">
        <v>2024</v>
      </c>
      <c r="G1026" t="s">
        <v>19</v>
      </c>
      <c r="H1026" t="s">
        <v>23</v>
      </c>
      <c r="I1026">
        <v>7</v>
      </c>
      <c r="J1026" s="9">
        <v>10200</v>
      </c>
      <c r="K1026" s="7">
        <v>0.25</v>
      </c>
      <c r="L1026" s="9">
        <v>7650</v>
      </c>
      <c r="M1026" s="10">
        <f>Sales_Data3[[#This Row],[Profit]]/Sales_Data3[[#This Row],[Sales]]</f>
        <v>0.75</v>
      </c>
      <c r="N1026" t="str">
        <f t="shared" ref="N1026:N1089" si="33">IF(J1026&gt;10000,"High",IF(J1026&gt;5000,"Medium","Low"))</f>
        <v>High</v>
      </c>
      <c r="O1026" s="2">
        <v>44866</v>
      </c>
      <c r="P1026" s="9">
        <v>10200</v>
      </c>
    </row>
    <row r="1027" spans="1:16" x14ac:dyDescent="0.25">
      <c r="A1027" t="s">
        <v>1048</v>
      </c>
      <c r="B1027" s="2">
        <v>44867</v>
      </c>
      <c r="C1027">
        <v>2022</v>
      </c>
      <c r="D1027" t="str">
        <f t="shared" si="32"/>
        <v>Nov</v>
      </c>
      <c r="E1027" t="s">
        <v>12</v>
      </c>
      <c r="F1027" t="s">
        <v>2025</v>
      </c>
      <c r="G1027" t="s">
        <v>20</v>
      </c>
      <c r="H1027" t="s">
        <v>23</v>
      </c>
      <c r="I1027">
        <v>5</v>
      </c>
      <c r="J1027" s="9">
        <v>6600</v>
      </c>
      <c r="K1027" s="7">
        <v>0.05</v>
      </c>
      <c r="L1027" s="9">
        <v>6270</v>
      </c>
      <c r="M1027" s="10">
        <f>Sales_Data3[[#This Row],[Profit]]/Sales_Data3[[#This Row],[Sales]]</f>
        <v>0.95</v>
      </c>
      <c r="N1027" t="str">
        <f t="shared" si="33"/>
        <v>Medium</v>
      </c>
      <c r="O1027" s="2">
        <v>44867</v>
      </c>
      <c r="P1027" s="9">
        <v>6600</v>
      </c>
    </row>
    <row r="1028" spans="1:16" x14ac:dyDescent="0.25">
      <c r="A1028" t="s">
        <v>1049</v>
      </c>
      <c r="B1028" s="2">
        <v>44868</v>
      </c>
      <c r="C1028">
        <v>2022</v>
      </c>
      <c r="D1028" t="str">
        <f t="shared" si="32"/>
        <v>Nov</v>
      </c>
      <c r="E1028" t="s">
        <v>12</v>
      </c>
      <c r="F1028" t="s">
        <v>2026</v>
      </c>
      <c r="G1028" t="s">
        <v>21</v>
      </c>
      <c r="H1028" t="s">
        <v>23</v>
      </c>
      <c r="I1028">
        <v>1</v>
      </c>
      <c r="J1028" s="9">
        <v>7500</v>
      </c>
      <c r="K1028" s="7">
        <v>0.1</v>
      </c>
      <c r="L1028" s="9">
        <v>6750</v>
      </c>
      <c r="M1028" s="10">
        <f>Sales_Data3[[#This Row],[Profit]]/Sales_Data3[[#This Row],[Sales]]</f>
        <v>0.9</v>
      </c>
      <c r="N1028" t="str">
        <f t="shared" si="33"/>
        <v>Medium</v>
      </c>
      <c r="O1028" s="2">
        <v>44868</v>
      </c>
      <c r="P1028" s="9">
        <v>7500</v>
      </c>
    </row>
    <row r="1029" spans="1:16" x14ac:dyDescent="0.25">
      <c r="A1029" t="s">
        <v>1050</v>
      </c>
      <c r="B1029" s="2">
        <v>44869</v>
      </c>
      <c r="C1029">
        <v>2022</v>
      </c>
      <c r="D1029" t="str">
        <f t="shared" si="32"/>
        <v>Nov</v>
      </c>
      <c r="E1029" t="s">
        <v>12</v>
      </c>
      <c r="F1029" t="s">
        <v>2027</v>
      </c>
      <c r="G1029" t="s">
        <v>22</v>
      </c>
      <c r="H1029" t="s">
        <v>23</v>
      </c>
      <c r="I1029">
        <v>5</v>
      </c>
      <c r="J1029" s="9">
        <v>13500</v>
      </c>
      <c r="K1029" s="7">
        <v>0.15000000000000002</v>
      </c>
      <c r="L1029" s="9">
        <v>11475</v>
      </c>
      <c r="M1029" s="10">
        <f>Sales_Data3[[#This Row],[Profit]]/Sales_Data3[[#This Row],[Sales]]</f>
        <v>0.85</v>
      </c>
      <c r="N1029" t="str">
        <f t="shared" si="33"/>
        <v>High</v>
      </c>
      <c r="O1029" s="2">
        <v>44869</v>
      </c>
      <c r="P1029" s="9">
        <v>13500</v>
      </c>
    </row>
    <row r="1030" spans="1:16" x14ac:dyDescent="0.25">
      <c r="A1030" t="s">
        <v>1051</v>
      </c>
      <c r="B1030" s="2">
        <v>44870</v>
      </c>
      <c r="C1030">
        <v>2022</v>
      </c>
      <c r="D1030" t="str">
        <f t="shared" si="32"/>
        <v>Nov</v>
      </c>
      <c r="E1030" t="s">
        <v>12</v>
      </c>
      <c r="F1030" t="s">
        <v>2028</v>
      </c>
      <c r="G1030" t="s">
        <v>19</v>
      </c>
      <c r="H1030" t="s">
        <v>23</v>
      </c>
      <c r="I1030">
        <v>4</v>
      </c>
      <c r="J1030" s="9">
        <v>5700</v>
      </c>
      <c r="K1030" s="7">
        <v>0.2</v>
      </c>
      <c r="L1030" s="9">
        <v>4560</v>
      </c>
      <c r="M1030" s="10">
        <f>Sales_Data3[[#This Row],[Profit]]/Sales_Data3[[#This Row],[Sales]]</f>
        <v>0.8</v>
      </c>
      <c r="N1030" t="str">
        <f t="shared" si="33"/>
        <v>Medium</v>
      </c>
      <c r="O1030" s="2">
        <v>44870</v>
      </c>
      <c r="P1030" s="9">
        <v>5700</v>
      </c>
    </row>
    <row r="1031" spans="1:16" x14ac:dyDescent="0.25">
      <c r="A1031" t="s">
        <v>1052</v>
      </c>
      <c r="B1031" s="2">
        <v>44871</v>
      </c>
      <c r="C1031">
        <v>2022</v>
      </c>
      <c r="D1031" t="str">
        <f t="shared" si="32"/>
        <v>Nov</v>
      </c>
      <c r="E1031" t="s">
        <v>12</v>
      </c>
      <c r="F1031" t="s">
        <v>2029</v>
      </c>
      <c r="G1031" t="s">
        <v>20</v>
      </c>
      <c r="H1031" t="s">
        <v>23</v>
      </c>
      <c r="I1031">
        <v>2</v>
      </c>
      <c r="J1031" s="9">
        <v>12000</v>
      </c>
      <c r="K1031" s="7">
        <v>0.25</v>
      </c>
      <c r="L1031" s="9">
        <v>9000</v>
      </c>
      <c r="M1031" s="10">
        <f>Sales_Data3[[#This Row],[Profit]]/Sales_Data3[[#This Row],[Sales]]</f>
        <v>0.75</v>
      </c>
      <c r="N1031" t="str">
        <f t="shared" si="33"/>
        <v>High</v>
      </c>
      <c r="O1031" s="2">
        <v>44871</v>
      </c>
      <c r="P1031" s="9">
        <v>12000</v>
      </c>
    </row>
    <row r="1032" spans="1:16" x14ac:dyDescent="0.25">
      <c r="A1032" t="s">
        <v>1053</v>
      </c>
      <c r="B1032" s="2">
        <v>44872</v>
      </c>
      <c r="C1032">
        <v>2022</v>
      </c>
      <c r="D1032" t="str">
        <f t="shared" si="32"/>
        <v>Nov</v>
      </c>
      <c r="E1032" t="s">
        <v>13</v>
      </c>
      <c r="F1032" t="s">
        <v>16</v>
      </c>
      <c r="G1032" t="s">
        <v>21</v>
      </c>
      <c r="H1032" t="s">
        <v>24</v>
      </c>
      <c r="I1032">
        <v>1</v>
      </c>
      <c r="J1032" s="9">
        <v>5400</v>
      </c>
      <c r="K1032" s="7">
        <v>0.05</v>
      </c>
      <c r="L1032" s="9">
        <v>5130</v>
      </c>
      <c r="M1032" s="10">
        <f>Sales_Data3[[#This Row],[Profit]]/Sales_Data3[[#This Row],[Sales]]</f>
        <v>0.95</v>
      </c>
      <c r="N1032" t="str">
        <f t="shared" si="33"/>
        <v>Medium</v>
      </c>
      <c r="O1032" s="2">
        <v>44872</v>
      </c>
      <c r="P1032" s="9">
        <v>5400</v>
      </c>
    </row>
    <row r="1033" spans="1:16" x14ac:dyDescent="0.25">
      <c r="A1033" t="s">
        <v>1054</v>
      </c>
      <c r="B1033" s="2">
        <v>44873</v>
      </c>
      <c r="C1033">
        <v>2022</v>
      </c>
      <c r="D1033" t="str">
        <f t="shared" si="32"/>
        <v>Nov</v>
      </c>
      <c r="E1033" t="s">
        <v>13</v>
      </c>
      <c r="F1033" t="s">
        <v>2030</v>
      </c>
      <c r="G1033" t="s">
        <v>22</v>
      </c>
      <c r="H1033" t="s">
        <v>24</v>
      </c>
      <c r="I1033">
        <v>9</v>
      </c>
      <c r="J1033" s="9">
        <v>11300</v>
      </c>
      <c r="K1033" s="7">
        <v>0.1</v>
      </c>
      <c r="L1033" s="9">
        <v>10170</v>
      </c>
      <c r="M1033" s="10">
        <f>Sales_Data3[[#This Row],[Profit]]/Sales_Data3[[#This Row],[Sales]]</f>
        <v>0.9</v>
      </c>
      <c r="N1033" t="str">
        <f t="shared" si="33"/>
        <v>High</v>
      </c>
      <c r="O1033" s="2">
        <v>44873</v>
      </c>
      <c r="P1033" s="9">
        <v>11300</v>
      </c>
    </row>
    <row r="1034" spans="1:16" x14ac:dyDescent="0.25">
      <c r="A1034" t="s">
        <v>1055</v>
      </c>
      <c r="B1034" s="2">
        <v>44874</v>
      </c>
      <c r="C1034">
        <v>2022</v>
      </c>
      <c r="D1034" t="str">
        <f t="shared" si="32"/>
        <v>Nov</v>
      </c>
      <c r="E1034" t="s">
        <v>13</v>
      </c>
      <c r="F1034" t="s">
        <v>2031</v>
      </c>
      <c r="G1034" t="s">
        <v>19</v>
      </c>
      <c r="H1034" t="s">
        <v>24</v>
      </c>
      <c r="I1034">
        <v>7</v>
      </c>
      <c r="J1034" s="9">
        <v>4100</v>
      </c>
      <c r="K1034" s="7">
        <v>0.15000000000000002</v>
      </c>
      <c r="L1034" s="9">
        <v>3485</v>
      </c>
      <c r="M1034" s="10">
        <f>Sales_Data3[[#This Row],[Profit]]/Sales_Data3[[#This Row],[Sales]]</f>
        <v>0.85</v>
      </c>
      <c r="N1034" t="str">
        <f t="shared" si="33"/>
        <v>Low</v>
      </c>
      <c r="O1034" s="2">
        <v>44874</v>
      </c>
      <c r="P1034" s="9">
        <v>4100</v>
      </c>
    </row>
    <row r="1035" spans="1:16" x14ac:dyDescent="0.25">
      <c r="A1035" t="s">
        <v>1056</v>
      </c>
      <c r="B1035" s="2">
        <v>44875</v>
      </c>
      <c r="C1035">
        <v>2022</v>
      </c>
      <c r="D1035" t="str">
        <f t="shared" si="32"/>
        <v>Nov</v>
      </c>
      <c r="E1035" t="s">
        <v>13</v>
      </c>
      <c r="F1035" t="s">
        <v>2032</v>
      </c>
      <c r="G1035" t="s">
        <v>20</v>
      </c>
      <c r="H1035" t="s">
        <v>24</v>
      </c>
      <c r="I1035">
        <v>9</v>
      </c>
      <c r="J1035" s="9">
        <v>11500</v>
      </c>
      <c r="K1035" s="7">
        <v>0.2</v>
      </c>
      <c r="L1035" s="9">
        <v>9200</v>
      </c>
      <c r="M1035" s="10">
        <f>Sales_Data3[[#This Row],[Profit]]/Sales_Data3[[#This Row],[Sales]]</f>
        <v>0.8</v>
      </c>
      <c r="N1035" t="str">
        <f t="shared" si="33"/>
        <v>High</v>
      </c>
      <c r="O1035" s="2">
        <v>44875</v>
      </c>
      <c r="P1035" s="9">
        <v>11500</v>
      </c>
    </row>
    <row r="1036" spans="1:16" x14ac:dyDescent="0.25">
      <c r="A1036" t="s">
        <v>1057</v>
      </c>
      <c r="B1036" s="2">
        <v>44876</v>
      </c>
      <c r="C1036">
        <v>2022</v>
      </c>
      <c r="D1036" t="str">
        <f t="shared" si="32"/>
        <v>Nov</v>
      </c>
      <c r="E1036" t="s">
        <v>13</v>
      </c>
      <c r="F1036" t="s">
        <v>2033</v>
      </c>
      <c r="G1036" t="s">
        <v>21</v>
      </c>
      <c r="H1036" t="s">
        <v>24</v>
      </c>
      <c r="I1036">
        <v>9</v>
      </c>
      <c r="J1036" s="9">
        <v>4200</v>
      </c>
      <c r="K1036" s="7">
        <v>0.25</v>
      </c>
      <c r="L1036" s="9">
        <v>3150</v>
      </c>
      <c r="M1036" s="10">
        <f>Sales_Data3[[#This Row],[Profit]]/Sales_Data3[[#This Row],[Sales]]</f>
        <v>0.75</v>
      </c>
      <c r="N1036" t="str">
        <f t="shared" si="33"/>
        <v>Low</v>
      </c>
      <c r="O1036" s="2">
        <v>44876</v>
      </c>
      <c r="P1036" s="9">
        <v>4200</v>
      </c>
    </row>
    <row r="1037" spans="1:16" x14ac:dyDescent="0.25">
      <c r="A1037" t="s">
        <v>1058</v>
      </c>
      <c r="B1037" s="2">
        <v>44877</v>
      </c>
      <c r="C1037">
        <v>2022</v>
      </c>
      <c r="D1037" t="str">
        <f t="shared" si="32"/>
        <v>Nov</v>
      </c>
      <c r="E1037" t="s">
        <v>13</v>
      </c>
      <c r="F1037" t="s">
        <v>2034</v>
      </c>
      <c r="G1037" t="s">
        <v>22</v>
      </c>
      <c r="H1037" t="s">
        <v>24</v>
      </c>
      <c r="I1037">
        <v>4</v>
      </c>
      <c r="J1037" s="9">
        <v>5700</v>
      </c>
      <c r="K1037" s="7">
        <v>0.05</v>
      </c>
      <c r="L1037" s="9">
        <v>5415</v>
      </c>
      <c r="M1037" s="10">
        <f>Sales_Data3[[#This Row],[Profit]]/Sales_Data3[[#This Row],[Sales]]</f>
        <v>0.95</v>
      </c>
      <c r="N1037" t="str">
        <f t="shared" si="33"/>
        <v>Medium</v>
      </c>
      <c r="O1037" s="2">
        <v>44877</v>
      </c>
      <c r="P1037" s="9">
        <v>5700</v>
      </c>
    </row>
    <row r="1038" spans="1:16" x14ac:dyDescent="0.25">
      <c r="A1038" t="s">
        <v>1059</v>
      </c>
      <c r="B1038" s="2">
        <v>44878</v>
      </c>
      <c r="C1038">
        <v>2022</v>
      </c>
      <c r="D1038" t="str">
        <f t="shared" si="32"/>
        <v>Nov</v>
      </c>
      <c r="E1038" t="s">
        <v>13</v>
      </c>
      <c r="F1038" t="s">
        <v>2035</v>
      </c>
      <c r="G1038" t="s">
        <v>19</v>
      </c>
      <c r="H1038" t="s">
        <v>24</v>
      </c>
      <c r="I1038">
        <v>5</v>
      </c>
      <c r="J1038" s="9">
        <v>6800</v>
      </c>
      <c r="K1038" s="7">
        <v>0.1</v>
      </c>
      <c r="L1038" s="9">
        <v>6120</v>
      </c>
      <c r="M1038" s="10">
        <f>Sales_Data3[[#This Row],[Profit]]/Sales_Data3[[#This Row],[Sales]]</f>
        <v>0.9</v>
      </c>
      <c r="N1038" t="str">
        <f t="shared" si="33"/>
        <v>Medium</v>
      </c>
      <c r="O1038" s="2">
        <v>44878</v>
      </c>
      <c r="P1038" s="9">
        <v>6800</v>
      </c>
    </row>
    <row r="1039" spans="1:16" x14ac:dyDescent="0.25">
      <c r="A1039" t="s">
        <v>1060</v>
      </c>
      <c r="B1039" s="2">
        <v>44879</v>
      </c>
      <c r="C1039">
        <v>2022</v>
      </c>
      <c r="D1039" t="str">
        <f t="shared" si="32"/>
        <v>Nov</v>
      </c>
      <c r="E1039" t="s">
        <v>13</v>
      </c>
      <c r="F1039" t="s">
        <v>2036</v>
      </c>
      <c r="G1039" t="s">
        <v>20</v>
      </c>
      <c r="H1039" t="s">
        <v>24</v>
      </c>
      <c r="I1039">
        <v>1</v>
      </c>
      <c r="J1039" s="9">
        <v>4900</v>
      </c>
      <c r="K1039" s="7">
        <v>0.15000000000000002</v>
      </c>
      <c r="L1039" s="9">
        <v>4165</v>
      </c>
      <c r="M1039" s="10">
        <f>Sales_Data3[[#This Row],[Profit]]/Sales_Data3[[#This Row],[Sales]]</f>
        <v>0.85</v>
      </c>
      <c r="N1039" t="str">
        <f t="shared" si="33"/>
        <v>Low</v>
      </c>
      <c r="O1039" s="2">
        <v>44879</v>
      </c>
      <c r="P1039" s="9">
        <v>4900</v>
      </c>
    </row>
    <row r="1040" spans="1:16" x14ac:dyDescent="0.25">
      <c r="A1040" t="s">
        <v>1061</v>
      </c>
      <c r="B1040" s="2">
        <v>44880</v>
      </c>
      <c r="C1040">
        <v>2022</v>
      </c>
      <c r="D1040" t="str">
        <f t="shared" si="32"/>
        <v>Nov</v>
      </c>
      <c r="E1040" t="s">
        <v>13</v>
      </c>
      <c r="F1040" t="s">
        <v>2037</v>
      </c>
      <c r="G1040" t="s">
        <v>21</v>
      </c>
      <c r="H1040" t="s">
        <v>24</v>
      </c>
      <c r="I1040">
        <v>5</v>
      </c>
      <c r="J1040" s="9">
        <v>12800</v>
      </c>
      <c r="K1040" s="7">
        <v>0.2</v>
      </c>
      <c r="L1040" s="9">
        <v>10240</v>
      </c>
      <c r="M1040" s="10">
        <f>Sales_Data3[[#This Row],[Profit]]/Sales_Data3[[#This Row],[Sales]]</f>
        <v>0.8</v>
      </c>
      <c r="N1040" t="str">
        <f t="shared" si="33"/>
        <v>High</v>
      </c>
      <c r="O1040" s="2">
        <v>44880</v>
      </c>
      <c r="P1040" s="9">
        <v>12800</v>
      </c>
    </row>
    <row r="1041" spans="1:16" x14ac:dyDescent="0.25">
      <c r="A1041" t="s">
        <v>1062</v>
      </c>
      <c r="B1041" s="2">
        <v>44881</v>
      </c>
      <c r="C1041">
        <v>2022</v>
      </c>
      <c r="D1041" t="str">
        <f t="shared" si="32"/>
        <v>Nov</v>
      </c>
      <c r="E1041" t="s">
        <v>13</v>
      </c>
      <c r="F1041" t="s">
        <v>2038</v>
      </c>
      <c r="G1041" t="s">
        <v>22</v>
      </c>
      <c r="H1041" t="s">
        <v>24</v>
      </c>
      <c r="I1041">
        <v>10</v>
      </c>
      <c r="J1041" s="9">
        <v>11000</v>
      </c>
      <c r="K1041" s="7">
        <v>0.25</v>
      </c>
      <c r="L1041" s="9">
        <v>8250</v>
      </c>
      <c r="M1041" s="10">
        <f>Sales_Data3[[#This Row],[Profit]]/Sales_Data3[[#This Row],[Sales]]</f>
        <v>0.75</v>
      </c>
      <c r="N1041" t="str">
        <f t="shared" si="33"/>
        <v>High</v>
      </c>
      <c r="O1041" s="2">
        <v>44881</v>
      </c>
      <c r="P1041" s="9">
        <v>11000</v>
      </c>
    </row>
    <row r="1042" spans="1:16" x14ac:dyDescent="0.25">
      <c r="A1042" t="s">
        <v>1063</v>
      </c>
      <c r="B1042" s="2">
        <v>44882</v>
      </c>
      <c r="C1042">
        <v>2022</v>
      </c>
      <c r="D1042" t="str">
        <f t="shared" si="32"/>
        <v>Nov</v>
      </c>
      <c r="E1042" t="s">
        <v>14</v>
      </c>
      <c r="F1042" t="s">
        <v>2039</v>
      </c>
      <c r="G1042" t="s">
        <v>19</v>
      </c>
      <c r="H1042" t="s">
        <v>25</v>
      </c>
      <c r="I1042">
        <v>8</v>
      </c>
      <c r="J1042" s="9">
        <v>10500</v>
      </c>
      <c r="K1042" s="7">
        <v>0.05</v>
      </c>
      <c r="L1042" s="9">
        <v>9975</v>
      </c>
      <c r="M1042" s="10">
        <f>Sales_Data3[[#This Row],[Profit]]/Sales_Data3[[#This Row],[Sales]]</f>
        <v>0.95</v>
      </c>
      <c r="N1042" t="str">
        <f t="shared" si="33"/>
        <v>High</v>
      </c>
      <c r="O1042" s="2">
        <v>44882</v>
      </c>
      <c r="P1042" s="9">
        <v>10500</v>
      </c>
    </row>
    <row r="1043" spans="1:16" x14ac:dyDescent="0.25">
      <c r="A1043" t="s">
        <v>1064</v>
      </c>
      <c r="B1043" s="2">
        <v>44883</v>
      </c>
      <c r="C1043">
        <v>2022</v>
      </c>
      <c r="D1043" t="str">
        <f t="shared" si="32"/>
        <v>Nov</v>
      </c>
      <c r="E1043" t="s">
        <v>14</v>
      </c>
      <c r="F1043" t="s">
        <v>2040</v>
      </c>
      <c r="G1043" t="s">
        <v>20</v>
      </c>
      <c r="H1043" t="s">
        <v>25</v>
      </c>
      <c r="I1043">
        <v>10</v>
      </c>
      <c r="J1043" s="9">
        <v>12000</v>
      </c>
      <c r="K1043" s="7">
        <v>0.1</v>
      </c>
      <c r="L1043" s="9">
        <v>10800</v>
      </c>
      <c r="M1043" s="10">
        <f>Sales_Data3[[#This Row],[Profit]]/Sales_Data3[[#This Row],[Sales]]</f>
        <v>0.9</v>
      </c>
      <c r="N1043" t="str">
        <f t="shared" si="33"/>
        <v>High</v>
      </c>
      <c r="O1043" s="2">
        <v>44883</v>
      </c>
      <c r="P1043" s="9">
        <v>12000</v>
      </c>
    </row>
    <row r="1044" spans="1:16" x14ac:dyDescent="0.25">
      <c r="A1044" t="s">
        <v>1065</v>
      </c>
      <c r="B1044" s="2">
        <v>44884</v>
      </c>
      <c r="C1044">
        <v>2022</v>
      </c>
      <c r="D1044" t="str">
        <f t="shared" si="32"/>
        <v>Nov</v>
      </c>
      <c r="E1044" t="s">
        <v>14</v>
      </c>
      <c r="F1044" t="s">
        <v>2041</v>
      </c>
      <c r="G1044" t="s">
        <v>21</v>
      </c>
      <c r="H1044" t="s">
        <v>25</v>
      </c>
      <c r="I1044">
        <v>5</v>
      </c>
      <c r="J1044" s="9">
        <v>12900</v>
      </c>
      <c r="K1044" s="7">
        <v>0.15000000000000002</v>
      </c>
      <c r="L1044" s="9">
        <v>10965</v>
      </c>
      <c r="M1044" s="10">
        <f>Sales_Data3[[#This Row],[Profit]]/Sales_Data3[[#This Row],[Sales]]</f>
        <v>0.85</v>
      </c>
      <c r="N1044" t="str">
        <f t="shared" si="33"/>
        <v>High</v>
      </c>
      <c r="O1044" s="2">
        <v>44884</v>
      </c>
      <c r="P1044" s="9">
        <v>12900</v>
      </c>
    </row>
    <row r="1045" spans="1:16" x14ac:dyDescent="0.25">
      <c r="A1045" t="s">
        <v>1066</v>
      </c>
      <c r="B1045" s="2">
        <v>44885</v>
      </c>
      <c r="C1045">
        <v>2022</v>
      </c>
      <c r="D1045" t="str">
        <f t="shared" si="32"/>
        <v>Nov</v>
      </c>
      <c r="E1045" t="s">
        <v>14</v>
      </c>
      <c r="F1045" t="s">
        <v>2042</v>
      </c>
      <c r="G1045" t="s">
        <v>22</v>
      </c>
      <c r="H1045" t="s">
        <v>25</v>
      </c>
      <c r="I1045">
        <v>7</v>
      </c>
      <c r="J1045" s="9">
        <v>8700</v>
      </c>
      <c r="K1045" s="7">
        <v>0.2</v>
      </c>
      <c r="L1045" s="9">
        <v>6960</v>
      </c>
      <c r="M1045" s="10">
        <f>Sales_Data3[[#This Row],[Profit]]/Sales_Data3[[#This Row],[Sales]]</f>
        <v>0.8</v>
      </c>
      <c r="N1045" t="str">
        <f t="shared" si="33"/>
        <v>Medium</v>
      </c>
      <c r="O1045" s="2">
        <v>44885</v>
      </c>
      <c r="P1045" s="9">
        <v>8700</v>
      </c>
    </row>
    <row r="1046" spans="1:16" x14ac:dyDescent="0.25">
      <c r="A1046" t="s">
        <v>1067</v>
      </c>
      <c r="B1046" s="2">
        <v>44886</v>
      </c>
      <c r="C1046">
        <v>2022</v>
      </c>
      <c r="D1046" t="str">
        <f t="shared" si="32"/>
        <v>Nov</v>
      </c>
      <c r="E1046" t="s">
        <v>14</v>
      </c>
      <c r="F1046" t="s">
        <v>2043</v>
      </c>
      <c r="G1046" t="s">
        <v>19</v>
      </c>
      <c r="H1046" t="s">
        <v>25</v>
      </c>
      <c r="I1046">
        <v>9</v>
      </c>
      <c r="J1046" s="9">
        <v>4200</v>
      </c>
      <c r="K1046" s="7">
        <v>0.25</v>
      </c>
      <c r="L1046" s="9">
        <v>3150</v>
      </c>
      <c r="M1046" s="10">
        <f>Sales_Data3[[#This Row],[Profit]]/Sales_Data3[[#This Row],[Sales]]</f>
        <v>0.75</v>
      </c>
      <c r="N1046" t="str">
        <f t="shared" si="33"/>
        <v>Low</v>
      </c>
      <c r="O1046" s="2">
        <v>44886</v>
      </c>
      <c r="P1046" s="9">
        <v>4200</v>
      </c>
    </row>
    <row r="1047" spans="1:16" x14ac:dyDescent="0.25">
      <c r="A1047" t="s">
        <v>1068</v>
      </c>
      <c r="B1047" s="2">
        <v>44887</v>
      </c>
      <c r="C1047">
        <v>2022</v>
      </c>
      <c r="D1047" t="str">
        <f t="shared" si="32"/>
        <v>Nov</v>
      </c>
      <c r="E1047" t="s">
        <v>14</v>
      </c>
      <c r="F1047" t="s">
        <v>2044</v>
      </c>
      <c r="G1047" t="s">
        <v>20</v>
      </c>
      <c r="H1047" t="s">
        <v>25</v>
      </c>
      <c r="I1047">
        <v>8</v>
      </c>
      <c r="J1047" s="9">
        <v>7800</v>
      </c>
      <c r="K1047" s="7">
        <v>0.05</v>
      </c>
      <c r="L1047" s="9">
        <v>7410</v>
      </c>
      <c r="M1047" s="10">
        <f>Sales_Data3[[#This Row],[Profit]]/Sales_Data3[[#This Row],[Sales]]</f>
        <v>0.95</v>
      </c>
      <c r="N1047" t="str">
        <f t="shared" si="33"/>
        <v>Medium</v>
      </c>
      <c r="O1047" s="2">
        <v>44887</v>
      </c>
      <c r="P1047" s="9">
        <v>7800</v>
      </c>
    </row>
    <row r="1048" spans="1:16" x14ac:dyDescent="0.25">
      <c r="A1048" t="s">
        <v>1069</v>
      </c>
      <c r="B1048" s="2">
        <v>44888</v>
      </c>
      <c r="C1048">
        <v>2022</v>
      </c>
      <c r="D1048" t="str">
        <f t="shared" si="32"/>
        <v>Nov</v>
      </c>
      <c r="E1048" t="s">
        <v>14</v>
      </c>
      <c r="F1048" t="s">
        <v>2045</v>
      </c>
      <c r="G1048" t="s">
        <v>21</v>
      </c>
      <c r="H1048" t="s">
        <v>25</v>
      </c>
      <c r="I1048">
        <v>3</v>
      </c>
      <c r="J1048" s="9">
        <v>13500</v>
      </c>
      <c r="K1048" s="7">
        <v>0.1</v>
      </c>
      <c r="L1048" s="9">
        <v>12150</v>
      </c>
      <c r="M1048" s="10">
        <f>Sales_Data3[[#This Row],[Profit]]/Sales_Data3[[#This Row],[Sales]]</f>
        <v>0.9</v>
      </c>
      <c r="N1048" t="str">
        <f t="shared" si="33"/>
        <v>High</v>
      </c>
      <c r="O1048" s="2">
        <v>44888</v>
      </c>
      <c r="P1048" s="9">
        <v>13500</v>
      </c>
    </row>
    <row r="1049" spans="1:16" x14ac:dyDescent="0.25">
      <c r="A1049" t="s">
        <v>1070</v>
      </c>
      <c r="B1049" s="2">
        <v>44889</v>
      </c>
      <c r="C1049">
        <v>2022</v>
      </c>
      <c r="D1049" t="str">
        <f t="shared" si="32"/>
        <v>Nov</v>
      </c>
      <c r="E1049" t="s">
        <v>14</v>
      </c>
      <c r="F1049" t="s">
        <v>2046</v>
      </c>
      <c r="G1049" t="s">
        <v>22</v>
      </c>
      <c r="H1049" t="s">
        <v>25</v>
      </c>
      <c r="I1049">
        <v>3</v>
      </c>
      <c r="J1049" s="9">
        <v>10800</v>
      </c>
      <c r="K1049" s="7">
        <v>0.15000000000000002</v>
      </c>
      <c r="L1049" s="9">
        <v>9180</v>
      </c>
      <c r="M1049" s="10">
        <f>Sales_Data3[[#This Row],[Profit]]/Sales_Data3[[#This Row],[Sales]]</f>
        <v>0.85</v>
      </c>
      <c r="N1049" t="str">
        <f t="shared" si="33"/>
        <v>High</v>
      </c>
      <c r="O1049" s="2">
        <v>44889</v>
      </c>
      <c r="P1049" s="9">
        <v>10800</v>
      </c>
    </row>
    <row r="1050" spans="1:16" x14ac:dyDescent="0.25">
      <c r="A1050" t="s">
        <v>1071</v>
      </c>
      <c r="B1050" s="2">
        <v>44890</v>
      </c>
      <c r="C1050">
        <v>2022</v>
      </c>
      <c r="D1050" t="str">
        <f t="shared" si="32"/>
        <v>Nov</v>
      </c>
      <c r="E1050" t="s">
        <v>14</v>
      </c>
      <c r="F1050" t="s">
        <v>2047</v>
      </c>
      <c r="G1050" t="s">
        <v>19</v>
      </c>
      <c r="H1050" t="s">
        <v>25</v>
      </c>
      <c r="I1050">
        <v>7</v>
      </c>
      <c r="J1050" s="9">
        <v>10500</v>
      </c>
      <c r="K1050" s="7">
        <v>0.2</v>
      </c>
      <c r="L1050" s="9">
        <v>8400</v>
      </c>
      <c r="M1050" s="10">
        <f>Sales_Data3[[#This Row],[Profit]]/Sales_Data3[[#This Row],[Sales]]</f>
        <v>0.8</v>
      </c>
      <c r="N1050" t="str">
        <f t="shared" si="33"/>
        <v>High</v>
      </c>
      <c r="O1050" s="2">
        <v>44890</v>
      </c>
      <c r="P1050" s="9">
        <v>10500</v>
      </c>
    </row>
    <row r="1051" spans="1:16" x14ac:dyDescent="0.25">
      <c r="A1051" t="s">
        <v>1072</v>
      </c>
      <c r="B1051" s="2">
        <v>44891</v>
      </c>
      <c r="C1051">
        <v>2022</v>
      </c>
      <c r="D1051" t="str">
        <f t="shared" si="32"/>
        <v>Nov</v>
      </c>
      <c r="E1051" t="s">
        <v>14</v>
      </c>
      <c r="F1051" t="s">
        <v>2048</v>
      </c>
      <c r="G1051" t="s">
        <v>20</v>
      </c>
      <c r="H1051" t="s">
        <v>25</v>
      </c>
      <c r="I1051">
        <v>8</v>
      </c>
      <c r="J1051" s="9">
        <v>13100</v>
      </c>
      <c r="K1051" s="7">
        <v>0.25</v>
      </c>
      <c r="L1051" s="9">
        <v>9825</v>
      </c>
      <c r="M1051" s="10">
        <f>Sales_Data3[[#This Row],[Profit]]/Sales_Data3[[#This Row],[Sales]]</f>
        <v>0.75</v>
      </c>
      <c r="N1051" t="str">
        <f t="shared" si="33"/>
        <v>High</v>
      </c>
      <c r="O1051" s="2">
        <v>44891</v>
      </c>
      <c r="P1051" s="9">
        <v>13100</v>
      </c>
    </row>
    <row r="1052" spans="1:16" x14ac:dyDescent="0.25">
      <c r="A1052" t="s">
        <v>1073</v>
      </c>
      <c r="B1052" s="2">
        <v>44892</v>
      </c>
      <c r="C1052">
        <v>2022</v>
      </c>
      <c r="D1052" t="str">
        <f t="shared" si="32"/>
        <v>Nov</v>
      </c>
      <c r="E1052" t="s">
        <v>12</v>
      </c>
      <c r="F1052" t="s">
        <v>15</v>
      </c>
      <c r="G1052" t="s">
        <v>21</v>
      </c>
      <c r="H1052" t="s">
        <v>23</v>
      </c>
      <c r="I1052">
        <v>2</v>
      </c>
      <c r="J1052" s="9">
        <v>11000</v>
      </c>
      <c r="K1052" s="7">
        <v>0.05</v>
      </c>
      <c r="L1052" s="9">
        <v>10450</v>
      </c>
      <c r="M1052" s="10">
        <f>Sales_Data3[[#This Row],[Profit]]/Sales_Data3[[#This Row],[Sales]]</f>
        <v>0.95</v>
      </c>
      <c r="N1052" t="str">
        <f t="shared" si="33"/>
        <v>High</v>
      </c>
      <c r="O1052" s="2">
        <v>44892</v>
      </c>
      <c r="P1052" s="9">
        <v>11000</v>
      </c>
    </row>
    <row r="1053" spans="1:16" x14ac:dyDescent="0.25">
      <c r="A1053" t="s">
        <v>1074</v>
      </c>
      <c r="B1053" s="2">
        <v>44893</v>
      </c>
      <c r="C1053">
        <v>2022</v>
      </c>
      <c r="D1053" t="str">
        <f t="shared" si="32"/>
        <v>Nov</v>
      </c>
      <c r="E1053" t="s">
        <v>12</v>
      </c>
      <c r="F1053" t="s">
        <v>17</v>
      </c>
      <c r="G1053" t="s">
        <v>22</v>
      </c>
      <c r="H1053" t="s">
        <v>23</v>
      </c>
      <c r="I1053">
        <v>9</v>
      </c>
      <c r="J1053" s="9">
        <v>11000</v>
      </c>
      <c r="K1053" s="7">
        <v>0.1</v>
      </c>
      <c r="L1053" s="9">
        <v>9900</v>
      </c>
      <c r="M1053" s="10">
        <f>Sales_Data3[[#This Row],[Profit]]/Sales_Data3[[#This Row],[Sales]]</f>
        <v>0.9</v>
      </c>
      <c r="N1053" t="str">
        <f t="shared" si="33"/>
        <v>High</v>
      </c>
      <c r="O1053" s="2">
        <v>44893</v>
      </c>
      <c r="P1053" s="9">
        <v>11000</v>
      </c>
    </row>
    <row r="1054" spans="1:16" x14ac:dyDescent="0.25">
      <c r="A1054" t="s">
        <v>1075</v>
      </c>
      <c r="B1054" s="2">
        <v>44894</v>
      </c>
      <c r="C1054">
        <v>2022</v>
      </c>
      <c r="D1054" t="str">
        <f t="shared" si="32"/>
        <v>Nov</v>
      </c>
      <c r="E1054" t="s">
        <v>12</v>
      </c>
      <c r="F1054" t="s">
        <v>2023</v>
      </c>
      <c r="G1054" t="s">
        <v>19</v>
      </c>
      <c r="H1054" t="s">
        <v>23</v>
      </c>
      <c r="I1054">
        <v>1</v>
      </c>
      <c r="J1054" s="9">
        <v>12100</v>
      </c>
      <c r="K1054" s="7">
        <v>0.15000000000000002</v>
      </c>
      <c r="L1054" s="9">
        <v>10285</v>
      </c>
      <c r="M1054" s="10">
        <f>Sales_Data3[[#This Row],[Profit]]/Sales_Data3[[#This Row],[Sales]]</f>
        <v>0.85</v>
      </c>
      <c r="N1054" t="str">
        <f t="shared" si="33"/>
        <v>High</v>
      </c>
      <c r="O1054" s="2">
        <v>44894</v>
      </c>
      <c r="P1054" s="9">
        <v>12100</v>
      </c>
    </row>
    <row r="1055" spans="1:16" x14ac:dyDescent="0.25">
      <c r="A1055" t="s">
        <v>1076</v>
      </c>
      <c r="B1055" s="2">
        <v>44895</v>
      </c>
      <c r="C1055">
        <v>2022</v>
      </c>
      <c r="D1055" t="str">
        <f t="shared" si="32"/>
        <v>Nov</v>
      </c>
      <c r="E1055" t="s">
        <v>12</v>
      </c>
      <c r="F1055" t="s">
        <v>18</v>
      </c>
      <c r="G1055" t="s">
        <v>20</v>
      </c>
      <c r="H1055" t="s">
        <v>23</v>
      </c>
      <c r="I1055">
        <v>6</v>
      </c>
      <c r="J1055" s="9">
        <v>8400</v>
      </c>
      <c r="K1055" s="7">
        <v>0.2</v>
      </c>
      <c r="L1055" s="9">
        <v>6720</v>
      </c>
      <c r="M1055" s="10">
        <f>Sales_Data3[[#This Row],[Profit]]/Sales_Data3[[#This Row],[Sales]]</f>
        <v>0.8</v>
      </c>
      <c r="N1055" t="str">
        <f t="shared" si="33"/>
        <v>Medium</v>
      </c>
      <c r="O1055" s="2">
        <v>44895</v>
      </c>
      <c r="P1055" s="9">
        <v>8400</v>
      </c>
    </row>
    <row r="1056" spans="1:16" x14ac:dyDescent="0.25">
      <c r="A1056" t="s">
        <v>1077</v>
      </c>
      <c r="B1056" s="2">
        <v>44896</v>
      </c>
      <c r="C1056">
        <v>2022</v>
      </c>
      <c r="D1056" t="str">
        <f t="shared" si="32"/>
        <v>Dec</v>
      </c>
      <c r="E1056" t="s">
        <v>12</v>
      </c>
      <c r="F1056" t="s">
        <v>2024</v>
      </c>
      <c r="G1056" t="s">
        <v>21</v>
      </c>
      <c r="H1056" t="s">
        <v>23</v>
      </c>
      <c r="I1056">
        <v>1</v>
      </c>
      <c r="J1056" s="9">
        <v>8300</v>
      </c>
      <c r="K1056" s="7">
        <v>0.25</v>
      </c>
      <c r="L1056" s="9">
        <v>6225</v>
      </c>
      <c r="M1056" s="10">
        <f>Sales_Data3[[#This Row],[Profit]]/Sales_Data3[[#This Row],[Sales]]</f>
        <v>0.75</v>
      </c>
      <c r="N1056" t="str">
        <f t="shared" si="33"/>
        <v>Medium</v>
      </c>
      <c r="O1056" s="2">
        <v>44896</v>
      </c>
      <c r="P1056" s="9">
        <v>8300</v>
      </c>
    </row>
    <row r="1057" spans="1:16" x14ac:dyDescent="0.25">
      <c r="A1057" t="s">
        <v>1078</v>
      </c>
      <c r="B1057" s="2">
        <v>44897</v>
      </c>
      <c r="C1057">
        <v>2022</v>
      </c>
      <c r="D1057" t="str">
        <f t="shared" si="32"/>
        <v>Dec</v>
      </c>
      <c r="E1057" t="s">
        <v>12</v>
      </c>
      <c r="F1057" t="s">
        <v>2025</v>
      </c>
      <c r="G1057" t="s">
        <v>22</v>
      </c>
      <c r="H1057" t="s">
        <v>23</v>
      </c>
      <c r="I1057">
        <v>5</v>
      </c>
      <c r="J1057" s="9">
        <v>14300</v>
      </c>
      <c r="K1057" s="7">
        <v>0.05</v>
      </c>
      <c r="L1057" s="9">
        <v>13585</v>
      </c>
      <c r="M1057" s="10">
        <f>Sales_Data3[[#This Row],[Profit]]/Sales_Data3[[#This Row],[Sales]]</f>
        <v>0.95</v>
      </c>
      <c r="N1057" t="str">
        <f t="shared" si="33"/>
        <v>High</v>
      </c>
      <c r="O1057" s="2">
        <v>44897</v>
      </c>
      <c r="P1057" s="9">
        <v>14300</v>
      </c>
    </row>
    <row r="1058" spans="1:16" x14ac:dyDescent="0.25">
      <c r="A1058" t="s">
        <v>1079</v>
      </c>
      <c r="B1058" s="2">
        <v>44898</v>
      </c>
      <c r="C1058">
        <v>2022</v>
      </c>
      <c r="D1058" t="str">
        <f t="shared" si="32"/>
        <v>Dec</v>
      </c>
      <c r="E1058" t="s">
        <v>12</v>
      </c>
      <c r="F1058" t="s">
        <v>2026</v>
      </c>
      <c r="G1058" t="s">
        <v>19</v>
      </c>
      <c r="H1058" t="s">
        <v>23</v>
      </c>
      <c r="I1058">
        <v>6</v>
      </c>
      <c r="J1058" s="9">
        <v>9300</v>
      </c>
      <c r="K1058" s="7">
        <v>0.1</v>
      </c>
      <c r="L1058" s="9">
        <v>8370</v>
      </c>
      <c r="M1058" s="10">
        <f>Sales_Data3[[#This Row],[Profit]]/Sales_Data3[[#This Row],[Sales]]</f>
        <v>0.9</v>
      </c>
      <c r="N1058" t="str">
        <f t="shared" si="33"/>
        <v>Medium</v>
      </c>
      <c r="O1058" s="2">
        <v>44898</v>
      </c>
      <c r="P1058" s="9">
        <v>9300</v>
      </c>
    </row>
    <row r="1059" spans="1:16" x14ac:dyDescent="0.25">
      <c r="A1059" t="s">
        <v>1080</v>
      </c>
      <c r="B1059" s="2">
        <v>44899</v>
      </c>
      <c r="C1059">
        <v>2022</v>
      </c>
      <c r="D1059" t="str">
        <f t="shared" si="32"/>
        <v>Dec</v>
      </c>
      <c r="E1059" t="s">
        <v>12</v>
      </c>
      <c r="F1059" t="s">
        <v>2027</v>
      </c>
      <c r="G1059" t="s">
        <v>20</v>
      </c>
      <c r="H1059" t="s">
        <v>23</v>
      </c>
      <c r="I1059">
        <v>6</v>
      </c>
      <c r="J1059" s="9">
        <v>11100</v>
      </c>
      <c r="K1059" s="7">
        <v>0.15000000000000002</v>
      </c>
      <c r="L1059" s="9">
        <v>9435</v>
      </c>
      <c r="M1059" s="10">
        <f>Sales_Data3[[#This Row],[Profit]]/Sales_Data3[[#This Row],[Sales]]</f>
        <v>0.85</v>
      </c>
      <c r="N1059" t="str">
        <f t="shared" si="33"/>
        <v>High</v>
      </c>
      <c r="O1059" s="2">
        <v>44899</v>
      </c>
      <c r="P1059" s="9">
        <v>11100</v>
      </c>
    </row>
    <row r="1060" spans="1:16" x14ac:dyDescent="0.25">
      <c r="A1060" t="s">
        <v>1081</v>
      </c>
      <c r="B1060" s="2">
        <v>44900</v>
      </c>
      <c r="C1060">
        <v>2022</v>
      </c>
      <c r="D1060" t="str">
        <f t="shared" si="32"/>
        <v>Dec</v>
      </c>
      <c r="E1060" t="s">
        <v>12</v>
      </c>
      <c r="F1060" t="s">
        <v>2028</v>
      </c>
      <c r="G1060" t="s">
        <v>21</v>
      </c>
      <c r="H1060" t="s">
        <v>23</v>
      </c>
      <c r="I1060">
        <v>9</v>
      </c>
      <c r="J1060" s="9">
        <v>4600</v>
      </c>
      <c r="K1060" s="7">
        <v>0.2</v>
      </c>
      <c r="L1060" s="9">
        <v>3680</v>
      </c>
      <c r="M1060" s="10">
        <f>Sales_Data3[[#This Row],[Profit]]/Sales_Data3[[#This Row],[Sales]]</f>
        <v>0.8</v>
      </c>
      <c r="N1060" t="str">
        <f t="shared" si="33"/>
        <v>Low</v>
      </c>
      <c r="O1060" s="2">
        <v>44900</v>
      </c>
      <c r="P1060" s="9">
        <v>4600</v>
      </c>
    </row>
    <row r="1061" spans="1:16" x14ac:dyDescent="0.25">
      <c r="A1061" t="s">
        <v>1082</v>
      </c>
      <c r="B1061" s="2">
        <v>44901</v>
      </c>
      <c r="C1061">
        <v>2022</v>
      </c>
      <c r="D1061" t="str">
        <f t="shared" si="32"/>
        <v>Dec</v>
      </c>
      <c r="E1061" t="s">
        <v>12</v>
      </c>
      <c r="F1061" t="s">
        <v>2029</v>
      </c>
      <c r="G1061" t="s">
        <v>22</v>
      </c>
      <c r="H1061" t="s">
        <v>23</v>
      </c>
      <c r="I1061">
        <v>6</v>
      </c>
      <c r="J1061" s="9">
        <v>10300</v>
      </c>
      <c r="K1061" s="7">
        <v>0.25</v>
      </c>
      <c r="L1061" s="9">
        <v>7725</v>
      </c>
      <c r="M1061" s="10">
        <f>Sales_Data3[[#This Row],[Profit]]/Sales_Data3[[#This Row],[Sales]]</f>
        <v>0.75</v>
      </c>
      <c r="N1061" t="str">
        <f t="shared" si="33"/>
        <v>High</v>
      </c>
      <c r="O1061" s="2">
        <v>44901</v>
      </c>
      <c r="P1061" s="9">
        <v>10300</v>
      </c>
    </row>
    <row r="1062" spans="1:16" x14ac:dyDescent="0.25">
      <c r="A1062" t="s">
        <v>1083</v>
      </c>
      <c r="B1062" s="2">
        <v>44902</v>
      </c>
      <c r="C1062">
        <v>2022</v>
      </c>
      <c r="D1062" t="str">
        <f t="shared" si="32"/>
        <v>Dec</v>
      </c>
      <c r="E1062" t="s">
        <v>13</v>
      </c>
      <c r="F1062" t="s">
        <v>16</v>
      </c>
      <c r="G1062" t="s">
        <v>19</v>
      </c>
      <c r="H1062" t="s">
        <v>24</v>
      </c>
      <c r="I1062">
        <v>7</v>
      </c>
      <c r="J1062" s="9">
        <v>14800</v>
      </c>
      <c r="K1062" s="7">
        <v>0.05</v>
      </c>
      <c r="L1062" s="9">
        <v>14060</v>
      </c>
      <c r="M1062" s="10">
        <f>Sales_Data3[[#This Row],[Profit]]/Sales_Data3[[#This Row],[Sales]]</f>
        <v>0.95</v>
      </c>
      <c r="N1062" t="str">
        <f t="shared" si="33"/>
        <v>High</v>
      </c>
      <c r="O1062" s="2">
        <v>44902</v>
      </c>
      <c r="P1062" s="9">
        <v>14800</v>
      </c>
    </row>
    <row r="1063" spans="1:16" x14ac:dyDescent="0.25">
      <c r="A1063" t="s">
        <v>1084</v>
      </c>
      <c r="B1063" s="2">
        <v>44903</v>
      </c>
      <c r="C1063">
        <v>2022</v>
      </c>
      <c r="D1063" t="str">
        <f t="shared" si="32"/>
        <v>Dec</v>
      </c>
      <c r="E1063" t="s">
        <v>13</v>
      </c>
      <c r="F1063" t="s">
        <v>2030</v>
      </c>
      <c r="G1063" t="s">
        <v>20</v>
      </c>
      <c r="H1063" t="s">
        <v>24</v>
      </c>
      <c r="I1063">
        <v>10</v>
      </c>
      <c r="J1063" s="9">
        <v>11400</v>
      </c>
      <c r="K1063" s="7">
        <v>0.1</v>
      </c>
      <c r="L1063" s="9">
        <v>10260</v>
      </c>
      <c r="M1063" s="10">
        <f>Sales_Data3[[#This Row],[Profit]]/Sales_Data3[[#This Row],[Sales]]</f>
        <v>0.9</v>
      </c>
      <c r="N1063" t="str">
        <f t="shared" si="33"/>
        <v>High</v>
      </c>
      <c r="O1063" s="2">
        <v>44903</v>
      </c>
      <c r="P1063" s="9">
        <v>11400</v>
      </c>
    </row>
    <row r="1064" spans="1:16" x14ac:dyDescent="0.25">
      <c r="A1064" t="s">
        <v>1085</v>
      </c>
      <c r="B1064" s="2">
        <v>44904</v>
      </c>
      <c r="C1064">
        <v>2022</v>
      </c>
      <c r="D1064" t="str">
        <f t="shared" si="32"/>
        <v>Dec</v>
      </c>
      <c r="E1064" t="s">
        <v>13</v>
      </c>
      <c r="F1064" t="s">
        <v>2031</v>
      </c>
      <c r="G1064" t="s">
        <v>21</v>
      </c>
      <c r="H1064" t="s">
        <v>24</v>
      </c>
      <c r="I1064">
        <v>3</v>
      </c>
      <c r="J1064" s="9">
        <v>6800</v>
      </c>
      <c r="K1064" s="7">
        <v>0.15000000000000002</v>
      </c>
      <c r="L1064" s="9">
        <v>5780</v>
      </c>
      <c r="M1064" s="10">
        <f>Sales_Data3[[#This Row],[Profit]]/Sales_Data3[[#This Row],[Sales]]</f>
        <v>0.85</v>
      </c>
      <c r="N1064" t="str">
        <f t="shared" si="33"/>
        <v>Medium</v>
      </c>
      <c r="O1064" s="2">
        <v>44904</v>
      </c>
      <c r="P1064" s="9">
        <v>6800</v>
      </c>
    </row>
    <row r="1065" spans="1:16" x14ac:dyDescent="0.25">
      <c r="A1065" t="s">
        <v>1086</v>
      </c>
      <c r="B1065" s="2">
        <v>44905</v>
      </c>
      <c r="C1065">
        <v>2022</v>
      </c>
      <c r="D1065" t="str">
        <f t="shared" si="32"/>
        <v>Dec</v>
      </c>
      <c r="E1065" t="s">
        <v>13</v>
      </c>
      <c r="F1065" t="s">
        <v>2032</v>
      </c>
      <c r="G1065" t="s">
        <v>22</v>
      </c>
      <c r="H1065" t="s">
        <v>24</v>
      </c>
      <c r="I1065">
        <v>4</v>
      </c>
      <c r="J1065" s="9">
        <v>8400</v>
      </c>
      <c r="K1065" s="7">
        <v>0.2</v>
      </c>
      <c r="L1065" s="9">
        <v>6720</v>
      </c>
      <c r="M1065" s="10">
        <f>Sales_Data3[[#This Row],[Profit]]/Sales_Data3[[#This Row],[Sales]]</f>
        <v>0.8</v>
      </c>
      <c r="N1065" t="str">
        <f t="shared" si="33"/>
        <v>Medium</v>
      </c>
      <c r="O1065" s="2">
        <v>44905</v>
      </c>
      <c r="P1065" s="9">
        <v>8400</v>
      </c>
    </row>
    <row r="1066" spans="1:16" x14ac:dyDescent="0.25">
      <c r="A1066" t="s">
        <v>1087</v>
      </c>
      <c r="B1066" s="2">
        <v>44906</v>
      </c>
      <c r="C1066">
        <v>2022</v>
      </c>
      <c r="D1066" t="str">
        <f t="shared" si="32"/>
        <v>Dec</v>
      </c>
      <c r="E1066" t="s">
        <v>13</v>
      </c>
      <c r="F1066" t="s">
        <v>2033</v>
      </c>
      <c r="G1066" t="s">
        <v>19</v>
      </c>
      <c r="H1066" t="s">
        <v>24</v>
      </c>
      <c r="I1066">
        <v>8</v>
      </c>
      <c r="J1066" s="9">
        <v>12600</v>
      </c>
      <c r="K1066" s="7">
        <v>0.25</v>
      </c>
      <c r="L1066" s="9">
        <v>9450</v>
      </c>
      <c r="M1066" s="10">
        <f>Sales_Data3[[#This Row],[Profit]]/Sales_Data3[[#This Row],[Sales]]</f>
        <v>0.75</v>
      </c>
      <c r="N1066" t="str">
        <f t="shared" si="33"/>
        <v>High</v>
      </c>
      <c r="O1066" s="2">
        <v>44906</v>
      </c>
      <c r="P1066" s="9">
        <v>12600</v>
      </c>
    </row>
    <row r="1067" spans="1:16" x14ac:dyDescent="0.25">
      <c r="A1067" t="s">
        <v>1088</v>
      </c>
      <c r="B1067" s="2">
        <v>44907</v>
      </c>
      <c r="C1067">
        <v>2022</v>
      </c>
      <c r="D1067" t="str">
        <f t="shared" si="32"/>
        <v>Dec</v>
      </c>
      <c r="E1067" t="s">
        <v>13</v>
      </c>
      <c r="F1067" t="s">
        <v>2034</v>
      </c>
      <c r="G1067" t="s">
        <v>20</v>
      </c>
      <c r="H1067" t="s">
        <v>24</v>
      </c>
      <c r="I1067">
        <v>2</v>
      </c>
      <c r="J1067" s="9">
        <v>4900</v>
      </c>
      <c r="K1067" s="7">
        <v>0.05</v>
      </c>
      <c r="L1067" s="9">
        <v>4655</v>
      </c>
      <c r="M1067" s="10">
        <f>Sales_Data3[[#This Row],[Profit]]/Sales_Data3[[#This Row],[Sales]]</f>
        <v>0.95</v>
      </c>
      <c r="N1067" t="str">
        <f t="shared" si="33"/>
        <v>Low</v>
      </c>
      <c r="O1067" s="2">
        <v>44907</v>
      </c>
      <c r="P1067" s="9">
        <v>4900</v>
      </c>
    </row>
    <row r="1068" spans="1:16" x14ac:dyDescent="0.25">
      <c r="A1068" t="s">
        <v>1089</v>
      </c>
      <c r="B1068" s="2">
        <v>44908</v>
      </c>
      <c r="C1068">
        <v>2022</v>
      </c>
      <c r="D1068" t="str">
        <f t="shared" si="32"/>
        <v>Dec</v>
      </c>
      <c r="E1068" t="s">
        <v>13</v>
      </c>
      <c r="F1068" t="s">
        <v>2035</v>
      </c>
      <c r="G1068" t="s">
        <v>21</v>
      </c>
      <c r="H1068" t="s">
        <v>24</v>
      </c>
      <c r="I1068">
        <v>9</v>
      </c>
      <c r="J1068" s="9">
        <v>5200</v>
      </c>
      <c r="K1068" s="7">
        <v>0.1</v>
      </c>
      <c r="L1068" s="9">
        <v>4680</v>
      </c>
      <c r="M1068" s="10">
        <f>Sales_Data3[[#This Row],[Profit]]/Sales_Data3[[#This Row],[Sales]]</f>
        <v>0.9</v>
      </c>
      <c r="N1068" t="str">
        <f t="shared" si="33"/>
        <v>Medium</v>
      </c>
      <c r="O1068" s="2">
        <v>44908</v>
      </c>
      <c r="P1068" s="9">
        <v>5200</v>
      </c>
    </row>
    <row r="1069" spans="1:16" x14ac:dyDescent="0.25">
      <c r="A1069" t="s">
        <v>1090</v>
      </c>
      <c r="B1069" s="2">
        <v>44909</v>
      </c>
      <c r="C1069">
        <v>2022</v>
      </c>
      <c r="D1069" t="str">
        <f t="shared" si="32"/>
        <v>Dec</v>
      </c>
      <c r="E1069" t="s">
        <v>13</v>
      </c>
      <c r="F1069" t="s">
        <v>2036</v>
      </c>
      <c r="G1069" t="s">
        <v>22</v>
      </c>
      <c r="H1069" t="s">
        <v>24</v>
      </c>
      <c r="I1069">
        <v>9</v>
      </c>
      <c r="J1069" s="9">
        <v>12300</v>
      </c>
      <c r="K1069" s="7">
        <v>0.15000000000000002</v>
      </c>
      <c r="L1069" s="9">
        <v>10455</v>
      </c>
      <c r="M1069" s="10">
        <f>Sales_Data3[[#This Row],[Profit]]/Sales_Data3[[#This Row],[Sales]]</f>
        <v>0.85</v>
      </c>
      <c r="N1069" t="str">
        <f t="shared" si="33"/>
        <v>High</v>
      </c>
      <c r="O1069" s="2">
        <v>44909</v>
      </c>
      <c r="P1069" s="9">
        <v>12300</v>
      </c>
    </row>
    <row r="1070" spans="1:16" x14ac:dyDescent="0.25">
      <c r="A1070" t="s">
        <v>1091</v>
      </c>
      <c r="B1070" s="2">
        <v>44910</v>
      </c>
      <c r="C1070">
        <v>2022</v>
      </c>
      <c r="D1070" t="str">
        <f t="shared" si="32"/>
        <v>Dec</v>
      </c>
      <c r="E1070" t="s">
        <v>13</v>
      </c>
      <c r="F1070" t="s">
        <v>2037</v>
      </c>
      <c r="G1070" t="s">
        <v>19</v>
      </c>
      <c r="H1070" t="s">
        <v>24</v>
      </c>
      <c r="I1070">
        <v>8</v>
      </c>
      <c r="J1070" s="9">
        <v>8100</v>
      </c>
      <c r="K1070" s="7">
        <v>0.2</v>
      </c>
      <c r="L1070" s="9">
        <v>6480</v>
      </c>
      <c r="M1070" s="10">
        <f>Sales_Data3[[#This Row],[Profit]]/Sales_Data3[[#This Row],[Sales]]</f>
        <v>0.8</v>
      </c>
      <c r="N1070" t="str">
        <f t="shared" si="33"/>
        <v>Medium</v>
      </c>
      <c r="O1070" s="2">
        <v>44910</v>
      </c>
      <c r="P1070" s="9">
        <v>8100</v>
      </c>
    </row>
    <row r="1071" spans="1:16" x14ac:dyDescent="0.25">
      <c r="A1071" t="s">
        <v>1092</v>
      </c>
      <c r="B1071" s="2">
        <v>44911</v>
      </c>
      <c r="C1071">
        <v>2022</v>
      </c>
      <c r="D1071" t="str">
        <f t="shared" si="32"/>
        <v>Dec</v>
      </c>
      <c r="E1071" t="s">
        <v>13</v>
      </c>
      <c r="F1071" t="s">
        <v>2038</v>
      </c>
      <c r="G1071" t="s">
        <v>20</v>
      </c>
      <c r="H1071" t="s">
        <v>24</v>
      </c>
      <c r="I1071">
        <v>6</v>
      </c>
      <c r="J1071" s="9">
        <v>10900</v>
      </c>
      <c r="K1071" s="7">
        <v>0.25</v>
      </c>
      <c r="L1071" s="9">
        <v>8175</v>
      </c>
      <c r="M1071" s="10">
        <f>Sales_Data3[[#This Row],[Profit]]/Sales_Data3[[#This Row],[Sales]]</f>
        <v>0.75</v>
      </c>
      <c r="N1071" t="str">
        <f t="shared" si="33"/>
        <v>High</v>
      </c>
      <c r="O1071" s="2">
        <v>44911</v>
      </c>
      <c r="P1071" s="9">
        <v>10900</v>
      </c>
    </row>
    <row r="1072" spans="1:16" x14ac:dyDescent="0.25">
      <c r="A1072" t="s">
        <v>1093</v>
      </c>
      <c r="B1072" s="2">
        <v>44912</v>
      </c>
      <c r="C1072">
        <v>2022</v>
      </c>
      <c r="D1072" t="str">
        <f t="shared" si="32"/>
        <v>Dec</v>
      </c>
      <c r="E1072" t="s">
        <v>14</v>
      </c>
      <c r="F1072" t="s">
        <v>2039</v>
      </c>
      <c r="G1072" t="s">
        <v>21</v>
      </c>
      <c r="H1072" t="s">
        <v>25</v>
      </c>
      <c r="I1072">
        <v>3</v>
      </c>
      <c r="J1072" s="9">
        <v>11500</v>
      </c>
      <c r="K1072" s="7">
        <v>0.05</v>
      </c>
      <c r="L1072" s="9">
        <v>10925</v>
      </c>
      <c r="M1072" s="10">
        <f>Sales_Data3[[#This Row],[Profit]]/Sales_Data3[[#This Row],[Sales]]</f>
        <v>0.95</v>
      </c>
      <c r="N1072" t="str">
        <f t="shared" si="33"/>
        <v>High</v>
      </c>
      <c r="O1072" s="2">
        <v>44912</v>
      </c>
      <c r="P1072" s="9">
        <v>11500</v>
      </c>
    </row>
    <row r="1073" spans="1:16" x14ac:dyDescent="0.25">
      <c r="A1073" t="s">
        <v>1094</v>
      </c>
      <c r="B1073" s="2">
        <v>44913</v>
      </c>
      <c r="C1073">
        <v>2022</v>
      </c>
      <c r="D1073" t="str">
        <f t="shared" si="32"/>
        <v>Dec</v>
      </c>
      <c r="E1073" t="s">
        <v>14</v>
      </c>
      <c r="F1073" t="s">
        <v>2040</v>
      </c>
      <c r="G1073" t="s">
        <v>22</v>
      </c>
      <c r="H1073" t="s">
        <v>25</v>
      </c>
      <c r="I1073">
        <v>1</v>
      </c>
      <c r="J1073" s="9">
        <v>13800</v>
      </c>
      <c r="K1073" s="7">
        <v>0.1</v>
      </c>
      <c r="L1073" s="9">
        <v>12420</v>
      </c>
      <c r="M1073" s="10">
        <f>Sales_Data3[[#This Row],[Profit]]/Sales_Data3[[#This Row],[Sales]]</f>
        <v>0.9</v>
      </c>
      <c r="N1073" t="str">
        <f t="shared" si="33"/>
        <v>High</v>
      </c>
      <c r="O1073" s="2">
        <v>44913</v>
      </c>
      <c r="P1073" s="9">
        <v>13800</v>
      </c>
    </row>
    <row r="1074" spans="1:16" x14ac:dyDescent="0.25">
      <c r="A1074" t="s">
        <v>1095</v>
      </c>
      <c r="B1074" s="2">
        <v>44914</v>
      </c>
      <c r="C1074">
        <v>2022</v>
      </c>
      <c r="D1074" t="str">
        <f t="shared" si="32"/>
        <v>Dec</v>
      </c>
      <c r="E1074" t="s">
        <v>14</v>
      </c>
      <c r="F1074" t="s">
        <v>2041</v>
      </c>
      <c r="G1074" t="s">
        <v>19</v>
      </c>
      <c r="H1074" t="s">
        <v>25</v>
      </c>
      <c r="I1074">
        <v>5</v>
      </c>
      <c r="J1074" s="9">
        <v>5800</v>
      </c>
      <c r="K1074" s="7">
        <v>0.15000000000000002</v>
      </c>
      <c r="L1074" s="9">
        <v>4930</v>
      </c>
      <c r="M1074" s="10">
        <f>Sales_Data3[[#This Row],[Profit]]/Sales_Data3[[#This Row],[Sales]]</f>
        <v>0.85</v>
      </c>
      <c r="N1074" t="str">
        <f t="shared" si="33"/>
        <v>Medium</v>
      </c>
      <c r="O1074" s="2">
        <v>44914</v>
      </c>
      <c r="P1074" s="9">
        <v>5800</v>
      </c>
    </row>
    <row r="1075" spans="1:16" x14ac:dyDescent="0.25">
      <c r="A1075" t="s">
        <v>1096</v>
      </c>
      <c r="B1075" s="2">
        <v>44915</v>
      </c>
      <c r="C1075">
        <v>2022</v>
      </c>
      <c r="D1075" t="str">
        <f t="shared" si="32"/>
        <v>Dec</v>
      </c>
      <c r="E1075" t="s">
        <v>14</v>
      </c>
      <c r="F1075" t="s">
        <v>2042</v>
      </c>
      <c r="G1075" t="s">
        <v>20</v>
      </c>
      <c r="H1075" t="s">
        <v>25</v>
      </c>
      <c r="I1075">
        <v>7</v>
      </c>
      <c r="J1075" s="9">
        <v>13700</v>
      </c>
      <c r="K1075" s="7">
        <v>0.2</v>
      </c>
      <c r="L1075" s="9">
        <v>10960</v>
      </c>
      <c r="M1075" s="10">
        <f>Sales_Data3[[#This Row],[Profit]]/Sales_Data3[[#This Row],[Sales]]</f>
        <v>0.8</v>
      </c>
      <c r="N1075" t="str">
        <f t="shared" si="33"/>
        <v>High</v>
      </c>
      <c r="O1075" s="2">
        <v>44915</v>
      </c>
      <c r="P1075" s="9">
        <v>13700</v>
      </c>
    </row>
    <row r="1076" spans="1:16" x14ac:dyDescent="0.25">
      <c r="A1076" t="s">
        <v>1097</v>
      </c>
      <c r="B1076" s="2">
        <v>44916</v>
      </c>
      <c r="C1076">
        <v>2022</v>
      </c>
      <c r="D1076" t="str">
        <f t="shared" si="32"/>
        <v>Dec</v>
      </c>
      <c r="E1076" t="s">
        <v>14</v>
      </c>
      <c r="F1076" t="s">
        <v>2043</v>
      </c>
      <c r="G1076" t="s">
        <v>21</v>
      </c>
      <c r="H1076" t="s">
        <v>25</v>
      </c>
      <c r="I1076">
        <v>7</v>
      </c>
      <c r="J1076" s="9">
        <v>5500</v>
      </c>
      <c r="K1076" s="7">
        <v>0.25</v>
      </c>
      <c r="L1076" s="9">
        <v>4125</v>
      </c>
      <c r="M1076" s="10">
        <f>Sales_Data3[[#This Row],[Profit]]/Sales_Data3[[#This Row],[Sales]]</f>
        <v>0.75</v>
      </c>
      <c r="N1076" t="str">
        <f t="shared" si="33"/>
        <v>Medium</v>
      </c>
      <c r="O1076" s="2">
        <v>44916</v>
      </c>
      <c r="P1076" s="9">
        <v>5500</v>
      </c>
    </row>
    <row r="1077" spans="1:16" x14ac:dyDescent="0.25">
      <c r="A1077" t="s">
        <v>1098</v>
      </c>
      <c r="B1077" s="2">
        <v>44917</v>
      </c>
      <c r="C1077">
        <v>2022</v>
      </c>
      <c r="D1077" t="str">
        <f t="shared" si="32"/>
        <v>Dec</v>
      </c>
      <c r="E1077" t="s">
        <v>14</v>
      </c>
      <c r="F1077" t="s">
        <v>2044</v>
      </c>
      <c r="G1077" t="s">
        <v>22</v>
      </c>
      <c r="H1077" t="s">
        <v>25</v>
      </c>
      <c r="I1077">
        <v>9</v>
      </c>
      <c r="J1077" s="9">
        <v>4100</v>
      </c>
      <c r="K1077" s="7">
        <v>0.05</v>
      </c>
      <c r="L1077" s="9">
        <v>3895</v>
      </c>
      <c r="M1077" s="10">
        <f>Sales_Data3[[#This Row],[Profit]]/Sales_Data3[[#This Row],[Sales]]</f>
        <v>0.95</v>
      </c>
      <c r="N1077" t="str">
        <f t="shared" si="33"/>
        <v>Low</v>
      </c>
      <c r="O1077" s="2">
        <v>44917</v>
      </c>
      <c r="P1077" s="9">
        <v>4100</v>
      </c>
    </row>
    <row r="1078" spans="1:16" x14ac:dyDescent="0.25">
      <c r="A1078" t="s">
        <v>1099</v>
      </c>
      <c r="B1078" s="2">
        <v>44918</v>
      </c>
      <c r="C1078">
        <v>2022</v>
      </c>
      <c r="D1078" t="str">
        <f t="shared" si="32"/>
        <v>Dec</v>
      </c>
      <c r="E1078" t="s">
        <v>14</v>
      </c>
      <c r="F1078" t="s">
        <v>2045</v>
      </c>
      <c r="G1078" t="s">
        <v>19</v>
      </c>
      <c r="H1078" t="s">
        <v>25</v>
      </c>
      <c r="I1078">
        <v>7</v>
      </c>
      <c r="J1078" s="9">
        <v>8400</v>
      </c>
      <c r="K1078" s="7">
        <v>0.1</v>
      </c>
      <c r="L1078" s="9">
        <v>7560</v>
      </c>
      <c r="M1078" s="10">
        <f>Sales_Data3[[#This Row],[Profit]]/Sales_Data3[[#This Row],[Sales]]</f>
        <v>0.9</v>
      </c>
      <c r="N1078" t="str">
        <f t="shared" si="33"/>
        <v>Medium</v>
      </c>
      <c r="O1078" s="2">
        <v>44918</v>
      </c>
      <c r="P1078" s="9">
        <v>8400</v>
      </c>
    </row>
    <row r="1079" spans="1:16" x14ac:dyDescent="0.25">
      <c r="A1079" t="s">
        <v>1100</v>
      </c>
      <c r="B1079" s="2">
        <v>44919</v>
      </c>
      <c r="C1079">
        <v>2022</v>
      </c>
      <c r="D1079" t="str">
        <f t="shared" si="32"/>
        <v>Dec</v>
      </c>
      <c r="E1079" t="s">
        <v>14</v>
      </c>
      <c r="F1079" t="s">
        <v>2046</v>
      </c>
      <c r="G1079" t="s">
        <v>20</v>
      </c>
      <c r="H1079" t="s">
        <v>25</v>
      </c>
      <c r="I1079">
        <v>6</v>
      </c>
      <c r="J1079" s="9">
        <v>11600</v>
      </c>
      <c r="K1079" s="7">
        <v>0.15000000000000002</v>
      </c>
      <c r="L1079" s="9">
        <v>9860</v>
      </c>
      <c r="M1079" s="10">
        <f>Sales_Data3[[#This Row],[Profit]]/Sales_Data3[[#This Row],[Sales]]</f>
        <v>0.85</v>
      </c>
      <c r="N1079" t="str">
        <f t="shared" si="33"/>
        <v>High</v>
      </c>
      <c r="O1079" s="2">
        <v>44919</v>
      </c>
      <c r="P1079" s="9">
        <v>11600</v>
      </c>
    </row>
    <row r="1080" spans="1:16" x14ac:dyDescent="0.25">
      <c r="A1080" t="s">
        <v>1101</v>
      </c>
      <c r="B1080" s="2">
        <v>44920</v>
      </c>
      <c r="C1080">
        <v>2022</v>
      </c>
      <c r="D1080" t="str">
        <f t="shared" si="32"/>
        <v>Dec</v>
      </c>
      <c r="E1080" t="s">
        <v>14</v>
      </c>
      <c r="F1080" t="s">
        <v>2047</v>
      </c>
      <c r="G1080" t="s">
        <v>21</v>
      </c>
      <c r="H1080" t="s">
        <v>25</v>
      </c>
      <c r="I1080">
        <v>8</v>
      </c>
      <c r="J1080" s="9">
        <v>14900</v>
      </c>
      <c r="K1080" s="7">
        <v>0.2</v>
      </c>
      <c r="L1080" s="9">
        <v>11920</v>
      </c>
      <c r="M1080" s="10">
        <f>Sales_Data3[[#This Row],[Profit]]/Sales_Data3[[#This Row],[Sales]]</f>
        <v>0.8</v>
      </c>
      <c r="N1080" t="str">
        <f t="shared" si="33"/>
        <v>High</v>
      </c>
      <c r="O1080" s="2">
        <v>44920</v>
      </c>
      <c r="P1080" s="9">
        <v>14900</v>
      </c>
    </row>
    <row r="1081" spans="1:16" x14ac:dyDescent="0.25">
      <c r="A1081" t="s">
        <v>1102</v>
      </c>
      <c r="B1081" s="2">
        <v>44921</v>
      </c>
      <c r="C1081">
        <v>2022</v>
      </c>
      <c r="D1081" t="str">
        <f t="shared" si="32"/>
        <v>Dec</v>
      </c>
      <c r="E1081" t="s">
        <v>14</v>
      </c>
      <c r="F1081" t="s">
        <v>2048</v>
      </c>
      <c r="G1081" t="s">
        <v>22</v>
      </c>
      <c r="H1081" t="s">
        <v>25</v>
      </c>
      <c r="I1081">
        <v>9</v>
      </c>
      <c r="J1081" s="9">
        <v>7000</v>
      </c>
      <c r="K1081" s="7">
        <v>0.25</v>
      </c>
      <c r="L1081" s="9">
        <v>5250</v>
      </c>
      <c r="M1081" s="10">
        <f>Sales_Data3[[#This Row],[Profit]]/Sales_Data3[[#This Row],[Sales]]</f>
        <v>0.75</v>
      </c>
      <c r="N1081" t="str">
        <f t="shared" si="33"/>
        <v>Medium</v>
      </c>
      <c r="O1081" s="2">
        <v>44921</v>
      </c>
      <c r="P1081" s="9">
        <v>7000</v>
      </c>
    </row>
    <row r="1082" spans="1:16" x14ac:dyDescent="0.25">
      <c r="A1082" t="s">
        <v>1103</v>
      </c>
      <c r="B1082" s="2">
        <v>44922</v>
      </c>
      <c r="C1082">
        <v>2022</v>
      </c>
      <c r="D1082" t="str">
        <f t="shared" si="32"/>
        <v>Dec</v>
      </c>
      <c r="E1082" t="s">
        <v>12</v>
      </c>
      <c r="F1082" t="s">
        <v>15</v>
      </c>
      <c r="G1082" t="s">
        <v>19</v>
      </c>
      <c r="H1082" t="s">
        <v>23</v>
      </c>
      <c r="I1082">
        <v>7</v>
      </c>
      <c r="J1082" s="9">
        <v>11700</v>
      </c>
      <c r="K1082" s="7">
        <v>0.05</v>
      </c>
      <c r="L1082" s="9">
        <v>11115</v>
      </c>
      <c r="M1082" s="10">
        <f>Sales_Data3[[#This Row],[Profit]]/Sales_Data3[[#This Row],[Sales]]</f>
        <v>0.95</v>
      </c>
      <c r="N1082" t="str">
        <f t="shared" si="33"/>
        <v>High</v>
      </c>
      <c r="O1082" s="2">
        <v>44922</v>
      </c>
      <c r="P1082" s="9">
        <v>11700</v>
      </c>
    </row>
    <row r="1083" spans="1:16" x14ac:dyDescent="0.25">
      <c r="A1083" t="s">
        <v>1104</v>
      </c>
      <c r="B1083" s="2">
        <v>44923</v>
      </c>
      <c r="C1083">
        <v>2022</v>
      </c>
      <c r="D1083" t="str">
        <f t="shared" si="32"/>
        <v>Dec</v>
      </c>
      <c r="E1083" t="s">
        <v>12</v>
      </c>
      <c r="F1083" t="s">
        <v>17</v>
      </c>
      <c r="G1083" t="s">
        <v>20</v>
      </c>
      <c r="H1083" t="s">
        <v>23</v>
      </c>
      <c r="I1083">
        <v>7</v>
      </c>
      <c r="J1083" s="9">
        <v>12500</v>
      </c>
      <c r="K1083" s="7">
        <v>0.1</v>
      </c>
      <c r="L1083" s="9">
        <v>11250</v>
      </c>
      <c r="M1083" s="10">
        <f>Sales_Data3[[#This Row],[Profit]]/Sales_Data3[[#This Row],[Sales]]</f>
        <v>0.9</v>
      </c>
      <c r="N1083" t="str">
        <f t="shared" si="33"/>
        <v>High</v>
      </c>
      <c r="O1083" s="2">
        <v>44923</v>
      </c>
      <c r="P1083" s="9">
        <v>12500</v>
      </c>
    </row>
    <row r="1084" spans="1:16" x14ac:dyDescent="0.25">
      <c r="A1084" t="s">
        <v>1105</v>
      </c>
      <c r="B1084" s="2">
        <v>44924</v>
      </c>
      <c r="C1084">
        <v>2022</v>
      </c>
      <c r="D1084" t="str">
        <f t="shared" si="32"/>
        <v>Dec</v>
      </c>
      <c r="E1084" t="s">
        <v>12</v>
      </c>
      <c r="F1084" t="s">
        <v>2023</v>
      </c>
      <c r="G1084" t="s">
        <v>21</v>
      </c>
      <c r="H1084" t="s">
        <v>23</v>
      </c>
      <c r="I1084">
        <v>9</v>
      </c>
      <c r="J1084" s="9">
        <v>8300</v>
      </c>
      <c r="K1084" s="7">
        <v>0.15000000000000002</v>
      </c>
      <c r="L1084" s="9">
        <v>7055</v>
      </c>
      <c r="M1084" s="10">
        <f>Sales_Data3[[#This Row],[Profit]]/Sales_Data3[[#This Row],[Sales]]</f>
        <v>0.85</v>
      </c>
      <c r="N1084" t="str">
        <f t="shared" si="33"/>
        <v>Medium</v>
      </c>
      <c r="O1084" s="2">
        <v>44924</v>
      </c>
      <c r="P1084" s="9">
        <v>8300</v>
      </c>
    </row>
    <row r="1085" spans="1:16" x14ac:dyDescent="0.25">
      <c r="A1085" t="s">
        <v>1106</v>
      </c>
      <c r="B1085" s="2">
        <v>44925</v>
      </c>
      <c r="C1085">
        <v>2022</v>
      </c>
      <c r="D1085" t="str">
        <f t="shared" si="32"/>
        <v>Dec</v>
      </c>
      <c r="E1085" t="s">
        <v>12</v>
      </c>
      <c r="F1085" t="s">
        <v>18</v>
      </c>
      <c r="G1085" t="s">
        <v>22</v>
      </c>
      <c r="H1085" t="s">
        <v>23</v>
      </c>
      <c r="I1085">
        <v>5</v>
      </c>
      <c r="J1085" s="9">
        <v>11000</v>
      </c>
      <c r="K1085" s="7">
        <v>0.2</v>
      </c>
      <c r="L1085" s="9">
        <v>8800</v>
      </c>
      <c r="M1085" s="10">
        <f>Sales_Data3[[#This Row],[Profit]]/Sales_Data3[[#This Row],[Sales]]</f>
        <v>0.8</v>
      </c>
      <c r="N1085" t="str">
        <f t="shared" si="33"/>
        <v>High</v>
      </c>
      <c r="O1085" s="2">
        <v>44925</v>
      </c>
      <c r="P1085" s="9">
        <v>11000</v>
      </c>
    </row>
    <row r="1086" spans="1:16" x14ac:dyDescent="0.25">
      <c r="A1086" t="s">
        <v>1107</v>
      </c>
      <c r="B1086" s="2">
        <v>44926</v>
      </c>
      <c r="C1086">
        <v>2022</v>
      </c>
      <c r="D1086" t="str">
        <f t="shared" si="32"/>
        <v>Dec</v>
      </c>
      <c r="E1086" t="s">
        <v>12</v>
      </c>
      <c r="F1086" t="s">
        <v>2024</v>
      </c>
      <c r="G1086" t="s">
        <v>19</v>
      </c>
      <c r="H1086" t="s">
        <v>23</v>
      </c>
      <c r="I1086">
        <v>8</v>
      </c>
      <c r="J1086" s="9">
        <v>5600</v>
      </c>
      <c r="K1086" s="7">
        <v>0.25</v>
      </c>
      <c r="L1086" s="9">
        <v>4200</v>
      </c>
      <c r="M1086" s="10">
        <f>Sales_Data3[[#This Row],[Profit]]/Sales_Data3[[#This Row],[Sales]]</f>
        <v>0.75</v>
      </c>
      <c r="N1086" t="str">
        <f t="shared" si="33"/>
        <v>Medium</v>
      </c>
      <c r="O1086" s="2">
        <v>44926</v>
      </c>
      <c r="P1086" s="9">
        <v>5600</v>
      </c>
    </row>
    <row r="1087" spans="1:16" x14ac:dyDescent="0.25">
      <c r="A1087" t="s">
        <v>1108</v>
      </c>
      <c r="B1087" s="2">
        <v>44927</v>
      </c>
      <c r="C1087">
        <v>2023</v>
      </c>
      <c r="D1087" t="str">
        <f t="shared" si="32"/>
        <v>Jan</v>
      </c>
      <c r="E1087" t="s">
        <v>12</v>
      </c>
      <c r="F1087" t="s">
        <v>2025</v>
      </c>
      <c r="G1087" t="s">
        <v>20</v>
      </c>
      <c r="H1087" t="s">
        <v>23</v>
      </c>
      <c r="I1087">
        <v>6</v>
      </c>
      <c r="J1087" s="9">
        <v>8400</v>
      </c>
      <c r="K1087" s="7">
        <v>0.05</v>
      </c>
      <c r="L1087" s="9">
        <v>7980</v>
      </c>
      <c r="M1087" s="10">
        <f>Sales_Data3[[#This Row],[Profit]]/Sales_Data3[[#This Row],[Sales]]</f>
        <v>0.95</v>
      </c>
      <c r="N1087" t="str">
        <f t="shared" si="33"/>
        <v>Medium</v>
      </c>
      <c r="O1087" s="2">
        <v>44927</v>
      </c>
      <c r="P1087" s="9">
        <v>8400</v>
      </c>
    </row>
    <row r="1088" spans="1:16" x14ac:dyDescent="0.25">
      <c r="A1088" t="s">
        <v>1109</v>
      </c>
      <c r="B1088" s="2">
        <v>44928</v>
      </c>
      <c r="C1088">
        <v>2023</v>
      </c>
      <c r="D1088" t="str">
        <f t="shared" si="32"/>
        <v>Jan</v>
      </c>
      <c r="E1088" t="s">
        <v>12</v>
      </c>
      <c r="F1088" t="s">
        <v>2026</v>
      </c>
      <c r="G1088" t="s">
        <v>21</v>
      </c>
      <c r="H1088" t="s">
        <v>23</v>
      </c>
      <c r="I1088">
        <v>9</v>
      </c>
      <c r="J1088" s="9">
        <v>4600</v>
      </c>
      <c r="K1088" s="7">
        <v>0.1</v>
      </c>
      <c r="L1088" s="9">
        <v>4140</v>
      </c>
      <c r="M1088" s="10">
        <f>Sales_Data3[[#This Row],[Profit]]/Sales_Data3[[#This Row],[Sales]]</f>
        <v>0.9</v>
      </c>
      <c r="N1088" t="str">
        <f t="shared" si="33"/>
        <v>Low</v>
      </c>
      <c r="O1088" s="2">
        <v>44928</v>
      </c>
      <c r="P1088" s="9">
        <v>4600</v>
      </c>
    </row>
    <row r="1089" spans="1:16" x14ac:dyDescent="0.25">
      <c r="A1089" t="s">
        <v>1110</v>
      </c>
      <c r="B1089" s="2">
        <v>44929</v>
      </c>
      <c r="C1089">
        <v>2023</v>
      </c>
      <c r="D1089" t="str">
        <f t="shared" si="32"/>
        <v>Jan</v>
      </c>
      <c r="E1089" t="s">
        <v>12</v>
      </c>
      <c r="F1089" t="s">
        <v>2027</v>
      </c>
      <c r="G1089" t="s">
        <v>22</v>
      </c>
      <c r="H1089" t="s">
        <v>23</v>
      </c>
      <c r="I1089">
        <v>10</v>
      </c>
      <c r="J1089" s="9">
        <v>12400</v>
      </c>
      <c r="K1089" s="7">
        <v>0.15000000000000002</v>
      </c>
      <c r="L1089" s="9">
        <v>10540</v>
      </c>
      <c r="M1089" s="10">
        <f>Sales_Data3[[#This Row],[Profit]]/Sales_Data3[[#This Row],[Sales]]</f>
        <v>0.85</v>
      </c>
      <c r="N1089" t="str">
        <f t="shared" si="33"/>
        <v>High</v>
      </c>
      <c r="O1089" s="2">
        <v>44929</v>
      </c>
      <c r="P1089" s="9">
        <v>12400</v>
      </c>
    </row>
    <row r="1090" spans="1:16" x14ac:dyDescent="0.25">
      <c r="A1090" t="s">
        <v>1111</v>
      </c>
      <c r="B1090" s="2">
        <v>44930</v>
      </c>
      <c r="C1090">
        <v>2023</v>
      </c>
      <c r="D1090" t="str">
        <f t="shared" ref="D1090:D1153" si="34">TEXT(B1090,"MMM")</f>
        <v>Jan</v>
      </c>
      <c r="E1090" t="s">
        <v>12</v>
      </c>
      <c r="F1090" t="s">
        <v>2028</v>
      </c>
      <c r="G1090" t="s">
        <v>19</v>
      </c>
      <c r="H1090" t="s">
        <v>23</v>
      </c>
      <c r="I1090">
        <v>8</v>
      </c>
      <c r="J1090" s="9">
        <v>7400</v>
      </c>
      <c r="K1090" s="7">
        <v>0.2</v>
      </c>
      <c r="L1090" s="9">
        <v>5920</v>
      </c>
      <c r="M1090" s="10">
        <f>Sales_Data3[[#This Row],[Profit]]/Sales_Data3[[#This Row],[Sales]]</f>
        <v>0.8</v>
      </c>
      <c r="N1090" t="str">
        <f t="shared" ref="N1090:N1153" si="35">IF(J1090&gt;10000,"High",IF(J1090&gt;5000,"Medium","Low"))</f>
        <v>Medium</v>
      </c>
      <c r="O1090" s="2">
        <v>44930</v>
      </c>
      <c r="P1090" s="9">
        <v>7400</v>
      </c>
    </row>
    <row r="1091" spans="1:16" x14ac:dyDescent="0.25">
      <c r="A1091" t="s">
        <v>1112</v>
      </c>
      <c r="B1091" s="2">
        <v>44931</v>
      </c>
      <c r="C1091">
        <v>2023</v>
      </c>
      <c r="D1091" t="str">
        <f t="shared" si="34"/>
        <v>Jan</v>
      </c>
      <c r="E1091" t="s">
        <v>12</v>
      </c>
      <c r="F1091" t="s">
        <v>2029</v>
      </c>
      <c r="G1091" t="s">
        <v>20</v>
      </c>
      <c r="H1091" t="s">
        <v>23</v>
      </c>
      <c r="I1091">
        <v>5</v>
      </c>
      <c r="J1091" s="9">
        <v>7500</v>
      </c>
      <c r="K1091" s="7">
        <v>0.25</v>
      </c>
      <c r="L1091" s="9">
        <v>5625</v>
      </c>
      <c r="M1091" s="10">
        <f>Sales_Data3[[#This Row],[Profit]]/Sales_Data3[[#This Row],[Sales]]</f>
        <v>0.75</v>
      </c>
      <c r="N1091" t="str">
        <f t="shared" si="35"/>
        <v>Medium</v>
      </c>
      <c r="O1091" s="2">
        <v>44931</v>
      </c>
      <c r="P1091" s="9">
        <v>7500</v>
      </c>
    </row>
    <row r="1092" spans="1:16" x14ac:dyDescent="0.25">
      <c r="A1092" t="s">
        <v>1113</v>
      </c>
      <c r="B1092" s="2">
        <v>44932</v>
      </c>
      <c r="C1092">
        <v>2023</v>
      </c>
      <c r="D1092" t="str">
        <f t="shared" si="34"/>
        <v>Jan</v>
      </c>
      <c r="E1092" t="s">
        <v>13</v>
      </c>
      <c r="F1092" t="s">
        <v>16</v>
      </c>
      <c r="G1092" t="s">
        <v>21</v>
      </c>
      <c r="H1092" t="s">
        <v>24</v>
      </c>
      <c r="I1092">
        <v>9</v>
      </c>
      <c r="J1092" s="9">
        <v>9300</v>
      </c>
      <c r="K1092" s="7">
        <v>0.05</v>
      </c>
      <c r="L1092" s="9">
        <v>8835</v>
      </c>
      <c r="M1092" s="10">
        <f>Sales_Data3[[#This Row],[Profit]]/Sales_Data3[[#This Row],[Sales]]</f>
        <v>0.95</v>
      </c>
      <c r="N1092" t="str">
        <f t="shared" si="35"/>
        <v>Medium</v>
      </c>
      <c r="O1092" s="2">
        <v>44932</v>
      </c>
      <c r="P1092" s="9">
        <v>9300</v>
      </c>
    </row>
    <row r="1093" spans="1:16" x14ac:dyDescent="0.25">
      <c r="A1093" t="s">
        <v>1114</v>
      </c>
      <c r="B1093" s="2">
        <v>44933</v>
      </c>
      <c r="C1093">
        <v>2023</v>
      </c>
      <c r="D1093" t="str">
        <f t="shared" si="34"/>
        <v>Jan</v>
      </c>
      <c r="E1093" t="s">
        <v>13</v>
      </c>
      <c r="F1093" t="s">
        <v>2030</v>
      </c>
      <c r="G1093" t="s">
        <v>22</v>
      </c>
      <c r="H1093" t="s">
        <v>24</v>
      </c>
      <c r="I1093">
        <v>4</v>
      </c>
      <c r="J1093" s="9">
        <v>11100</v>
      </c>
      <c r="K1093" s="7">
        <v>0.1</v>
      </c>
      <c r="L1093" s="9">
        <v>9990</v>
      </c>
      <c r="M1093" s="10">
        <f>Sales_Data3[[#This Row],[Profit]]/Sales_Data3[[#This Row],[Sales]]</f>
        <v>0.9</v>
      </c>
      <c r="N1093" t="str">
        <f t="shared" si="35"/>
        <v>High</v>
      </c>
      <c r="O1093" s="2">
        <v>44933</v>
      </c>
      <c r="P1093" s="9">
        <v>11100</v>
      </c>
    </row>
    <row r="1094" spans="1:16" x14ac:dyDescent="0.25">
      <c r="A1094" t="s">
        <v>1115</v>
      </c>
      <c r="B1094" s="2">
        <v>44934</v>
      </c>
      <c r="C1094">
        <v>2023</v>
      </c>
      <c r="D1094" t="str">
        <f t="shared" si="34"/>
        <v>Jan</v>
      </c>
      <c r="E1094" t="s">
        <v>13</v>
      </c>
      <c r="F1094" t="s">
        <v>2031</v>
      </c>
      <c r="G1094" t="s">
        <v>19</v>
      </c>
      <c r="H1094" t="s">
        <v>24</v>
      </c>
      <c r="I1094">
        <v>10</v>
      </c>
      <c r="J1094" s="9">
        <v>6300</v>
      </c>
      <c r="K1094" s="7">
        <v>0.15000000000000002</v>
      </c>
      <c r="L1094" s="9">
        <v>5355</v>
      </c>
      <c r="M1094" s="10">
        <f>Sales_Data3[[#This Row],[Profit]]/Sales_Data3[[#This Row],[Sales]]</f>
        <v>0.85</v>
      </c>
      <c r="N1094" t="str">
        <f t="shared" si="35"/>
        <v>Medium</v>
      </c>
      <c r="O1094" s="2">
        <v>44934</v>
      </c>
      <c r="P1094" s="9">
        <v>6300</v>
      </c>
    </row>
    <row r="1095" spans="1:16" x14ac:dyDescent="0.25">
      <c r="A1095" t="s">
        <v>1116</v>
      </c>
      <c r="B1095" s="2">
        <v>44935</v>
      </c>
      <c r="C1095">
        <v>2023</v>
      </c>
      <c r="D1095" t="str">
        <f t="shared" si="34"/>
        <v>Jan</v>
      </c>
      <c r="E1095" t="s">
        <v>13</v>
      </c>
      <c r="F1095" t="s">
        <v>2032</v>
      </c>
      <c r="G1095" t="s">
        <v>20</v>
      </c>
      <c r="H1095" t="s">
        <v>24</v>
      </c>
      <c r="I1095">
        <v>7</v>
      </c>
      <c r="J1095" s="9">
        <v>12600</v>
      </c>
      <c r="K1095" s="7">
        <v>0.2</v>
      </c>
      <c r="L1095" s="9">
        <v>10080</v>
      </c>
      <c r="M1095" s="10">
        <f>Sales_Data3[[#This Row],[Profit]]/Sales_Data3[[#This Row],[Sales]]</f>
        <v>0.8</v>
      </c>
      <c r="N1095" t="str">
        <f t="shared" si="35"/>
        <v>High</v>
      </c>
      <c r="O1095" s="2">
        <v>44935</v>
      </c>
      <c r="P1095" s="9">
        <v>12600</v>
      </c>
    </row>
    <row r="1096" spans="1:16" x14ac:dyDescent="0.25">
      <c r="A1096" t="s">
        <v>1117</v>
      </c>
      <c r="B1096" s="2">
        <v>44936</v>
      </c>
      <c r="C1096">
        <v>2023</v>
      </c>
      <c r="D1096" t="str">
        <f t="shared" si="34"/>
        <v>Jan</v>
      </c>
      <c r="E1096" t="s">
        <v>13</v>
      </c>
      <c r="F1096" t="s">
        <v>2033</v>
      </c>
      <c r="G1096" t="s">
        <v>21</v>
      </c>
      <c r="H1096" t="s">
        <v>24</v>
      </c>
      <c r="I1096">
        <v>3</v>
      </c>
      <c r="J1096" s="9">
        <v>5100</v>
      </c>
      <c r="K1096" s="7">
        <v>0.25</v>
      </c>
      <c r="L1096" s="9">
        <v>3825</v>
      </c>
      <c r="M1096" s="10">
        <f>Sales_Data3[[#This Row],[Profit]]/Sales_Data3[[#This Row],[Sales]]</f>
        <v>0.75</v>
      </c>
      <c r="N1096" t="str">
        <f t="shared" si="35"/>
        <v>Medium</v>
      </c>
      <c r="O1096" s="2">
        <v>44936</v>
      </c>
      <c r="P1096" s="9">
        <v>5100</v>
      </c>
    </row>
    <row r="1097" spans="1:16" x14ac:dyDescent="0.25">
      <c r="A1097" t="s">
        <v>1118</v>
      </c>
      <c r="B1097" s="2">
        <v>44937</v>
      </c>
      <c r="C1097">
        <v>2023</v>
      </c>
      <c r="D1097" t="str">
        <f t="shared" si="34"/>
        <v>Jan</v>
      </c>
      <c r="E1097" t="s">
        <v>13</v>
      </c>
      <c r="F1097" t="s">
        <v>2034</v>
      </c>
      <c r="G1097" t="s">
        <v>22</v>
      </c>
      <c r="H1097" t="s">
        <v>24</v>
      </c>
      <c r="I1097">
        <v>6</v>
      </c>
      <c r="J1097" s="9">
        <v>9600</v>
      </c>
      <c r="K1097" s="7">
        <v>0.05</v>
      </c>
      <c r="L1097" s="9">
        <v>9120</v>
      </c>
      <c r="M1097" s="10">
        <f>Sales_Data3[[#This Row],[Profit]]/Sales_Data3[[#This Row],[Sales]]</f>
        <v>0.95</v>
      </c>
      <c r="N1097" t="str">
        <f t="shared" si="35"/>
        <v>Medium</v>
      </c>
      <c r="O1097" s="2">
        <v>44937</v>
      </c>
      <c r="P1097" s="9">
        <v>9600</v>
      </c>
    </row>
    <row r="1098" spans="1:16" x14ac:dyDescent="0.25">
      <c r="A1098" t="s">
        <v>1119</v>
      </c>
      <c r="B1098" s="2">
        <v>44938</v>
      </c>
      <c r="C1098">
        <v>2023</v>
      </c>
      <c r="D1098" t="str">
        <f t="shared" si="34"/>
        <v>Jan</v>
      </c>
      <c r="E1098" t="s">
        <v>13</v>
      </c>
      <c r="F1098" t="s">
        <v>2035</v>
      </c>
      <c r="G1098" t="s">
        <v>19</v>
      </c>
      <c r="H1098" t="s">
        <v>24</v>
      </c>
      <c r="I1098">
        <v>10</v>
      </c>
      <c r="J1098" s="9">
        <v>7200</v>
      </c>
      <c r="K1098" s="7">
        <v>0.1</v>
      </c>
      <c r="L1098" s="9">
        <v>6480</v>
      </c>
      <c r="M1098" s="10">
        <f>Sales_Data3[[#This Row],[Profit]]/Sales_Data3[[#This Row],[Sales]]</f>
        <v>0.9</v>
      </c>
      <c r="N1098" t="str">
        <f t="shared" si="35"/>
        <v>Medium</v>
      </c>
      <c r="O1098" s="2">
        <v>44938</v>
      </c>
      <c r="P1098" s="9">
        <v>7200</v>
      </c>
    </row>
    <row r="1099" spans="1:16" x14ac:dyDescent="0.25">
      <c r="A1099" t="s">
        <v>1120</v>
      </c>
      <c r="B1099" s="2">
        <v>44939</v>
      </c>
      <c r="C1099">
        <v>2023</v>
      </c>
      <c r="D1099" t="str">
        <f t="shared" si="34"/>
        <v>Jan</v>
      </c>
      <c r="E1099" t="s">
        <v>13</v>
      </c>
      <c r="F1099" t="s">
        <v>2036</v>
      </c>
      <c r="G1099" t="s">
        <v>20</v>
      </c>
      <c r="H1099" t="s">
        <v>24</v>
      </c>
      <c r="I1099">
        <v>1</v>
      </c>
      <c r="J1099" s="9">
        <v>13300</v>
      </c>
      <c r="K1099" s="7">
        <v>0.15000000000000002</v>
      </c>
      <c r="L1099" s="9">
        <v>11305</v>
      </c>
      <c r="M1099" s="10">
        <f>Sales_Data3[[#This Row],[Profit]]/Sales_Data3[[#This Row],[Sales]]</f>
        <v>0.85</v>
      </c>
      <c r="N1099" t="str">
        <f t="shared" si="35"/>
        <v>High</v>
      </c>
      <c r="O1099" s="2">
        <v>44939</v>
      </c>
      <c r="P1099" s="9">
        <v>13300</v>
      </c>
    </row>
    <row r="1100" spans="1:16" x14ac:dyDescent="0.25">
      <c r="A1100" t="s">
        <v>1121</v>
      </c>
      <c r="B1100" s="2">
        <v>44940</v>
      </c>
      <c r="C1100">
        <v>2023</v>
      </c>
      <c r="D1100" t="str">
        <f t="shared" si="34"/>
        <v>Jan</v>
      </c>
      <c r="E1100" t="s">
        <v>13</v>
      </c>
      <c r="F1100" t="s">
        <v>2037</v>
      </c>
      <c r="G1100" t="s">
        <v>21</v>
      </c>
      <c r="H1100" t="s">
        <v>24</v>
      </c>
      <c r="I1100">
        <v>4</v>
      </c>
      <c r="J1100" s="9">
        <v>10300</v>
      </c>
      <c r="K1100" s="7">
        <v>0.2</v>
      </c>
      <c r="L1100" s="9">
        <v>8240</v>
      </c>
      <c r="M1100" s="10">
        <f>Sales_Data3[[#This Row],[Profit]]/Sales_Data3[[#This Row],[Sales]]</f>
        <v>0.8</v>
      </c>
      <c r="N1100" t="str">
        <f t="shared" si="35"/>
        <v>High</v>
      </c>
      <c r="O1100" s="2">
        <v>44940</v>
      </c>
      <c r="P1100" s="9">
        <v>10300</v>
      </c>
    </row>
    <row r="1101" spans="1:16" x14ac:dyDescent="0.25">
      <c r="A1101" t="s">
        <v>1122</v>
      </c>
      <c r="B1101" s="2">
        <v>44941</v>
      </c>
      <c r="C1101">
        <v>2023</v>
      </c>
      <c r="D1101" t="str">
        <f t="shared" si="34"/>
        <v>Jan</v>
      </c>
      <c r="E1101" t="s">
        <v>13</v>
      </c>
      <c r="F1101" t="s">
        <v>2038</v>
      </c>
      <c r="G1101" t="s">
        <v>22</v>
      </c>
      <c r="H1101" t="s">
        <v>24</v>
      </c>
      <c r="I1101">
        <v>5</v>
      </c>
      <c r="J1101" s="9">
        <v>10800</v>
      </c>
      <c r="K1101" s="7">
        <v>0.25</v>
      </c>
      <c r="L1101" s="9">
        <v>8100</v>
      </c>
      <c r="M1101" s="10">
        <f>Sales_Data3[[#This Row],[Profit]]/Sales_Data3[[#This Row],[Sales]]</f>
        <v>0.75</v>
      </c>
      <c r="N1101" t="str">
        <f t="shared" si="35"/>
        <v>High</v>
      </c>
      <c r="O1101" s="2">
        <v>44941</v>
      </c>
      <c r="P1101" s="9">
        <v>10800</v>
      </c>
    </row>
    <row r="1102" spans="1:16" x14ac:dyDescent="0.25">
      <c r="A1102" t="s">
        <v>1123</v>
      </c>
      <c r="B1102" s="2">
        <v>44942</v>
      </c>
      <c r="C1102">
        <v>2023</v>
      </c>
      <c r="D1102" t="str">
        <f t="shared" si="34"/>
        <v>Jan</v>
      </c>
      <c r="E1102" t="s">
        <v>14</v>
      </c>
      <c r="F1102" t="s">
        <v>2039</v>
      </c>
      <c r="G1102" t="s">
        <v>19</v>
      </c>
      <c r="H1102" t="s">
        <v>25</v>
      </c>
      <c r="I1102">
        <v>2</v>
      </c>
      <c r="J1102" s="9">
        <v>10600</v>
      </c>
      <c r="K1102" s="7">
        <v>0.05</v>
      </c>
      <c r="L1102" s="9">
        <v>10070</v>
      </c>
      <c r="M1102" s="10">
        <f>Sales_Data3[[#This Row],[Profit]]/Sales_Data3[[#This Row],[Sales]]</f>
        <v>0.95</v>
      </c>
      <c r="N1102" t="str">
        <f t="shared" si="35"/>
        <v>High</v>
      </c>
      <c r="O1102" s="2">
        <v>44942</v>
      </c>
      <c r="P1102" s="9">
        <v>10600</v>
      </c>
    </row>
    <row r="1103" spans="1:16" x14ac:dyDescent="0.25">
      <c r="A1103" t="s">
        <v>1124</v>
      </c>
      <c r="B1103" s="2">
        <v>44943</v>
      </c>
      <c r="C1103">
        <v>2023</v>
      </c>
      <c r="D1103" t="str">
        <f t="shared" si="34"/>
        <v>Jan</v>
      </c>
      <c r="E1103" t="s">
        <v>14</v>
      </c>
      <c r="F1103" t="s">
        <v>2040</v>
      </c>
      <c r="G1103" t="s">
        <v>20</v>
      </c>
      <c r="H1103" t="s">
        <v>25</v>
      </c>
      <c r="I1103">
        <v>1</v>
      </c>
      <c r="J1103" s="9">
        <v>10000</v>
      </c>
      <c r="K1103" s="7">
        <v>0.1</v>
      </c>
      <c r="L1103" s="9">
        <v>9000</v>
      </c>
      <c r="M1103" s="10">
        <f>Sales_Data3[[#This Row],[Profit]]/Sales_Data3[[#This Row],[Sales]]</f>
        <v>0.9</v>
      </c>
      <c r="N1103" t="str">
        <f t="shared" si="35"/>
        <v>Medium</v>
      </c>
      <c r="O1103" s="2">
        <v>44943</v>
      </c>
      <c r="P1103" s="9">
        <v>10000</v>
      </c>
    </row>
    <row r="1104" spans="1:16" x14ac:dyDescent="0.25">
      <c r="A1104" t="s">
        <v>1125</v>
      </c>
      <c r="B1104" s="2">
        <v>44944</v>
      </c>
      <c r="C1104">
        <v>2023</v>
      </c>
      <c r="D1104" t="str">
        <f t="shared" si="34"/>
        <v>Jan</v>
      </c>
      <c r="E1104" t="s">
        <v>14</v>
      </c>
      <c r="F1104" t="s">
        <v>2041</v>
      </c>
      <c r="G1104" t="s">
        <v>21</v>
      </c>
      <c r="H1104" t="s">
        <v>25</v>
      </c>
      <c r="I1104">
        <v>7</v>
      </c>
      <c r="J1104" s="9">
        <v>6700</v>
      </c>
      <c r="K1104" s="7">
        <v>0.15000000000000002</v>
      </c>
      <c r="L1104" s="9">
        <v>5695</v>
      </c>
      <c r="M1104" s="10">
        <f>Sales_Data3[[#This Row],[Profit]]/Sales_Data3[[#This Row],[Sales]]</f>
        <v>0.85</v>
      </c>
      <c r="N1104" t="str">
        <f t="shared" si="35"/>
        <v>Medium</v>
      </c>
      <c r="O1104" s="2">
        <v>44944</v>
      </c>
      <c r="P1104" s="9">
        <v>6700</v>
      </c>
    </row>
    <row r="1105" spans="1:16" x14ac:dyDescent="0.25">
      <c r="A1105" t="s">
        <v>1126</v>
      </c>
      <c r="B1105" s="2">
        <v>44945</v>
      </c>
      <c r="C1105">
        <v>2023</v>
      </c>
      <c r="D1105" t="str">
        <f t="shared" si="34"/>
        <v>Jan</v>
      </c>
      <c r="E1105" t="s">
        <v>14</v>
      </c>
      <c r="F1105" t="s">
        <v>2042</v>
      </c>
      <c r="G1105" t="s">
        <v>22</v>
      </c>
      <c r="H1105" t="s">
        <v>25</v>
      </c>
      <c r="I1105">
        <v>8</v>
      </c>
      <c r="J1105" s="9">
        <v>11700</v>
      </c>
      <c r="K1105" s="7">
        <v>0.2</v>
      </c>
      <c r="L1105" s="9">
        <v>9360</v>
      </c>
      <c r="M1105" s="10">
        <f>Sales_Data3[[#This Row],[Profit]]/Sales_Data3[[#This Row],[Sales]]</f>
        <v>0.8</v>
      </c>
      <c r="N1105" t="str">
        <f t="shared" si="35"/>
        <v>High</v>
      </c>
      <c r="O1105" s="2">
        <v>44945</v>
      </c>
      <c r="P1105" s="9">
        <v>11700</v>
      </c>
    </row>
    <row r="1106" spans="1:16" x14ac:dyDescent="0.25">
      <c r="A1106" t="s">
        <v>1127</v>
      </c>
      <c r="B1106" s="2">
        <v>44946</v>
      </c>
      <c r="C1106">
        <v>2023</v>
      </c>
      <c r="D1106" t="str">
        <f t="shared" si="34"/>
        <v>Jan</v>
      </c>
      <c r="E1106" t="s">
        <v>14</v>
      </c>
      <c r="F1106" t="s">
        <v>2043</v>
      </c>
      <c r="G1106" t="s">
        <v>19</v>
      </c>
      <c r="H1106" t="s">
        <v>25</v>
      </c>
      <c r="I1106">
        <v>6</v>
      </c>
      <c r="J1106" s="9">
        <v>11100</v>
      </c>
      <c r="K1106" s="7">
        <v>0.25</v>
      </c>
      <c r="L1106" s="9">
        <v>8325</v>
      </c>
      <c r="M1106" s="10">
        <f>Sales_Data3[[#This Row],[Profit]]/Sales_Data3[[#This Row],[Sales]]</f>
        <v>0.75</v>
      </c>
      <c r="N1106" t="str">
        <f t="shared" si="35"/>
        <v>High</v>
      </c>
      <c r="O1106" s="2">
        <v>44946</v>
      </c>
      <c r="P1106" s="9">
        <v>11100</v>
      </c>
    </row>
    <row r="1107" spans="1:16" x14ac:dyDescent="0.25">
      <c r="A1107" t="s">
        <v>1128</v>
      </c>
      <c r="B1107" s="2">
        <v>44947</v>
      </c>
      <c r="C1107">
        <v>2023</v>
      </c>
      <c r="D1107" t="str">
        <f t="shared" si="34"/>
        <v>Jan</v>
      </c>
      <c r="E1107" t="s">
        <v>14</v>
      </c>
      <c r="F1107" t="s">
        <v>2044</v>
      </c>
      <c r="G1107" t="s">
        <v>20</v>
      </c>
      <c r="H1107" t="s">
        <v>25</v>
      </c>
      <c r="I1107">
        <v>3</v>
      </c>
      <c r="J1107" s="9">
        <v>14100</v>
      </c>
      <c r="K1107" s="7">
        <v>0.05</v>
      </c>
      <c r="L1107" s="9">
        <v>13395</v>
      </c>
      <c r="M1107" s="10">
        <f>Sales_Data3[[#This Row],[Profit]]/Sales_Data3[[#This Row],[Sales]]</f>
        <v>0.95</v>
      </c>
      <c r="N1107" t="str">
        <f t="shared" si="35"/>
        <v>High</v>
      </c>
      <c r="O1107" s="2">
        <v>44947</v>
      </c>
      <c r="P1107" s="9">
        <v>14100</v>
      </c>
    </row>
    <row r="1108" spans="1:16" x14ac:dyDescent="0.25">
      <c r="A1108" t="s">
        <v>1129</v>
      </c>
      <c r="B1108" s="2">
        <v>44948</v>
      </c>
      <c r="C1108">
        <v>2023</v>
      </c>
      <c r="D1108" t="str">
        <f t="shared" si="34"/>
        <v>Jan</v>
      </c>
      <c r="E1108" t="s">
        <v>14</v>
      </c>
      <c r="F1108" t="s">
        <v>2045</v>
      </c>
      <c r="G1108" t="s">
        <v>21</v>
      </c>
      <c r="H1108" t="s">
        <v>25</v>
      </c>
      <c r="I1108">
        <v>8</v>
      </c>
      <c r="J1108" s="9">
        <v>5700</v>
      </c>
      <c r="K1108" s="7">
        <v>0.1</v>
      </c>
      <c r="L1108" s="9">
        <v>5130</v>
      </c>
      <c r="M1108" s="10">
        <f>Sales_Data3[[#This Row],[Profit]]/Sales_Data3[[#This Row],[Sales]]</f>
        <v>0.9</v>
      </c>
      <c r="N1108" t="str">
        <f t="shared" si="35"/>
        <v>Medium</v>
      </c>
      <c r="O1108" s="2">
        <v>44948</v>
      </c>
      <c r="P1108" s="9">
        <v>5700</v>
      </c>
    </row>
    <row r="1109" spans="1:16" x14ac:dyDescent="0.25">
      <c r="A1109" t="s">
        <v>1130</v>
      </c>
      <c r="B1109" s="2">
        <v>44949</v>
      </c>
      <c r="C1109">
        <v>2023</v>
      </c>
      <c r="D1109" t="str">
        <f t="shared" si="34"/>
        <v>Jan</v>
      </c>
      <c r="E1109" t="s">
        <v>14</v>
      </c>
      <c r="F1109" t="s">
        <v>2046</v>
      </c>
      <c r="G1109" t="s">
        <v>22</v>
      </c>
      <c r="H1109" t="s">
        <v>25</v>
      </c>
      <c r="I1109">
        <v>3</v>
      </c>
      <c r="J1109" s="9">
        <v>13800</v>
      </c>
      <c r="K1109" s="7">
        <v>0.15000000000000002</v>
      </c>
      <c r="L1109" s="9">
        <v>11730</v>
      </c>
      <c r="M1109" s="10">
        <f>Sales_Data3[[#This Row],[Profit]]/Sales_Data3[[#This Row],[Sales]]</f>
        <v>0.85</v>
      </c>
      <c r="N1109" t="str">
        <f t="shared" si="35"/>
        <v>High</v>
      </c>
      <c r="O1109" s="2">
        <v>44949</v>
      </c>
      <c r="P1109" s="9">
        <v>13800</v>
      </c>
    </row>
    <row r="1110" spans="1:16" x14ac:dyDescent="0.25">
      <c r="A1110" t="s">
        <v>1131</v>
      </c>
      <c r="B1110" s="2">
        <v>44950</v>
      </c>
      <c r="C1110">
        <v>2023</v>
      </c>
      <c r="D1110" t="str">
        <f t="shared" si="34"/>
        <v>Jan</v>
      </c>
      <c r="E1110" t="s">
        <v>14</v>
      </c>
      <c r="F1110" t="s">
        <v>2047</v>
      </c>
      <c r="G1110" t="s">
        <v>19</v>
      </c>
      <c r="H1110" t="s">
        <v>25</v>
      </c>
      <c r="I1110">
        <v>5</v>
      </c>
      <c r="J1110" s="9">
        <v>14500</v>
      </c>
      <c r="K1110" s="7">
        <v>0.2</v>
      </c>
      <c r="L1110" s="9">
        <v>11600</v>
      </c>
      <c r="M1110" s="10">
        <f>Sales_Data3[[#This Row],[Profit]]/Sales_Data3[[#This Row],[Sales]]</f>
        <v>0.8</v>
      </c>
      <c r="N1110" t="str">
        <f t="shared" si="35"/>
        <v>High</v>
      </c>
      <c r="O1110" s="2">
        <v>44950</v>
      </c>
      <c r="P1110" s="9">
        <v>14500</v>
      </c>
    </row>
    <row r="1111" spans="1:16" x14ac:dyDescent="0.25">
      <c r="A1111" t="s">
        <v>1132</v>
      </c>
      <c r="B1111" s="2">
        <v>44951</v>
      </c>
      <c r="C1111">
        <v>2023</v>
      </c>
      <c r="D1111" t="str">
        <f t="shared" si="34"/>
        <v>Jan</v>
      </c>
      <c r="E1111" t="s">
        <v>14</v>
      </c>
      <c r="F1111" t="s">
        <v>2048</v>
      </c>
      <c r="G1111" t="s">
        <v>20</v>
      </c>
      <c r="H1111" t="s">
        <v>25</v>
      </c>
      <c r="I1111">
        <v>5</v>
      </c>
      <c r="J1111" s="9">
        <v>14900</v>
      </c>
      <c r="K1111" s="7">
        <v>0.25</v>
      </c>
      <c r="L1111" s="9">
        <v>11175</v>
      </c>
      <c r="M1111" s="10">
        <f>Sales_Data3[[#This Row],[Profit]]/Sales_Data3[[#This Row],[Sales]]</f>
        <v>0.75</v>
      </c>
      <c r="N1111" t="str">
        <f t="shared" si="35"/>
        <v>High</v>
      </c>
      <c r="O1111" s="2">
        <v>44951</v>
      </c>
      <c r="P1111" s="9">
        <v>14900</v>
      </c>
    </row>
    <row r="1112" spans="1:16" x14ac:dyDescent="0.25">
      <c r="A1112" t="s">
        <v>1133</v>
      </c>
      <c r="B1112" s="2">
        <v>44952</v>
      </c>
      <c r="C1112">
        <v>2023</v>
      </c>
      <c r="D1112" t="str">
        <f t="shared" si="34"/>
        <v>Jan</v>
      </c>
      <c r="E1112" t="s">
        <v>12</v>
      </c>
      <c r="F1112" t="s">
        <v>15</v>
      </c>
      <c r="G1112" t="s">
        <v>21</v>
      </c>
      <c r="H1112" t="s">
        <v>23</v>
      </c>
      <c r="I1112">
        <v>3</v>
      </c>
      <c r="J1112" s="9">
        <v>7500</v>
      </c>
      <c r="K1112" s="7">
        <v>0.05</v>
      </c>
      <c r="L1112" s="9">
        <v>7125</v>
      </c>
      <c r="M1112" s="10">
        <f>Sales_Data3[[#This Row],[Profit]]/Sales_Data3[[#This Row],[Sales]]</f>
        <v>0.95</v>
      </c>
      <c r="N1112" t="str">
        <f t="shared" si="35"/>
        <v>Medium</v>
      </c>
      <c r="O1112" s="2">
        <v>44952</v>
      </c>
      <c r="P1112" s="9">
        <v>7500</v>
      </c>
    </row>
    <row r="1113" spans="1:16" x14ac:dyDescent="0.25">
      <c r="A1113" t="s">
        <v>1134</v>
      </c>
      <c r="B1113" s="2">
        <v>44953</v>
      </c>
      <c r="C1113">
        <v>2023</v>
      </c>
      <c r="D1113" t="str">
        <f t="shared" si="34"/>
        <v>Jan</v>
      </c>
      <c r="E1113" t="s">
        <v>12</v>
      </c>
      <c r="F1113" t="s">
        <v>17</v>
      </c>
      <c r="G1113" t="s">
        <v>22</v>
      </c>
      <c r="H1113" t="s">
        <v>23</v>
      </c>
      <c r="I1113">
        <v>7</v>
      </c>
      <c r="J1113" s="9">
        <v>13200</v>
      </c>
      <c r="K1113" s="7">
        <v>0.1</v>
      </c>
      <c r="L1113" s="9">
        <v>11880</v>
      </c>
      <c r="M1113" s="10">
        <f>Sales_Data3[[#This Row],[Profit]]/Sales_Data3[[#This Row],[Sales]]</f>
        <v>0.9</v>
      </c>
      <c r="N1113" t="str">
        <f t="shared" si="35"/>
        <v>High</v>
      </c>
      <c r="O1113" s="2">
        <v>44953</v>
      </c>
      <c r="P1113" s="9">
        <v>13200</v>
      </c>
    </row>
    <row r="1114" spans="1:16" x14ac:dyDescent="0.25">
      <c r="A1114" t="s">
        <v>1135</v>
      </c>
      <c r="B1114" s="2">
        <v>44954</v>
      </c>
      <c r="C1114">
        <v>2023</v>
      </c>
      <c r="D1114" t="str">
        <f t="shared" si="34"/>
        <v>Jan</v>
      </c>
      <c r="E1114" t="s">
        <v>12</v>
      </c>
      <c r="F1114" t="s">
        <v>2023</v>
      </c>
      <c r="G1114" t="s">
        <v>19</v>
      </c>
      <c r="H1114" t="s">
        <v>23</v>
      </c>
      <c r="I1114">
        <v>8</v>
      </c>
      <c r="J1114" s="9">
        <v>14900</v>
      </c>
      <c r="K1114" s="7">
        <v>0.15000000000000002</v>
      </c>
      <c r="L1114" s="9">
        <v>12665</v>
      </c>
      <c r="M1114" s="10">
        <f>Sales_Data3[[#This Row],[Profit]]/Sales_Data3[[#This Row],[Sales]]</f>
        <v>0.85</v>
      </c>
      <c r="N1114" t="str">
        <f t="shared" si="35"/>
        <v>High</v>
      </c>
      <c r="O1114" s="2">
        <v>44954</v>
      </c>
      <c r="P1114" s="9">
        <v>14900</v>
      </c>
    </row>
    <row r="1115" spans="1:16" x14ac:dyDescent="0.25">
      <c r="A1115" t="s">
        <v>1136</v>
      </c>
      <c r="B1115" s="2">
        <v>44955</v>
      </c>
      <c r="C1115">
        <v>2023</v>
      </c>
      <c r="D1115" t="str">
        <f t="shared" si="34"/>
        <v>Jan</v>
      </c>
      <c r="E1115" t="s">
        <v>12</v>
      </c>
      <c r="F1115" t="s">
        <v>18</v>
      </c>
      <c r="G1115" t="s">
        <v>20</v>
      </c>
      <c r="H1115" t="s">
        <v>23</v>
      </c>
      <c r="I1115">
        <v>7</v>
      </c>
      <c r="J1115" s="9">
        <v>12600</v>
      </c>
      <c r="K1115" s="7">
        <v>0.2</v>
      </c>
      <c r="L1115" s="9">
        <v>10080</v>
      </c>
      <c r="M1115" s="10">
        <f>Sales_Data3[[#This Row],[Profit]]/Sales_Data3[[#This Row],[Sales]]</f>
        <v>0.8</v>
      </c>
      <c r="N1115" t="str">
        <f t="shared" si="35"/>
        <v>High</v>
      </c>
      <c r="O1115" s="2">
        <v>44955</v>
      </c>
      <c r="P1115" s="9">
        <v>12600</v>
      </c>
    </row>
    <row r="1116" spans="1:16" x14ac:dyDescent="0.25">
      <c r="A1116" t="s">
        <v>1137</v>
      </c>
      <c r="B1116" s="2">
        <v>44956</v>
      </c>
      <c r="C1116">
        <v>2023</v>
      </c>
      <c r="D1116" t="str">
        <f t="shared" si="34"/>
        <v>Jan</v>
      </c>
      <c r="E1116" t="s">
        <v>12</v>
      </c>
      <c r="F1116" t="s">
        <v>2024</v>
      </c>
      <c r="G1116" t="s">
        <v>21</v>
      </c>
      <c r="H1116" t="s">
        <v>23</v>
      </c>
      <c r="I1116">
        <v>1</v>
      </c>
      <c r="J1116" s="9">
        <v>9800</v>
      </c>
      <c r="K1116" s="7">
        <v>0.25</v>
      </c>
      <c r="L1116" s="9">
        <v>7350</v>
      </c>
      <c r="M1116" s="10">
        <f>Sales_Data3[[#This Row],[Profit]]/Sales_Data3[[#This Row],[Sales]]</f>
        <v>0.75</v>
      </c>
      <c r="N1116" t="str">
        <f t="shared" si="35"/>
        <v>Medium</v>
      </c>
      <c r="O1116" s="2">
        <v>44956</v>
      </c>
      <c r="P1116" s="9">
        <v>9800</v>
      </c>
    </row>
    <row r="1117" spans="1:16" x14ac:dyDescent="0.25">
      <c r="A1117" t="s">
        <v>1138</v>
      </c>
      <c r="B1117" s="2">
        <v>44957</v>
      </c>
      <c r="C1117">
        <v>2023</v>
      </c>
      <c r="D1117" t="str">
        <f t="shared" si="34"/>
        <v>Jan</v>
      </c>
      <c r="E1117" t="s">
        <v>12</v>
      </c>
      <c r="F1117" t="s">
        <v>2025</v>
      </c>
      <c r="G1117" t="s">
        <v>22</v>
      </c>
      <c r="H1117" t="s">
        <v>23</v>
      </c>
      <c r="I1117">
        <v>3</v>
      </c>
      <c r="J1117" s="9">
        <v>6400</v>
      </c>
      <c r="K1117" s="7">
        <v>0.05</v>
      </c>
      <c r="L1117" s="9">
        <v>6080</v>
      </c>
      <c r="M1117" s="10">
        <f>Sales_Data3[[#This Row],[Profit]]/Sales_Data3[[#This Row],[Sales]]</f>
        <v>0.95</v>
      </c>
      <c r="N1117" t="str">
        <f t="shared" si="35"/>
        <v>Medium</v>
      </c>
      <c r="O1117" s="2">
        <v>44957</v>
      </c>
      <c r="P1117" s="9">
        <v>6400</v>
      </c>
    </row>
    <row r="1118" spans="1:16" x14ac:dyDescent="0.25">
      <c r="A1118" t="s">
        <v>1139</v>
      </c>
      <c r="B1118" s="2">
        <v>44958</v>
      </c>
      <c r="C1118">
        <v>2023</v>
      </c>
      <c r="D1118" t="str">
        <f t="shared" si="34"/>
        <v>Feb</v>
      </c>
      <c r="E1118" t="s">
        <v>12</v>
      </c>
      <c r="F1118" t="s">
        <v>2026</v>
      </c>
      <c r="G1118" t="s">
        <v>19</v>
      </c>
      <c r="H1118" t="s">
        <v>23</v>
      </c>
      <c r="I1118">
        <v>10</v>
      </c>
      <c r="J1118" s="9">
        <v>7800</v>
      </c>
      <c r="K1118" s="7">
        <v>0.1</v>
      </c>
      <c r="L1118" s="9">
        <v>7020</v>
      </c>
      <c r="M1118" s="10">
        <f>Sales_Data3[[#This Row],[Profit]]/Sales_Data3[[#This Row],[Sales]]</f>
        <v>0.9</v>
      </c>
      <c r="N1118" t="str">
        <f t="shared" si="35"/>
        <v>Medium</v>
      </c>
      <c r="O1118" s="2">
        <v>44958</v>
      </c>
      <c r="P1118" s="9">
        <v>7800</v>
      </c>
    </row>
    <row r="1119" spans="1:16" x14ac:dyDescent="0.25">
      <c r="A1119" t="s">
        <v>1140</v>
      </c>
      <c r="B1119" s="2">
        <v>44959</v>
      </c>
      <c r="C1119">
        <v>2023</v>
      </c>
      <c r="D1119" t="str">
        <f t="shared" si="34"/>
        <v>Feb</v>
      </c>
      <c r="E1119" t="s">
        <v>12</v>
      </c>
      <c r="F1119" t="s">
        <v>2027</v>
      </c>
      <c r="G1119" t="s">
        <v>20</v>
      </c>
      <c r="H1119" t="s">
        <v>23</v>
      </c>
      <c r="I1119">
        <v>4</v>
      </c>
      <c r="J1119" s="9">
        <v>12900</v>
      </c>
      <c r="K1119" s="7">
        <v>0.15000000000000002</v>
      </c>
      <c r="L1119" s="9">
        <v>10965</v>
      </c>
      <c r="M1119" s="10">
        <f>Sales_Data3[[#This Row],[Profit]]/Sales_Data3[[#This Row],[Sales]]</f>
        <v>0.85</v>
      </c>
      <c r="N1119" t="str">
        <f t="shared" si="35"/>
        <v>High</v>
      </c>
      <c r="O1119" s="2">
        <v>44959</v>
      </c>
      <c r="P1119" s="9">
        <v>12900</v>
      </c>
    </row>
    <row r="1120" spans="1:16" x14ac:dyDescent="0.25">
      <c r="A1120" t="s">
        <v>1141</v>
      </c>
      <c r="B1120" s="2">
        <v>44960</v>
      </c>
      <c r="C1120">
        <v>2023</v>
      </c>
      <c r="D1120" t="str">
        <f t="shared" si="34"/>
        <v>Feb</v>
      </c>
      <c r="E1120" t="s">
        <v>12</v>
      </c>
      <c r="F1120" t="s">
        <v>2028</v>
      </c>
      <c r="G1120" t="s">
        <v>21</v>
      </c>
      <c r="H1120" t="s">
        <v>23</v>
      </c>
      <c r="I1120">
        <v>3</v>
      </c>
      <c r="J1120" s="9">
        <v>13400</v>
      </c>
      <c r="K1120" s="7">
        <v>0.2</v>
      </c>
      <c r="L1120" s="9">
        <v>10720</v>
      </c>
      <c r="M1120" s="10">
        <f>Sales_Data3[[#This Row],[Profit]]/Sales_Data3[[#This Row],[Sales]]</f>
        <v>0.8</v>
      </c>
      <c r="N1120" t="str">
        <f t="shared" si="35"/>
        <v>High</v>
      </c>
      <c r="O1120" s="2">
        <v>44960</v>
      </c>
      <c r="P1120" s="9">
        <v>13400</v>
      </c>
    </row>
    <row r="1121" spans="1:16" x14ac:dyDescent="0.25">
      <c r="A1121" t="s">
        <v>1142</v>
      </c>
      <c r="B1121" s="2">
        <v>44961</v>
      </c>
      <c r="C1121">
        <v>2023</v>
      </c>
      <c r="D1121" t="str">
        <f t="shared" si="34"/>
        <v>Feb</v>
      </c>
      <c r="E1121" t="s">
        <v>12</v>
      </c>
      <c r="F1121" t="s">
        <v>2029</v>
      </c>
      <c r="G1121" t="s">
        <v>22</v>
      </c>
      <c r="H1121" t="s">
        <v>23</v>
      </c>
      <c r="I1121">
        <v>5</v>
      </c>
      <c r="J1121" s="9">
        <v>10200</v>
      </c>
      <c r="K1121" s="7">
        <v>0.25</v>
      </c>
      <c r="L1121" s="9">
        <v>7650</v>
      </c>
      <c r="M1121" s="10">
        <f>Sales_Data3[[#This Row],[Profit]]/Sales_Data3[[#This Row],[Sales]]</f>
        <v>0.75</v>
      </c>
      <c r="N1121" t="str">
        <f t="shared" si="35"/>
        <v>High</v>
      </c>
      <c r="O1121" s="2">
        <v>44961</v>
      </c>
      <c r="P1121" s="9">
        <v>10200</v>
      </c>
    </row>
    <row r="1122" spans="1:16" x14ac:dyDescent="0.25">
      <c r="A1122" t="s">
        <v>1143</v>
      </c>
      <c r="B1122" s="2">
        <v>44962</v>
      </c>
      <c r="C1122">
        <v>2023</v>
      </c>
      <c r="D1122" t="str">
        <f t="shared" si="34"/>
        <v>Feb</v>
      </c>
      <c r="E1122" t="s">
        <v>13</v>
      </c>
      <c r="F1122" t="s">
        <v>16</v>
      </c>
      <c r="G1122" t="s">
        <v>19</v>
      </c>
      <c r="H1122" t="s">
        <v>24</v>
      </c>
      <c r="I1122">
        <v>2</v>
      </c>
      <c r="J1122" s="9">
        <v>14400</v>
      </c>
      <c r="K1122" s="7">
        <v>0.05</v>
      </c>
      <c r="L1122" s="9">
        <v>13680</v>
      </c>
      <c r="M1122" s="10">
        <f>Sales_Data3[[#This Row],[Profit]]/Sales_Data3[[#This Row],[Sales]]</f>
        <v>0.95</v>
      </c>
      <c r="N1122" t="str">
        <f t="shared" si="35"/>
        <v>High</v>
      </c>
      <c r="O1122" s="2">
        <v>44962</v>
      </c>
      <c r="P1122" s="9">
        <v>14400</v>
      </c>
    </row>
    <row r="1123" spans="1:16" x14ac:dyDescent="0.25">
      <c r="A1123" t="s">
        <v>1144</v>
      </c>
      <c r="B1123" s="2">
        <v>44963</v>
      </c>
      <c r="C1123">
        <v>2023</v>
      </c>
      <c r="D1123" t="str">
        <f t="shared" si="34"/>
        <v>Feb</v>
      </c>
      <c r="E1123" t="s">
        <v>13</v>
      </c>
      <c r="F1123" t="s">
        <v>2030</v>
      </c>
      <c r="G1123" t="s">
        <v>20</v>
      </c>
      <c r="H1123" t="s">
        <v>24</v>
      </c>
      <c r="I1123">
        <v>6</v>
      </c>
      <c r="J1123" s="9">
        <v>12300</v>
      </c>
      <c r="K1123" s="7">
        <v>0.1</v>
      </c>
      <c r="L1123" s="9">
        <v>11070</v>
      </c>
      <c r="M1123" s="10">
        <f>Sales_Data3[[#This Row],[Profit]]/Sales_Data3[[#This Row],[Sales]]</f>
        <v>0.9</v>
      </c>
      <c r="N1123" t="str">
        <f t="shared" si="35"/>
        <v>High</v>
      </c>
      <c r="O1123" s="2">
        <v>44963</v>
      </c>
      <c r="P1123" s="9">
        <v>12300</v>
      </c>
    </row>
    <row r="1124" spans="1:16" x14ac:dyDescent="0.25">
      <c r="A1124" t="s">
        <v>1145</v>
      </c>
      <c r="B1124" s="2">
        <v>44964</v>
      </c>
      <c r="C1124">
        <v>2023</v>
      </c>
      <c r="D1124" t="str">
        <f t="shared" si="34"/>
        <v>Feb</v>
      </c>
      <c r="E1124" t="s">
        <v>13</v>
      </c>
      <c r="F1124" t="s">
        <v>2031</v>
      </c>
      <c r="G1124" t="s">
        <v>21</v>
      </c>
      <c r="H1124" t="s">
        <v>24</v>
      </c>
      <c r="I1124">
        <v>5</v>
      </c>
      <c r="J1124" s="9">
        <v>13500</v>
      </c>
      <c r="K1124" s="7">
        <v>0.15000000000000002</v>
      </c>
      <c r="L1124" s="9">
        <v>11475</v>
      </c>
      <c r="M1124" s="10">
        <f>Sales_Data3[[#This Row],[Profit]]/Sales_Data3[[#This Row],[Sales]]</f>
        <v>0.85</v>
      </c>
      <c r="N1124" t="str">
        <f t="shared" si="35"/>
        <v>High</v>
      </c>
      <c r="O1124" s="2">
        <v>44964</v>
      </c>
      <c r="P1124" s="9">
        <v>13500</v>
      </c>
    </row>
    <row r="1125" spans="1:16" x14ac:dyDescent="0.25">
      <c r="A1125" t="s">
        <v>1146</v>
      </c>
      <c r="B1125" s="2">
        <v>44965</v>
      </c>
      <c r="C1125">
        <v>2023</v>
      </c>
      <c r="D1125" t="str">
        <f t="shared" si="34"/>
        <v>Feb</v>
      </c>
      <c r="E1125" t="s">
        <v>13</v>
      </c>
      <c r="F1125" t="s">
        <v>2032</v>
      </c>
      <c r="G1125" t="s">
        <v>22</v>
      </c>
      <c r="H1125" t="s">
        <v>24</v>
      </c>
      <c r="I1125">
        <v>7</v>
      </c>
      <c r="J1125" s="9">
        <v>7400</v>
      </c>
      <c r="K1125" s="7">
        <v>0.2</v>
      </c>
      <c r="L1125" s="9">
        <v>5920</v>
      </c>
      <c r="M1125" s="10">
        <f>Sales_Data3[[#This Row],[Profit]]/Sales_Data3[[#This Row],[Sales]]</f>
        <v>0.8</v>
      </c>
      <c r="N1125" t="str">
        <f t="shared" si="35"/>
        <v>Medium</v>
      </c>
      <c r="O1125" s="2">
        <v>44965</v>
      </c>
      <c r="P1125" s="9">
        <v>7400</v>
      </c>
    </row>
    <row r="1126" spans="1:16" x14ac:dyDescent="0.25">
      <c r="A1126" t="s">
        <v>1147</v>
      </c>
      <c r="B1126" s="2">
        <v>44966</v>
      </c>
      <c r="C1126">
        <v>2023</v>
      </c>
      <c r="D1126" t="str">
        <f t="shared" si="34"/>
        <v>Feb</v>
      </c>
      <c r="E1126" t="s">
        <v>13</v>
      </c>
      <c r="F1126" t="s">
        <v>2033</v>
      </c>
      <c r="G1126" t="s">
        <v>19</v>
      </c>
      <c r="H1126" t="s">
        <v>24</v>
      </c>
      <c r="I1126">
        <v>6</v>
      </c>
      <c r="J1126" s="9">
        <v>11300</v>
      </c>
      <c r="K1126" s="7">
        <v>0.25</v>
      </c>
      <c r="L1126" s="9">
        <v>8475</v>
      </c>
      <c r="M1126" s="10">
        <f>Sales_Data3[[#This Row],[Profit]]/Sales_Data3[[#This Row],[Sales]]</f>
        <v>0.75</v>
      </c>
      <c r="N1126" t="str">
        <f t="shared" si="35"/>
        <v>High</v>
      </c>
      <c r="O1126" s="2">
        <v>44966</v>
      </c>
      <c r="P1126" s="9">
        <v>11300</v>
      </c>
    </row>
    <row r="1127" spans="1:16" x14ac:dyDescent="0.25">
      <c r="A1127" t="s">
        <v>1148</v>
      </c>
      <c r="B1127" s="2">
        <v>44967</v>
      </c>
      <c r="C1127">
        <v>2023</v>
      </c>
      <c r="D1127" t="str">
        <f t="shared" si="34"/>
        <v>Feb</v>
      </c>
      <c r="E1127" t="s">
        <v>13</v>
      </c>
      <c r="F1127" t="s">
        <v>2034</v>
      </c>
      <c r="G1127" t="s">
        <v>20</v>
      </c>
      <c r="H1127" t="s">
        <v>24</v>
      </c>
      <c r="I1127">
        <v>1</v>
      </c>
      <c r="J1127" s="9">
        <v>7900</v>
      </c>
      <c r="K1127" s="7">
        <v>0.05</v>
      </c>
      <c r="L1127" s="9">
        <v>7505</v>
      </c>
      <c r="M1127" s="10">
        <f>Sales_Data3[[#This Row],[Profit]]/Sales_Data3[[#This Row],[Sales]]</f>
        <v>0.95</v>
      </c>
      <c r="N1127" t="str">
        <f t="shared" si="35"/>
        <v>Medium</v>
      </c>
      <c r="O1127" s="2">
        <v>44967</v>
      </c>
      <c r="P1127" s="9">
        <v>7900</v>
      </c>
    </row>
    <row r="1128" spans="1:16" x14ac:dyDescent="0.25">
      <c r="A1128" t="s">
        <v>1149</v>
      </c>
      <c r="B1128" s="2">
        <v>44968</v>
      </c>
      <c r="C1128">
        <v>2023</v>
      </c>
      <c r="D1128" t="str">
        <f t="shared" si="34"/>
        <v>Feb</v>
      </c>
      <c r="E1128" t="s">
        <v>13</v>
      </c>
      <c r="F1128" t="s">
        <v>2035</v>
      </c>
      <c r="G1128" t="s">
        <v>21</v>
      </c>
      <c r="H1128" t="s">
        <v>24</v>
      </c>
      <c r="I1128">
        <v>4</v>
      </c>
      <c r="J1128" s="9">
        <v>14900</v>
      </c>
      <c r="K1128" s="7">
        <v>0.1</v>
      </c>
      <c r="L1128" s="9">
        <v>13410</v>
      </c>
      <c r="M1128" s="10">
        <f>Sales_Data3[[#This Row],[Profit]]/Sales_Data3[[#This Row],[Sales]]</f>
        <v>0.9</v>
      </c>
      <c r="N1128" t="str">
        <f t="shared" si="35"/>
        <v>High</v>
      </c>
      <c r="O1128" s="2">
        <v>44968</v>
      </c>
      <c r="P1128" s="9">
        <v>14900</v>
      </c>
    </row>
    <row r="1129" spans="1:16" x14ac:dyDescent="0.25">
      <c r="A1129" t="s">
        <v>1150</v>
      </c>
      <c r="B1129" s="2">
        <v>44969</v>
      </c>
      <c r="C1129">
        <v>2023</v>
      </c>
      <c r="D1129" t="str">
        <f t="shared" si="34"/>
        <v>Feb</v>
      </c>
      <c r="E1129" t="s">
        <v>13</v>
      </c>
      <c r="F1129" t="s">
        <v>2036</v>
      </c>
      <c r="G1129" t="s">
        <v>22</v>
      </c>
      <c r="H1129" t="s">
        <v>24</v>
      </c>
      <c r="I1129">
        <v>7</v>
      </c>
      <c r="J1129" s="9">
        <v>10900</v>
      </c>
      <c r="K1129" s="7">
        <v>0.15000000000000002</v>
      </c>
      <c r="L1129" s="9">
        <v>9265</v>
      </c>
      <c r="M1129" s="10">
        <f>Sales_Data3[[#This Row],[Profit]]/Sales_Data3[[#This Row],[Sales]]</f>
        <v>0.85</v>
      </c>
      <c r="N1129" t="str">
        <f t="shared" si="35"/>
        <v>High</v>
      </c>
      <c r="O1129" s="2">
        <v>44969</v>
      </c>
      <c r="P1129" s="9">
        <v>10900</v>
      </c>
    </row>
    <row r="1130" spans="1:16" x14ac:dyDescent="0.25">
      <c r="A1130" t="s">
        <v>1151</v>
      </c>
      <c r="B1130" s="2">
        <v>44970</v>
      </c>
      <c r="C1130">
        <v>2023</v>
      </c>
      <c r="D1130" t="str">
        <f t="shared" si="34"/>
        <v>Feb</v>
      </c>
      <c r="E1130" t="s">
        <v>13</v>
      </c>
      <c r="F1130" t="s">
        <v>2037</v>
      </c>
      <c r="G1130" t="s">
        <v>19</v>
      </c>
      <c r="H1130" t="s">
        <v>24</v>
      </c>
      <c r="I1130">
        <v>8</v>
      </c>
      <c r="J1130" s="9">
        <v>13400</v>
      </c>
      <c r="K1130" s="7">
        <v>0.2</v>
      </c>
      <c r="L1130" s="9">
        <v>10720</v>
      </c>
      <c r="M1130" s="10">
        <f>Sales_Data3[[#This Row],[Profit]]/Sales_Data3[[#This Row],[Sales]]</f>
        <v>0.8</v>
      </c>
      <c r="N1130" t="str">
        <f t="shared" si="35"/>
        <v>High</v>
      </c>
      <c r="O1130" s="2">
        <v>44970</v>
      </c>
      <c r="P1130" s="9">
        <v>13400</v>
      </c>
    </row>
    <row r="1131" spans="1:16" x14ac:dyDescent="0.25">
      <c r="A1131" t="s">
        <v>1152</v>
      </c>
      <c r="B1131" s="2">
        <v>44971</v>
      </c>
      <c r="C1131">
        <v>2023</v>
      </c>
      <c r="D1131" t="str">
        <f t="shared" si="34"/>
        <v>Feb</v>
      </c>
      <c r="E1131" t="s">
        <v>13</v>
      </c>
      <c r="F1131" t="s">
        <v>2038</v>
      </c>
      <c r="G1131" t="s">
        <v>20</v>
      </c>
      <c r="H1131" t="s">
        <v>24</v>
      </c>
      <c r="I1131">
        <v>1</v>
      </c>
      <c r="J1131" s="9">
        <v>10800</v>
      </c>
      <c r="K1131" s="7">
        <v>0.25</v>
      </c>
      <c r="L1131" s="9">
        <v>8100</v>
      </c>
      <c r="M1131" s="10">
        <f>Sales_Data3[[#This Row],[Profit]]/Sales_Data3[[#This Row],[Sales]]</f>
        <v>0.75</v>
      </c>
      <c r="N1131" t="str">
        <f t="shared" si="35"/>
        <v>High</v>
      </c>
      <c r="O1131" s="2">
        <v>44971</v>
      </c>
      <c r="P1131" s="9">
        <v>10800</v>
      </c>
    </row>
    <row r="1132" spans="1:16" x14ac:dyDescent="0.25">
      <c r="A1132" t="s">
        <v>1153</v>
      </c>
      <c r="B1132" s="2">
        <v>44972</v>
      </c>
      <c r="C1132">
        <v>2023</v>
      </c>
      <c r="D1132" t="str">
        <f t="shared" si="34"/>
        <v>Feb</v>
      </c>
      <c r="E1132" t="s">
        <v>14</v>
      </c>
      <c r="F1132" t="s">
        <v>2039</v>
      </c>
      <c r="G1132" t="s">
        <v>21</v>
      </c>
      <c r="H1132" t="s">
        <v>25</v>
      </c>
      <c r="I1132">
        <v>1</v>
      </c>
      <c r="J1132" s="9">
        <v>11800</v>
      </c>
      <c r="K1132" s="7">
        <v>0.05</v>
      </c>
      <c r="L1132" s="9">
        <v>11210</v>
      </c>
      <c r="M1132" s="10">
        <f>Sales_Data3[[#This Row],[Profit]]/Sales_Data3[[#This Row],[Sales]]</f>
        <v>0.95</v>
      </c>
      <c r="N1132" t="str">
        <f t="shared" si="35"/>
        <v>High</v>
      </c>
      <c r="O1132" s="2">
        <v>44972</v>
      </c>
      <c r="P1132" s="9">
        <v>11800</v>
      </c>
    </row>
    <row r="1133" spans="1:16" x14ac:dyDescent="0.25">
      <c r="A1133" t="s">
        <v>1154</v>
      </c>
      <c r="B1133" s="2">
        <v>44973</v>
      </c>
      <c r="C1133">
        <v>2023</v>
      </c>
      <c r="D1133" t="str">
        <f t="shared" si="34"/>
        <v>Feb</v>
      </c>
      <c r="E1133" t="s">
        <v>14</v>
      </c>
      <c r="F1133" t="s">
        <v>2040</v>
      </c>
      <c r="G1133" t="s">
        <v>22</v>
      </c>
      <c r="H1133" t="s">
        <v>25</v>
      </c>
      <c r="I1133">
        <v>7</v>
      </c>
      <c r="J1133" s="9">
        <v>5200</v>
      </c>
      <c r="K1133" s="7">
        <v>0.1</v>
      </c>
      <c r="L1133" s="9">
        <v>4680</v>
      </c>
      <c r="M1133" s="10">
        <f>Sales_Data3[[#This Row],[Profit]]/Sales_Data3[[#This Row],[Sales]]</f>
        <v>0.9</v>
      </c>
      <c r="N1133" t="str">
        <f t="shared" si="35"/>
        <v>Medium</v>
      </c>
      <c r="O1133" s="2">
        <v>44973</v>
      </c>
      <c r="P1133" s="9">
        <v>5200</v>
      </c>
    </row>
    <row r="1134" spans="1:16" x14ac:dyDescent="0.25">
      <c r="A1134" t="s">
        <v>1155</v>
      </c>
      <c r="B1134" s="2">
        <v>44974</v>
      </c>
      <c r="C1134">
        <v>2023</v>
      </c>
      <c r="D1134" t="str">
        <f t="shared" si="34"/>
        <v>Feb</v>
      </c>
      <c r="E1134" t="s">
        <v>14</v>
      </c>
      <c r="F1134" t="s">
        <v>2041</v>
      </c>
      <c r="G1134" t="s">
        <v>19</v>
      </c>
      <c r="H1134" t="s">
        <v>25</v>
      </c>
      <c r="I1134">
        <v>9</v>
      </c>
      <c r="J1134" s="9">
        <v>5600</v>
      </c>
      <c r="K1134" s="7">
        <v>0.15000000000000002</v>
      </c>
      <c r="L1134" s="9">
        <v>4760</v>
      </c>
      <c r="M1134" s="10">
        <f>Sales_Data3[[#This Row],[Profit]]/Sales_Data3[[#This Row],[Sales]]</f>
        <v>0.85</v>
      </c>
      <c r="N1134" t="str">
        <f t="shared" si="35"/>
        <v>Medium</v>
      </c>
      <c r="O1134" s="2">
        <v>44974</v>
      </c>
      <c r="P1134" s="9">
        <v>5600</v>
      </c>
    </row>
    <row r="1135" spans="1:16" x14ac:dyDescent="0.25">
      <c r="A1135" t="s">
        <v>1156</v>
      </c>
      <c r="B1135" s="2">
        <v>44975</v>
      </c>
      <c r="C1135">
        <v>2023</v>
      </c>
      <c r="D1135" t="str">
        <f t="shared" si="34"/>
        <v>Feb</v>
      </c>
      <c r="E1135" t="s">
        <v>14</v>
      </c>
      <c r="F1135" t="s">
        <v>2042</v>
      </c>
      <c r="G1135" t="s">
        <v>20</v>
      </c>
      <c r="H1135" t="s">
        <v>25</v>
      </c>
      <c r="I1135">
        <v>8</v>
      </c>
      <c r="J1135" s="9">
        <v>11100</v>
      </c>
      <c r="K1135" s="7">
        <v>0.2</v>
      </c>
      <c r="L1135" s="9">
        <v>8880</v>
      </c>
      <c r="M1135" s="10">
        <f>Sales_Data3[[#This Row],[Profit]]/Sales_Data3[[#This Row],[Sales]]</f>
        <v>0.8</v>
      </c>
      <c r="N1135" t="str">
        <f t="shared" si="35"/>
        <v>High</v>
      </c>
      <c r="O1135" s="2">
        <v>44975</v>
      </c>
      <c r="P1135" s="9">
        <v>11100</v>
      </c>
    </row>
    <row r="1136" spans="1:16" x14ac:dyDescent="0.25">
      <c r="A1136" t="s">
        <v>1157</v>
      </c>
      <c r="B1136" s="2">
        <v>44976</v>
      </c>
      <c r="C1136">
        <v>2023</v>
      </c>
      <c r="D1136" t="str">
        <f t="shared" si="34"/>
        <v>Feb</v>
      </c>
      <c r="E1136" t="s">
        <v>14</v>
      </c>
      <c r="F1136" t="s">
        <v>2043</v>
      </c>
      <c r="G1136" t="s">
        <v>21</v>
      </c>
      <c r="H1136" t="s">
        <v>25</v>
      </c>
      <c r="I1136">
        <v>8</v>
      </c>
      <c r="J1136" s="9">
        <v>7100</v>
      </c>
      <c r="K1136" s="7">
        <v>0.25</v>
      </c>
      <c r="L1136" s="9">
        <v>5325</v>
      </c>
      <c r="M1136" s="10">
        <f>Sales_Data3[[#This Row],[Profit]]/Sales_Data3[[#This Row],[Sales]]</f>
        <v>0.75</v>
      </c>
      <c r="N1136" t="str">
        <f t="shared" si="35"/>
        <v>Medium</v>
      </c>
      <c r="O1136" s="2">
        <v>44976</v>
      </c>
      <c r="P1136" s="9">
        <v>7100</v>
      </c>
    </row>
    <row r="1137" spans="1:16" x14ac:dyDescent="0.25">
      <c r="A1137" t="s">
        <v>1158</v>
      </c>
      <c r="B1137" s="2">
        <v>44977</v>
      </c>
      <c r="C1137">
        <v>2023</v>
      </c>
      <c r="D1137" t="str">
        <f t="shared" si="34"/>
        <v>Feb</v>
      </c>
      <c r="E1137" t="s">
        <v>14</v>
      </c>
      <c r="F1137" t="s">
        <v>2044</v>
      </c>
      <c r="G1137" t="s">
        <v>22</v>
      </c>
      <c r="H1137" t="s">
        <v>25</v>
      </c>
      <c r="I1137">
        <v>10</v>
      </c>
      <c r="J1137" s="9">
        <v>7900</v>
      </c>
      <c r="K1137" s="7">
        <v>0.05</v>
      </c>
      <c r="L1137" s="9">
        <v>7505</v>
      </c>
      <c r="M1137" s="10">
        <f>Sales_Data3[[#This Row],[Profit]]/Sales_Data3[[#This Row],[Sales]]</f>
        <v>0.95</v>
      </c>
      <c r="N1137" t="str">
        <f t="shared" si="35"/>
        <v>Medium</v>
      </c>
      <c r="O1137" s="2">
        <v>44977</v>
      </c>
      <c r="P1137" s="9">
        <v>7900</v>
      </c>
    </row>
    <row r="1138" spans="1:16" x14ac:dyDescent="0.25">
      <c r="A1138" t="s">
        <v>1159</v>
      </c>
      <c r="B1138" s="2">
        <v>44978</v>
      </c>
      <c r="C1138">
        <v>2023</v>
      </c>
      <c r="D1138" t="str">
        <f t="shared" si="34"/>
        <v>Feb</v>
      </c>
      <c r="E1138" t="s">
        <v>14</v>
      </c>
      <c r="F1138" t="s">
        <v>2045</v>
      </c>
      <c r="G1138" t="s">
        <v>19</v>
      </c>
      <c r="H1138" t="s">
        <v>25</v>
      </c>
      <c r="I1138">
        <v>1</v>
      </c>
      <c r="J1138" s="9">
        <v>4100</v>
      </c>
      <c r="K1138" s="7">
        <v>0.1</v>
      </c>
      <c r="L1138" s="9">
        <v>3690</v>
      </c>
      <c r="M1138" s="10">
        <f>Sales_Data3[[#This Row],[Profit]]/Sales_Data3[[#This Row],[Sales]]</f>
        <v>0.9</v>
      </c>
      <c r="N1138" t="str">
        <f t="shared" si="35"/>
        <v>Low</v>
      </c>
      <c r="O1138" s="2">
        <v>44978</v>
      </c>
      <c r="P1138" s="9">
        <v>4100</v>
      </c>
    </row>
    <row r="1139" spans="1:16" x14ac:dyDescent="0.25">
      <c r="A1139" t="s">
        <v>1160</v>
      </c>
      <c r="B1139" s="2">
        <v>44979</v>
      </c>
      <c r="C1139">
        <v>2023</v>
      </c>
      <c r="D1139" t="str">
        <f t="shared" si="34"/>
        <v>Feb</v>
      </c>
      <c r="E1139" t="s">
        <v>14</v>
      </c>
      <c r="F1139" t="s">
        <v>2046</v>
      </c>
      <c r="G1139" t="s">
        <v>20</v>
      </c>
      <c r="H1139" t="s">
        <v>25</v>
      </c>
      <c r="I1139">
        <v>3</v>
      </c>
      <c r="J1139" s="9">
        <v>7500</v>
      </c>
      <c r="K1139" s="7">
        <v>0.15000000000000002</v>
      </c>
      <c r="L1139" s="9">
        <v>6375</v>
      </c>
      <c r="M1139" s="10">
        <f>Sales_Data3[[#This Row],[Profit]]/Sales_Data3[[#This Row],[Sales]]</f>
        <v>0.85</v>
      </c>
      <c r="N1139" t="str">
        <f t="shared" si="35"/>
        <v>Medium</v>
      </c>
      <c r="O1139" s="2">
        <v>44979</v>
      </c>
      <c r="P1139" s="9">
        <v>7500</v>
      </c>
    </row>
    <row r="1140" spans="1:16" x14ac:dyDescent="0.25">
      <c r="A1140" t="s">
        <v>1161</v>
      </c>
      <c r="B1140" s="2">
        <v>44980</v>
      </c>
      <c r="C1140">
        <v>2023</v>
      </c>
      <c r="D1140" t="str">
        <f t="shared" si="34"/>
        <v>Feb</v>
      </c>
      <c r="E1140" t="s">
        <v>14</v>
      </c>
      <c r="F1140" t="s">
        <v>2047</v>
      </c>
      <c r="G1140" t="s">
        <v>21</v>
      </c>
      <c r="H1140" t="s">
        <v>25</v>
      </c>
      <c r="I1140">
        <v>7</v>
      </c>
      <c r="J1140" s="9">
        <v>11800</v>
      </c>
      <c r="K1140" s="7">
        <v>0.2</v>
      </c>
      <c r="L1140" s="9">
        <v>9440</v>
      </c>
      <c r="M1140" s="10">
        <f>Sales_Data3[[#This Row],[Profit]]/Sales_Data3[[#This Row],[Sales]]</f>
        <v>0.8</v>
      </c>
      <c r="N1140" t="str">
        <f t="shared" si="35"/>
        <v>High</v>
      </c>
      <c r="O1140" s="2">
        <v>44980</v>
      </c>
      <c r="P1140" s="9">
        <v>11800</v>
      </c>
    </row>
    <row r="1141" spans="1:16" x14ac:dyDescent="0.25">
      <c r="A1141" t="s">
        <v>1162</v>
      </c>
      <c r="B1141" s="2">
        <v>44981</v>
      </c>
      <c r="C1141">
        <v>2023</v>
      </c>
      <c r="D1141" t="str">
        <f t="shared" si="34"/>
        <v>Feb</v>
      </c>
      <c r="E1141" t="s">
        <v>14</v>
      </c>
      <c r="F1141" t="s">
        <v>2048</v>
      </c>
      <c r="G1141" t="s">
        <v>22</v>
      </c>
      <c r="H1141" t="s">
        <v>25</v>
      </c>
      <c r="I1141">
        <v>6</v>
      </c>
      <c r="J1141" s="9">
        <v>5400</v>
      </c>
      <c r="K1141" s="7">
        <v>0.25</v>
      </c>
      <c r="L1141" s="9">
        <v>4050</v>
      </c>
      <c r="M1141" s="10">
        <f>Sales_Data3[[#This Row],[Profit]]/Sales_Data3[[#This Row],[Sales]]</f>
        <v>0.75</v>
      </c>
      <c r="N1141" t="str">
        <f t="shared" si="35"/>
        <v>Medium</v>
      </c>
      <c r="O1141" s="2">
        <v>44981</v>
      </c>
      <c r="P1141" s="9">
        <v>5400</v>
      </c>
    </row>
    <row r="1142" spans="1:16" x14ac:dyDescent="0.25">
      <c r="A1142" t="s">
        <v>1163</v>
      </c>
      <c r="B1142" s="2">
        <v>44982</v>
      </c>
      <c r="C1142">
        <v>2023</v>
      </c>
      <c r="D1142" t="str">
        <f t="shared" si="34"/>
        <v>Feb</v>
      </c>
      <c r="E1142" t="s">
        <v>12</v>
      </c>
      <c r="F1142" t="s">
        <v>15</v>
      </c>
      <c r="G1142" t="s">
        <v>19</v>
      </c>
      <c r="H1142" t="s">
        <v>23</v>
      </c>
      <c r="I1142">
        <v>1</v>
      </c>
      <c r="J1142" s="9">
        <v>8400</v>
      </c>
      <c r="K1142" s="7">
        <v>0.05</v>
      </c>
      <c r="L1142" s="9">
        <v>7980</v>
      </c>
      <c r="M1142" s="10">
        <f>Sales_Data3[[#This Row],[Profit]]/Sales_Data3[[#This Row],[Sales]]</f>
        <v>0.95</v>
      </c>
      <c r="N1142" t="str">
        <f t="shared" si="35"/>
        <v>Medium</v>
      </c>
      <c r="O1142" s="2">
        <v>44982</v>
      </c>
      <c r="P1142" s="9">
        <v>8400</v>
      </c>
    </row>
    <row r="1143" spans="1:16" x14ac:dyDescent="0.25">
      <c r="A1143" t="s">
        <v>1164</v>
      </c>
      <c r="B1143" s="2">
        <v>44983</v>
      </c>
      <c r="C1143">
        <v>2023</v>
      </c>
      <c r="D1143" t="str">
        <f t="shared" si="34"/>
        <v>Feb</v>
      </c>
      <c r="E1143" t="s">
        <v>12</v>
      </c>
      <c r="F1143" t="s">
        <v>17</v>
      </c>
      <c r="G1143" t="s">
        <v>20</v>
      </c>
      <c r="H1143" t="s">
        <v>23</v>
      </c>
      <c r="I1143">
        <v>10</v>
      </c>
      <c r="J1143" s="9">
        <v>11400</v>
      </c>
      <c r="K1143" s="7">
        <v>0.1</v>
      </c>
      <c r="L1143" s="9">
        <v>10260</v>
      </c>
      <c r="M1143" s="10">
        <f>Sales_Data3[[#This Row],[Profit]]/Sales_Data3[[#This Row],[Sales]]</f>
        <v>0.9</v>
      </c>
      <c r="N1143" t="str">
        <f t="shared" si="35"/>
        <v>High</v>
      </c>
      <c r="O1143" s="2">
        <v>44983</v>
      </c>
      <c r="P1143" s="9">
        <v>11400</v>
      </c>
    </row>
    <row r="1144" spans="1:16" x14ac:dyDescent="0.25">
      <c r="A1144" t="s">
        <v>1165</v>
      </c>
      <c r="B1144" s="2">
        <v>44984</v>
      </c>
      <c r="C1144">
        <v>2023</v>
      </c>
      <c r="D1144" t="str">
        <f t="shared" si="34"/>
        <v>Feb</v>
      </c>
      <c r="E1144" t="s">
        <v>12</v>
      </c>
      <c r="F1144" t="s">
        <v>2023</v>
      </c>
      <c r="G1144" t="s">
        <v>21</v>
      </c>
      <c r="H1144" t="s">
        <v>23</v>
      </c>
      <c r="I1144">
        <v>4</v>
      </c>
      <c r="J1144" s="9">
        <v>14000</v>
      </c>
      <c r="K1144" s="7">
        <v>0.15000000000000002</v>
      </c>
      <c r="L1144" s="9">
        <v>11900</v>
      </c>
      <c r="M1144" s="10">
        <f>Sales_Data3[[#This Row],[Profit]]/Sales_Data3[[#This Row],[Sales]]</f>
        <v>0.85</v>
      </c>
      <c r="N1144" t="str">
        <f t="shared" si="35"/>
        <v>High</v>
      </c>
      <c r="O1144" s="2">
        <v>44984</v>
      </c>
      <c r="P1144" s="9">
        <v>14000</v>
      </c>
    </row>
    <row r="1145" spans="1:16" x14ac:dyDescent="0.25">
      <c r="A1145" t="s">
        <v>1166</v>
      </c>
      <c r="B1145" s="2">
        <v>44985</v>
      </c>
      <c r="C1145">
        <v>2023</v>
      </c>
      <c r="D1145" t="str">
        <f t="shared" si="34"/>
        <v>Feb</v>
      </c>
      <c r="E1145" t="s">
        <v>12</v>
      </c>
      <c r="F1145" t="s">
        <v>18</v>
      </c>
      <c r="G1145" t="s">
        <v>22</v>
      </c>
      <c r="H1145" t="s">
        <v>23</v>
      </c>
      <c r="I1145">
        <v>1</v>
      </c>
      <c r="J1145" s="9">
        <v>14000</v>
      </c>
      <c r="K1145" s="7">
        <v>0.2</v>
      </c>
      <c r="L1145" s="9">
        <v>11200</v>
      </c>
      <c r="M1145" s="10">
        <f>Sales_Data3[[#This Row],[Profit]]/Sales_Data3[[#This Row],[Sales]]</f>
        <v>0.8</v>
      </c>
      <c r="N1145" t="str">
        <f t="shared" si="35"/>
        <v>High</v>
      </c>
      <c r="O1145" s="2">
        <v>44985</v>
      </c>
      <c r="P1145" s="9">
        <v>14000</v>
      </c>
    </row>
    <row r="1146" spans="1:16" x14ac:dyDescent="0.25">
      <c r="A1146" t="s">
        <v>1167</v>
      </c>
      <c r="B1146" s="2">
        <v>44986</v>
      </c>
      <c r="C1146">
        <v>2023</v>
      </c>
      <c r="D1146" t="str">
        <f t="shared" si="34"/>
        <v>Mar</v>
      </c>
      <c r="E1146" t="s">
        <v>12</v>
      </c>
      <c r="F1146" t="s">
        <v>2024</v>
      </c>
      <c r="G1146" t="s">
        <v>19</v>
      </c>
      <c r="H1146" t="s">
        <v>23</v>
      </c>
      <c r="I1146">
        <v>7</v>
      </c>
      <c r="J1146" s="9">
        <v>10900</v>
      </c>
      <c r="K1146" s="7">
        <v>0.25</v>
      </c>
      <c r="L1146" s="9">
        <v>8175</v>
      </c>
      <c r="M1146" s="10">
        <f>Sales_Data3[[#This Row],[Profit]]/Sales_Data3[[#This Row],[Sales]]</f>
        <v>0.75</v>
      </c>
      <c r="N1146" t="str">
        <f t="shared" si="35"/>
        <v>High</v>
      </c>
      <c r="O1146" s="2">
        <v>44986</v>
      </c>
      <c r="P1146" s="9">
        <v>10900</v>
      </c>
    </row>
    <row r="1147" spans="1:16" x14ac:dyDescent="0.25">
      <c r="A1147" t="s">
        <v>1168</v>
      </c>
      <c r="B1147" s="2">
        <v>44987</v>
      </c>
      <c r="C1147">
        <v>2023</v>
      </c>
      <c r="D1147" t="str">
        <f t="shared" si="34"/>
        <v>Mar</v>
      </c>
      <c r="E1147" t="s">
        <v>12</v>
      </c>
      <c r="F1147" t="s">
        <v>2025</v>
      </c>
      <c r="G1147" t="s">
        <v>20</v>
      </c>
      <c r="H1147" t="s">
        <v>23</v>
      </c>
      <c r="I1147">
        <v>9</v>
      </c>
      <c r="J1147" s="9">
        <v>4200</v>
      </c>
      <c r="K1147" s="7">
        <v>0.05</v>
      </c>
      <c r="L1147" s="9">
        <v>3990</v>
      </c>
      <c r="M1147" s="10">
        <f>Sales_Data3[[#This Row],[Profit]]/Sales_Data3[[#This Row],[Sales]]</f>
        <v>0.95</v>
      </c>
      <c r="N1147" t="str">
        <f t="shared" si="35"/>
        <v>Low</v>
      </c>
      <c r="O1147" s="2">
        <v>44987</v>
      </c>
      <c r="P1147" s="9">
        <v>4200</v>
      </c>
    </row>
    <row r="1148" spans="1:16" x14ac:dyDescent="0.25">
      <c r="A1148" t="s">
        <v>1169</v>
      </c>
      <c r="B1148" s="2">
        <v>44988</v>
      </c>
      <c r="C1148">
        <v>2023</v>
      </c>
      <c r="D1148" t="str">
        <f t="shared" si="34"/>
        <v>Mar</v>
      </c>
      <c r="E1148" t="s">
        <v>12</v>
      </c>
      <c r="F1148" t="s">
        <v>2026</v>
      </c>
      <c r="G1148" t="s">
        <v>21</v>
      </c>
      <c r="H1148" t="s">
        <v>23</v>
      </c>
      <c r="I1148">
        <v>7</v>
      </c>
      <c r="J1148" s="9">
        <v>9000</v>
      </c>
      <c r="K1148" s="7">
        <v>0.1</v>
      </c>
      <c r="L1148" s="9">
        <v>8100</v>
      </c>
      <c r="M1148" s="10">
        <f>Sales_Data3[[#This Row],[Profit]]/Sales_Data3[[#This Row],[Sales]]</f>
        <v>0.9</v>
      </c>
      <c r="N1148" t="str">
        <f t="shared" si="35"/>
        <v>Medium</v>
      </c>
      <c r="O1148" s="2">
        <v>44988</v>
      </c>
      <c r="P1148" s="9">
        <v>9000</v>
      </c>
    </row>
    <row r="1149" spans="1:16" x14ac:dyDescent="0.25">
      <c r="A1149" t="s">
        <v>1170</v>
      </c>
      <c r="B1149" s="2">
        <v>44989</v>
      </c>
      <c r="C1149">
        <v>2023</v>
      </c>
      <c r="D1149" t="str">
        <f t="shared" si="34"/>
        <v>Mar</v>
      </c>
      <c r="E1149" t="s">
        <v>12</v>
      </c>
      <c r="F1149" t="s">
        <v>2027</v>
      </c>
      <c r="G1149" t="s">
        <v>22</v>
      </c>
      <c r="H1149" t="s">
        <v>23</v>
      </c>
      <c r="I1149">
        <v>7</v>
      </c>
      <c r="J1149" s="9">
        <v>9000</v>
      </c>
      <c r="K1149" s="7">
        <v>0.15000000000000002</v>
      </c>
      <c r="L1149" s="9">
        <v>7650</v>
      </c>
      <c r="M1149" s="10">
        <f>Sales_Data3[[#This Row],[Profit]]/Sales_Data3[[#This Row],[Sales]]</f>
        <v>0.85</v>
      </c>
      <c r="N1149" t="str">
        <f t="shared" si="35"/>
        <v>Medium</v>
      </c>
      <c r="O1149" s="2">
        <v>44989</v>
      </c>
      <c r="P1149" s="9">
        <v>9000</v>
      </c>
    </row>
    <row r="1150" spans="1:16" x14ac:dyDescent="0.25">
      <c r="A1150" t="s">
        <v>1171</v>
      </c>
      <c r="B1150" s="2">
        <v>44990</v>
      </c>
      <c r="C1150">
        <v>2023</v>
      </c>
      <c r="D1150" t="str">
        <f t="shared" si="34"/>
        <v>Mar</v>
      </c>
      <c r="E1150" t="s">
        <v>12</v>
      </c>
      <c r="F1150" t="s">
        <v>2028</v>
      </c>
      <c r="G1150" t="s">
        <v>19</v>
      </c>
      <c r="H1150" t="s">
        <v>23</v>
      </c>
      <c r="I1150">
        <v>5</v>
      </c>
      <c r="J1150" s="9">
        <v>10100</v>
      </c>
      <c r="K1150" s="7">
        <v>0.2</v>
      </c>
      <c r="L1150" s="9">
        <v>8080</v>
      </c>
      <c r="M1150" s="10">
        <f>Sales_Data3[[#This Row],[Profit]]/Sales_Data3[[#This Row],[Sales]]</f>
        <v>0.8</v>
      </c>
      <c r="N1150" t="str">
        <f t="shared" si="35"/>
        <v>High</v>
      </c>
      <c r="O1150" s="2">
        <v>44990</v>
      </c>
      <c r="P1150" s="9">
        <v>10100</v>
      </c>
    </row>
    <row r="1151" spans="1:16" x14ac:dyDescent="0.25">
      <c r="A1151" t="s">
        <v>1172</v>
      </c>
      <c r="B1151" s="2">
        <v>44991</v>
      </c>
      <c r="C1151">
        <v>2023</v>
      </c>
      <c r="D1151" t="str">
        <f t="shared" si="34"/>
        <v>Mar</v>
      </c>
      <c r="E1151" t="s">
        <v>12</v>
      </c>
      <c r="F1151" t="s">
        <v>2029</v>
      </c>
      <c r="G1151" t="s">
        <v>20</v>
      </c>
      <c r="H1151" t="s">
        <v>23</v>
      </c>
      <c r="I1151">
        <v>4</v>
      </c>
      <c r="J1151" s="9">
        <v>15000</v>
      </c>
      <c r="K1151" s="7">
        <v>0.25</v>
      </c>
      <c r="L1151" s="9">
        <v>11250</v>
      </c>
      <c r="M1151" s="10">
        <f>Sales_Data3[[#This Row],[Profit]]/Sales_Data3[[#This Row],[Sales]]</f>
        <v>0.75</v>
      </c>
      <c r="N1151" t="str">
        <f t="shared" si="35"/>
        <v>High</v>
      </c>
      <c r="O1151" s="2">
        <v>44991</v>
      </c>
      <c r="P1151" s="9">
        <v>15000</v>
      </c>
    </row>
    <row r="1152" spans="1:16" x14ac:dyDescent="0.25">
      <c r="A1152" t="s">
        <v>1173</v>
      </c>
      <c r="B1152" s="2">
        <v>44992</v>
      </c>
      <c r="C1152">
        <v>2023</v>
      </c>
      <c r="D1152" t="str">
        <f t="shared" si="34"/>
        <v>Mar</v>
      </c>
      <c r="E1152" t="s">
        <v>13</v>
      </c>
      <c r="F1152" t="s">
        <v>16</v>
      </c>
      <c r="G1152" t="s">
        <v>21</v>
      </c>
      <c r="H1152" t="s">
        <v>24</v>
      </c>
      <c r="I1152">
        <v>2</v>
      </c>
      <c r="J1152" s="9">
        <v>14500</v>
      </c>
      <c r="K1152" s="7">
        <v>0.05</v>
      </c>
      <c r="L1152" s="9">
        <v>13775</v>
      </c>
      <c r="M1152" s="10">
        <f>Sales_Data3[[#This Row],[Profit]]/Sales_Data3[[#This Row],[Sales]]</f>
        <v>0.95</v>
      </c>
      <c r="N1152" t="str">
        <f t="shared" si="35"/>
        <v>High</v>
      </c>
      <c r="O1152" s="2">
        <v>44992</v>
      </c>
      <c r="P1152" s="9">
        <v>14500</v>
      </c>
    </row>
    <row r="1153" spans="1:16" x14ac:dyDescent="0.25">
      <c r="A1153" t="s">
        <v>1174</v>
      </c>
      <c r="B1153" s="2">
        <v>44993</v>
      </c>
      <c r="C1153">
        <v>2023</v>
      </c>
      <c r="D1153" t="str">
        <f t="shared" si="34"/>
        <v>Mar</v>
      </c>
      <c r="E1153" t="s">
        <v>13</v>
      </c>
      <c r="F1153" t="s">
        <v>2030</v>
      </c>
      <c r="G1153" t="s">
        <v>22</v>
      </c>
      <c r="H1153" t="s">
        <v>24</v>
      </c>
      <c r="I1153">
        <v>2</v>
      </c>
      <c r="J1153" s="9">
        <v>5600</v>
      </c>
      <c r="K1153" s="7">
        <v>0.1</v>
      </c>
      <c r="L1153" s="9">
        <v>5040</v>
      </c>
      <c r="M1153" s="10">
        <f>Sales_Data3[[#This Row],[Profit]]/Sales_Data3[[#This Row],[Sales]]</f>
        <v>0.9</v>
      </c>
      <c r="N1153" t="str">
        <f t="shared" si="35"/>
        <v>Medium</v>
      </c>
      <c r="O1153" s="2">
        <v>44993</v>
      </c>
      <c r="P1153" s="9">
        <v>5600</v>
      </c>
    </row>
    <row r="1154" spans="1:16" x14ac:dyDescent="0.25">
      <c r="A1154" t="s">
        <v>1175</v>
      </c>
      <c r="B1154" s="2">
        <v>44994</v>
      </c>
      <c r="C1154">
        <v>2023</v>
      </c>
      <c r="D1154" t="str">
        <f t="shared" ref="D1154:D1217" si="36">TEXT(B1154,"MMM")</f>
        <v>Mar</v>
      </c>
      <c r="E1154" t="s">
        <v>13</v>
      </c>
      <c r="F1154" t="s">
        <v>2031</v>
      </c>
      <c r="G1154" t="s">
        <v>19</v>
      </c>
      <c r="H1154" t="s">
        <v>24</v>
      </c>
      <c r="I1154">
        <v>10</v>
      </c>
      <c r="J1154" s="9">
        <v>6800</v>
      </c>
      <c r="K1154" s="7">
        <v>0.15000000000000002</v>
      </c>
      <c r="L1154" s="9">
        <v>5780</v>
      </c>
      <c r="M1154" s="10">
        <f>Sales_Data3[[#This Row],[Profit]]/Sales_Data3[[#This Row],[Sales]]</f>
        <v>0.85</v>
      </c>
      <c r="N1154" t="str">
        <f t="shared" ref="N1154:N1217" si="37">IF(J1154&gt;10000,"High",IF(J1154&gt;5000,"Medium","Low"))</f>
        <v>Medium</v>
      </c>
      <c r="O1154" s="2">
        <v>44994</v>
      </c>
      <c r="P1154" s="9">
        <v>6800</v>
      </c>
    </row>
    <row r="1155" spans="1:16" x14ac:dyDescent="0.25">
      <c r="A1155" t="s">
        <v>1176</v>
      </c>
      <c r="B1155" s="2">
        <v>44995</v>
      </c>
      <c r="C1155">
        <v>2023</v>
      </c>
      <c r="D1155" t="str">
        <f t="shared" si="36"/>
        <v>Mar</v>
      </c>
      <c r="E1155" t="s">
        <v>13</v>
      </c>
      <c r="F1155" t="s">
        <v>2032</v>
      </c>
      <c r="G1155" t="s">
        <v>20</v>
      </c>
      <c r="H1155" t="s">
        <v>24</v>
      </c>
      <c r="I1155">
        <v>1</v>
      </c>
      <c r="J1155" s="9">
        <v>7500</v>
      </c>
      <c r="K1155" s="7">
        <v>0.2</v>
      </c>
      <c r="L1155" s="9">
        <v>6000</v>
      </c>
      <c r="M1155" s="10">
        <f>Sales_Data3[[#This Row],[Profit]]/Sales_Data3[[#This Row],[Sales]]</f>
        <v>0.8</v>
      </c>
      <c r="N1155" t="str">
        <f t="shared" si="37"/>
        <v>Medium</v>
      </c>
      <c r="O1155" s="2">
        <v>44995</v>
      </c>
      <c r="P1155" s="9">
        <v>7500</v>
      </c>
    </row>
    <row r="1156" spans="1:16" x14ac:dyDescent="0.25">
      <c r="A1156" t="s">
        <v>1177</v>
      </c>
      <c r="B1156" s="2">
        <v>44996</v>
      </c>
      <c r="C1156">
        <v>2023</v>
      </c>
      <c r="D1156" t="str">
        <f t="shared" si="36"/>
        <v>Mar</v>
      </c>
      <c r="E1156" t="s">
        <v>13</v>
      </c>
      <c r="F1156" t="s">
        <v>2033</v>
      </c>
      <c r="G1156" t="s">
        <v>21</v>
      </c>
      <c r="H1156" t="s">
        <v>24</v>
      </c>
      <c r="I1156">
        <v>6</v>
      </c>
      <c r="J1156" s="9">
        <v>4600</v>
      </c>
      <c r="K1156" s="7">
        <v>0.25</v>
      </c>
      <c r="L1156" s="9">
        <v>3450</v>
      </c>
      <c r="M1156" s="10">
        <f>Sales_Data3[[#This Row],[Profit]]/Sales_Data3[[#This Row],[Sales]]</f>
        <v>0.75</v>
      </c>
      <c r="N1156" t="str">
        <f t="shared" si="37"/>
        <v>Low</v>
      </c>
      <c r="O1156" s="2">
        <v>44996</v>
      </c>
      <c r="P1156" s="9">
        <v>4600</v>
      </c>
    </row>
    <row r="1157" spans="1:16" x14ac:dyDescent="0.25">
      <c r="A1157" t="s">
        <v>1178</v>
      </c>
      <c r="B1157" s="2">
        <v>44997</v>
      </c>
      <c r="C1157">
        <v>2023</v>
      </c>
      <c r="D1157" t="str">
        <f t="shared" si="36"/>
        <v>Mar</v>
      </c>
      <c r="E1157" t="s">
        <v>13</v>
      </c>
      <c r="F1157" t="s">
        <v>2034</v>
      </c>
      <c r="G1157" t="s">
        <v>22</v>
      </c>
      <c r="H1157" t="s">
        <v>24</v>
      </c>
      <c r="I1157">
        <v>9</v>
      </c>
      <c r="J1157" s="9">
        <v>4600</v>
      </c>
      <c r="K1157" s="7">
        <v>0.05</v>
      </c>
      <c r="L1157" s="9">
        <v>4370</v>
      </c>
      <c r="M1157" s="10">
        <f>Sales_Data3[[#This Row],[Profit]]/Sales_Data3[[#This Row],[Sales]]</f>
        <v>0.95</v>
      </c>
      <c r="N1157" t="str">
        <f t="shared" si="37"/>
        <v>Low</v>
      </c>
      <c r="O1157" s="2">
        <v>44997</v>
      </c>
      <c r="P1157" s="9">
        <v>4600</v>
      </c>
    </row>
    <row r="1158" spans="1:16" x14ac:dyDescent="0.25">
      <c r="A1158" t="s">
        <v>1179</v>
      </c>
      <c r="B1158" s="2">
        <v>44998</v>
      </c>
      <c r="C1158">
        <v>2023</v>
      </c>
      <c r="D1158" t="str">
        <f t="shared" si="36"/>
        <v>Mar</v>
      </c>
      <c r="E1158" t="s">
        <v>13</v>
      </c>
      <c r="F1158" t="s">
        <v>2035</v>
      </c>
      <c r="G1158" t="s">
        <v>19</v>
      </c>
      <c r="H1158" t="s">
        <v>24</v>
      </c>
      <c r="I1158">
        <v>9</v>
      </c>
      <c r="J1158" s="9">
        <v>13500</v>
      </c>
      <c r="K1158" s="7">
        <v>0.1</v>
      </c>
      <c r="L1158" s="9">
        <v>12150</v>
      </c>
      <c r="M1158" s="10">
        <f>Sales_Data3[[#This Row],[Profit]]/Sales_Data3[[#This Row],[Sales]]</f>
        <v>0.9</v>
      </c>
      <c r="N1158" t="str">
        <f t="shared" si="37"/>
        <v>High</v>
      </c>
      <c r="O1158" s="2">
        <v>44998</v>
      </c>
      <c r="P1158" s="9">
        <v>13500</v>
      </c>
    </row>
    <row r="1159" spans="1:16" x14ac:dyDescent="0.25">
      <c r="A1159" t="s">
        <v>1180</v>
      </c>
      <c r="B1159" s="2">
        <v>44999</v>
      </c>
      <c r="C1159">
        <v>2023</v>
      </c>
      <c r="D1159" t="str">
        <f t="shared" si="36"/>
        <v>Mar</v>
      </c>
      <c r="E1159" t="s">
        <v>13</v>
      </c>
      <c r="F1159" t="s">
        <v>2036</v>
      </c>
      <c r="G1159" t="s">
        <v>20</v>
      </c>
      <c r="H1159" t="s">
        <v>24</v>
      </c>
      <c r="I1159">
        <v>7</v>
      </c>
      <c r="J1159" s="9">
        <v>12900</v>
      </c>
      <c r="K1159" s="7">
        <v>0.15000000000000002</v>
      </c>
      <c r="L1159" s="9">
        <v>10965</v>
      </c>
      <c r="M1159" s="10">
        <f>Sales_Data3[[#This Row],[Profit]]/Sales_Data3[[#This Row],[Sales]]</f>
        <v>0.85</v>
      </c>
      <c r="N1159" t="str">
        <f t="shared" si="37"/>
        <v>High</v>
      </c>
      <c r="O1159" s="2">
        <v>44999</v>
      </c>
      <c r="P1159" s="9">
        <v>12900</v>
      </c>
    </row>
    <row r="1160" spans="1:16" x14ac:dyDescent="0.25">
      <c r="A1160" t="s">
        <v>1181</v>
      </c>
      <c r="B1160" s="2">
        <v>45000</v>
      </c>
      <c r="C1160">
        <v>2023</v>
      </c>
      <c r="D1160" t="str">
        <f t="shared" si="36"/>
        <v>Mar</v>
      </c>
      <c r="E1160" t="s">
        <v>13</v>
      </c>
      <c r="F1160" t="s">
        <v>2037</v>
      </c>
      <c r="G1160" t="s">
        <v>21</v>
      </c>
      <c r="H1160" t="s">
        <v>24</v>
      </c>
      <c r="I1160">
        <v>4</v>
      </c>
      <c r="J1160" s="9">
        <v>10300</v>
      </c>
      <c r="K1160" s="7">
        <v>0.2</v>
      </c>
      <c r="L1160" s="9">
        <v>8240</v>
      </c>
      <c r="M1160" s="10">
        <f>Sales_Data3[[#This Row],[Profit]]/Sales_Data3[[#This Row],[Sales]]</f>
        <v>0.8</v>
      </c>
      <c r="N1160" t="str">
        <f t="shared" si="37"/>
        <v>High</v>
      </c>
      <c r="O1160" s="2">
        <v>45000</v>
      </c>
      <c r="P1160" s="9">
        <v>10300</v>
      </c>
    </row>
    <row r="1161" spans="1:16" x14ac:dyDescent="0.25">
      <c r="A1161" t="s">
        <v>1182</v>
      </c>
      <c r="B1161" s="2">
        <v>45001</v>
      </c>
      <c r="C1161">
        <v>2023</v>
      </c>
      <c r="D1161" t="str">
        <f t="shared" si="36"/>
        <v>Mar</v>
      </c>
      <c r="E1161" t="s">
        <v>13</v>
      </c>
      <c r="F1161" t="s">
        <v>2038</v>
      </c>
      <c r="G1161" t="s">
        <v>22</v>
      </c>
      <c r="H1161" t="s">
        <v>24</v>
      </c>
      <c r="I1161">
        <v>3</v>
      </c>
      <c r="J1161" s="9">
        <v>13400</v>
      </c>
      <c r="K1161" s="7">
        <v>0.25</v>
      </c>
      <c r="L1161" s="9">
        <v>10050</v>
      </c>
      <c r="M1161" s="10">
        <f>Sales_Data3[[#This Row],[Profit]]/Sales_Data3[[#This Row],[Sales]]</f>
        <v>0.75</v>
      </c>
      <c r="N1161" t="str">
        <f t="shared" si="37"/>
        <v>High</v>
      </c>
      <c r="O1161" s="2">
        <v>45001</v>
      </c>
      <c r="P1161" s="9">
        <v>13400</v>
      </c>
    </row>
    <row r="1162" spans="1:16" x14ac:dyDescent="0.25">
      <c r="A1162" t="s">
        <v>1183</v>
      </c>
      <c r="B1162" s="2">
        <v>45002</v>
      </c>
      <c r="C1162">
        <v>2023</v>
      </c>
      <c r="D1162" t="str">
        <f t="shared" si="36"/>
        <v>Mar</v>
      </c>
      <c r="E1162" t="s">
        <v>14</v>
      </c>
      <c r="F1162" t="s">
        <v>2039</v>
      </c>
      <c r="G1162" t="s">
        <v>19</v>
      </c>
      <c r="H1162" t="s">
        <v>25</v>
      </c>
      <c r="I1162">
        <v>7</v>
      </c>
      <c r="J1162" s="9">
        <v>6600</v>
      </c>
      <c r="K1162" s="7">
        <v>0.05</v>
      </c>
      <c r="L1162" s="9">
        <v>6270</v>
      </c>
      <c r="M1162" s="10">
        <f>Sales_Data3[[#This Row],[Profit]]/Sales_Data3[[#This Row],[Sales]]</f>
        <v>0.95</v>
      </c>
      <c r="N1162" t="str">
        <f t="shared" si="37"/>
        <v>Medium</v>
      </c>
      <c r="O1162" s="2">
        <v>45002</v>
      </c>
      <c r="P1162" s="9">
        <v>6600</v>
      </c>
    </row>
    <row r="1163" spans="1:16" x14ac:dyDescent="0.25">
      <c r="A1163" t="s">
        <v>1184</v>
      </c>
      <c r="B1163" s="2">
        <v>45003</v>
      </c>
      <c r="C1163">
        <v>2023</v>
      </c>
      <c r="D1163" t="str">
        <f t="shared" si="36"/>
        <v>Mar</v>
      </c>
      <c r="E1163" t="s">
        <v>14</v>
      </c>
      <c r="F1163" t="s">
        <v>2040</v>
      </c>
      <c r="G1163" t="s">
        <v>20</v>
      </c>
      <c r="H1163" t="s">
        <v>25</v>
      </c>
      <c r="I1163">
        <v>7</v>
      </c>
      <c r="J1163" s="9">
        <v>14800</v>
      </c>
      <c r="K1163" s="7">
        <v>0.1</v>
      </c>
      <c r="L1163" s="9">
        <v>13320</v>
      </c>
      <c r="M1163" s="10">
        <f>Sales_Data3[[#This Row],[Profit]]/Sales_Data3[[#This Row],[Sales]]</f>
        <v>0.9</v>
      </c>
      <c r="N1163" t="str">
        <f t="shared" si="37"/>
        <v>High</v>
      </c>
      <c r="O1163" s="2">
        <v>45003</v>
      </c>
      <c r="P1163" s="9">
        <v>14800</v>
      </c>
    </row>
    <row r="1164" spans="1:16" x14ac:dyDescent="0.25">
      <c r="A1164" t="s">
        <v>1185</v>
      </c>
      <c r="B1164" s="2">
        <v>45004</v>
      </c>
      <c r="C1164">
        <v>2023</v>
      </c>
      <c r="D1164" t="str">
        <f t="shared" si="36"/>
        <v>Mar</v>
      </c>
      <c r="E1164" t="s">
        <v>14</v>
      </c>
      <c r="F1164" t="s">
        <v>2041</v>
      </c>
      <c r="G1164" t="s">
        <v>21</v>
      </c>
      <c r="H1164" t="s">
        <v>25</v>
      </c>
      <c r="I1164">
        <v>9</v>
      </c>
      <c r="J1164" s="9">
        <v>5500</v>
      </c>
      <c r="K1164" s="7">
        <v>0.15000000000000002</v>
      </c>
      <c r="L1164" s="9">
        <v>4675</v>
      </c>
      <c r="M1164" s="10">
        <f>Sales_Data3[[#This Row],[Profit]]/Sales_Data3[[#This Row],[Sales]]</f>
        <v>0.85</v>
      </c>
      <c r="N1164" t="str">
        <f t="shared" si="37"/>
        <v>Medium</v>
      </c>
      <c r="O1164" s="2">
        <v>45004</v>
      </c>
      <c r="P1164" s="9">
        <v>5500</v>
      </c>
    </row>
    <row r="1165" spans="1:16" x14ac:dyDescent="0.25">
      <c r="A1165" t="s">
        <v>1186</v>
      </c>
      <c r="B1165" s="2">
        <v>45005</v>
      </c>
      <c r="C1165">
        <v>2023</v>
      </c>
      <c r="D1165" t="str">
        <f t="shared" si="36"/>
        <v>Mar</v>
      </c>
      <c r="E1165" t="s">
        <v>14</v>
      </c>
      <c r="F1165" t="s">
        <v>2042</v>
      </c>
      <c r="G1165" t="s">
        <v>22</v>
      </c>
      <c r="H1165" t="s">
        <v>25</v>
      </c>
      <c r="I1165">
        <v>7</v>
      </c>
      <c r="J1165" s="9">
        <v>4300</v>
      </c>
      <c r="K1165" s="7">
        <v>0.2</v>
      </c>
      <c r="L1165" s="9">
        <v>3440</v>
      </c>
      <c r="M1165" s="10">
        <f>Sales_Data3[[#This Row],[Profit]]/Sales_Data3[[#This Row],[Sales]]</f>
        <v>0.8</v>
      </c>
      <c r="N1165" t="str">
        <f t="shared" si="37"/>
        <v>Low</v>
      </c>
      <c r="O1165" s="2">
        <v>45005</v>
      </c>
      <c r="P1165" s="9">
        <v>4300</v>
      </c>
    </row>
    <row r="1166" spans="1:16" x14ac:dyDescent="0.25">
      <c r="A1166" t="s">
        <v>1187</v>
      </c>
      <c r="B1166" s="2">
        <v>45006</v>
      </c>
      <c r="C1166">
        <v>2023</v>
      </c>
      <c r="D1166" t="str">
        <f t="shared" si="36"/>
        <v>Mar</v>
      </c>
      <c r="E1166" t="s">
        <v>14</v>
      </c>
      <c r="F1166" t="s">
        <v>2043</v>
      </c>
      <c r="G1166" t="s">
        <v>19</v>
      </c>
      <c r="H1166" t="s">
        <v>25</v>
      </c>
      <c r="I1166">
        <v>1</v>
      </c>
      <c r="J1166" s="9">
        <v>9300</v>
      </c>
      <c r="K1166" s="7">
        <v>0.25</v>
      </c>
      <c r="L1166" s="9">
        <v>6975</v>
      </c>
      <c r="M1166" s="10">
        <f>Sales_Data3[[#This Row],[Profit]]/Sales_Data3[[#This Row],[Sales]]</f>
        <v>0.75</v>
      </c>
      <c r="N1166" t="str">
        <f t="shared" si="37"/>
        <v>Medium</v>
      </c>
      <c r="O1166" s="2">
        <v>45006</v>
      </c>
      <c r="P1166" s="9">
        <v>9300</v>
      </c>
    </row>
    <row r="1167" spans="1:16" x14ac:dyDescent="0.25">
      <c r="A1167" t="s">
        <v>1188</v>
      </c>
      <c r="B1167" s="2">
        <v>45007</v>
      </c>
      <c r="C1167">
        <v>2023</v>
      </c>
      <c r="D1167" t="str">
        <f t="shared" si="36"/>
        <v>Mar</v>
      </c>
      <c r="E1167" t="s">
        <v>14</v>
      </c>
      <c r="F1167" t="s">
        <v>2044</v>
      </c>
      <c r="G1167" t="s">
        <v>20</v>
      </c>
      <c r="H1167" t="s">
        <v>25</v>
      </c>
      <c r="I1167">
        <v>2</v>
      </c>
      <c r="J1167" s="9">
        <v>14700</v>
      </c>
      <c r="K1167" s="7">
        <v>0.05</v>
      </c>
      <c r="L1167" s="9">
        <v>13965</v>
      </c>
      <c r="M1167" s="10">
        <f>Sales_Data3[[#This Row],[Profit]]/Sales_Data3[[#This Row],[Sales]]</f>
        <v>0.95</v>
      </c>
      <c r="N1167" t="str">
        <f t="shared" si="37"/>
        <v>High</v>
      </c>
      <c r="O1167" s="2">
        <v>45007</v>
      </c>
      <c r="P1167" s="9">
        <v>14700</v>
      </c>
    </row>
    <row r="1168" spans="1:16" x14ac:dyDescent="0.25">
      <c r="A1168" t="s">
        <v>1189</v>
      </c>
      <c r="B1168" s="2">
        <v>45008</v>
      </c>
      <c r="C1168">
        <v>2023</v>
      </c>
      <c r="D1168" t="str">
        <f t="shared" si="36"/>
        <v>Mar</v>
      </c>
      <c r="E1168" t="s">
        <v>14</v>
      </c>
      <c r="F1168" t="s">
        <v>2045</v>
      </c>
      <c r="G1168" t="s">
        <v>21</v>
      </c>
      <c r="H1168" t="s">
        <v>25</v>
      </c>
      <c r="I1168">
        <v>5</v>
      </c>
      <c r="J1168" s="9">
        <v>5200</v>
      </c>
      <c r="K1168" s="7">
        <v>0.1</v>
      </c>
      <c r="L1168" s="9">
        <v>4680</v>
      </c>
      <c r="M1168" s="10">
        <f>Sales_Data3[[#This Row],[Profit]]/Sales_Data3[[#This Row],[Sales]]</f>
        <v>0.9</v>
      </c>
      <c r="N1168" t="str">
        <f t="shared" si="37"/>
        <v>Medium</v>
      </c>
      <c r="O1168" s="2">
        <v>45008</v>
      </c>
      <c r="P1168" s="9">
        <v>5200</v>
      </c>
    </row>
    <row r="1169" spans="1:16" x14ac:dyDescent="0.25">
      <c r="A1169" t="s">
        <v>1190</v>
      </c>
      <c r="B1169" s="2">
        <v>45009</v>
      </c>
      <c r="C1169">
        <v>2023</v>
      </c>
      <c r="D1169" t="str">
        <f t="shared" si="36"/>
        <v>Mar</v>
      </c>
      <c r="E1169" t="s">
        <v>14</v>
      </c>
      <c r="F1169" t="s">
        <v>2046</v>
      </c>
      <c r="G1169" t="s">
        <v>22</v>
      </c>
      <c r="H1169" t="s">
        <v>25</v>
      </c>
      <c r="I1169">
        <v>9</v>
      </c>
      <c r="J1169" s="9">
        <v>8400</v>
      </c>
      <c r="K1169" s="7">
        <v>0.15000000000000002</v>
      </c>
      <c r="L1169" s="9">
        <v>7140</v>
      </c>
      <c r="M1169" s="10">
        <f>Sales_Data3[[#This Row],[Profit]]/Sales_Data3[[#This Row],[Sales]]</f>
        <v>0.85</v>
      </c>
      <c r="N1169" t="str">
        <f t="shared" si="37"/>
        <v>Medium</v>
      </c>
      <c r="O1169" s="2">
        <v>45009</v>
      </c>
      <c r="P1169" s="9">
        <v>8400</v>
      </c>
    </row>
    <row r="1170" spans="1:16" x14ac:dyDescent="0.25">
      <c r="A1170" t="s">
        <v>1191</v>
      </c>
      <c r="B1170" s="2">
        <v>45010</v>
      </c>
      <c r="C1170">
        <v>2023</v>
      </c>
      <c r="D1170" t="str">
        <f t="shared" si="36"/>
        <v>Mar</v>
      </c>
      <c r="E1170" t="s">
        <v>14</v>
      </c>
      <c r="F1170" t="s">
        <v>2047</v>
      </c>
      <c r="G1170" t="s">
        <v>19</v>
      </c>
      <c r="H1170" t="s">
        <v>25</v>
      </c>
      <c r="I1170">
        <v>10</v>
      </c>
      <c r="J1170" s="9">
        <v>7600</v>
      </c>
      <c r="K1170" s="7">
        <v>0.2</v>
      </c>
      <c r="L1170" s="9">
        <v>6080</v>
      </c>
      <c r="M1170" s="10">
        <f>Sales_Data3[[#This Row],[Profit]]/Sales_Data3[[#This Row],[Sales]]</f>
        <v>0.8</v>
      </c>
      <c r="N1170" t="str">
        <f t="shared" si="37"/>
        <v>Medium</v>
      </c>
      <c r="O1170" s="2">
        <v>45010</v>
      </c>
      <c r="P1170" s="9">
        <v>7600</v>
      </c>
    </row>
    <row r="1171" spans="1:16" x14ac:dyDescent="0.25">
      <c r="A1171" t="s">
        <v>1192</v>
      </c>
      <c r="B1171" s="2">
        <v>45011</v>
      </c>
      <c r="C1171">
        <v>2023</v>
      </c>
      <c r="D1171" t="str">
        <f t="shared" si="36"/>
        <v>Mar</v>
      </c>
      <c r="E1171" t="s">
        <v>14</v>
      </c>
      <c r="F1171" t="s">
        <v>2048</v>
      </c>
      <c r="G1171" t="s">
        <v>20</v>
      </c>
      <c r="H1171" t="s">
        <v>25</v>
      </c>
      <c r="I1171">
        <v>2</v>
      </c>
      <c r="J1171" s="9">
        <v>13400</v>
      </c>
      <c r="K1171" s="7">
        <v>0.25</v>
      </c>
      <c r="L1171" s="9">
        <v>10050</v>
      </c>
      <c r="M1171" s="10">
        <f>Sales_Data3[[#This Row],[Profit]]/Sales_Data3[[#This Row],[Sales]]</f>
        <v>0.75</v>
      </c>
      <c r="N1171" t="str">
        <f t="shared" si="37"/>
        <v>High</v>
      </c>
      <c r="O1171" s="2">
        <v>45011</v>
      </c>
      <c r="P1171" s="9">
        <v>13400</v>
      </c>
    </row>
    <row r="1172" spans="1:16" x14ac:dyDescent="0.25">
      <c r="A1172" t="s">
        <v>1193</v>
      </c>
      <c r="B1172" s="2">
        <v>45012</v>
      </c>
      <c r="C1172">
        <v>2023</v>
      </c>
      <c r="D1172" t="str">
        <f t="shared" si="36"/>
        <v>Mar</v>
      </c>
      <c r="E1172" t="s">
        <v>12</v>
      </c>
      <c r="F1172" t="s">
        <v>15</v>
      </c>
      <c r="G1172" t="s">
        <v>21</v>
      </c>
      <c r="H1172" t="s">
        <v>23</v>
      </c>
      <c r="I1172">
        <v>1</v>
      </c>
      <c r="J1172" s="9">
        <v>6800</v>
      </c>
      <c r="K1172" s="7">
        <v>0.05</v>
      </c>
      <c r="L1172" s="9">
        <v>6460</v>
      </c>
      <c r="M1172" s="10">
        <f>Sales_Data3[[#This Row],[Profit]]/Sales_Data3[[#This Row],[Sales]]</f>
        <v>0.95</v>
      </c>
      <c r="N1172" t="str">
        <f t="shared" si="37"/>
        <v>Medium</v>
      </c>
      <c r="O1172" s="2">
        <v>45012</v>
      </c>
      <c r="P1172" s="9">
        <v>6800</v>
      </c>
    </row>
    <row r="1173" spans="1:16" x14ac:dyDescent="0.25">
      <c r="A1173" t="s">
        <v>1194</v>
      </c>
      <c r="B1173" s="2">
        <v>45013</v>
      </c>
      <c r="C1173">
        <v>2023</v>
      </c>
      <c r="D1173" t="str">
        <f t="shared" si="36"/>
        <v>Mar</v>
      </c>
      <c r="E1173" t="s">
        <v>12</v>
      </c>
      <c r="F1173" t="s">
        <v>17</v>
      </c>
      <c r="G1173" t="s">
        <v>22</v>
      </c>
      <c r="H1173" t="s">
        <v>23</v>
      </c>
      <c r="I1173">
        <v>1</v>
      </c>
      <c r="J1173" s="9">
        <v>12100</v>
      </c>
      <c r="K1173" s="7">
        <v>0.1</v>
      </c>
      <c r="L1173" s="9">
        <v>10890</v>
      </c>
      <c r="M1173" s="10">
        <f>Sales_Data3[[#This Row],[Profit]]/Sales_Data3[[#This Row],[Sales]]</f>
        <v>0.9</v>
      </c>
      <c r="N1173" t="str">
        <f t="shared" si="37"/>
        <v>High</v>
      </c>
      <c r="O1173" s="2">
        <v>45013</v>
      </c>
      <c r="P1173" s="9">
        <v>12100</v>
      </c>
    </row>
    <row r="1174" spans="1:16" x14ac:dyDescent="0.25">
      <c r="A1174" t="s">
        <v>1195</v>
      </c>
      <c r="B1174" s="2">
        <v>45014</v>
      </c>
      <c r="C1174">
        <v>2023</v>
      </c>
      <c r="D1174" t="str">
        <f t="shared" si="36"/>
        <v>Mar</v>
      </c>
      <c r="E1174" t="s">
        <v>12</v>
      </c>
      <c r="F1174" t="s">
        <v>2023</v>
      </c>
      <c r="G1174" t="s">
        <v>19</v>
      </c>
      <c r="H1174" t="s">
        <v>23</v>
      </c>
      <c r="I1174">
        <v>3</v>
      </c>
      <c r="J1174" s="9">
        <v>11000</v>
      </c>
      <c r="K1174" s="7">
        <v>0.15000000000000002</v>
      </c>
      <c r="L1174" s="9">
        <v>9350</v>
      </c>
      <c r="M1174" s="10">
        <f>Sales_Data3[[#This Row],[Profit]]/Sales_Data3[[#This Row],[Sales]]</f>
        <v>0.85</v>
      </c>
      <c r="N1174" t="str">
        <f t="shared" si="37"/>
        <v>High</v>
      </c>
      <c r="O1174" s="2">
        <v>45014</v>
      </c>
      <c r="P1174" s="9">
        <v>11000</v>
      </c>
    </row>
    <row r="1175" spans="1:16" x14ac:dyDescent="0.25">
      <c r="A1175" t="s">
        <v>1196</v>
      </c>
      <c r="B1175" s="2">
        <v>45015</v>
      </c>
      <c r="C1175">
        <v>2023</v>
      </c>
      <c r="D1175" t="str">
        <f t="shared" si="36"/>
        <v>Mar</v>
      </c>
      <c r="E1175" t="s">
        <v>12</v>
      </c>
      <c r="F1175" t="s">
        <v>18</v>
      </c>
      <c r="G1175" t="s">
        <v>20</v>
      </c>
      <c r="H1175" t="s">
        <v>23</v>
      </c>
      <c r="I1175">
        <v>1</v>
      </c>
      <c r="J1175" s="9">
        <v>13100</v>
      </c>
      <c r="K1175" s="7">
        <v>0.2</v>
      </c>
      <c r="L1175" s="9">
        <v>10480</v>
      </c>
      <c r="M1175" s="10">
        <f>Sales_Data3[[#This Row],[Profit]]/Sales_Data3[[#This Row],[Sales]]</f>
        <v>0.8</v>
      </c>
      <c r="N1175" t="str">
        <f t="shared" si="37"/>
        <v>High</v>
      </c>
      <c r="O1175" s="2">
        <v>45015</v>
      </c>
      <c r="P1175" s="9">
        <v>13100</v>
      </c>
    </row>
    <row r="1176" spans="1:16" x14ac:dyDescent="0.25">
      <c r="A1176" t="s">
        <v>1197</v>
      </c>
      <c r="B1176" s="2">
        <v>45016</v>
      </c>
      <c r="C1176">
        <v>2023</v>
      </c>
      <c r="D1176" t="str">
        <f t="shared" si="36"/>
        <v>Mar</v>
      </c>
      <c r="E1176" t="s">
        <v>12</v>
      </c>
      <c r="F1176" t="s">
        <v>2024</v>
      </c>
      <c r="G1176" t="s">
        <v>21</v>
      </c>
      <c r="H1176" t="s">
        <v>23</v>
      </c>
      <c r="I1176">
        <v>5</v>
      </c>
      <c r="J1176" s="9">
        <v>11100</v>
      </c>
      <c r="K1176" s="7">
        <v>0.25</v>
      </c>
      <c r="L1176" s="9">
        <v>8325</v>
      </c>
      <c r="M1176" s="10">
        <f>Sales_Data3[[#This Row],[Profit]]/Sales_Data3[[#This Row],[Sales]]</f>
        <v>0.75</v>
      </c>
      <c r="N1176" t="str">
        <f t="shared" si="37"/>
        <v>High</v>
      </c>
      <c r="O1176" s="2">
        <v>45016</v>
      </c>
      <c r="P1176" s="9">
        <v>11100</v>
      </c>
    </row>
    <row r="1177" spans="1:16" x14ac:dyDescent="0.25">
      <c r="A1177" t="s">
        <v>1198</v>
      </c>
      <c r="B1177" s="2">
        <v>45017</v>
      </c>
      <c r="C1177">
        <v>2023</v>
      </c>
      <c r="D1177" t="str">
        <f t="shared" si="36"/>
        <v>Apr</v>
      </c>
      <c r="E1177" t="s">
        <v>12</v>
      </c>
      <c r="F1177" t="s">
        <v>2025</v>
      </c>
      <c r="G1177" t="s">
        <v>22</v>
      </c>
      <c r="H1177" t="s">
        <v>23</v>
      </c>
      <c r="I1177">
        <v>10</v>
      </c>
      <c r="J1177" s="9">
        <v>6800</v>
      </c>
      <c r="K1177" s="7">
        <v>0.05</v>
      </c>
      <c r="L1177" s="9">
        <v>6460</v>
      </c>
      <c r="M1177" s="10">
        <f>Sales_Data3[[#This Row],[Profit]]/Sales_Data3[[#This Row],[Sales]]</f>
        <v>0.95</v>
      </c>
      <c r="N1177" t="str">
        <f t="shared" si="37"/>
        <v>Medium</v>
      </c>
      <c r="O1177" s="2">
        <v>45017</v>
      </c>
      <c r="P1177" s="9">
        <v>6800</v>
      </c>
    </row>
    <row r="1178" spans="1:16" x14ac:dyDescent="0.25">
      <c r="A1178" t="s">
        <v>1199</v>
      </c>
      <c r="B1178" s="2">
        <v>45018</v>
      </c>
      <c r="C1178">
        <v>2023</v>
      </c>
      <c r="D1178" t="str">
        <f t="shared" si="36"/>
        <v>Apr</v>
      </c>
      <c r="E1178" t="s">
        <v>12</v>
      </c>
      <c r="F1178" t="s">
        <v>2026</v>
      </c>
      <c r="G1178" t="s">
        <v>19</v>
      </c>
      <c r="H1178" t="s">
        <v>23</v>
      </c>
      <c r="I1178">
        <v>7</v>
      </c>
      <c r="J1178" s="9">
        <v>6200</v>
      </c>
      <c r="K1178" s="7">
        <v>0.1</v>
      </c>
      <c r="L1178" s="9">
        <v>5580</v>
      </c>
      <c r="M1178" s="10">
        <f>Sales_Data3[[#This Row],[Profit]]/Sales_Data3[[#This Row],[Sales]]</f>
        <v>0.9</v>
      </c>
      <c r="N1178" t="str">
        <f t="shared" si="37"/>
        <v>Medium</v>
      </c>
      <c r="O1178" s="2">
        <v>45018</v>
      </c>
      <c r="P1178" s="9">
        <v>6200</v>
      </c>
    </row>
    <row r="1179" spans="1:16" x14ac:dyDescent="0.25">
      <c r="A1179" t="s">
        <v>1200</v>
      </c>
      <c r="B1179" s="2">
        <v>45019</v>
      </c>
      <c r="C1179">
        <v>2023</v>
      </c>
      <c r="D1179" t="str">
        <f t="shared" si="36"/>
        <v>Apr</v>
      </c>
      <c r="E1179" t="s">
        <v>12</v>
      </c>
      <c r="F1179" t="s">
        <v>2027</v>
      </c>
      <c r="G1179" t="s">
        <v>20</v>
      </c>
      <c r="H1179" t="s">
        <v>23</v>
      </c>
      <c r="I1179">
        <v>8</v>
      </c>
      <c r="J1179" s="9">
        <v>11400</v>
      </c>
      <c r="K1179" s="7">
        <v>0.15000000000000002</v>
      </c>
      <c r="L1179" s="9">
        <v>9690</v>
      </c>
      <c r="M1179" s="10">
        <f>Sales_Data3[[#This Row],[Profit]]/Sales_Data3[[#This Row],[Sales]]</f>
        <v>0.85</v>
      </c>
      <c r="N1179" t="str">
        <f t="shared" si="37"/>
        <v>High</v>
      </c>
      <c r="O1179" s="2">
        <v>45019</v>
      </c>
      <c r="P1179" s="9">
        <v>11400</v>
      </c>
    </row>
    <row r="1180" spans="1:16" x14ac:dyDescent="0.25">
      <c r="A1180" t="s">
        <v>1201</v>
      </c>
      <c r="B1180" s="2">
        <v>45020</v>
      </c>
      <c r="C1180">
        <v>2023</v>
      </c>
      <c r="D1180" t="str">
        <f t="shared" si="36"/>
        <v>Apr</v>
      </c>
      <c r="E1180" t="s">
        <v>12</v>
      </c>
      <c r="F1180" t="s">
        <v>2028</v>
      </c>
      <c r="G1180" t="s">
        <v>21</v>
      </c>
      <c r="H1180" t="s">
        <v>23</v>
      </c>
      <c r="I1180">
        <v>10</v>
      </c>
      <c r="J1180" s="9">
        <v>14400</v>
      </c>
      <c r="K1180" s="7">
        <v>0.2</v>
      </c>
      <c r="L1180" s="9">
        <v>11520</v>
      </c>
      <c r="M1180" s="10">
        <f>Sales_Data3[[#This Row],[Profit]]/Sales_Data3[[#This Row],[Sales]]</f>
        <v>0.8</v>
      </c>
      <c r="N1180" t="str">
        <f t="shared" si="37"/>
        <v>High</v>
      </c>
      <c r="O1180" s="2">
        <v>45020</v>
      </c>
      <c r="P1180" s="9">
        <v>14400</v>
      </c>
    </row>
    <row r="1181" spans="1:16" x14ac:dyDescent="0.25">
      <c r="A1181" t="s">
        <v>1202</v>
      </c>
      <c r="B1181" s="2">
        <v>45021</v>
      </c>
      <c r="C1181">
        <v>2023</v>
      </c>
      <c r="D1181" t="str">
        <f t="shared" si="36"/>
        <v>Apr</v>
      </c>
      <c r="E1181" t="s">
        <v>12</v>
      </c>
      <c r="F1181" t="s">
        <v>2029</v>
      </c>
      <c r="G1181" t="s">
        <v>22</v>
      </c>
      <c r="H1181" t="s">
        <v>23</v>
      </c>
      <c r="I1181">
        <v>6</v>
      </c>
      <c r="J1181" s="9">
        <v>14900</v>
      </c>
      <c r="K1181" s="7">
        <v>0.25</v>
      </c>
      <c r="L1181" s="9">
        <v>11175</v>
      </c>
      <c r="M1181" s="10">
        <f>Sales_Data3[[#This Row],[Profit]]/Sales_Data3[[#This Row],[Sales]]</f>
        <v>0.75</v>
      </c>
      <c r="N1181" t="str">
        <f t="shared" si="37"/>
        <v>High</v>
      </c>
      <c r="O1181" s="2">
        <v>45021</v>
      </c>
      <c r="P1181" s="9">
        <v>14900</v>
      </c>
    </row>
    <row r="1182" spans="1:16" x14ac:dyDescent="0.25">
      <c r="A1182" t="s">
        <v>1203</v>
      </c>
      <c r="B1182" s="2">
        <v>45022</v>
      </c>
      <c r="C1182">
        <v>2023</v>
      </c>
      <c r="D1182" t="str">
        <f t="shared" si="36"/>
        <v>Apr</v>
      </c>
      <c r="E1182" t="s">
        <v>13</v>
      </c>
      <c r="F1182" t="s">
        <v>16</v>
      </c>
      <c r="G1182" t="s">
        <v>19</v>
      </c>
      <c r="H1182" t="s">
        <v>24</v>
      </c>
      <c r="I1182">
        <v>1</v>
      </c>
      <c r="J1182" s="9">
        <v>14300</v>
      </c>
      <c r="K1182" s="7">
        <v>0.05</v>
      </c>
      <c r="L1182" s="9">
        <v>13585</v>
      </c>
      <c r="M1182" s="10">
        <f>Sales_Data3[[#This Row],[Profit]]/Sales_Data3[[#This Row],[Sales]]</f>
        <v>0.95</v>
      </c>
      <c r="N1182" t="str">
        <f t="shared" si="37"/>
        <v>High</v>
      </c>
      <c r="O1182" s="2">
        <v>45022</v>
      </c>
      <c r="P1182" s="9">
        <v>14300</v>
      </c>
    </row>
    <row r="1183" spans="1:16" x14ac:dyDescent="0.25">
      <c r="A1183" t="s">
        <v>1204</v>
      </c>
      <c r="B1183" s="2">
        <v>45023</v>
      </c>
      <c r="C1183">
        <v>2023</v>
      </c>
      <c r="D1183" t="str">
        <f t="shared" si="36"/>
        <v>Apr</v>
      </c>
      <c r="E1183" t="s">
        <v>13</v>
      </c>
      <c r="F1183" t="s">
        <v>2030</v>
      </c>
      <c r="G1183" t="s">
        <v>20</v>
      </c>
      <c r="H1183" t="s">
        <v>24</v>
      </c>
      <c r="I1183">
        <v>4</v>
      </c>
      <c r="J1183" s="9">
        <v>11900</v>
      </c>
      <c r="K1183" s="7">
        <v>0.1</v>
      </c>
      <c r="L1183" s="9">
        <v>10710</v>
      </c>
      <c r="M1183" s="10">
        <f>Sales_Data3[[#This Row],[Profit]]/Sales_Data3[[#This Row],[Sales]]</f>
        <v>0.9</v>
      </c>
      <c r="N1183" t="str">
        <f t="shared" si="37"/>
        <v>High</v>
      </c>
      <c r="O1183" s="2">
        <v>45023</v>
      </c>
      <c r="P1183" s="9">
        <v>11900</v>
      </c>
    </row>
    <row r="1184" spans="1:16" x14ac:dyDescent="0.25">
      <c r="A1184" t="s">
        <v>1205</v>
      </c>
      <c r="B1184" s="2">
        <v>45024</v>
      </c>
      <c r="C1184">
        <v>2023</v>
      </c>
      <c r="D1184" t="str">
        <f t="shared" si="36"/>
        <v>Apr</v>
      </c>
      <c r="E1184" t="s">
        <v>13</v>
      </c>
      <c r="F1184" t="s">
        <v>2031</v>
      </c>
      <c r="G1184" t="s">
        <v>21</v>
      </c>
      <c r="H1184" t="s">
        <v>24</v>
      </c>
      <c r="I1184">
        <v>7</v>
      </c>
      <c r="J1184" s="9">
        <v>5000</v>
      </c>
      <c r="K1184" s="7">
        <v>0.15000000000000002</v>
      </c>
      <c r="L1184" s="9">
        <v>4250</v>
      </c>
      <c r="M1184" s="10">
        <f>Sales_Data3[[#This Row],[Profit]]/Sales_Data3[[#This Row],[Sales]]</f>
        <v>0.85</v>
      </c>
      <c r="N1184" t="str">
        <f t="shared" si="37"/>
        <v>Low</v>
      </c>
      <c r="O1184" s="2">
        <v>45024</v>
      </c>
      <c r="P1184" s="9">
        <v>5000</v>
      </c>
    </row>
    <row r="1185" spans="1:16" x14ac:dyDescent="0.25">
      <c r="A1185" t="s">
        <v>1206</v>
      </c>
      <c r="B1185" s="2">
        <v>45025</v>
      </c>
      <c r="C1185">
        <v>2023</v>
      </c>
      <c r="D1185" t="str">
        <f t="shared" si="36"/>
        <v>Apr</v>
      </c>
      <c r="E1185" t="s">
        <v>13</v>
      </c>
      <c r="F1185" t="s">
        <v>2032</v>
      </c>
      <c r="G1185" t="s">
        <v>22</v>
      </c>
      <c r="H1185" t="s">
        <v>24</v>
      </c>
      <c r="I1185">
        <v>10</v>
      </c>
      <c r="J1185" s="9">
        <v>9200</v>
      </c>
      <c r="K1185" s="7">
        <v>0.2</v>
      </c>
      <c r="L1185" s="9">
        <v>7360</v>
      </c>
      <c r="M1185" s="10">
        <f>Sales_Data3[[#This Row],[Profit]]/Sales_Data3[[#This Row],[Sales]]</f>
        <v>0.8</v>
      </c>
      <c r="N1185" t="str">
        <f t="shared" si="37"/>
        <v>Medium</v>
      </c>
      <c r="O1185" s="2">
        <v>45025</v>
      </c>
      <c r="P1185" s="9">
        <v>9200</v>
      </c>
    </row>
    <row r="1186" spans="1:16" x14ac:dyDescent="0.25">
      <c r="A1186" t="s">
        <v>1207</v>
      </c>
      <c r="B1186" s="2">
        <v>45026</v>
      </c>
      <c r="C1186">
        <v>2023</v>
      </c>
      <c r="D1186" t="str">
        <f t="shared" si="36"/>
        <v>Apr</v>
      </c>
      <c r="E1186" t="s">
        <v>13</v>
      </c>
      <c r="F1186" t="s">
        <v>2033</v>
      </c>
      <c r="G1186" t="s">
        <v>19</v>
      </c>
      <c r="H1186" t="s">
        <v>24</v>
      </c>
      <c r="I1186">
        <v>6</v>
      </c>
      <c r="J1186" s="9">
        <v>7100</v>
      </c>
      <c r="K1186" s="7">
        <v>0.25</v>
      </c>
      <c r="L1186" s="9">
        <v>5325</v>
      </c>
      <c r="M1186" s="10">
        <f>Sales_Data3[[#This Row],[Profit]]/Sales_Data3[[#This Row],[Sales]]</f>
        <v>0.75</v>
      </c>
      <c r="N1186" t="str">
        <f t="shared" si="37"/>
        <v>Medium</v>
      </c>
      <c r="O1186" s="2">
        <v>45026</v>
      </c>
      <c r="P1186" s="9">
        <v>7100</v>
      </c>
    </row>
    <row r="1187" spans="1:16" x14ac:dyDescent="0.25">
      <c r="A1187" t="s">
        <v>1208</v>
      </c>
      <c r="B1187" s="2">
        <v>45027</v>
      </c>
      <c r="C1187">
        <v>2023</v>
      </c>
      <c r="D1187" t="str">
        <f t="shared" si="36"/>
        <v>Apr</v>
      </c>
      <c r="E1187" t="s">
        <v>13</v>
      </c>
      <c r="F1187" t="s">
        <v>2034</v>
      </c>
      <c r="G1187" t="s">
        <v>20</v>
      </c>
      <c r="H1187" t="s">
        <v>24</v>
      </c>
      <c r="I1187">
        <v>2</v>
      </c>
      <c r="J1187" s="9">
        <v>12700</v>
      </c>
      <c r="K1187" s="7">
        <v>0.05</v>
      </c>
      <c r="L1187" s="9">
        <v>12065</v>
      </c>
      <c r="M1187" s="10">
        <f>Sales_Data3[[#This Row],[Profit]]/Sales_Data3[[#This Row],[Sales]]</f>
        <v>0.95</v>
      </c>
      <c r="N1187" t="str">
        <f t="shared" si="37"/>
        <v>High</v>
      </c>
      <c r="O1187" s="2">
        <v>45027</v>
      </c>
      <c r="P1187" s="9">
        <v>12700</v>
      </c>
    </row>
    <row r="1188" spans="1:16" x14ac:dyDescent="0.25">
      <c r="A1188" t="s">
        <v>1209</v>
      </c>
      <c r="B1188" s="2">
        <v>45028</v>
      </c>
      <c r="C1188">
        <v>2023</v>
      </c>
      <c r="D1188" t="str">
        <f t="shared" si="36"/>
        <v>Apr</v>
      </c>
      <c r="E1188" t="s">
        <v>13</v>
      </c>
      <c r="F1188" t="s">
        <v>2035</v>
      </c>
      <c r="G1188" t="s">
        <v>21</v>
      </c>
      <c r="H1188" t="s">
        <v>24</v>
      </c>
      <c r="I1188">
        <v>1</v>
      </c>
      <c r="J1188" s="9">
        <v>13000</v>
      </c>
      <c r="K1188" s="7">
        <v>0.1</v>
      </c>
      <c r="L1188" s="9">
        <v>11700</v>
      </c>
      <c r="M1188" s="10">
        <f>Sales_Data3[[#This Row],[Profit]]/Sales_Data3[[#This Row],[Sales]]</f>
        <v>0.9</v>
      </c>
      <c r="N1188" t="str">
        <f t="shared" si="37"/>
        <v>High</v>
      </c>
      <c r="O1188" s="2">
        <v>45028</v>
      </c>
      <c r="P1188" s="9">
        <v>13000</v>
      </c>
    </row>
    <row r="1189" spans="1:16" x14ac:dyDescent="0.25">
      <c r="A1189" t="s">
        <v>1210</v>
      </c>
      <c r="B1189" s="2">
        <v>45029</v>
      </c>
      <c r="C1189">
        <v>2023</v>
      </c>
      <c r="D1189" t="str">
        <f t="shared" si="36"/>
        <v>Apr</v>
      </c>
      <c r="E1189" t="s">
        <v>13</v>
      </c>
      <c r="F1189" t="s">
        <v>2036</v>
      </c>
      <c r="G1189" t="s">
        <v>22</v>
      </c>
      <c r="H1189" t="s">
        <v>24</v>
      </c>
      <c r="I1189">
        <v>8</v>
      </c>
      <c r="J1189" s="9">
        <v>5900</v>
      </c>
      <c r="K1189" s="7">
        <v>0.15000000000000002</v>
      </c>
      <c r="L1189" s="9">
        <v>5015</v>
      </c>
      <c r="M1189" s="10">
        <f>Sales_Data3[[#This Row],[Profit]]/Sales_Data3[[#This Row],[Sales]]</f>
        <v>0.85</v>
      </c>
      <c r="N1189" t="str">
        <f t="shared" si="37"/>
        <v>Medium</v>
      </c>
      <c r="O1189" s="2">
        <v>45029</v>
      </c>
      <c r="P1189" s="9">
        <v>5900</v>
      </c>
    </row>
    <row r="1190" spans="1:16" x14ac:dyDescent="0.25">
      <c r="A1190" t="s">
        <v>1211</v>
      </c>
      <c r="B1190" s="2">
        <v>45030</v>
      </c>
      <c r="C1190">
        <v>2023</v>
      </c>
      <c r="D1190" t="str">
        <f t="shared" si="36"/>
        <v>Apr</v>
      </c>
      <c r="E1190" t="s">
        <v>13</v>
      </c>
      <c r="F1190" t="s">
        <v>2037</v>
      </c>
      <c r="G1190" t="s">
        <v>19</v>
      </c>
      <c r="H1190" t="s">
        <v>24</v>
      </c>
      <c r="I1190">
        <v>5</v>
      </c>
      <c r="J1190" s="9">
        <v>6000</v>
      </c>
      <c r="K1190" s="7">
        <v>0.2</v>
      </c>
      <c r="L1190" s="9">
        <v>4800</v>
      </c>
      <c r="M1190" s="10">
        <f>Sales_Data3[[#This Row],[Profit]]/Sales_Data3[[#This Row],[Sales]]</f>
        <v>0.8</v>
      </c>
      <c r="N1190" t="str">
        <f t="shared" si="37"/>
        <v>Medium</v>
      </c>
      <c r="O1190" s="2">
        <v>45030</v>
      </c>
      <c r="P1190" s="9">
        <v>6000</v>
      </c>
    </row>
    <row r="1191" spans="1:16" x14ac:dyDescent="0.25">
      <c r="A1191" t="s">
        <v>1212</v>
      </c>
      <c r="B1191" s="2">
        <v>45031</v>
      </c>
      <c r="C1191">
        <v>2023</v>
      </c>
      <c r="D1191" t="str">
        <f t="shared" si="36"/>
        <v>Apr</v>
      </c>
      <c r="E1191" t="s">
        <v>13</v>
      </c>
      <c r="F1191" t="s">
        <v>2038</v>
      </c>
      <c r="G1191" t="s">
        <v>20</v>
      </c>
      <c r="H1191" t="s">
        <v>24</v>
      </c>
      <c r="I1191">
        <v>8</v>
      </c>
      <c r="J1191" s="9">
        <v>13900</v>
      </c>
      <c r="K1191" s="7">
        <v>0.25</v>
      </c>
      <c r="L1191" s="9">
        <v>10425</v>
      </c>
      <c r="M1191" s="10">
        <f>Sales_Data3[[#This Row],[Profit]]/Sales_Data3[[#This Row],[Sales]]</f>
        <v>0.75</v>
      </c>
      <c r="N1191" t="str">
        <f t="shared" si="37"/>
        <v>High</v>
      </c>
      <c r="O1191" s="2">
        <v>45031</v>
      </c>
      <c r="P1191" s="9">
        <v>13900</v>
      </c>
    </row>
    <row r="1192" spans="1:16" x14ac:dyDescent="0.25">
      <c r="A1192" t="s">
        <v>1213</v>
      </c>
      <c r="B1192" s="2">
        <v>45032</v>
      </c>
      <c r="C1192">
        <v>2023</v>
      </c>
      <c r="D1192" t="str">
        <f t="shared" si="36"/>
        <v>Apr</v>
      </c>
      <c r="E1192" t="s">
        <v>14</v>
      </c>
      <c r="F1192" t="s">
        <v>2039</v>
      </c>
      <c r="G1192" t="s">
        <v>21</v>
      </c>
      <c r="H1192" t="s">
        <v>25</v>
      </c>
      <c r="I1192">
        <v>6</v>
      </c>
      <c r="J1192" s="9">
        <v>4000</v>
      </c>
      <c r="K1192" s="7">
        <v>0.05</v>
      </c>
      <c r="L1192" s="9">
        <v>3800</v>
      </c>
      <c r="M1192" s="10">
        <f>Sales_Data3[[#This Row],[Profit]]/Sales_Data3[[#This Row],[Sales]]</f>
        <v>0.95</v>
      </c>
      <c r="N1192" t="str">
        <f t="shared" si="37"/>
        <v>Low</v>
      </c>
      <c r="O1192" s="2">
        <v>45032</v>
      </c>
      <c r="P1192" s="9">
        <v>4000</v>
      </c>
    </row>
    <row r="1193" spans="1:16" x14ac:dyDescent="0.25">
      <c r="A1193" t="s">
        <v>1214</v>
      </c>
      <c r="B1193" s="2">
        <v>45033</v>
      </c>
      <c r="C1193">
        <v>2023</v>
      </c>
      <c r="D1193" t="str">
        <f t="shared" si="36"/>
        <v>Apr</v>
      </c>
      <c r="E1193" t="s">
        <v>14</v>
      </c>
      <c r="F1193" t="s">
        <v>2040</v>
      </c>
      <c r="G1193" t="s">
        <v>22</v>
      </c>
      <c r="H1193" t="s">
        <v>25</v>
      </c>
      <c r="I1193">
        <v>9</v>
      </c>
      <c r="J1193" s="9">
        <v>6100</v>
      </c>
      <c r="K1193" s="7">
        <v>0.1</v>
      </c>
      <c r="L1193" s="9">
        <v>5490</v>
      </c>
      <c r="M1193" s="10">
        <f>Sales_Data3[[#This Row],[Profit]]/Sales_Data3[[#This Row],[Sales]]</f>
        <v>0.9</v>
      </c>
      <c r="N1193" t="str">
        <f t="shared" si="37"/>
        <v>Medium</v>
      </c>
      <c r="O1193" s="2">
        <v>45033</v>
      </c>
      <c r="P1193" s="9">
        <v>6100</v>
      </c>
    </row>
    <row r="1194" spans="1:16" x14ac:dyDescent="0.25">
      <c r="A1194" t="s">
        <v>1215</v>
      </c>
      <c r="B1194" s="2">
        <v>45034</v>
      </c>
      <c r="C1194">
        <v>2023</v>
      </c>
      <c r="D1194" t="str">
        <f t="shared" si="36"/>
        <v>Apr</v>
      </c>
      <c r="E1194" t="s">
        <v>14</v>
      </c>
      <c r="F1194" t="s">
        <v>2041</v>
      </c>
      <c r="G1194" t="s">
        <v>19</v>
      </c>
      <c r="H1194" t="s">
        <v>25</v>
      </c>
      <c r="I1194">
        <v>2</v>
      </c>
      <c r="J1194" s="9">
        <v>6200</v>
      </c>
      <c r="K1194" s="7">
        <v>0.15000000000000002</v>
      </c>
      <c r="L1194" s="9">
        <v>5270</v>
      </c>
      <c r="M1194" s="10">
        <f>Sales_Data3[[#This Row],[Profit]]/Sales_Data3[[#This Row],[Sales]]</f>
        <v>0.85</v>
      </c>
      <c r="N1194" t="str">
        <f t="shared" si="37"/>
        <v>Medium</v>
      </c>
      <c r="O1194" s="2">
        <v>45034</v>
      </c>
      <c r="P1194" s="9">
        <v>6200</v>
      </c>
    </row>
    <row r="1195" spans="1:16" x14ac:dyDescent="0.25">
      <c r="A1195" t="s">
        <v>1216</v>
      </c>
      <c r="B1195" s="2">
        <v>45035</v>
      </c>
      <c r="C1195">
        <v>2023</v>
      </c>
      <c r="D1195" t="str">
        <f t="shared" si="36"/>
        <v>Apr</v>
      </c>
      <c r="E1195" t="s">
        <v>14</v>
      </c>
      <c r="F1195" t="s">
        <v>2042</v>
      </c>
      <c r="G1195" t="s">
        <v>20</v>
      </c>
      <c r="H1195" t="s">
        <v>25</v>
      </c>
      <c r="I1195">
        <v>7</v>
      </c>
      <c r="J1195" s="9">
        <v>8900</v>
      </c>
      <c r="K1195" s="7">
        <v>0.2</v>
      </c>
      <c r="L1195" s="9">
        <v>7120</v>
      </c>
      <c r="M1195" s="10">
        <f>Sales_Data3[[#This Row],[Profit]]/Sales_Data3[[#This Row],[Sales]]</f>
        <v>0.8</v>
      </c>
      <c r="N1195" t="str">
        <f t="shared" si="37"/>
        <v>Medium</v>
      </c>
      <c r="O1195" s="2">
        <v>45035</v>
      </c>
      <c r="P1195" s="9">
        <v>8900</v>
      </c>
    </row>
    <row r="1196" spans="1:16" x14ac:dyDescent="0.25">
      <c r="A1196" t="s">
        <v>1217</v>
      </c>
      <c r="B1196" s="2">
        <v>45036</v>
      </c>
      <c r="C1196">
        <v>2023</v>
      </c>
      <c r="D1196" t="str">
        <f t="shared" si="36"/>
        <v>Apr</v>
      </c>
      <c r="E1196" t="s">
        <v>14</v>
      </c>
      <c r="F1196" t="s">
        <v>2043</v>
      </c>
      <c r="G1196" t="s">
        <v>21</v>
      </c>
      <c r="H1196" t="s">
        <v>25</v>
      </c>
      <c r="I1196">
        <v>6</v>
      </c>
      <c r="J1196" s="9">
        <v>8100</v>
      </c>
      <c r="K1196" s="7">
        <v>0.25</v>
      </c>
      <c r="L1196" s="9">
        <v>6075</v>
      </c>
      <c r="M1196" s="10">
        <f>Sales_Data3[[#This Row],[Profit]]/Sales_Data3[[#This Row],[Sales]]</f>
        <v>0.75</v>
      </c>
      <c r="N1196" t="str">
        <f t="shared" si="37"/>
        <v>Medium</v>
      </c>
      <c r="O1196" s="2">
        <v>45036</v>
      </c>
      <c r="P1196" s="9">
        <v>8100</v>
      </c>
    </row>
    <row r="1197" spans="1:16" x14ac:dyDescent="0.25">
      <c r="A1197" t="s">
        <v>1218</v>
      </c>
      <c r="B1197" s="2">
        <v>45037</v>
      </c>
      <c r="C1197">
        <v>2023</v>
      </c>
      <c r="D1197" t="str">
        <f t="shared" si="36"/>
        <v>Apr</v>
      </c>
      <c r="E1197" t="s">
        <v>14</v>
      </c>
      <c r="F1197" t="s">
        <v>2044</v>
      </c>
      <c r="G1197" t="s">
        <v>22</v>
      </c>
      <c r="H1197" t="s">
        <v>25</v>
      </c>
      <c r="I1197">
        <v>2</v>
      </c>
      <c r="J1197" s="9">
        <v>14600</v>
      </c>
      <c r="K1197" s="7">
        <v>0.05</v>
      </c>
      <c r="L1197" s="9">
        <v>13870</v>
      </c>
      <c r="M1197" s="10">
        <f>Sales_Data3[[#This Row],[Profit]]/Sales_Data3[[#This Row],[Sales]]</f>
        <v>0.95</v>
      </c>
      <c r="N1197" t="str">
        <f t="shared" si="37"/>
        <v>High</v>
      </c>
      <c r="O1197" s="2">
        <v>45037</v>
      </c>
      <c r="P1197" s="9">
        <v>14600</v>
      </c>
    </row>
    <row r="1198" spans="1:16" x14ac:dyDescent="0.25">
      <c r="A1198" t="s">
        <v>1219</v>
      </c>
      <c r="B1198" s="2">
        <v>45038</v>
      </c>
      <c r="C1198">
        <v>2023</v>
      </c>
      <c r="D1198" t="str">
        <f t="shared" si="36"/>
        <v>Apr</v>
      </c>
      <c r="E1198" t="s">
        <v>14</v>
      </c>
      <c r="F1198" t="s">
        <v>2045</v>
      </c>
      <c r="G1198" t="s">
        <v>19</v>
      </c>
      <c r="H1198" t="s">
        <v>25</v>
      </c>
      <c r="I1198">
        <v>5</v>
      </c>
      <c r="J1198" s="9">
        <v>9900</v>
      </c>
      <c r="K1198" s="7">
        <v>0.1</v>
      </c>
      <c r="L1198" s="9">
        <v>8910</v>
      </c>
      <c r="M1198" s="10">
        <f>Sales_Data3[[#This Row],[Profit]]/Sales_Data3[[#This Row],[Sales]]</f>
        <v>0.9</v>
      </c>
      <c r="N1198" t="str">
        <f t="shared" si="37"/>
        <v>Medium</v>
      </c>
      <c r="O1198" s="2">
        <v>45038</v>
      </c>
      <c r="P1198" s="9">
        <v>9900</v>
      </c>
    </row>
    <row r="1199" spans="1:16" x14ac:dyDescent="0.25">
      <c r="A1199" t="s">
        <v>1220</v>
      </c>
      <c r="B1199" s="2">
        <v>45039</v>
      </c>
      <c r="C1199">
        <v>2023</v>
      </c>
      <c r="D1199" t="str">
        <f t="shared" si="36"/>
        <v>Apr</v>
      </c>
      <c r="E1199" t="s">
        <v>14</v>
      </c>
      <c r="F1199" t="s">
        <v>2046</v>
      </c>
      <c r="G1199" t="s">
        <v>20</v>
      </c>
      <c r="H1199" t="s">
        <v>25</v>
      </c>
      <c r="I1199">
        <v>6</v>
      </c>
      <c r="J1199" s="9">
        <v>5500</v>
      </c>
      <c r="K1199" s="7">
        <v>0.15000000000000002</v>
      </c>
      <c r="L1199" s="9">
        <v>4675</v>
      </c>
      <c r="M1199" s="10">
        <f>Sales_Data3[[#This Row],[Profit]]/Sales_Data3[[#This Row],[Sales]]</f>
        <v>0.85</v>
      </c>
      <c r="N1199" t="str">
        <f t="shared" si="37"/>
        <v>Medium</v>
      </c>
      <c r="O1199" s="2">
        <v>45039</v>
      </c>
      <c r="P1199" s="9">
        <v>5500</v>
      </c>
    </row>
    <row r="1200" spans="1:16" x14ac:dyDescent="0.25">
      <c r="A1200" t="s">
        <v>1221</v>
      </c>
      <c r="B1200" s="2">
        <v>45040</v>
      </c>
      <c r="C1200">
        <v>2023</v>
      </c>
      <c r="D1200" t="str">
        <f t="shared" si="36"/>
        <v>Apr</v>
      </c>
      <c r="E1200" t="s">
        <v>14</v>
      </c>
      <c r="F1200" t="s">
        <v>2047</v>
      </c>
      <c r="G1200" t="s">
        <v>21</v>
      </c>
      <c r="H1200" t="s">
        <v>25</v>
      </c>
      <c r="I1200">
        <v>7</v>
      </c>
      <c r="J1200" s="9">
        <v>11400</v>
      </c>
      <c r="K1200" s="7">
        <v>0.2</v>
      </c>
      <c r="L1200" s="9">
        <v>9120</v>
      </c>
      <c r="M1200" s="10">
        <f>Sales_Data3[[#This Row],[Profit]]/Sales_Data3[[#This Row],[Sales]]</f>
        <v>0.8</v>
      </c>
      <c r="N1200" t="str">
        <f t="shared" si="37"/>
        <v>High</v>
      </c>
      <c r="O1200" s="2">
        <v>45040</v>
      </c>
      <c r="P1200" s="9">
        <v>11400</v>
      </c>
    </row>
    <row r="1201" spans="1:16" x14ac:dyDescent="0.25">
      <c r="A1201" t="s">
        <v>1222</v>
      </c>
      <c r="B1201" s="2">
        <v>45041</v>
      </c>
      <c r="C1201">
        <v>2023</v>
      </c>
      <c r="D1201" t="str">
        <f t="shared" si="36"/>
        <v>Apr</v>
      </c>
      <c r="E1201" t="s">
        <v>14</v>
      </c>
      <c r="F1201" t="s">
        <v>2048</v>
      </c>
      <c r="G1201" t="s">
        <v>22</v>
      </c>
      <c r="H1201" t="s">
        <v>25</v>
      </c>
      <c r="I1201">
        <v>2</v>
      </c>
      <c r="J1201" s="9">
        <v>7600</v>
      </c>
      <c r="K1201" s="7">
        <v>0.25</v>
      </c>
      <c r="L1201" s="9">
        <v>5700</v>
      </c>
      <c r="M1201" s="10">
        <f>Sales_Data3[[#This Row],[Profit]]/Sales_Data3[[#This Row],[Sales]]</f>
        <v>0.75</v>
      </c>
      <c r="N1201" t="str">
        <f t="shared" si="37"/>
        <v>Medium</v>
      </c>
      <c r="O1201" s="2">
        <v>45041</v>
      </c>
      <c r="P1201" s="9">
        <v>7600</v>
      </c>
    </row>
    <row r="1202" spans="1:16" x14ac:dyDescent="0.25">
      <c r="A1202" t="s">
        <v>1223</v>
      </c>
      <c r="B1202" s="2">
        <v>45042</v>
      </c>
      <c r="C1202">
        <v>2023</v>
      </c>
      <c r="D1202" t="str">
        <f t="shared" si="36"/>
        <v>Apr</v>
      </c>
      <c r="E1202" t="s">
        <v>12</v>
      </c>
      <c r="F1202" t="s">
        <v>15</v>
      </c>
      <c r="G1202" t="s">
        <v>19</v>
      </c>
      <c r="H1202" t="s">
        <v>23</v>
      </c>
      <c r="I1202">
        <v>1</v>
      </c>
      <c r="J1202" s="9">
        <v>11300</v>
      </c>
      <c r="K1202" s="7">
        <v>0.05</v>
      </c>
      <c r="L1202" s="9">
        <v>10735</v>
      </c>
      <c r="M1202" s="10">
        <f>Sales_Data3[[#This Row],[Profit]]/Sales_Data3[[#This Row],[Sales]]</f>
        <v>0.95</v>
      </c>
      <c r="N1202" t="str">
        <f t="shared" si="37"/>
        <v>High</v>
      </c>
      <c r="O1202" s="2">
        <v>45042</v>
      </c>
      <c r="P1202" s="9">
        <v>11300</v>
      </c>
    </row>
    <row r="1203" spans="1:16" x14ac:dyDescent="0.25">
      <c r="A1203" t="s">
        <v>1224</v>
      </c>
      <c r="B1203" s="2">
        <v>45043</v>
      </c>
      <c r="C1203">
        <v>2023</v>
      </c>
      <c r="D1203" t="str">
        <f t="shared" si="36"/>
        <v>Apr</v>
      </c>
      <c r="E1203" t="s">
        <v>12</v>
      </c>
      <c r="F1203" t="s">
        <v>17</v>
      </c>
      <c r="G1203" t="s">
        <v>20</v>
      </c>
      <c r="H1203" t="s">
        <v>23</v>
      </c>
      <c r="I1203">
        <v>8</v>
      </c>
      <c r="J1203" s="9">
        <v>11200</v>
      </c>
      <c r="K1203" s="7">
        <v>0.1</v>
      </c>
      <c r="L1203" s="9">
        <v>10080</v>
      </c>
      <c r="M1203" s="10">
        <f>Sales_Data3[[#This Row],[Profit]]/Sales_Data3[[#This Row],[Sales]]</f>
        <v>0.9</v>
      </c>
      <c r="N1203" t="str">
        <f t="shared" si="37"/>
        <v>High</v>
      </c>
      <c r="O1203" s="2">
        <v>45043</v>
      </c>
      <c r="P1203" s="9">
        <v>11200</v>
      </c>
    </row>
    <row r="1204" spans="1:16" x14ac:dyDescent="0.25">
      <c r="A1204" t="s">
        <v>1225</v>
      </c>
      <c r="B1204" s="2">
        <v>45044</v>
      </c>
      <c r="C1204">
        <v>2023</v>
      </c>
      <c r="D1204" t="str">
        <f t="shared" si="36"/>
        <v>Apr</v>
      </c>
      <c r="E1204" t="s">
        <v>12</v>
      </c>
      <c r="F1204" t="s">
        <v>2023</v>
      </c>
      <c r="G1204" t="s">
        <v>21</v>
      </c>
      <c r="H1204" t="s">
        <v>23</v>
      </c>
      <c r="I1204">
        <v>9</v>
      </c>
      <c r="J1204" s="9">
        <v>9000</v>
      </c>
      <c r="K1204" s="7">
        <v>0.15000000000000002</v>
      </c>
      <c r="L1204" s="9">
        <v>7650</v>
      </c>
      <c r="M1204" s="10">
        <f>Sales_Data3[[#This Row],[Profit]]/Sales_Data3[[#This Row],[Sales]]</f>
        <v>0.85</v>
      </c>
      <c r="N1204" t="str">
        <f t="shared" si="37"/>
        <v>Medium</v>
      </c>
      <c r="O1204" s="2">
        <v>45044</v>
      </c>
      <c r="P1204" s="9">
        <v>9000</v>
      </c>
    </row>
    <row r="1205" spans="1:16" x14ac:dyDescent="0.25">
      <c r="A1205" t="s">
        <v>1226</v>
      </c>
      <c r="B1205" s="2">
        <v>45045</v>
      </c>
      <c r="C1205">
        <v>2023</v>
      </c>
      <c r="D1205" t="str">
        <f t="shared" si="36"/>
        <v>Apr</v>
      </c>
      <c r="E1205" t="s">
        <v>12</v>
      </c>
      <c r="F1205" t="s">
        <v>18</v>
      </c>
      <c r="G1205" t="s">
        <v>22</v>
      </c>
      <c r="H1205" t="s">
        <v>23</v>
      </c>
      <c r="I1205">
        <v>2</v>
      </c>
      <c r="J1205" s="9">
        <v>14400</v>
      </c>
      <c r="K1205" s="7">
        <v>0.2</v>
      </c>
      <c r="L1205" s="9">
        <v>11520</v>
      </c>
      <c r="M1205" s="10">
        <f>Sales_Data3[[#This Row],[Profit]]/Sales_Data3[[#This Row],[Sales]]</f>
        <v>0.8</v>
      </c>
      <c r="N1205" t="str">
        <f t="shared" si="37"/>
        <v>High</v>
      </c>
      <c r="O1205" s="2">
        <v>45045</v>
      </c>
      <c r="P1205" s="9">
        <v>14400</v>
      </c>
    </row>
    <row r="1206" spans="1:16" x14ac:dyDescent="0.25">
      <c r="A1206" t="s">
        <v>1227</v>
      </c>
      <c r="B1206" s="2">
        <v>45046</v>
      </c>
      <c r="C1206">
        <v>2023</v>
      </c>
      <c r="D1206" t="str">
        <f t="shared" si="36"/>
        <v>Apr</v>
      </c>
      <c r="E1206" t="s">
        <v>12</v>
      </c>
      <c r="F1206" t="s">
        <v>2024</v>
      </c>
      <c r="G1206" t="s">
        <v>19</v>
      </c>
      <c r="H1206" t="s">
        <v>23</v>
      </c>
      <c r="I1206">
        <v>8</v>
      </c>
      <c r="J1206" s="9">
        <v>10700</v>
      </c>
      <c r="K1206" s="7">
        <v>0.25</v>
      </c>
      <c r="L1206" s="9">
        <v>8025</v>
      </c>
      <c r="M1206" s="10">
        <f>Sales_Data3[[#This Row],[Profit]]/Sales_Data3[[#This Row],[Sales]]</f>
        <v>0.75</v>
      </c>
      <c r="N1206" t="str">
        <f t="shared" si="37"/>
        <v>High</v>
      </c>
      <c r="O1206" s="2">
        <v>45046</v>
      </c>
      <c r="P1206" s="9">
        <v>10700</v>
      </c>
    </row>
    <row r="1207" spans="1:16" x14ac:dyDescent="0.25">
      <c r="A1207" t="s">
        <v>1228</v>
      </c>
      <c r="B1207" s="2">
        <v>45047</v>
      </c>
      <c r="C1207">
        <v>2023</v>
      </c>
      <c r="D1207" t="str">
        <f t="shared" si="36"/>
        <v>May</v>
      </c>
      <c r="E1207" t="s">
        <v>12</v>
      </c>
      <c r="F1207" t="s">
        <v>2025</v>
      </c>
      <c r="G1207" t="s">
        <v>20</v>
      </c>
      <c r="H1207" t="s">
        <v>23</v>
      </c>
      <c r="I1207">
        <v>5</v>
      </c>
      <c r="J1207" s="9">
        <v>7100</v>
      </c>
      <c r="K1207" s="7">
        <v>0.05</v>
      </c>
      <c r="L1207" s="9">
        <v>6745</v>
      </c>
      <c r="M1207" s="10">
        <f>Sales_Data3[[#This Row],[Profit]]/Sales_Data3[[#This Row],[Sales]]</f>
        <v>0.95</v>
      </c>
      <c r="N1207" t="str">
        <f t="shared" si="37"/>
        <v>Medium</v>
      </c>
      <c r="O1207" s="2">
        <v>45047</v>
      </c>
      <c r="P1207" s="9">
        <v>7100</v>
      </c>
    </row>
    <row r="1208" spans="1:16" x14ac:dyDescent="0.25">
      <c r="A1208" t="s">
        <v>1229</v>
      </c>
      <c r="B1208" s="2">
        <v>45048</v>
      </c>
      <c r="C1208">
        <v>2023</v>
      </c>
      <c r="D1208" t="str">
        <f t="shared" si="36"/>
        <v>May</v>
      </c>
      <c r="E1208" t="s">
        <v>12</v>
      </c>
      <c r="F1208" t="s">
        <v>2026</v>
      </c>
      <c r="G1208" t="s">
        <v>21</v>
      </c>
      <c r="H1208" t="s">
        <v>23</v>
      </c>
      <c r="I1208">
        <v>8</v>
      </c>
      <c r="J1208" s="9">
        <v>14800</v>
      </c>
      <c r="K1208" s="7">
        <v>0.1</v>
      </c>
      <c r="L1208" s="9">
        <v>13320</v>
      </c>
      <c r="M1208" s="10">
        <f>Sales_Data3[[#This Row],[Profit]]/Sales_Data3[[#This Row],[Sales]]</f>
        <v>0.9</v>
      </c>
      <c r="N1208" t="str">
        <f t="shared" si="37"/>
        <v>High</v>
      </c>
      <c r="O1208" s="2">
        <v>45048</v>
      </c>
      <c r="P1208" s="9">
        <v>14800</v>
      </c>
    </row>
    <row r="1209" spans="1:16" x14ac:dyDescent="0.25">
      <c r="A1209" t="s">
        <v>1230</v>
      </c>
      <c r="B1209" s="2">
        <v>45049</v>
      </c>
      <c r="C1209">
        <v>2023</v>
      </c>
      <c r="D1209" t="str">
        <f t="shared" si="36"/>
        <v>May</v>
      </c>
      <c r="E1209" t="s">
        <v>12</v>
      </c>
      <c r="F1209" t="s">
        <v>2027</v>
      </c>
      <c r="G1209" t="s">
        <v>22</v>
      </c>
      <c r="H1209" t="s">
        <v>23</v>
      </c>
      <c r="I1209">
        <v>10</v>
      </c>
      <c r="J1209" s="9">
        <v>7200</v>
      </c>
      <c r="K1209" s="7">
        <v>0.15000000000000002</v>
      </c>
      <c r="L1209" s="9">
        <v>6120</v>
      </c>
      <c r="M1209" s="10">
        <f>Sales_Data3[[#This Row],[Profit]]/Sales_Data3[[#This Row],[Sales]]</f>
        <v>0.85</v>
      </c>
      <c r="N1209" t="str">
        <f t="shared" si="37"/>
        <v>Medium</v>
      </c>
      <c r="O1209" s="2">
        <v>45049</v>
      </c>
      <c r="P1209" s="9">
        <v>7200</v>
      </c>
    </row>
    <row r="1210" spans="1:16" x14ac:dyDescent="0.25">
      <c r="A1210" t="s">
        <v>1231</v>
      </c>
      <c r="B1210" s="2">
        <v>45050</v>
      </c>
      <c r="C1210">
        <v>2023</v>
      </c>
      <c r="D1210" t="str">
        <f t="shared" si="36"/>
        <v>May</v>
      </c>
      <c r="E1210" t="s">
        <v>12</v>
      </c>
      <c r="F1210" t="s">
        <v>2028</v>
      </c>
      <c r="G1210" t="s">
        <v>19</v>
      </c>
      <c r="H1210" t="s">
        <v>23</v>
      </c>
      <c r="I1210">
        <v>3</v>
      </c>
      <c r="J1210" s="9">
        <v>14500</v>
      </c>
      <c r="K1210" s="7">
        <v>0.2</v>
      </c>
      <c r="L1210" s="9">
        <v>11600</v>
      </c>
      <c r="M1210" s="10">
        <f>Sales_Data3[[#This Row],[Profit]]/Sales_Data3[[#This Row],[Sales]]</f>
        <v>0.8</v>
      </c>
      <c r="N1210" t="str">
        <f t="shared" si="37"/>
        <v>High</v>
      </c>
      <c r="O1210" s="2">
        <v>45050</v>
      </c>
      <c r="P1210" s="9">
        <v>14500</v>
      </c>
    </row>
    <row r="1211" spans="1:16" x14ac:dyDescent="0.25">
      <c r="A1211" t="s">
        <v>1232</v>
      </c>
      <c r="B1211" s="2">
        <v>45051</v>
      </c>
      <c r="C1211">
        <v>2023</v>
      </c>
      <c r="D1211" t="str">
        <f t="shared" si="36"/>
        <v>May</v>
      </c>
      <c r="E1211" t="s">
        <v>12</v>
      </c>
      <c r="F1211" t="s">
        <v>2029</v>
      </c>
      <c r="G1211" t="s">
        <v>20</v>
      </c>
      <c r="H1211" t="s">
        <v>23</v>
      </c>
      <c r="I1211">
        <v>6</v>
      </c>
      <c r="J1211" s="9">
        <v>5100</v>
      </c>
      <c r="K1211" s="7">
        <v>0.25</v>
      </c>
      <c r="L1211" s="9">
        <v>3825</v>
      </c>
      <c r="M1211" s="10">
        <f>Sales_Data3[[#This Row],[Profit]]/Sales_Data3[[#This Row],[Sales]]</f>
        <v>0.75</v>
      </c>
      <c r="N1211" t="str">
        <f t="shared" si="37"/>
        <v>Medium</v>
      </c>
      <c r="O1211" s="2">
        <v>45051</v>
      </c>
      <c r="P1211" s="9">
        <v>5100</v>
      </c>
    </row>
    <row r="1212" spans="1:16" x14ac:dyDescent="0.25">
      <c r="A1212" t="s">
        <v>1233</v>
      </c>
      <c r="B1212" s="2">
        <v>45052</v>
      </c>
      <c r="C1212">
        <v>2023</v>
      </c>
      <c r="D1212" t="str">
        <f t="shared" si="36"/>
        <v>May</v>
      </c>
      <c r="E1212" t="s">
        <v>13</v>
      </c>
      <c r="F1212" t="s">
        <v>16</v>
      </c>
      <c r="G1212" t="s">
        <v>21</v>
      </c>
      <c r="H1212" t="s">
        <v>24</v>
      </c>
      <c r="I1212">
        <v>10</v>
      </c>
      <c r="J1212" s="9">
        <v>4200</v>
      </c>
      <c r="K1212" s="7">
        <v>0.05</v>
      </c>
      <c r="L1212" s="9">
        <v>3990</v>
      </c>
      <c r="M1212" s="10">
        <f>Sales_Data3[[#This Row],[Profit]]/Sales_Data3[[#This Row],[Sales]]</f>
        <v>0.95</v>
      </c>
      <c r="N1212" t="str">
        <f t="shared" si="37"/>
        <v>Low</v>
      </c>
      <c r="O1212" s="2">
        <v>45052</v>
      </c>
      <c r="P1212" s="9">
        <v>4200</v>
      </c>
    </row>
    <row r="1213" spans="1:16" x14ac:dyDescent="0.25">
      <c r="A1213" t="s">
        <v>1234</v>
      </c>
      <c r="B1213" s="2">
        <v>45053</v>
      </c>
      <c r="C1213">
        <v>2023</v>
      </c>
      <c r="D1213" t="str">
        <f t="shared" si="36"/>
        <v>May</v>
      </c>
      <c r="E1213" t="s">
        <v>13</v>
      </c>
      <c r="F1213" t="s">
        <v>2030</v>
      </c>
      <c r="G1213" t="s">
        <v>22</v>
      </c>
      <c r="H1213" t="s">
        <v>24</v>
      </c>
      <c r="I1213">
        <v>8</v>
      </c>
      <c r="J1213" s="9">
        <v>4900</v>
      </c>
      <c r="K1213" s="7">
        <v>0.1</v>
      </c>
      <c r="L1213" s="9">
        <v>4410</v>
      </c>
      <c r="M1213" s="10">
        <f>Sales_Data3[[#This Row],[Profit]]/Sales_Data3[[#This Row],[Sales]]</f>
        <v>0.9</v>
      </c>
      <c r="N1213" t="str">
        <f t="shared" si="37"/>
        <v>Low</v>
      </c>
      <c r="O1213" s="2">
        <v>45053</v>
      </c>
      <c r="P1213" s="9">
        <v>4900</v>
      </c>
    </row>
    <row r="1214" spans="1:16" x14ac:dyDescent="0.25">
      <c r="A1214" t="s">
        <v>1235</v>
      </c>
      <c r="B1214" s="2">
        <v>45054</v>
      </c>
      <c r="C1214">
        <v>2023</v>
      </c>
      <c r="D1214" t="str">
        <f t="shared" si="36"/>
        <v>May</v>
      </c>
      <c r="E1214" t="s">
        <v>13</v>
      </c>
      <c r="F1214" t="s">
        <v>2031</v>
      </c>
      <c r="G1214" t="s">
        <v>19</v>
      </c>
      <c r="H1214" t="s">
        <v>24</v>
      </c>
      <c r="I1214">
        <v>4</v>
      </c>
      <c r="J1214" s="9">
        <v>8000</v>
      </c>
      <c r="K1214" s="7">
        <v>0.15000000000000002</v>
      </c>
      <c r="L1214" s="9">
        <v>6800</v>
      </c>
      <c r="M1214" s="10">
        <f>Sales_Data3[[#This Row],[Profit]]/Sales_Data3[[#This Row],[Sales]]</f>
        <v>0.85</v>
      </c>
      <c r="N1214" t="str">
        <f t="shared" si="37"/>
        <v>Medium</v>
      </c>
      <c r="O1214" s="2">
        <v>45054</v>
      </c>
      <c r="P1214" s="9">
        <v>8000</v>
      </c>
    </row>
    <row r="1215" spans="1:16" x14ac:dyDescent="0.25">
      <c r="A1215" t="s">
        <v>1236</v>
      </c>
      <c r="B1215" s="2">
        <v>45055</v>
      </c>
      <c r="C1215">
        <v>2023</v>
      </c>
      <c r="D1215" t="str">
        <f t="shared" si="36"/>
        <v>May</v>
      </c>
      <c r="E1215" t="s">
        <v>13</v>
      </c>
      <c r="F1215" t="s">
        <v>2032</v>
      </c>
      <c r="G1215" t="s">
        <v>20</v>
      </c>
      <c r="H1215" t="s">
        <v>24</v>
      </c>
      <c r="I1215">
        <v>9</v>
      </c>
      <c r="J1215" s="9">
        <v>9900</v>
      </c>
      <c r="K1215" s="7">
        <v>0.2</v>
      </c>
      <c r="L1215" s="9">
        <v>7920</v>
      </c>
      <c r="M1215" s="10">
        <f>Sales_Data3[[#This Row],[Profit]]/Sales_Data3[[#This Row],[Sales]]</f>
        <v>0.8</v>
      </c>
      <c r="N1215" t="str">
        <f t="shared" si="37"/>
        <v>Medium</v>
      </c>
      <c r="O1215" s="2">
        <v>45055</v>
      </c>
      <c r="P1215" s="9">
        <v>9900</v>
      </c>
    </row>
    <row r="1216" spans="1:16" x14ac:dyDescent="0.25">
      <c r="A1216" t="s">
        <v>1237</v>
      </c>
      <c r="B1216" s="2">
        <v>45056</v>
      </c>
      <c r="C1216">
        <v>2023</v>
      </c>
      <c r="D1216" t="str">
        <f t="shared" si="36"/>
        <v>May</v>
      </c>
      <c r="E1216" t="s">
        <v>13</v>
      </c>
      <c r="F1216" t="s">
        <v>2033</v>
      </c>
      <c r="G1216" t="s">
        <v>21</v>
      </c>
      <c r="H1216" t="s">
        <v>24</v>
      </c>
      <c r="I1216">
        <v>8</v>
      </c>
      <c r="J1216" s="9">
        <v>8600</v>
      </c>
      <c r="K1216" s="7">
        <v>0.25</v>
      </c>
      <c r="L1216" s="9">
        <v>6450</v>
      </c>
      <c r="M1216" s="10">
        <f>Sales_Data3[[#This Row],[Profit]]/Sales_Data3[[#This Row],[Sales]]</f>
        <v>0.75</v>
      </c>
      <c r="N1216" t="str">
        <f t="shared" si="37"/>
        <v>Medium</v>
      </c>
      <c r="O1216" s="2">
        <v>45056</v>
      </c>
      <c r="P1216" s="9">
        <v>8600</v>
      </c>
    </row>
    <row r="1217" spans="1:16" x14ac:dyDescent="0.25">
      <c r="A1217" t="s">
        <v>1238</v>
      </c>
      <c r="B1217" s="2">
        <v>45057</v>
      </c>
      <c r="C1217">
        <v>2023</v>
      </c>
      <c r="D1217" t="str">
        <f t="shared" si="36"/>
        <v>May</v>
      </c>
      <c r="E1217" t="s">
        <v>13</v>
      </c>
      <c r="F1217" t="s">
        <v>2034</v>
      </c>
      <c r="G1217" t="s">
        <v>22</v>
      </c>
      <c r="H1217" t="s">
        <v>24</v>
      </c>
      <c r="I1217">
        <v>3</v>
      </c>
      <c r="J1217" s="9">
        <v>6200</v>
      </c>
      <c r="K1217" s="7">
        <v>0.05</v>
      </c>
      <c r="L1217" s="9">
        <v>5890</v>
      </c>
      <c r="M1217" s="10">
        <f>Sales_Data3[[#This Row],[Profit]]/Sales_Data3[[#This Row],[Sales]]</f>
        <v>0.95</v>
      </c>
      <c r="N1217" t="str">
        <f t="shared" si="37"/>
        <v>Medium</v>
      </c>
      <c r="O1217" s="2">
        <v>45057</v>
      </c>
      <c r="P1217" s="9">
        <v>6200</v>
      </c>
    </row>
    <row r="1218" spans="1:16" x14ac:dyDescent="0.25">
      <c r="A1218" t="s">
        <v>1239</v>
      </c>
      <c r="B1218" s="2">
        <v>45058</v>
      </c>
      <c r="C1218">
        <v>2023</v>
      </c>
      <c r="D1218" t="str">
        <f t="shared" ref="D1218:D1281" si="38">TEXT(B1218,"MMM")</f>
        <v>May</v>
      </c>
      <c r="E1218" t="s">
        <v>13</v>
      </c>
      <c r="F1218" t="s">
        <v>2035</v>
      </c>
      <c r="G1218" t="s">
        <v>19</v>
      </c>
      <c r="H1218" t="s">
        <v>24</v>
      </c>
      <c r="I1218">
        <v>1</v>
      </c>
      <c r="J1218" s="9">
        <v>4100</v>
      </c>
      <c r="K1218" s="7">
        <v>0.1</v>
      </c>
      <c r="L1218" s="9">
        <v>3690</v>
      </c>
      <c r="M1218" s="10">
        <f>Sales_Data3[[#This Row],[Profit]]/Sales_Data3[[#This Row],[Sales]]</f>
        <v>0.9</v>
      </c>
      <c r="N1218" t="str">
        <f t="shared" ref="N1218:N1281" si="39">IF(J1218&gt;10000,"High",IF(J1218&gt;5000,"Medium","Low"))</f>
        <v>Low</v>
      </c>
      <c r="O1218" s="2">
        <v>45058</v>
      </c>
      <c r="P1218" s="9">
        <v>4100</v>
      </c>
    </row>
    <row r="1219" spans="1:16" x14ac:dyDescent="0.25">
      <c r="A1219" t="s">
        <v>1240</v>
      </c>
      <c r="B1219" s="2">
        <v>45059</v>
      </c>
      <c r="C1219">
        <v>2023</v>
      </c>
      <c r="D1219" t="str">
        <f t="shared" si="38"/>
        <v>May</v>
      </c>
      <c r="E1219" t="s">
        <v>13</v>
      </c>
      <c r="F1219" t="s">
        <v>2036</v>
      </c>
      <c r="G1219" t="s">
        <v>20</v>
      </c>
      <c r="H1219" t="s">
        <v>24</v>
      </c>
      <c r="I1219">
        <v>7</v>
      </c>
      <c r="J1219" s="9">
        <v>4200</v>
      </c>
      <c r="K1219" s="7">
        <v>0.15000000000000002</v>
      </c>
      <c r="L1219" s="9">
        <v>3570</v>
      </c>
      <c r="M1219" s="10">
        <f>Sales_Data3[[#This Row],[Profit]]/Sales_Data3[[#This Row],[Sales]]</f>
        <v>0.85</v>
      </c>
      <c r="N1219" t="str">
        <f t="shared" si="39"/>
        <v>Low</v>
      </c>
      <c r="O1219" s="2">
        <v>45059</v>
      </c>
      <c r="P1219" s="9">
        <v>4200</v>
      </c>
    </row>
    <row r="1220" spans="1:16" x14ac:dyDescent="0.25">
      <c r="A1220" t="s">
        <v>1241</v>
      </c>
      <c r="B1220" s="2">
        <v>45060</v>
      </c>
      <c r="C1220">
        <v>2023</v>
      </c>
      <c r="D1220" t="str">
        <f t="shared" si="38"/>
        <v>May</v>
      </c>
      <c r="E1220" t="s">
        <v>13</v>
      </c>
      <c r="F1220" t="s">
        <v>2037</v>
      </c>
      <c r="G1220" t="s">
        <v>21</v>
      </c>
      <c r="H1220" t="s">
        <v>24</v>
      </c>
      <c r="I1220">
        <v>10</v>
      </c>
      <c r="J1220" s="9">
        <v>10700</v>
      </c>
      <c r="K1220" s="7">
        <v>0.2</v>
      </c>
      <c r="L1220" s="9">
        <v>8560</v>
      </c>
      <c r="M1220" s="10">
        <f>Sales_Data3[[#This Row],[Profit]]/Sales_Data3[[#This Row],[Sales]]</f>
        <v>0.8</v>
      </c>
      <c r="N1220" t="str">
        <f t="shared" si="39"/>
        <v>High</v>
      </c>
      <c r="O1220" s="2">
        <v>45060</v>
      </c>
      <c r="P1220" s="9">
        <v>10700</v>
      </c>
    </row>
    <row r="1221" spans="1:16" x14ac:dyDescent="0.25">
      <c r="A1221" t="s">
        <v>1242</v>
      </c>
      <c r="B1221" s="2">
        <v>45061</v>
      </c>
      <c r="C1221">
        <v>2023</v>
      </c>
      <c r="D1221" t="str">
        <f t="shared" si="38"/>
        <v>May</v>
      </c>
      <c r="E1221" t="s">
        <v>13</v>
      </c>
      <c r="F1221" t="s">
        <v>2038</v>
      </c>
      <c r="G1221" t="s">
        <v>22</v>
      </c>
      <c r="H1221" t="s">
        <v>24</v>
      </c>
      <c r="I1221">
        <v>4</v>
      </c>
      <c r="J1221" s="9">
        <v>8500</v>
      </c>
      <c r="K1221" s="7">
        <v>0.25</v>
      </c>
      <c r="L1221" s="9">
        <v>6375</v>
      </c>
      <c r="M1221" s="10">
        <f>Sales_Data3[[#This Row],[Profit]]/Sales_Data3[[#This Row],[Sales]]</f>
        <v>0.75</v>
      </c>
      <c r="N1221" t="str">
        <f t="shared" si="39"/>
        <v>Medium</v>
      </c>
      <c r="O1221" s="2">
        <v>45061</v>
      </c>
      <c r="P1221" s="9">
        <v>8500</v>
      </c>
    </row>
    <row r="1222" spans="1:16" x14ac:dyDescent="0.25">
      <c r="A1222" t="s">
        <v>1243</v>
      </c>
      <c r="B1222" s="2">
        <v>45062</v>
      </c>
      <c r="C1222">
        <v>2023</v>
      </c>
      <c r="D1222" t="str">
        <f t="shared" si="38"/>
        <v>May</v>
      </c>
      <c r="E1222" t="s">
        <v>14</v>
      </c>
      <c r="F1222" t="s">
        <v>2039</v>
      </c>
      <c r="G1222" t="s">
        <v>19</v>
      </c>
      <c r="H1222" t="s">
        <v>25</v>
      </c>
      <c r="I1222">
        <v>8</v>
      </c>
      <c r="J1222" s="9">
        <v>11000</v>
      </c>
      <c r="K1222" s="7">
        <v>0.05</v>
      </c>
      <c r="L1222" s="9">
        <v>10450</v>
      </c>
      <c r="M1222" s="10">
        <f>Sales_Data3[[#This Row],[Profit]]/Sales_Data3[[#This Row],[Sales]]</f>
        <v>0.95</v>
      </c>
      <c r="N1222" t="str">
        <f t="shared" si="39"/>
        <v>High</v>
      </c>
      <c r="O1222" s="2">
        <v>45062</v>
      </c>
      <c r="P1222" s="9">
        <v>11000</v>
      </c>
    </row>
    <row r="1223" spans="1:16" x14ac:dyDescent="0.25">
      <c r="A1223" t="s">
        <v>1244</v>
      </c>
      <c r="B1223" s="2">
        <v>45063</v>
      </c>
      <c r="C1223">
        <v>2023</v>
      </c>
      <c r="D1223" t="str">
        <f t="shared" si="38"/>
        <v>May</v>
      </c>
      <c r="E1223" t="s">
        <v>14</v>
      </c>
      <c r="F1223" t="s">
        <v>2040</v>
      </c>
      <c r="G1223" t="s">
        <v>20</v>
      </c>
      <c r="H1223" t="s">
        <v>25</v>
      </c>
      <c r="I1223">
        <v>9</v>
      </c>
      <c r="J1223" s="9">
        <v>6100</v>
      </c>
      <c r="K1223" s="7">
        <v>0.1</v>
      </c>
      <c r="L1223" s="9">
        <v>5490</v>
      </c>
      <c r="M1223" s="10">
        <f>Sales_Data3[[#This Row],[Profit]]/Sales_Data3[[#This Row],[Sales]]</f>
        <v>0.9</v>
      </c>
      <c r="N1223" t="str">
        <f t="shared" si="39"/>
        <v>Medium</v>
      </c>
      <c r="O1223" s="2">
        <v>45063</v>
      </c>
      <c r="P1223" s="9">
        <v>6100</v>
      </c>
    </row>
    <row r="1224" spans="1:16" x14ac:dyDescent="0.25">
      <c r="A1224" t="s">
        <v>1245</v>
      </c>
      <c r="B1224" s="2">
        <v>45064</v>
      </c>
      <c r="C1224">
        <v>2023</v>
      </c>
      <c r="D1224" t="str">
        <f t="shared" si="38"/>
        <v>May</v>
      </c>
      <c r="E1224" t="s">
        <v>14</v>
      </c>
      <c r="F1224" t="s">
        <v>2041</v>
      </c>
      <c r="G1224" t="s">
        <v>21</v>
      </c>
      <c r="H1224" t="s">
        <v>25</v>
      </c>
      <c r="I1224">
        <v>2</v>
      </c>
      <c r="J1224" s="9">
        <v>5900</v>
      </c>
      <c r="K1224" s="7">
        <v>0.15000000000000002</v>
      </c>
      <c r="L1224" s="9">
        <v>5015</v>
      </c>
      <c r="M1224" s="10">
        <f>Sales_Data3[[#This Row],[Profit]]/Sales_Data3[[#This Row],[Sales]]</f>
        <v>0.85</v>
      </c>
      <c r="N1224" t="str">
        <f t="shared" si="39"/>
        <v>Medium</v>
      </c>
      <c r="O1224" s="2">
        <v>45064</v>
      </c>
      <c r="P1224" s="9">
        <v>5900</v>
      </c>
    </row>
    <row r="1225" spans="1:16" x14ac:dyDescent="0.25">
      <c r="A1225" t="s">
        <v>1246</v>
      </c>
      <c r="B1225" s="2">
        <v>45065</v>
      </c>
      <c r="C1225">
        <v>2023</v>
      </c>
      <c r="D1225" t="str">
        <f t="shared" si="38"/>
        <v>May</v>
      </c>
      <c r="E1225" t="s">
        <v>14</v>
      </c>
      <c r="F1225" t="s">
        <v>2042</v>
      </c>
      <c r="G1225" t="s">
        <v>22</v>
      </c>
      <c r="H1225" t="s">
        <v>25</v>
      </c>
      <c r="I1225">
        <v>5</v>
      </c>
      <c r="J1225" s="9">
        <v>5800</v>
      </c>
      <c r="K1225" s="7">
        <v>0.2</v>
      </c>
      <c r="L1225" s="9">
        <v>4640</v>
      </c>
      <c r="M1225" s="10">
        <f>Sales_Data3[[#This Row],[Profit]]/Sales_Data3[[#This Row],[Sales]]</f>
        <v>0.8</v>
      </c>
      <c r="N1225" t="str">
        <f t="shared" si="39"/>
        <v>Medium</v>
      </c>
      <c r="O1225" s="2">
        <v>45065</v>
      </c>
      <c r="P1225" s="9">
        <v>5800</v>
      </c>
    </row>
    <row r="1226" spans="1:16" x14ac:dyDescent="0.25">
      <c r="A1226" t="s">
        <v>1247</v>
      </c>
      <c r="B1226" s="2">
        <v>45066</v>
      </c>
      <c r="C1226">
        <v>2023</v>
      </c>
      <c r="D1226" t="str">
        <f t="shared" si="38"/>
        <v>May</v>
      </c>
      <c r="E1226" t="s">
        <v>14</v>
      </c>
      <c r="F1226" t="s">
        <v>2043</v>
      </c>
      <c r="G1226" t="s">
        <v>19</v>
      </c>
      <c r="H1226" t="s">
        <v>25</v>
      </c>
      <c r="I1226">
        <v>2</v>
      </c>
      <c r="J1226" s="9">
        <v>14700</v>
      </c>
      <c r="K1226" s="7">
        <v>0.25</v>
      </c>
      <c r="L1226" s="9">
        <v>11025</v>
      </c>
      <c r="M1226" s="10">
        <f>Sales_Data3[[#This Row],[Profit]]/Sales_Data3[[#This Row],[Sales]]</f>
        <v>0.75</v>
      </c>
      <c r="N1226" t="str">
        <f t="shared" si="39"/>
        <v>High</v>
      </c>
      <c r="O1226" s="2">
        <v>45066</v>
      </c>
      <c r="P1226" s="9">
        <v>14700</v>
      </c>
    </row>
    <row r="1227" spans="1:16" x14ac:dyDescent="0.25">
      <c r="A1227" t="s">
        <v>1248</v>
      </c>
      <c r="B1227" s="2">
        <v>45067</v>
      </c>
      <c r="C1227">
        <v>2023</v>
      </c>
      <c r="D1227" t="str">
        <f t="shared" si="38"/>
        <v>May</v>
      </c>
      <c r="E1227" t="s">
        <v>14</v>
      </c>
      <c r="F1227" t="s">
        <v>2044</v>
      </c>
      <c r="G1227" t="s">
        <v>20</v>
      </c>
      <c r="H1227" t="s">
        <v>25</v>
      </c>
      <c r="I1227">
        <v>8</v>
      </c>
      <c r="J1227" s="9">
        <v>9800</v>
      </c>
      <c r="K1227" s="7">
        <v>0.05</v>
      </c>
      <c r="L1227" s="9">
        <v>9310</v>
      </c>
      <c r="M1227" s="10">
        <f>Sales_Data3[[#This Row],[Profit]]/Sales_Data3[[#This Row],[Sales]]</f>
        <v>0.95</v>
      </c>
      <c r="N1227" t="str">
        <f t="shared" si="39"/>
        <v>Medium</v>
      </c>
      <c r="O1227" s="2">
        <v>45067</v>
      </c>
      <c r="P1227" s="9">
        <v>9800</v>
      </c>
    </row>
    <row r="1228" spans="1:16" x14ac:dyDescent="0.25">
      <c r="A1228" t="s">
        <v>1249</v>
      </c>
      <c r="B1228" s="2">
        <v>45068</v>
      </c>
      <c r="C1228">
        <v>2023</v>
      </c>
      <c r="D1228" t="str">
        <f t="shared" si="38"/>
        <v>May</v>
      </c>
      <c r="E1228" t="s">
        <v>14</v>
      </c>
      <c r="F1228" t="s">
        <v>2045</v>
      </c>
      <c r="G1228" t="s">
        <v>21</v>
      </c>
      <c r="H1228" t="s">
        <v>25</v>
      </c>
      <c r="I1228">
        <v>9</v>
      </c>
      <c r="J1228" s="9">
        <v>5500</v>
      </c>
      <c r="K1228" s="7">
        <v>0.1</v>
      </c>
      <c r="L1228" s="9">
        <v>4950</v>
      </c>
      <c r="M1228" s="10">
        <f>Sales_Data3[[#This Row],[Profit]]/Sales_Data3[[#This Row],[Sales]]</f>
        <v>0.9</v>
      </c>
      <c r="N1228" t="str">
        <f t="shared" si="39"/>
        <v>Medium</v>
      </c>
      <c r="O1228" s="2">
        <v>45068</v>
      </c>
      <c r="P1228" s="9">
        <v>5500</v>
      </c>
    </row>
    <row r="1229" spans="1:16" x14ac:dyDescent="0.25">
      <c r="A1229" t="s">
        <v>1250</v>
      </c>
      <c r="B1229" s="2">
        <v>45069</v>
      </c>
      <c r="C1229">
        <v>2023</v>
      </c>
      <c r="D1229" t="str">
        <f t="shared" si="38"/>
        <v>May</v>
      </c>
      <c r="E1229" t="s">
        <v>14</v>
      </c>
      <c r="F1229" t="s">
        <v>2046</v>
      </c>
      <c r="G1229" t="s">
        <v>22</v>
      </c>
      <c r="H1229" t="s">
        <v>25</v>
      </c>
      <c r="I1229">
        <v>4</v>
      </c>
      <c r="J1229" s="9">
        <v>6200</v>
      </c>
      <c r="K1229" s="7">
        <v>0.15000000000000002</v>
      </c>
      <c r="L1229" s="9">
        <v>5270</v>
      </c>
      <c r="M1229" s="10">
        <f>Sales_Data3[[#This Row],[Profit]]/Sales_Data3[[#This Row],[Sales]]</f>
        <v>0.85</v>
      </c>
      <c r="N1229" t="str">
        <f t="shared" si="39"/>
        <v>Medium</v>
      </c>
      <c r="O1229" s="2">
        <v>45069</v>
      </c>
      <c r="P1229" s="9">
        <v>6200</v>
      </c>
    </row>
    <row r="1230" spans="1:16" x14ac:dyDescent="0.25">
      <c r="A1230" t="s">
        <v>1251</v>
      </c>
      <c r="B1230" s="2">
        <v>45070</v>
      </c>
      <c r="C1230">
        <v>2023</v>
      </c>
      <c r="D1230" t="str">
        <f t="shared" si="38"/>
        <v>May</v>
      </c>
      <c r="E1230" t="s">
        <v>14</v>
      </c>
      <c r="F1230" t="s">
        <v>2047</v>
      </c>
      <c r="G1230" t="s">
        <v>19</v>
      </c>
      <c r="H1230" t="s">
        <v>25</v>
      </c>
      <c r="I1230">
        <v>4</v>
      </c>
      <c r="J1230" s="9">
        <v>11500</v>
      </c>
      <c r="K1230" s="7">
        <v>0.2</v>
      </c>
      <c r="L1230" s="9">
        <v>9200</v>
      </c>
      <c r="M1230" s="10">
        <f>Sales_Data3[[#This Row],[Profit]]/Sales_Data3[[#This Row],[Sales]]</f>
        <v>0.8</v>
      </c>
      <c r="N1230" t="str">
        <f t="shared" si="39"/>
        <v>High</v>
      </c>
      <c r="O1230" s="2">
        <v>45070</v>
      </c>
      <c r="P1230" s="9">
        <v>11500</v>
      </c>
    </row>
    <row r="1231" spans="1:16" x14ac:dyDescent="0.25">
      <c r="A1231" t="s">
        <v>1252</v>
      </c>
      <c r="B1231" s="2">
        <v>45071</v>
      </c>
      <c r="C1231">
        <v>2023</v>
      </c>
      <c r="D1231" t="str">
        <f t="shared" si="38"/>
        <v>May</v>
      </c>
      <c r="E1231" t="s">
        <v>14</v>
      </c>
      <c r="F1231" t="s">
        <v>2048</v>
      </c>
      <c r="G1231" t="s">
        <v>20</v>
      </c>
      <c r="H1231" t="s">
        <v>25</v>
      </c>
      <c r="I1231">
        <v>6</v>
      </c>
      <c r="J1231" s="9">
        <v>13600</v>
      </c>
      <c r="K1231" s="7">
        <v>0.25</v>
      </c>
      <c r="L1231" s="9">
        <v>10200</v>
      </c>
      <c r="M1231" s="10">
        <f>Sales_Data3[[#This Row],[Profit]]/Sales_Data3[[#This Row],[Sales]]</f>
        <v>0.75</v>
      </c>
      <c r="N1231" t="str">
        <f t="shared" si="39"/>
        <v>High</v>
      </c>
      <c r="O1231" s="2">
        <v>45071</v>
      </c>
      <c r="P1231" s="9">
        <v>13600</v>
      </c>
    </row>
    <row r="1232" spans="1:16" x14ac:dyDescent="0.25">
      <c r="A1232" t="s">
        <v>1253</v>
      </c>
      <c r="B1232" s="2">
        <v>45072</v>
      </c>
      <c r="C1232">
        <v>2023</v>
      </c>
      <c r="D1232" t="str">
        <f t="shared" si="38"/>
        <v>May</v>
      </c>
      <c r="E1232" t="s">
        <v>12</v>
      </c>
      <c r="F1232" t="s">
        <v>15</v>
      </c>
      <c r="G1232" t="s">
        <v>21</v>
      </c>
      <c r="H1232" t="s">
        <v>23</v>
      </c>
      <c r="I1232">
        <v>3</v>
      </c>
      <c r="J1232" s="9">
        <v>9800</v>
      </c>
      <c r="K1232" s="7">
        <v>0.05</v>
      </c>
      <c r="L1232" s="9">
        <v>9310</v>
      </c>
      <c r="M1232" s="10">
        <f>Sales_Data3[[#This Row],[Profit]]/Sales_Data3[[#This Row],[Sales]]</f>
        <v>0.95</v>
      </c>
      <c r="N1232" t="str">
        <f t="shared" si="39"/>
        <v>Medium</v>
      </c>
      <c r="O1232" s="2">
        <v>45072</v>
      </c>
      <c r="P1232" s="9">
        <v>9800</v>
      </c>
    </row>
    <row r="1233" spans="1:16" x14ac:dyDescent="0.25">
      <c r="A1233" t="s">
        <v>1254</v>
      </c>
      <c r="B1233" s="2">
        <v>45073</v>
      </c>
      <c r="C1233">
        <v>2023</v>
      </c>
      <c r="D1233" t="str">
        <f t="shared" si="38"/>
        <v>May</v>
      </c>
      <c r="E1233" t="s">
        <v>12</v>
      </c>
      <c r="F1233" t="s">
        <v>17</v>
      </c>
      <c r="G1233" t="s">
        <v>22</v>
      </c>
      <c r="H1233" t="s">
        <v>23</v>
      </c>
      <c r="I1233">
        <v>3</v>
      </c>
      <c r="J1233" s="9">
        <v>11100</v>
      </c>
      <c r="K1233" s="7">
        <v>0.1</v>
      </c>
      <c r="L1233" s="9">
        <v>9990</v>
      </c>
      <c r="M1233" s="10">
        <f>Sales_Data3[[#This Row],[Profit]]/Sales_Data3[[#This Row],[Sales]]</f>
        <v>0.9</v>
      </c>
      <c r="N1233" t="str">
        <f t="shared" si="39"/>
        <v>High</v>
      </c>
      <c r="O1233" s="2">
        <v>45073</v>
      </c>
      <c r="P1233" s="9">
        <v>11100</v>
      </c>
    </row>
    <row r="1234" spans="1:16" x14ac:dyDescent="0.25">
      <c r="A1234" t="s">
        <v>1255</v>
      </c>
      <c r="B1234" s="2">
        <v>45074</v>
      </c>
      <c r="C1234">
        <v>2023</v>
      </c>
      <c r="D1234" t="str">
        <f t="shared" si="38"/>
        <v>May</v>
      </c>
      <c r="E1234" t="s">
        <v>12</v>
      </c>
      <c r="F1234" t="s">
        <v>2023</v>
      </c>
      <c r="G1234" t="s">
        <v>19</v>
      </c>
      <c r="H1234" t="s">
        <v>23</v>
      </c>
      <c r="I1234">
        <v>4</v>
      </c>
      <c r="J1234" s="9">
        <v>12400</v>
      </c>
      <c r="K1234" s="7">
        <v>0.15000000000000002</v>
      </c>
      <c r="L1234" s="9">
        <v>10540</v>
      </c>
      <c r="M1234" s="10">
        <f>Sales_Data3[[#This Row],[Profit]]/Sales_Data3[[#This Row],[Sales]]</f>
        <v>0.85</v>
      </c>
      <c r="N1234" t="str">
        <f t="shared" si="39"/>
        <v>High</v>
      </c>
      <c r="O1234" s="2">
        <v>45074</v>
      </c>
      <c r="P1234" s="9">
        <v>12400</v>
      </c>
    </row>
    <row r="1235" spans="1:16" x14ac:dyDescent="0.25">
      <c r="A1235" t="s">
        <v>1256</v>
      </c>
      <c r="B1235" s="2">
        <v>45075</v>
      </c>
      <c r="C1235">
        <v>2023</v>
      </c>
      <c r="D1235" t="str">
        <f t="shared" si="38"/>
        <v>May</v>
      </c>
      <c r="E1235" t="s">
        <v>12</v>
      </c>
      <c r="F1235" t="s">
        <v>18</v>
      </c>
      <c r="G1235" t="s">
        <v>20</v>
      </c>
      <c r="H1235" t="s">
        <v>23</v>
      </c>
      <c r="I1235">
        <v>4</v>
      </c>
      <c r="J1235" s="9">
        <v>5400</v>
      </c>
      <c r="K1235" s="7">
        <v>0.2</v>
      </c>
      <c r="L1235" s="9">
        <v>4320</v>
      </c>
      <c r="M1235" s="10">
        <f>Sales_Data3[[#This Row],[Profit]]/Sales_Data3[[#This Row],[Sales]]</f>
        <v>0.8</v>
      </c>
      <c r="N1235" t="str">
        <f t="shared" si="39"/>
        <v>Medium</v>
      </c>
      <c r="O1235" s="2">
        <v>45075</v>
      </c>
      <c r="P1235" s="9">
        <v>5400</v>
      </c>
    </row>
    <row r="1236" spans="1:16" x14ac:dyDescent="0.25">
      <c r="A1236" t="s">
        <v>1257</v>
      </c>
      <c r="B1236" s="2">
        <v>45076</v>
      </c>
      <c r="C1236">
        <v>2023</v>
      </c>
      <c r="D1236" t="str">
        <f t="shared" si="38"/>
        <v>May</v>
      </c>
      <c r="E1236" t="s">
        <v>12</v>
      </c>
      <c r="F1236" t="s">
        <v>2024</v>
      </c>
      <c r="G1236" t="s">
        <v>21</v>
      </c>
      <c r="H1236" t="s">
        <v>23</v>
      </c>
      <c r="I1236">
        <v>5</v>
      </c>
      <c r="J1236" s="9">
        <v>9800</v>
      </c>
      <c r="K1236" s="7">
        <v>0.25</v>
      </c>
      <c r="L1236" s="9">
        <v>7350</v>
      </c>
      <c r="M1236" s="10">
        <f>Sales_Data3[[#This Row],[Profit]]/Sales_Data3[[#This Row],[Sales]]</f>
        <v>0.75</v>
      </c>
      <c r="N1236" t="str">
        <f t="shared" si="39"/>
        <v>Medium</v>
      </c>
      <c r="O1236" s="2">
        <v>45076</v>
      </c>
      <c r="P1236" s="9">
        <v>9800</v>
      </c>
    </row>
    <row r="1237" spans="1:16" x14ac:dyDescent="0.25">
      <c r="A1237" t="s">
        <v>1258</v>
      </c>
      <c r="B1237" s="2">
        <v>45077</v>
      </c>
      <c r="C1237">
        <v>2023</v>
      </c>
      <c r="D1237" t="str">
        <f t="shared" si="38"/>
        <v>May</v>
      </c>
      <c r="E1237" t="s">
        <v>12</v>
      </c>
      <c r="F1237" t="s">
        <v>2025</v>
      </c>
      <c r="G1237" t="s">
        <v>22</v>
      </c>
      <c r="H1237" t="s">
        <v>23</v>
      </c>
      <c r="I1237">
        <v>3</v>
      </c>
      <c r="J1237" s="9">
        <v>4600</v>
      </c>
      <c r="K1237" s="7">
        <v>0.05</v>
      </c>
      <c r="L1237" s="9">
        <v>4370</v>
      </c>
      <c r="M1237" s="10">
        <f>Sales_Data3[[#This Row],[Profit]]/Sales_Data3[[#This Row],[Sales]]</f>
        <v>0.95</v>
      </c>
      <c r="N1237" t="str">
        <f t="shared" si="39"/>
        <v>Low</v>
      </c>
      <c r="O1237" s="2">
        <v>45077</v>
      </c>
      <c r="P1237" s="9">
        <v>4600</v>
      </c>
    </row>
    <row r="1238" spans="1:16" x14ac:dyDescent="0.25">
      <c r="A1238" t="s">
        <v>1259</v>
      </c>
      <c r="B1238" s="2">
        <v>45078</v>
      </c>
      <c r="C1238">
        <v>2023</v>
      </c>
      <c r="D1238" t="str">
        <f t="shared" si="38"/>
        <v>Jun</v>
      </c>
      <c r="E1238" t="s">
        <v>12</v>
      </c>
      <c r="F1238" t="s">
        <v>2026</v>
      </c>
      <c r="G1238" t="s">
        <v>19</v>
      </c>
      <c r="H1238" t="s">
        <v>23</v>
      </c>
      <c r="I1238">
        <v>7</v>
      </c>
      <c r="J1238" s="9">
        <v>4100</v>
      </c>
      <c r="K1238" s="7">
        <v>0.1</v>
      </c>
      <c r="L1238" s="9">
        <v>3690</v>
      </c>
      <c r="M1238" s="10">
        <f>Sales_Data3[[#This Row],[Profit]]/Sales_Data3[[#This Row],[Sales]]</f>
        <v>0.9</v>
      </c>
      <c r="N1238" t="str">
        <f t="shared" si="39"/>
        <v>Low</v>
      </c>
      <c r="O1238" s="2">
        <v>45078</v>
      </c>
      <c r="P1238" s="9">
        <v>4100</v>
      </c>
    </row>
    <row r="1239" spans="1:16" x14ac:dyDescent="0.25">
      <c r="A1239" t="s">
        <v>1260</v>
      </c>
      <c r="B1239" s="2">
        <v>45079</v>
      </c>
      <c r="C1239">
        <v>2023</v>
      </c>
      <c r="D1239" t="str">
        <f t="shared" si="38"/>
        <v>Jun</v>
      </c>
      <c r="E1239" t="s">
        <v>12</v>
      </c>
      <c r="F1239" t="s">
        <v>2027</v>
      </c>
      <c r="G1239" t="s">
        <v>20</v>
      </c>
      <c r="H1239" t="s">
        <v>23</v>
      </c>
      <c r="I1239">
        <v>1</v>
      </c>
      <c r="J1239" s="9">
        <v>5100</v>
      </c>
      <c r="K1239" s="7">
        <v>0.15000000000000002</v>
      </c>
      <c r="L1239" s="9">
        <v>4335</v>
      </c>
      <c r="M1239" s="10">
        <f>Sales_Data3[[#This Row],[Profit]]/Sales_Data3[[#This Row],[Sales]]</f>
        <v>0.85</v>
      </c>
      <c r="N1239" t="str">
        <f t="shared" si="39"/>
        <v>Medium</v>
      </c>
      <c r="O1239" s="2">
        <v>45079</v>
      </c>
      <c r="P1239" s="9">
        <v>5100</v>
      </c>
    </row>
    <row r="1240" spans="1:16" x14ac:dyDescent="0.25">
      <c r="A1240" t="s">
        <v>1261</v>
      </c>
      <c r="B1240" s="2">
        <v>45080</v>
      </c>
      <c r="C1240">
        <v>2023</v>
      </c>
      <c r="D1240" t="str">
        <f t="shared" si="38"/>
        <v>Jun</v>
      </c>
      <c r="E1240" t="s">
        <v>12</v>
      </c>
      <c r="F1240" t="s">
        <v>2028</v>
      </c>
      <c r="G1240" t="s">
        <v>21</v>
      </c>
      <c r="H1240" t="s">
        <v>23</v>
      </c>
      <c r="I1240">
        <v>9</v>
      </c>
      <c r="J1240" s="9">
        <v>4900</v>
      </c>
      <c r="K1240" s="7">
        <v>0.2</v>
      </c>
      <c r="L1240" s="9">
        <v>3920</v>
      </c>
      <c r="M1240" s="10">
        <f>Sales_Data3[[#This Row],[Profit]]/Sales_Data3[[#This Row],[Sales]]</f>
        <v>0.8</v>
      </c>
      <c r="N1240" t="str">
        <f t="shared" si="39"/>
        <v>Low</v>
      </c>
      <c r="O1240" s="2">
        <v>45080</v>
      </c>
      <c r="P1240" s="9">
        <v>4900</v>
      </c>
    </row>
    <row r="1241" spans="1:16" x14ac:dyDescent="0.25">
      <c r="A1241" t="s">
        <v>1262</v>
      </c>
      <c r="B1241" s="2">
        <v>45081</v>
      </c>
      <c r="C1241">
        <v>2023</v>
      </c>
      <c r="D1241" t="str">
        <f t="shared" si="38"/>
        <v>Jun</v>
      </c>
      <c r="E1241" t="s">
        <v>12</v>
      </c>
      <c r="F1241" t="s">
        <v>2029</v>
      </c>
      <c r="G1241" t="s">
        <v>22</v>
      </c>
      <c r="H1241" t="s">
        <v>23</v>
      </c>
      <c r="I1241">
        <v>4</v>
      </c>
      <c r="J1241" s="9">
        <v>8200</v>
      </c>
      <c r="K1241" s="7">
        <v>0.25</v>
      </c>
      <c r="L1241" s="9">
        <v>6150</v>
      </c>
      <c r="M1241" s="10">
        <f>Sales_Data3[[#This Row],[Profit]]/Sales_Data3[[#This Row],[Sales]]</f>
        <v>0.75</v>
      </c>
      <c r="N1241" t="str">
        <f t="shared" si="39"/>
        <v>Medium</v>
      </c>
      <c r="O1241" s="2">
        <v>45081</v>
      </c>
      <c r="P1241" s="9">
        <v>8200</v>
      </c>
    </row>
    <row r="1242" spans="1:16" x14ac:dyDescent="0.25">
      <c r="A1242" t="s">
        <v>1263</v>
      </c>
      <c r="B1242" s="2">
        <v>45082</v>
      </c>
      <c r="C1242">
        <v>2023</v>
      </c>
      <c r="D1242" t="str">
        <f t="shared" si="38"/>
        <v>Jun</v>
      </c>
      <c r="E1242" t="s">
        <v>13</v>
      </c>
      <c r="F1242" t="s">
        <v>16</v>
      </c>
      <c r="G1242" t="s">
        <v>19</v>
      </c>
      <c r="H1242" t="s">
        <v>24</v>
      </c>
      <c r="I1242">
        <v>3</v>
      </c>
      <c r="J1242" s="9">
        <v>5400</v>
      </c>
      <c r="K1242" s="7">
        <v>0.05</v>
      </c>
      <c r="L1242" s="9">
        <v>5130</v>
      </c>
      <c r="M1242" s="10">
        <f>Sales_Data3[[#This Row],[Profit]]/Sales_Data3[[#This Row],[Sales]]</f>
        <v>0.95</v>
      </c>
      <c r="N1242" t="str">
        <f t="shared" si="39"/>
        <v>Medium</v>
      </c>
      <c r="O1242" s="2">
        <v>45082</v>
      </c>
      <c r="P1242" s="9">
        <v>5400</v>
      </c>
    </row>
    <row r="1243" spans="1:16" x14ac:dyDescent="0.25">
      <c r="A1243" t="s">
        <v>1264</v>
      </c>
      <c r="B1243" s="2">
        <v>45083</v>
      </c>
      <c r="C1243">
        <v>2023</v>
      </c>
      <c r="D1243" t="str">
        <f t="shared" si="38"/>
        <v>Jun</v>
      </c>
      <c r="E1243" t="s">
        <v>13</v>
      </c>
      <c r="F1243" t="s">
        <v>2030</v>
      </c>
      <c r="G1243" t="s">
        <v>20</v>
      </c>
      <c r="H1243" t="s">
        <v>24</v>
      </c>
      <c r="I1243">
        <v>2</v>
      </c>
      <c r="J1243" s="9">
        <v>4300</v>
      </c>
      <c r="K1243" s="7">
        <v>0.1</v>
      </c>
      <c r="L1243" s="9">
        <v>3870</v>
      </c>
      <c r="M1243" s="10">
        <f>Sales_Data3[[#This Row],[Profit]]/Sales_Data3[[#This Row],[Sales]]</f>
        <v>0.9</v>
      </c>
      <c r="N1243" t="str">
        <f t="shared" si="39"/>
        <v>Low</v>
      </c>
      <c r="O1243" s="2">
        <v>45083</v>
      </c>
      <c r="P1243" s="9">
        <v>4300</v>
      </c>
    </row>
    <row r="1244" spans="1:16" x14ac:dyDescent="0.25">
      <c r="A1244" t="s">
        <v>1265</v>
      </c>
      <c r="B1244" s="2">
        <v>45084</v>
      </c>
      <c r="C1244">
        <v>2023</v>
      </c>
      <c r="D1244" t="str">
        <f t="shared" si="38"/>
        <v>Jun</v>
      </c>
      <c r="E1244" t="s">
        <v>13</v>
      </c>
      <c r="F1244" t="s">
        <v>2031</v>
      </c>
      <c r="G1244" t="s">
        <v>21</v>
      </c>
      <c r="H1244" t="s">
        <v>24</v>
      </c>
      <c r="I1244">
        <v>10</v>
      </c>
      <c r="J1244" s="9">
        <v>8400</v>
      </c>
      <c r="K1244" s="7">
        <v>0.15000000000000002</v>
      </c>
      <c r="L1244" s="9">
        <v>7140</v>
      </c>
      <c r="M1244" s="10">
        <f>Sales_Data3[[#This Row],[Profit]]/Sales_Data3[[#This Row],[Sales]]</f>
        <v>0.85</v>
      </c>
      <c r="N1244" t="str">
        <f t="shared" si="39"/>
        <v>Medium</v>
      </c>
      <c r="O1244" s="2">
        <v>45084</v>
      </c>
      <c r="P1244" s="9">
        <v>8400</v>
      </c>
    </row>
    <row r="1245" spans="1:16" x14ac:dyDescent="0.25">
      <c r="A1245" t="s">
        <v>1266</v>
      </c>
      <c r="B1245" s="2">
        <v>45085</v>
      </c>
      <c r="C1245">
        <v>2023</v>
      </c>
      <c r="D1245" t="str">
        <f t="shared" si="38"/>
        <v>Jun</v>
      </c>
      <c r="E1245" t="s">
        <v>13</v>
      </c>
      <c r="F1245" t="s">
        <v>2032</v>
      </c>
      <c r="G1245" t="s">
        <v>22</v>
      </c>
      <c r="H1245" t="s">
        <v>24</v>
      </c>
      <c r="I1245">
        <v>3</v>
      </c>
      <c r="J1245" s="9">
        <v>7200</v>
      </c>
      <c r="K1245" s="7">
        <v>0.2</v>
      </c>
      <c r="L1245" s="9">
        <v>5760</v>
      </c>
      <c r="M1245" s="10">
        <f>Sales_Data3[[#This Row],[Profit]]/Sales_Data3[[#This Row],[Sales]]</f>
        <v>0.8</v>
      </c>
      <c r="N1245" t="str">
        <f t="shared" si="39"/>
        <v>Medium</v>
      </c>
      <c r="O1245" s="2">
        <v>45085</v>
      </c>
      <c r="P1245" s="9">
        <v>7200</v>
      </c>
    </row>
    <row r="1246" spans="1:16" x14ac:dyDescent="0.25">
      <c r="A1246" t="s">
        <v>1267</v>
      </c>
      <c r="B1246" s="2">
        <v>45086</v>
      </c>
      <c r="C1246">
        <v>2023</v>
      </c>
      <c r="D1246" t="str">
        <f t="shared" si="38"/>
        <v>Jun</v>
      </c>
      <c r="E1246" t="s">
        <v>13</v>
      </c>
      <c r="F1246" t="s">
        <v>2033</v>
      </c>
      <c r="G1246" t="s">
        <v>19</v>
      </c>
      <c r="H1246" t="s">
        <v>24</v>
      </c>
      <c r="I1246">
        <v>3</v>
      </c>
      <c r="J1246" s="9">
        <v>6600</v>
      </c>
      <c r="K1246" s="7">
        <v>0.25</v>
      </c>
      <c r="L1246" s="9">
        <v>4950</v>
      </c>
      <c r="M1246" s="10">
        <f>Sales_Data3[[#This Row],[Profit]]/Sales_Data3[[#This Row],[Sales]]</f>
        <v>0.75</v>
      </c>
      <c r="N1246" t="str">
        <f t="shared" si="39"/>
        <v>Medium</v>
      </c>
      <c r="O1246" s="2">
        <v>45086</v>
      </c>
      <c r="P1246" s="9">
        <v>6600</v>
      </c>
    </row>
    <row r="1247" spans="1:16" x14ac:dyDescent="0.25">
      <c r="A1247" t="s">
        <v>1268</v>
      </c>
      <c r="B1247" s="2">
        <v>45087</v>
      </c>
      <c r="C1247">
        <v>2023</v>
      </c>
      <c r="D1247" t="str">
        <f t="shared" si="38"/>
        <v>Jun</v>
      </c>
      <c r="E1247" t="s">
        <v>13</v>
      </c>
      <c r="F1247" t="s">
        <v>2034</v>
      </c>
      <c r="G1247" t="s">
        <v>20</v>
      </c>
      <c r="H1247" t="s">
        <v>24</v>
      </c>
      <c r="I1247">
        <v>6</v>
      </c>
      <c r="J1247" s="9">
        <v>7500</v>
      </c>
      <c r="K1247" s="7">
        <v>0.05</v>
      </c>
      <c r="L1247" s="9">
        <v>7125</v>
      </c>
      <c r="M1247" s="10">
        <f>Sales_Data3[[#This Row],[Profit]]/Sales_Data3[[#This Row],[Sales]]</f>
        <v>0.95</v>
      </c>
      <c r="N1247" t="str">
        <f t="shared" si="39"/>
        <v>Medium</v>
      </c>
      <c r="O1247" s="2">
        <v>45087</v>
      </c>
      <c r="P1247" s="9">
        <v>7500</v>
      </c>
    </row>
    <row r="1248" spans="1:16" x14ac:dyDescent="0.25">
      <c r="A1248" t="s">
        <v>1269</v>
      </c>
      <c r="B1248" s="2">
        <v>45088</v>
      </c>
      <c r="C1248">
        <v>2023</v>
      </c>
      <c r="D1248" t="str">
        <f t="shared" si="38"/>
        <v>Jun</v>
      </c>
      <c r="E1248" t="s">
        <v>13</v>
      </c>
      <c r="F1248" t="s">
        <v>2035</v>
      </c>
      <c r="G1248" t="s">
        <v>21</v>
      </c>
      <c r="H1248" t="s">
        <v>24</v>
      </c>
      <c r="I1248">
        <v>4</v>
      </c>
      <c r="J1248" s="9">
        <v>11800</v>
      </c>
      <c r="K1248" s="7">
        <v>0.1</v>
      </c>
      <c r="L1248" s="9">
        <v>10620</v>
      </c>
      <c r="M1248" s="10">
        <f>Sales_Data3[[#This Row],[Profit]]/Sales_Data3[[#This Row],[Sales]]</f>
        <v>0.9</v>
      </c>
      <c r="N1248" t="str">
        <f t="shared" si="39"/>
        <v>High</v>
      </c>
      <c r="O1248" s="2">
        <v>45088</v>
      </c>
      <c r="P1248" s="9">
        <v>11800</v>
      </c>
    </row>
    <row r="1249" spans="1:16" x14ac:dyDescent="0.25">
      <c r="A1249" t="s">
        <v>1270</v>
      </c>
      <c r="B1249" s="2">
        <v>45089</v>
      </c>
      <c r="C1249">
        <v>2023</v>
      </c>
      <c r="D1249" t="str">
        <f t="shared" si="38"/>
        <v>Jun</v>
      </c>
      <c r="E1249" t="s">
        <v>13</v>
      </c>
      <c r="F1249" t="s">
        <v>2036</v>
      </c>
      <c r="G1249" t="s">
        <v>22</v>
      </c>
      <c r="H1249" t="s">
        <v>24</v>
      </c>
      <c r="I1249">
        <v>4</v>
      </c>
      <c r="J1249" s="9">
        <v>8800</v>
      </c>
      <c r="K1249" s="7">
        <v>0.15000000000000002</v>
      </c>
      <c r="L1249" s="9">
        <v>7480</v>
      </c>
      <c r="M1249" s="10">
        <f>Sales_Data3[[#This Row],[Profit]]/Sales_Data3[[#This Row],[Sales]]</f>
        <v>0.85</v>
      </c>
      <c r="N1249" t="str">
        <f t="shared" si="39"/>
        <v>Medium</v>
      </c>
      <c r="O1249" s="2">
        <v>45089</v>
      </c>
      <c r="P1249" s="9">
        <v>8800</v>
      </c>
    </row>
    <row r="1250" spans="1:16" x14ac:dyDescent="0.25">
      <c r="A1250" t="s">
        <v>1271</v>
      </c>
      <c r="B1250" s="2">
        <v>45090</v>
      </c>
      <c r="C1250">
        <v>2023</v>
      </c>
      <c r="D1250" t="str">
        <f t="shared" si="38"/>
        <v>Jun</v>
      </c>
      <c r="E1250" t="s">
        <v>13</v>
      </c>
      <c r="F1250" t="s">
        <v>2037</v>
      </c>
      <c r="G1250" t="s">
        <v>19</v>
      </c>
      <c r="H1250" t="s">
        <v>24</v>
      </c>
      <c r="I1250">
        <v>9</v>
      </c>
      <c r="J1250" s="9">
        <v>14100</v>
      </c>
      <c r="K1250" s="7">
        <v>0.2</v>
      </c>
      <c r="L1250" s="9">
        <v>11280</v>
      </c>
      <c r="M1250" s="10">
        <f>Sales_Data3[[#This Row],[Profit]]/Sales_Data3[[#This Row],[Sales]]</f>
        <v>0.8</v>
      </c>
      <c r="N1250" t="str">
        <f t="shared" si="39"/>
        <v>High</v>
      </c>
      <c r="O1250" s="2">
        <v>45090</v>
      </c>
      <c r="P1250" s="9">
        <v>14100</v>
      </c>
    </row>
    <row r="1251" spans="1:16" x14ac:dyDescent="0.25">
      <c r="A1251" t="s">
        <v>1272</v>
      </c>
      <c r="B1251" s="2">
        <v>45091</v>
      </c>
      <c r="C1251">
        <v>2023</v>
      </c>
      <c r="D1251" t="str">
        <f t="shared" si="38"/>
        <v>Jun</v>
      </c>
      <c r="E1251" t="s">
        <v>13</v>
      </c>
      <c r="F1251" t="s">
        <v>2038</v>
      </c>
      <c r="G1251" t="s">
        <v>20</v>
      </c>
      <c r="H1251" t="s">
        <v>24</v>
      </c>
      <c r="I1251">
        <v>6</v>
      </c>
      <c r="J1251" s="9">
        <v>14100</v>
      </c>
      <c r="K1251" s="7">
        <v>0.25</v>
      </c>
      <c r="L1251" s="9">
        <v>10575</v>
      </c>
      <c r="M1251" s="10">
        <f>Sales_Data3[[#This Row],[Profit]]/Sales_Data3[[#This Row],[Sales]]</f>
        <v>0.75</v>
      </c>
      <c r="N1251" t="str">
        <f t="shared" si="39"/>
        <v>High</v>
      </c>
      <c r="O1251" s="2">
        <v>45091</v>
      </c>
      <c r="P1251" s="9">
        <v>14100</v>
      </c>
    </row>
    <row r="1252" spans="1:16" x14ac:dyDescent="0.25">
      <c r="A1252" t="s">
        <v>1273</v>
      </c>
      <c r="B1252" s="2">
        <v>45092</v>
      </c>
      <c r="C1252">
        <v>2023</v>
      </c>
      <c r="D1252" t="str">
        <f t="shared" si="38"/>
        <v>Jun</v>
      </c>
      <c r="E1252" t="s">
        <v>14</v>
      </c>
      <c r="F1252" t="s">
        <v>2039</v>
      </c>
      <c r="G1252" t="s">
        <v>21</v>
      </c>
      <c r="H1252" t="s">
        <v>25</v>
      </c>
      <c r="I1252">
        <v>5</v>
      </c>
      <c r="J1252" s="9">
        <v>14600</v>
      </c>
      <c r="K1252" s="7">
        <v>0.05</v>
      </c>
      <c r="L1252" s="9">
        <v>13870</v>
      </c>
      <c r="M1252" s="10">
        <f>Sales_Data3[[#This Row],[Profit]]/Sales_Data3[[#This Row],[Sales]]</f>
        <v>0.95</v>
      </c>
      <c r="N1252" t="str">
        <f t="shared" si="39"/>
        <v>High</v>
      </c>
      <c r="O1252" s="2">
        <v>45092</v>
      </c>
      <c r="P1252" s="9">
        <v>14600</v>
      </c>
    </row>
    <row r="1253" spans="1:16" x14ac:dyDescent="0.25">
      <c r="A1253" t="s">
        <v>1274</v>
      </c>
      <c r="B1253" s="2">
        <v>45093</v>
      </c>
      <c r="C1253">
        <v>2023</v>
      </c>
      <c r="D1253" t="str">
        <f t="shared" si="38"/>
        <v>Jun</v>
      </c>
      <c r="E1253" t="s">
        <v>14</v>
      </c>
      <c r="F1253" t="s">
        <v>2040</v>
      </c>
      <c r="G1253" t="s">
        <v>22</v>
      </c>
      <c r="H1253" t="s">
        <v>25</v>
      </c>
      <c r="I1253">
        <v>1</v>
      </c>
      <c r="J1253" s="9">
        <v>4800</v>
      </c>
      <c r="K1253" s="7">
        <v>0.1</v>
      </c>
      <c r="L1253" s="9">
        <v>4320</v>
      </c>
      <c r="M1253" s="10">
        <f>Sales_Data3[[#This Row],[Profit]]/Sales_Data3[[#This Row],[Sales]]</f>
        <v>0.9</v>
      </c>
      <c r="N1253" t="str">
        <f t="shared" si="39"/>
        <v>Low</v>
      </c>
      <c r="O1253" s="2">
        <v>45093</v>
      </c>
      <c r="P1253" s="9">
        <v>4800</v>
      </c>
    </row>
    <row r="1254" spans="1:16" x14ac:dyDescent="0.25">
      <c r="A1254" t="s">
        <v>1275</v>
      </c>
      <c r="B1254" s="2">
        <v>45094</v>
      </c>
      <c r="C1254">
        <v>2023</v>
      </c>
      <c r="D1254" t="str">
        <f t="shared" si="38"/>
        <v>Jun</v>
      </c>
      <c r="E1254" t="s">
        <v>14</v>
      </c>
      <c r="F1254" t="s">
        <v>2041</v>
      </c>
      <c r="G1254" t="s">
        <v>19</v>
      </c>
      <c r="H1254" t="s">
        <v>25</v>
      </c>
      <c r="I1254">
        <v>9</v>
      </c>
      <c r="J1254" s="9">
        <v>10600</v>
      </c>
      <c r="K1254" s="7">
        <v>0.15000000000000002</v>
      </c>
      <c r="L1254" s="9">
        <v>9010</v>
      </c>
      <c r="M1254" s="10">
        <f>Sales_Data3[[#This Row],[Profit]]/Sales_Data3[[#This Row],[Sales]]</f>
        <v>0.85</v>
      </c>
      <c r="N1254" t="str">
        <f t="shared" si="39"/>
        <v>High</v>
      </c>
      <c r="O1254" s="2">
        <v>45094</v>
      </c>
      <c r="P1254" s="9">
        <v>10600</v>
      </c>
    </row>
    <row r="1255" spans="1:16" x14ac:dyDescent="0.25">
      <c r="A1255" t="s">
        <v>1276</v>
      </c>
      <c r="B1255" s="2">
        <v>45095</v>
      </c>
      <c r="C1255">
        <v>2023</v>
      </c>
      <c r="D1255" t="str">
        <f t="shared" si="38"/>
        <v>Jun</v>
      </c>
      <c r="E1255" t="s">
        <v>14</v>
      </c>
      <c r="F1255" t="s">
        <v>2042</v>
      </c>
      <c r="G1255" t="s">
        <v>20</v>
      </c>
      <c r="H1255" t="s">
        <v>25</v>
      </c>
      <c r="I1255">
        <v>9</v>
      </c>
      <c r="J1255" s="9">
        <v>5500</v>
      </c>
      <c r="K1255" s="7">
        <v>0.2</v>
      </c>
      <c r="L1255" s="9">
        <v>4400</v>
      </c>
      <c r="M1255" s="10">
        <f>Sales_Data3[[#This Row],[Profit]]/Sales_Data3[[#This Row],[Sales]]</f>
        <v>0.8</v>
      </c>
      <c r="N1255" t="str">
        <f t="shared" si="39"/>
        <v>Medium</v>
      </c>
      <c r="O1255" s="2">
        <v>45095</v>
      </c>
      <c r="P1255" s="9">
        <v>5500</v>
      </c>
    </row>
    <row r="1256" spans="1:16" x14ac:dyDescent="0.25">
      <c r="A1256" t="s">
        <v>1277</v>
      </c>
      <c r="B1256" s="2">
        <v>45096</v>
      </c>
      <c r="C1256">
        <v>2023</v>
      </c>
      <c r="D1256" t="str">
        <f t="shared" si="38"/>
        <v>Jun</v>
      </c>
      <c r="E1256" t="s">
        <v>14</v>
      </c>
      <c r="F1256" t="s">
        <v>2043</v>
      </c>
      <c r="G1256" t="s">
        <v>21</v>
      </c>
      <c r="H1256" t="s">
        <v>25</v>
      </c>
      <c r="I1256">
        <v>4</v>
      </c>
      <c r="J1256" s="9">
        <v>7000</v>
      </c>
      <c r="K1256" s="7">
        <v>0.25</v>
      </c>
      <c r="L1256" s="9">
        <v>5250</v>
      </c>
      <c r="M1256" s="10">
        <f>Sales_Data3[[#This Row],[Profit]]/Sales_Data3[[#This Row],[Sales]]</f>
        <v>0.75</v>
      </c>
      <c r="N1256" t="str">
        <f t="shared" si="39"/>
        <v>Medium</v>
      </c>
      <c r="O1256" s="2">
        <v>45096</v>
      </c>
      <c r="P1256" s="9">
        <v>7000</v>
      </c>
    </row>
    <row r="1257" spans="1:16" x14ac:dyDescent="0.25">
      <c r="A1257" t="s">
        <v>1278</v>
      </c>
      <c r="B1257" s="2">
        <v>45097</v>
      </c>
      <c r="C1257">
        <v>2023</v>
      </c>
      <c r="D1257" t="str">
        <f t="shared" si="38"/>
        <v>Jun</v>
      </c>
      <c r="E1257" t="s">
        <v>14</v>
      </c>
      <c r="F1257" t="s">
        <v>2044</v>
      </c>
      <c r="G1257" t="s">
        <v>22</v>
      </c>
      <c r="H1257" t="s">
        <v>25</v>
      </c>
      <c r="I1257">
        <v>5</v>
      </c>
      <c r="J1257" s="9">
        <v>10700</v>
      </c>
      <c r="K1257" s="7">
        <v>0.05</v>
      </c>
      <c r="L1257" s="9">
        <v>10165</v>
      </c>
      <c r="M1257" s="10">
        <f>Sales_Data3[[#This Row],[Profit]]/Sales_Data3[[#This Row],[Sales]]</f>
        <v>0.95</v>
      </c>
      <c r="N1257" t="str">
        <f t="shared" si="39"/>
        <v>High</v>
      </c>
      <c r="O1257" s="2">
        <v>45097</v>
      </c>
      <c r="P1257" s="9">
        <v>10700</v>
      </c>
    </row>
    <row r="1258" spans="1:16" x14ac:dyDescent="0.25">
      <c r="A1258" t="s">
        <v>1279</v>
      </c>
      <c r="B1258" s="2">
        <v>45098</v>
      </c>
      <c r="C1258">
        <v>2023</v>
      </c>
      <c r="D1258" t="str">
        <f t="shared" si="38"/>
        <v>Jun</v>
      </c>
      <c r="E1258" t="s">
        <v>14</v>
      </c>
      <c r="F1258" t="s">
        <v>2045</v>
      </c>
      <c r="G1258" t="s">
        <v>19</v>
      </c>
      <c r="H1258" t="s">
        <v>25</v>
      </c>
      <c r="I1258">
        <v>2</v>
      </c>
      <c r="J1258" s="9">
        <v>7900</v>
      </c>
      <c r="K1258" s="7">
        <v>0.1</v>
      </c>
      <c r="L1258" s="9">
        <v>7110</v>
      </c>
      <c r="M1258" s="10">
        <f>Sales_Data3[[#This Row],[Profit]]/Sales_Data3[[#This Row],[Sales]]</f>
        <v>0.9</v>
      </c>
      <c r="N1258" t="str">
        <f t="shared" si="39"/>
        <v>Medium</v>
      </c>
      <c r="O1258" s="2">
        <v>45098</v>
      </c>
      <c r="P1258" s="9">
        <v>7900</v>
      </c>
    </row>
    <row r="1259" spans="1:16" x14ac:dyDescent="0.25">
      <c r="A1259" t="s">
        <v>1280</v>
      </c>
      <c r="B1259" s="2">
        <v>45099</v>
      </c>
      <c r="C1259">
        <v>2023</v>
      </c>
      <c r="D1259" t="str">
        <f t="shared" si="38"/>
        <v>Jun</v>
      </c>
      <c r="E1259" t="s">
        <v>14</v>
      </c>
      <c r="F1259" t="s">
        <v>2046</v>
      </c>
      <c r="G1259" t="s">
        <v>20</v>
      </c>
      <c r="H1259" t="s">
        <v>25</v>
      </c>
      <c r="I1259">
        <v>8</v>
      </c>
      <c r="J1259" s="9">
        <v>11000</v>
      </c>
      <c r="K1259" s="7">
        <v>0.15000000000000002</v>
      </c>
      <c r="L1259" s="9">
        <v>9350</v>
      </c>
      <c r="M1259" s="10">
        <f>Sales_Data3[[#This Row],[Profit]]/Sales_Data3[[#This Row],[Sales]]</f>
        <v>0.85</v>
      </c>
      <c r="N1259" t="str">
        <f t="shared" si="39"/>
        <v>High</v>
      </c>
      <c r="O1259" s="2">
        <v>45099</v>
      </c>
      <c r="P1259" s="9">
        <v>11000</v>
      </c>
    </row>
    <row r="1260" spans="1:16" x14ac:dyDescent="0.25">
      <c r="A1260" t="s">
        <v>1281</v>
      </c>
      <c r="B1260" s="2">
        <v>45100</v>
      </c>
      <c r="C1260">
        <v>2023</v>
      </c>
      <c r="D1260" t="str">
        <f t="shared" si="38"/>
        <v>Jun</v>
      </c>
      <c r="E1260" t="s">
        <v>14</v>
      </c>
      <c r="F1260" t="s">
        <v>2047</v>
      </c>
      <c r="G1260" t="s">
        <v>21</v>
      </c>
      <c r="H1260" t="s">
        <v>25</v>
      </c>
      <c r="I1260">
        <v>8</v>
      </c>
      <c r="J1260" s="9">
        <v>11200</v>
      </c>
      <c r="K1260" s="7">
        <v>0.2</v>
      </c>
      <c r="L1260" s="9">
        <v>8960</v>
      </c>
      <c r="M1260" s="10">
        <f>Sales_Data3[[#This Row],[Profit]]/Sales_Data3[[#This Row],[Sales]]</f>
        <v>0.8</v>
      </c>
      <c r="N1260" t="str">
        <f t="shared" si="39"/>
        <v>High</v>
      </c>
      <c r="O1260" s="2">
        <v>45100</v>
      </c>
      <c r="P1260" s="9">
        <v>11200</v>
      </c>
    </row>
    <row r="1261" spans="1:16" x14ac:dyDescent="0.25">
      <c r="A1261" t="s">
        <v>1282</v>
      </c>
      <c r="B1261" s="2">
        <v>45101</v>
      </c>
      <c r="C1261">
        <v>2023</v>
      </c>
      <c r="D1261" t="str">
        <f t="shared" si="38"/>
        <v>Jun</v>
      </c>
      <c r="E1261" t="s">
        <v>14</v>
      </c>
      <c r="F1261" t="s">
        <v>2048</v>
      </c>
      <c r="G1261" t="s">
        <v>22</v>
      </c>
      <c r="H1261" t="s">
        <v>25</v>
      </c>
      <c r="I1261">
        <v>4</v>
      </c>
      <c r="J1261" s="9">
        <v>14200</v>
      </c>
      <c r="K1261" s="7">
        <v>0.25</v>
      </c>
      <c r="L1261" s="9">
        <v>10650</v>
      </c>
      <c r="M1261" s="10">
        <f>Sales_Data3[[#This Row],[Profit]]/Sales_Data3[[#This Row],[Sales]]</f>
        <v>0.75</v>
      </c>
      <c r="N1261" t="str">
        <f t="shared" si="39"/>
        <v>High</v>
      </c>
      <c r="O1261" s="2">
        <v>45101</v>
      </c>
      <c r="P1261" s="9">
        <v>14200</v>
      </c>
    </row>
    <row r="1262" spans="1:16" x14ac:dyDescent="0.25">
      <c r="A1262" t="s">
        <v>1283</v>
      </c>
      <c r="B1262" s="2">
        <v>45102</v>
      </c>
      <c r="C1262">
        <v>2023</v>
      </c>
      <c r="D1262" t="str">
        <f t="shared" si="38"/>
        <v>Jun</v>
      </c>
      <c r="E1262" t="s">
        <v>12</v>
      </c>
      <c r="F1262" t="s">
        <v>15</v>
      </c>
      <c r="G1262" t="s">
        <v>19</v>
      </c>
      <c r="H1262" t="s">
        <v>23</v>
      </c>
      <c r="I1262">
        <v>10</v>
      </c>
      <c r="J1262" s="9">
        <v>8300</v>
      </c>
      <c r="K1262" s="7">
        <v>0.05</v>
      </c>
      <c r="L1262" s="9">
        <v>7885</v>
      </c>
      <c r="M1262" s="10">
        <f>Sales_Data3[[#This Row],[Profit]]/Sales_Data3[[#This Row],[Sales]]</f>
        <v>0.95</v>
      </c>
      <c r="N1262" t="str">
        <f t="shared" si="39"/>
        <v>Medium</v>
      </c>
      <c r="O1262" s="2">
        <v>45102</v>
      </c>
      <c r="P1262" s="9">
        <v>8300</v>
      </c>
    </row>
    <row r="1263" spans="1:16" x14ac:dyDescent="0.25">
      <c r="A1263" t="s">
        <v>1284</v>
      </c>
      <c r="B1263" s="2">
        <v>45103</v>
      </c>
      <c r="C1263">
        <v>2023</v>
      </c>
      <c r="D1263" t="str">
        <f t="shared" si="38"/>
        <v>Jun</v>
      </c>
      <c r="E1263" t="s">
        <v>12</v>
      </c>
      <c r="F1263" t="s">
        <v>17</v>
      </c>
      <c r="G1263" t="s">
        <v>20</v>
      </c>
      <c r="H1263" t="s">
        <v>23</v>
      </c>
      <c r="I1263">
        <v>7</v>
      </c>
      <c r="J1263" s="9">
        <v>11400</v>
      </c>
      <c r="K1263" s="7">
        <v>0.1</v>
      </c>
      <c r="L1263" s="9">
        <v>10260</v>
      </c>
      <c r="M1263" s="10">
        <f>Sales_Data3[[#This Row],[Profit]]/Sales_Data3[[#This Row],[Sales]]</f>
        <v>0.9</v>
      </c>
      <c r="N1263" t="str">
        <f t="shared" si="39"/>
        <v>High</v>
      </c>
      <c r="O1263" s="2">
        <v>45103</v>
      </c>
      <c r="P1263" s="9">
        <v>11400</v>
      </c>
    </row>
    <row r="1264" spans="1:16" x14ac:dyDescent="0.25">
      <c r="A1264" t="s">
        <v>1285</v>
      </c>
      <c r="B1264" s="2">
        <v>45104</v>
      </c>
      <c r="C1264">
        <v>2023</v>
      </c>
      <c r="D1264" t="str">
        <f t="shared" si="38"/>
        <v>Jun</v>
      </c>
      <c r="E1264" t="s">
        <v>12</v>
      </c>
      <c r="F1264" t="s">
        <v>2023</v>
      </c>
      <c r="G1264" t="s">
        <v>21</v>
      </c>
      <c r="H1264" t="s">
        <v>23</v>
      </c>
      <c r="I1264">
        <v>1</v>
      </c>
      <c r="J1264" s="9">
        <v>13400</v>
      </c>
      <c r="K1264" s="7">
        <v>0.15000000000000002</v>
      </c>
      <c r="L1264" s="9">
        <v>11390</v>
      </c>
      <c r="M1264" s="10">
        <f>Sales_Data3[[#This Row],[Profit]]/Sales_Data3[[#This Row],[Sales]]</f>
        <v>0.85</v>
      </c>
      <c r="N1264" t="str">
        <f t="shared" si="39"/>
        <v>High</v>
      </c>
      <c r="O1264" s="2">
        <v>45104</v>
      </c>
      <c r="P1264" s="9">
        <v>13400</v>
      </c>
    </row>
    <row r="1265" spans="1:16" x14ac:dyDescent="0.25">
      <c r="A1265" t="s">
        <v>1286</v>
      </c>
      <c r="B1265" s="2">
        <v>45105</v>
      </c>
      <c r="C1265">
        <v>2023</v>
      </c>
      <c r="D1265" t="str">
        <f t="shared" si="38"/>
        <v>Jun</v>
      </c>
      <c r="E1265" t="s">
        <v>12</v>
      </c>
      <c r="F1265" t="s">
        <v>18</v>
      </c>
      <c r="G1265" t="s">
        <v>22</v>
      </c>
      <c r="H1265" t="s">
        <v>23</v>
      </c>
      <c r="I1265">
        <v>3</v>
      </c>
      <c r="J1265" s="9">
        <v>5800</v>
      </c>
      <c r="K1265" s="7">
        <v>0.2</v>
      </c>
      <c r="L1265" s="9">
        <v>4640</v>
      </c>
      <c r="M1265" s="10">
        <f>Sales_Data3[[#This Row],[Profit]]/Sales_Data3[[#This Row],[Sales]]</f>
        <v>0.8</v>
      </c>
      <c r="N1265" t="str">
        <f t="shared" si="39"/>
        <v>Medium</v>
      </c>
      <c r="O1265" s="2">
        <v>45105</v>
      </c>
      <c r="P1265" s="9">
        <v>5800</v>
      </c>
    </row>
    <row r="1266" spans="1:16" x14ac:dyDescent="0.25">
      <c r="A1266" t="s">
        <v>1287</v>
      </c>
      <c r="B1266" s="2">
        <v>45106</v>
      </c>
      <c r="C1266">
        <v>2023</v>
      </c>
      <c r="D1266" t="str">
        <f t="shared" si="38"/>
        <v>Jun</v>
      </c>
      <c r="E1266" t="s">
        <v>12</v>
      </c>
      <c r="F1266" t="s">
        <v>2024</v>
      </c>
      <c r="G1266" t="s">
        <v>19</v>
      </c>
      <c r="H1266" t="s">
        <v>23</v>
      </c>
      <c r="I1266">
        <v>8</v>
      </c>
      <c r="J1266" s="9">
        <v>11000</v>
      </c>
      <c r="K1266" s="7">
        <v>0.25</v>
      </c>
      <c r="L1266" s="9">
        <v>8250</v>
      </c>
      <c r="M1266" s="10">
        <f>Sales_Data3[[#This Row],[Profit]]/Sales_Data3[[#This Row],[Sales]]</f>
        <v>0.75</v>
      </c>
      <c r="N1266" t="str">
        <f t="shared" si="39"/>
        <v>High</v>
      </c>
      <c r="O1266" s="2">
        <v>45106</v>
      </c>
      <c r="P1266" s="9">
        <v>11000</v>
      </c>
    </row>
    <row r="1267" spans="1:16" x14ac:dyDescent="0.25">
      <c r="A1267" t="s">
        <v>1288</v>
      </c>
      <c r="B1267" s="2">
        <v>45107</v>
      </c>
      <c r="C1267">
        <v>2023</v>
      </c>
      <c r="D1267" t="str">
        <f t="shared" si="38"/>
        <v>Jun</v>
      </c>
      <c r="E1267" t="s">
        <v>12</v>
      </c>
      <c r="F1267" t="s">
        <v>2025</v>
      </c>
      <c r="G1267" t="s">
        <v>20</v>
      </c>
      <c r="H1267" t="s">
        <v>23</v>
      </c>
      <c r="I1267">
        <v>1</v>
      </c>
      <c r="J1267" s="9">
        <v>14200</v>
      </c>
      <c r="K1267" s="7">
        <v>0.05</v>
      </c>
      <c r="L1267" s="9">
        <v>13490</v>
      </c>
      <c r="M1267" s="10">
        <f>Sales_Data3[[#This Row],[Profit]]/Sales_Data3[[#This Row],[Sales]]</f>
        <v>0.95</v>
      </c>
      <c r="N1267" t="str">
        <f t="shared" si="39"/>
        <v>High</v>
      </c>
      <c r="O1267" s="2">
        <v>45107</v>
      </c>
      <c r="P1267" s="9">
        <v>14200</v>
      </c>
    </row>
    <row r="1268" spans="1:16" x14ac:dyDescent="0.25">
      <c r="A1268" t="s">
        <v>1289</v>
      </c>
      <c r="B1268" s="2">
        <v>45108</v>
      </c>
      <c r="C1268">
        <v>2023</v>
      </c>
      <c r="D1268" t="str">
        <f t="shared" si="38"/>
        <v>Jul</v>
      </c>
      <c r="E1268" t="s">
        <v>12</v>
      </c>
      <c r="F1268" t="s">
        <v>2026</v>
      </c>
      <c r="G1268" t="s">
        <v>21</v>
      </c>
      <c r="H1268" t="s">
        <v>23</v>
      </c>
      <c r="I1268">
        <v>2</v>
      </c>
      <c r="J1268" s="9">
        <v>5500</v>
      </c>
      <c r="K1268" s="7">
        <v>0.1</v>
      </c>
      <c r="L1268" s="9">
        <v>4950</v>
      </c>
      <c r="M1268" s="10">
        <f>Sales_Data3[[#This Row],[Profit]]/Sales_Data3[[#This Row],[Sales]]</f>
        <v>0.9</v>
      </c>
      <c r="N1268" t="str">
        <f t="shared" si="39"/>
        <v>Medium</v>
      </c>
      <c r="O1268" s="2">
        <v>45108</v>
      </c>
      <c r="P1268" s="9">
        <v>5500</v>
      </c>
    </row>
    <row r="1269" spans="1:16" x14ac:dyDescent="0.25">
      <c r="A1269" t="s">
        <v>1290</v>
      </c>
      <c r="B1269" s="2">
        <v>45109</v>
      </c>
      <c r="C1269">
        <v>2023</v>
      </c>
      <c r="D1269" t="str">
        <f t="shared" si="38"/>
        <v>Jul</v>
      </c>
      <c r="E1269" t="s">
        <v>12</v>
      </c>
      <c r="F1269" t="s">
        <v>2027</v>
      </c>
      <c r="G1269" t="s">
        <v>22</v>
      </c>
      <c r="H1269" t="s">
        <v>23</v>
      </c>
      <c r="I1269">
        <v>1</v>
      </c>
      <c r="J1269" s="9">
        <v>10400</v>
      </c>
      <c r="K1269" s="7">
        <v>0.15000000000000002</v>
      </c>
      <c r="L1269" s="9">
        <v>8840</v>
      </c>
      <c r="M1269" s="10">
        <f>Sales_Data3[[#This Row],[Profit]]/Sales_Data3[[#This Row],[Sales]]</f>
        <v>0.85</v>
      </c>
      <c r="N1269" t="str">
        <f t="shared" si="39"/>
        <v>High</v>
      </c>
      <c r="O1269" s="2">
        <v>45109</v>
      </c>
      <c r="P1269" s="9">
        <v>10400</v>
      </c>
    </row>
    <row r="1270" spans="1:16" x14ac:dyDescent="0.25">
      <c r="A1270" t="s">
        <v>1291</v>
      </c>
      <c r="B1270" s="2">
        <v>45110</v>
      </c>
      <c r="C1270">
        <v>2023</v>
      </c>
      <c r="D1270" t="str">
        <f t="shared" si="38"/>
        <v>Jul</v>
      </c>
      <c r="E1270" t="s">
        <v>12</v>
      </c>
      <c r="F1270" t="s">
        <v>2028</v>
      </c>
      <c r="G1270" t="s">
        <v>19</v>
      </c>
      <c r="H1270" t="s">
        <v>23</v>
      </c>
      <c r="I1270">
        <v>2</v>
      </c>
      <c r="J1270" s="9">
        <v>6400</v>
      </c>
      <c r="K1270" s="7">
        <v>0.2</v>
      </c>
      <c r="L1270" s="9">
        <v>5120</v>
      </c>
      <c r="M1270" s="10">
        <f>Sales_Data3[[#This Row],[Profit]]/Sales_Data3[[#This Row],[Sales]]</f>
        <v>0.8</v>
      </c>
      <c r="N1270" t="str">
        <f t="shared" si="39"/>
        <v>Medium</v>
      </c>
      <c r="O1270" s="2">
        <v>45110</v>
      </c>
      <c r="P1270" s="9">
        <v>6400</v>
      </c>
    </row>
    <row r="1271" spans="1:16" x14ac:dyDescent="0.25">
      <c r="A1271" t="s">
        <v>1292</v>
      </c>
      <c r="B1271" s="2">
        <v>45111</v>
      </c>
      <c r="C1271">
        <v>2023</v>
      </c>
      <c r="D1271" t="str">
        <f t="shared" si="38"/>
        <v>Jul</v>
      </c>
      <c r="E1271" t="s">
        <v>12</v>
      </c>
      <c r="F1271" t="s">
        <v>2029</v>
      </c>
      <c r="G1271" t="s">
        <v>20</v>
      </c>
      <c r="H1271" t="s">
        <v>23</v>
      </c>
      <c r="I1271">
        <v>9</v>
      </c>
      <c r="J1271" s="9">
        <v>12300</v>
      </c>
      <c r="K1271" s="7">
        <v>0.25</v>
      </c>
      <c r="L1271" s="9">
        <v>9225</v>
      </c>
      <c r="M1271" s="10">
        <f>Sales_Data3[[#This Row],[Profit]]/Sales_Data3[[#This Row],[Sales]]</f>
        <v>0.75</v>
      </c>
      <c r="N1271" t="str">
        <f t="shared" si="39"/>
        <v>High</v>
      </c>
      <c r="O1271" s="2">
        <v>45111</v>
      </c>
      <c r="P1271" s="9">
        <v>12300</v>
      </c>
    </row>
    <row r="1272" spans="1:16" x14ac:dyDescent="0.25">
      <c r="A1272" t="s">
        <v>1293</v>
      </c>
      <c r="B1272" s="2">
        <v>45112</v>
      </c>
      <c r="C1272">
        <v>2023</v>
      </c>
      <c r="D1272" t="str">
        <f t="shared" si="38"/>
        <v>Jul</v>
      </c>
      <c r="E1272" t="s">
        <v>13</v>
      </c>
      <c r="F1272" t="s">
        <v>16</v>
      </c>
      <c r="G1272" t="s">
        <v>21</v>
      </c>
      <c r="H1272" t="s">
        <v>24</v>
      </c>
      <c r="I1272">
        <v>3</v>
      </c>
      <c r="J1272" s="9">
        <v>10300</v>
      </c>
      <c r="K1272" s="7">
        <v>0.05</v>
      </c>
      <c r="L1272" s="9">
        <v>9785</v>
      </c>
      <c r="M1272" s="10">
        <f>Sales_Data3[[#This Row],[Profit]]/Sales_Data3[[#This Row],[Sales]]</f>
        <v>0.95</v>
      </c>
      <c r="N1272" t="str">
        <f t="shared" si="39"/>
        <v>High</v>
      </c>
      <c r="O1272" s="2">
        <v>45112</v>
      </c>
      <c r="P1272" s="9">
        <v>10300</v>
      </c>
    </row>
    <row r="1273" spans="1:16" x14ac:dyDescent="0.25">
      <c r="A1273" t="s">
        <v>1294</v>
      </c>
      <c r="B1273" s="2">
        <v>45113</v>
      </c>
      <c r="C1273">
        <v>2023</v>
      </c>
      <c r="D1273" t="str">
        <f t="shared" si="38"/>
        <v>Jul</v>
      </c>
      <c r="E1273" t="s">
        <v>13</v>
      </c>
      <c r="F1273" t="s">
        <v>2030</v>
      </c>
      <c r="G1273" t="s">
        <v>22</v>
      </c>
      <c r="H1273" t="s">
        <v>24</v>
      </c>
      <c r="I1273">
        <v>8</v>
      </c>
      <c r="J1273" s="9">
        <v>9500</v>
      </c>
      <c r="K1273" s="7">
        <v>0.1</v>
      </c>
      <c r="L1273" s="9">
        <v>8550</v>
      </c>
      <c r="M1273" s="10">
        <f>Sales_Data3[[#This Row],[Profit]]/Sales_Data3[[#This Row],[Sales]]</f>
        <v>0.9</v>
      </c>
      <c r="N1273" t="str">
        <f t="shared" si="39"/>
        <v>Medium</v>
      </c>
      <c r="O1273" s="2">
        <v>45113</v>
      </c>
      <c r="P1273" s="9">
        <v>9500</v>
      </c>
    </row>
    <row r="1274" spans="1:16" x14ac:dyDescent="0.25">
      <c r="A1274" t="s">
        <v>1295</v>
      </c>
      <c r="B1274" s="2">
        <v>45114</v>
      </c>
      <c r="C1274">
        <v>2023</v>
      </c>
      <c r="D1274" t="str">
        <f t="shared" si="38"/>
        <v>Jul</v>
      </c>
      <c r="E1274" t="s">
        <v>13</v>
      </c>
      <c r="F1274" t="s">
        <v>2031</v>
      </c>
      <c r="G1274" t="s">
        <v>19</v>
      </c>
      <c r="H1274" t="s">
        <v>24</v>
      </c>
      <c r="I1274">
        <v>8</v>
      </c>
      <c r="J1274" s="9">
        <v>14500</v>
      </c>
      <c r="K1274" s="7">
        <v>0.15000000000000002</v>
      </c>
      <c r="L1274" s="9">
        <v>12325</v>
      </c>
      <c r="M1274" s="10">
        <f>Sales_Data3[[#This Row],[Profit]]/Sales_Data3[[#This Row],[Sales]]</f>
        <v>0.85</v>
      </c>
      <c r="N1274" t="str">
        <f t="shared" si="39"/>
        <v>High</v>
      </c>
      <c r="O1274" s="2">
        <v>45114</v>
      </c>
      <c r="P1274" s="9">
        <v>14500</v>
      </c>
    </row>
    <row r="1275" spans="1:16" x14ac:dyDescent="0.25">
      <c r="A1275" t="s">
        <v>1296</v>
      </c>
      <c r="B1275" s="2">
        <v>45115</v>
      </c>
      <c r="C1275">
        <v>2023</v>
      </c>
      <c r="D1275" t="str">
        <f t="shared" si="38"/>
        <v>Jul</v>
      </c>
      <c r="E1275" t="s">
        <v>13</v>
      </c>
      <c r="F1275" t="s">
        <v>2032</v>
      </c>
      <c r="G1275" t="s">
        <v>20</v>
      </c>
      <c r="H1275" t="s">
        <v>24</v>
      </c>
      <c r="I1275">
        <v>1</v>
      </c>
      <c r="J1275" s="9">
        <v>14500</v>
      </c>
      <c r="K1275" s="7">
        <v>0.2</v>
      </c>
      <c r="L1275" s="9">
        <v>11600</v>
      </c>
      <c r="M1275" s="10">
        <f>Sales_Data3[[#This Row],[Profit]]/Sales_Data3[[#This Row],[Sales]]</f>
        <v>0.8</v>
      </c>
      <c r="N1275" t="str">
        <f t="shared" si="39"/>
        <v>High</v>
      </c>
      <c r="O1275" s="2">
        <v>45115</v>
      </c>
      <c r="P1275" s="9">
        <v>14500</v>
      </c>
    </row>
    <row r="1276" spans="1:16" x14ac:dyDescent="0.25">
      <c r="A1276" t="s">
        <v>1297</v>
      </c>
      <c r="B1276" s="2">
        <v>45116</v>
      </c>
      <c r="C1276">
        <v>2023</v>
      </c>
      <c r="D1276" t="str">
        <f t="shared" si="38"/>
        <v>Jul</v>
      </c>
      <c r="E1276" t="s">
        <v>13</v>
      </c>
      <c r="F1276" t="s">
        <v>2033</v>
      </c>
      <c r="G1276" t="s">
        <v>21</v>
      </c>
      <c r="H1276" t="s">
        <v>24</v>
      </c>
      <c r="I1276">
        <v>2</v>
      </c>
      <c r="J1276" s="9">
        <v>10200</v>
      </c>
      <c r="K1276" s="7">
        <v>0.25</v>
      </c>
      <c r="L1276" s="9">
        <v>7650</v>
      </c>
      <c r="M1276" s="10">
        <f>Sales_Data3[[#This Row],[Profit]]/Sales_Data3[[#This Row],[Sales]]</f>
        <v>0.75</v>
      </c>
      <c r="N1276" t="str">
        <f t="shared" si="39"/>
        <v>High</v>
      </c>
      <c r="O1276" s="2">
        <v>45116</v>
      </c>
      <c r="P1276" s="9">
        <v>10200</v>
      </c>
    </row>
    <row r="1277" spans="1:16" x14ac:dyDescent="0.25">
      <c r="A1277" t="s">
        <v>1298</v>
      </c>
      <c r="B1277" s="2">
        <v>45117</v>
      </c>
      <c r="C1277">
        <v>2023</v>
      </c>
      <c r="D1277" t="str">
        <f t="shared" si="38"/>
        <v>Jul</v>
      </c>
      <c r="E1277" t="s">
        <v>13</v>
      </c>
      <c r="F1277" t="s">
        <v>2034</v>
      </c>
      <c r="G1277" t="s">
        <v>22</v>
      </c>
      <c r="H1277" t="s">
        <v>24</v>
      </c>
      <c r="I1277">
        <v>10</v>
      </c>
      <c r="J1277" s="9">
        <v>12200</v>
      </c>
      <c r="K1277" s="7">
        <v>0.05</v>
      </c>
      <c r="L1277" s="9">
        <v>11590</v>
      </c>
      <c r="M1277" s="10">
        <f>Sales_Data3[[#This Row],[Profit]]/Sales_Data3[[#This Row],[Sales]]</f>
        <v>0.95</v>
      </c>
      <c r="N1277" t="str">
        <f t="shared" si="39"/>
        <v>High</v>
      </c>
      <c r="O1277" s="2">
        <v>45117</v>
      </c>
      <c r="P1277" s="9">
        <v>12200</v>
      </c>
    </row>
    <row r="1278" spans="1:16" x14ac:dyDescent="0.25">
      <c r="A1278" t="s">
        <v>1299</v>
      </c>
      <c r="B1278" s="2">
        <v>45118</v>
      </c>
      <c r="C1278">
        <v>2023</v>
      </c>
      <c r="D1278" t="str">
        <f t="shared" si="38"/>
        <v>Jul</v>
      </c>
      <c r="E1278" t="s">
        <v>13</v>
      </c>
      <c r="F1278" t="s">
        <v>2035</v>
      </c>
      <c r="G1278" t="s">
        <v>19</v>
      </c>
      <c r="H1278" t="s">
        <v>24</v>
      </c>
      <c r="I1278">
        <v>2</v>
      </c>
      <c r="J1278" s="9">
        <v>5800</v>
      </c>
      <c r="K1278" s="7">
        <v>0.1</v>
      </c>
      <c r="L1278" s="9">
        <v>5220</v>
      </c>
      <c r="M1278" s="10">
        <f>Sales_Data3[[#This Row],[Profit]]/Sales_Data3[[#This Row],[Sales]]</f>
        <v>0.9</v>
      </c>
      <c r="N1278" t="str">
        <f t="shared" si="39"/>
        <v>Medium</v>
      </c>
      <c r="O1278" s="2">
        <v>45118</v>
      </c>
      <c r="P1278" s="9">
        <v>5800</v>
      </c>
    </row>
    <row r="1279" spans="1:16" x14ac:dyDescent="0.25">
      <c r="A1279" t="s">
        <v>1300</v>
      </c>
      <c r="B1279" s="2">
        <v>45119</v>
      </c>
      <c r="C1279">
        <v>2023</v>
      </c>
      <c r="D1279" t="str">
        <f t="shared" si="38"/>
        <v>Jul</v>
      </c>
      <c r="E1279" t="s">
        <v>13</v>
      </c>
      <c r="F1279" t="s">
        <v>2036</v>
      </c>
      <c r="G1279" t="s">
        <v>20</v>
      </c>
      <c r="H1279" t="s">
        <v>24</v>
      </c>
      <c r="I1279">
        <v>6</v>
      </c>
      <c r="J1279" s="9">
        <v>6300</v>
      </c>
      <c r="K1279" s="7">
        <v>0.15000000000000002</v>
      </c>
      <c r="L1279" s="9">
        <v>5355</v>
      </c>
      <c r="M1279" s="10">
        <f>Sales_Data3[[#This Row],[Profit]]/Sales_Data3[[#This Row],[Sales]]</f>
        <v>0.85</v>
      </c>
      <c r="N1279" t="str">
        <f t="shared" si="39"/>
        <v>Medium</v>
      </c>
      <c r="O1279" s="2">
        <v>45119</v>
      </c>
      <c r="P1279" s="9">
        <v>6300</v>
      </c>
    </row>
    <row r="1280" spans="1:16" x14ac:dyDescent="0.25">
      <c r="A1280" t="s">
        <v>1301</v>
      </c>
      <c r="B1280" s="2">
        <v>45120</v>
      </c>
      <c r="C1280">
        <v>2023</v>
      </c>
      <c r="D1280" t="str">
        <f t="shared" si="38"/>
        <v>Jul</v>
      </c>
      <c r="E1280" t="s">
        <v>13</v>
      </c>
      <c r="F1280" t="s">
        <v>2037</v>
      </c>
      <c r="G1280" t="s">
        <v>21</v>
      </c>
      <c r="H1280" t="s">
        <v>24</v>
      </c>
      <c r="I1280">
        <v>3</v>
      </c>
      <c r="J1280" s="9">
        <v>14300</v>
      </c>
      <c r="K1280" s="7">
        <v>0.2</v>
      </c>
      <c r="L1280" s="9">
        <v>11440</v>
      </c>
      <c r="M1280" s="10">
        <f>Sales_Data3[[#This Row],[Profit]]/Sales_Data3[[#This Row],[Sales]]</f>
        <v>0.8</v>
      </c>
      <c r="N1280" t="str">
        <f t="shared" si="39"/>
        <v>High</v>
      </c>
      <c r="O1280" s="2">
        <v>45120</v>
      </c>
      <c r="P1280" s="9">
        <v>14300</v>
      </c>
    </row>
    <row r="1281" spans="1:16" x14ac:dyDescent="0.25">
      <c r="A1281" t="s">
        <v>1302</v>
      </c>
      <c r="B1281" s="2">
        <v>45121</v>
      </c>
      <c r="C1281">
        <v>2023</v>
      </c>
      <c r="D1281" t="str">
        <f t="shared" si="38"/>
        <v>Jul</v>
      </c>
      <c r="E1281" t="s">
        <v>13</v>
      </c>
      <c r="F1281" t="s">
        <v>2038</v>
      </c>
      <c r="G1281" t="s">
        <v>22</v>
      </c>
      <c r="H1281" t="s">
        <v>24</v>
      </c>
      <c r="I1281">
        <v>9</v>
      </c>
      <c r="J1281" s="9">
        <v>6500</v>
      </c>
      <c r="K1281" s="7">
        <v>0.25</v>
      </c>
      <c r="L1281" s="9">
        <v>4875</v>
      </c>
      <c r="M1281" s="10">
        <f>Sales_Data3[[#This Row],[Profit]]/Sales_Data3[[#This Row],[Sales]]</f>
        <v>0.75</v>
      </c>
      <c r="N1281" t="str">
        <f t="shared" si="39"/>
        <v>Medium</v>
      </c>
      <c r="O1281" s="2">
        <v>45121</v>
      </c>
      <c r="P1281" s="9">
        <v>6500</v>
      </c>
    </row>
    <row r="1282" spans="1:16" x14ac:dyDescent="0.25">
      <c r="A1282" t="s">
        <v>1303</v>
      </c>
      <c r="B1282" s="2">
        <v>45122</v>
      </c>
      <c r="C1282">
        <v>2023</v>
      </c>
      <c r="D1282" t="str">
        <f t="shared" ref="D1282:D1345" si="40">TEXT(B1282,"MMM")</f>
        <v>Jul</v>
      </c>
      <c r="E1282" t="s">
        <v>14</v>
      </c>
      <c r="F1282" t="s">
        <v>2039</v>
      </c>
      <c r="G1282" t="s">
        <v>19</v>
      </c>
      <c r="H1282" t="s">
        <v>25</v>
      </c>
      <c r="I1282">
        <v>2</v>
      </c>
      <c r="J1282" s="9">
        <v>10300</v>
      </c>
      <c r="K1282" s="7">
        <v>0.05</v>
      </c>
      <c r="L1282" s="9">
        <v>9785</v>
      </c>
      <c r="M1282" s="10">
        <f>Sales_Data3[[#This Row],[Profit]]/Sales_Data3[[#This Row],[Sales]]</f>
        <v>0.95</v>
      </c>
      <c r="N1282" t="str">
        <f t="shared" ref="N1282:N1345" si="41">IF(J1282&gt;10000,"High",IF(J1282&gt;5000,"Medium","Low"))</f>
        <v>High</v>
      </c>
      <c r="O1282" s="2">
        <v>45122</v>
      </c>
      <c r="P1282" s="9">
        <v>10300</v>
      </c>
    </row>
    <row r="1283" spans="1:16" x14ac:dyDescent="0.25">
      <c r="A1283" t="s">
        <v>1304</v>
      </c>
      <c r="B1283" s="2">
        <v>45123</v>
      </c>
      <c r="C1283">
        <v>2023</v>
      </c>
      <c r="D1283" t="str">
        <f t="shared" si="40"/>
        <v>Jul</v>
      </c>
      <c r="E1283" t="s">
        <v>14</v>
      </c>
      <c r="F1283" t="s">
        <v>2040</v>
      </c>
      <c r="G1283" t="s">
        <v>20</v>
      </c>
      <c r="H1283" t="s">
        <v>25</v>
      </c>
      <c r="I1283">
        <v>7</v>
      </c>
      <c r="J1283" s="9">
        <v>7200</v>
      </c>
      <c r="K1283" s="7">
        <v>0.1</v>
      </c>
      <c r="L1283" s="9">
        <v>6480</v>
      </c>
      <c r="M1283" s="10">
        <f>Sales_Data3[[#This Row],[Profit]]/Sales_Data3[[#This Row],[Sales]]</f>
        <v>0.9</v>
      </c>
      <c r="N1283" t="str">
        <f t="shared" si="41"/>
        <v>Medium</v>
      </c>
      <c r="O1283" s="2">
        <v>45123</v>
      </c>
      <c r="P1283" s="9">
        <v>7200</v>
      </c>
    </row>
    <row r="1284" spans="1:16" x14ac:dyDescent="0.25">
      <c r="A1284" t="s">
        <v>1305</v>
      </c>
      <c r="B1284" s="2">
        <v>45124</v>
      </c>
      <c r="C1284">
        <v>2023</v>
      </c>
      <c r="D1284" t="str">
        <f t="shared" si="40"/>
        <v>Jul</v>
      </c>
      <c r="E1284" t="s">
        <v>14</v>
      </c>
      <c r="F1284" t="s">
        <v>2041</v>
      </c>
      <c r="G1284" t="s">
        <v>21</v>
      </c>
      <c r="H1284" t="s">
        <v>25</v>
      </c>
      <c r="I1284">
        <v>6</v>
      </c>
      <c r="J1284" s="9">
        <v>13400</v>
      </c>
      <c r="K1284" s="7">
        <v>0.15000000000000002</v>
      </c>
      <c r="L1284" s="9">
        <v>11390</v>
      </c>
      <c r="M1284" s="10">
        <f>Sales_Data3[[#This Row],[Profit]]/Sales_Data3[[#This Row],[Sales]]</f>
        <v>0.85</v>
      </c>
      <c r="N1284" t="str">
        <f t="shared" si="41"/>
        <v>High</v>
      </c>
      <c r="O1284" s="2">
        <v>45124</v>
      </c>
      <c r="P1284" s="9">
        <v>13400</v>
      </c>
    </row>
    <row r="1285" spans="1:16" x14ac:dyDescent="0.25">
      <c r="A1285" t="s">
        <v>1306</v>
      </c>
      <c r="B1285" s="2">
        <v>45125</v>
      </c>
      <c r="C1285">
        <v>2023</v>
      </c>
      <c r="D1285" t="str">
        <f t="shared" si="40"/>
        <v>Jul</v>
      </c>
      <c r="E1285" t="s">
        <v>14</v>
      </c>
      <c r="F1285" t="s">
        <v>2042</v>
      </c>
      <c r="G1285" t="s">
        <v>22</v>
      </c>
      <c r="H1285" t="s">
        <v>25</v>
      </c>
      <c r="I1285">
        <v>3</v>
      </c>
      <c r="J1285" s="9">
        <v>9200</v>
      </c>
      <c r="K1285" s="7">
        <v>0.2</v>
      </c>
      <c r="L1285" s="9">
        <v>7360</v>
      </c>
      <c r="M1285" s="10">
        <f>Sales_Data3[[#This Row],[Profit]]/Sales_Data3[[#This Row],[Sales]]</f>
        <v>0.8</v>
      </c>
      <c r="N1285" t="str">
        <f t="shared" si="41"/>
        <v>Medium</v>
      </c>
      <c r="O1285" s="2">
        <v>45125</v>
      </c>
      <c r="P1285" s="9">
        <v>9200</v>
      </c>
    </row>
    <row r="1286" spans="1:16" x14ac:dyDescent="0.25">
      <c r="A1286" t="s">
        <v>1307</v>
      </c>
      <c r="B1286" s="2">
        <v>45126</v>
      </c>
      <c r="C1286">
        <v>2023</v>
      </c>
      <c r="D1286" t="str">
        <f t="shared" si="40"/>
        <v>Jul</v>
      </c>
      <c r="E1286" t="s">
        <v>14</v>
      </c>
      <c r="F1286" t="s">
        <v>2043</v>
      </c>
      <c r="G1286" t="s">
        <v>19</v>
      </c>
      <c r="H1286" t="s">
        <v>25</v>
      </c>
      <c r="I1286">
        <v>10</v>
      </c>
      <c r="J1286" s="9">
        <v>8800</v>
      </c>
      <c r="K1286" s="7">
        <v>0.25</v>
      </c>
      <c r="L1286" s="9">
        <v>6600</v>
      </c>
      <c r="M1286" s="10">
        <f>Sales_Data3[[#This Row],[Profit]]/Sales_Data3[[#This Row],[Sales]]</f>
        <v>0.75</v>
      </c>
      <c r="N1286" t="str">
        <f t="shared" si="41"/>
        <v>Medium</v>
      </c>
      <c r="O1286" s="2">
        <v>45126</v>
      </c>
      <c r="P1286" s="9">
        <v>8800</v>
      </c>
    </row>
    <row r="1287" spans="1:16" x14ac:dyDescent="0.25">
      <c r="A1287" t="s">
        <v>1308</v>
      </c>
      <c r="B1287" s="2">
        <v>45127</v>
      </c>
      <c r="C1287">
        <v>2023</v>
      </c>
      <c r="D1287" t="str">
        <f t="shared" si="40"/>
        <v>Jul</v>
      </c>
      <c r="E1287" t="s">
        <v>14</v>
      </c>
      <c r="F1287" t="s">
        <v>2044</v>
      </c>
      <c r="G1287" t="s">
        <v>20</v>
      </c>
      <c r="H1287" t="s">
        <v>25</v>
      </c>
      <c r="I1287">
        <v>3</v>
      </c>
      <c r="J1287" s="9">
        <v>13000</v>
      </c>
      <c r="K1287" s="7">
        <v>0.05</v>
      </c>
      <c r="L1287" s="9">
        <v>12350</v>
      </c>
      <c r="M1287" s="10">
        <f>Sales_Data3[[#This Row],[Profit]]/Sales_Data3[[#This Row],[Sales]]</f>
        <v>0.95</v>
      </c>
      <c r="N1287" t="str">
        <f t="shared" si="41"/>
        <v>High</v>
      </c>
      <c r="O1287" s="2">
        <v>45127</v>
      </c>
      <c r="P1287" s="9">
        <v>13000</v>
      </c>
    </row>
    <row r="1288" spans="1:16" x14ac:dyDescent="0.25">
      <c r="A1288" t="s">
        <v>1309</v>
      </c>
      <c r="B1288" s="2">
        <v>45128</v>
      </c>
      <c r="C1288">
        <v>2023</v>
      </c>
      <c r="D1288" t="str">
        <f t="shared" si="40"/>
        <v>Jul</v>
      </c>
      <c r="E1288" t="s">
        <v>14</v>
      </c>
      <c r="F1288" t="s">
        <v>2045</v>
      </c>
      <c r="G1288" t="s">
        <v>21</v>
      </c>
      <c r="H1288" t="s">
        <v>25</v>
      </c>
      <c r="I1288">
        <v>8</v>
      </c>
      <c r="J1288" s="9">
        <v>4500</v>
      </c>
      <c r="K1288" s="7">
        <v>0.1</v>
      </c>
      <c r="L1288" s="9">
        <v>4050</v>
      </c>
      <c r="M1288" s="10">
        <f>Sales_Data3[[#This Row],[Profit]]/Sales_Data3[[#This Row],[Sales]]</f>
        <v>0.9</v>
      </c>
      <c r="N1288" t="str">
        <f t="shared" si="41"/>
        <v>Low</v>
      </c>
      <c r="O1288" s="2">
        <v>45128</v>
      </c>
      <c r="P1288" s="9">
        <v>4500</v>
      </c>
    </row>
    <row r="1289" spans="1:16" x14ac:dyDescent="0.25">
      <c r="A1289" t="s">
        <v>1310</v>
      </c>
      <c r="B1289" s="2">
        <v>45129</v>
      </c>
      <c r="C1289">
        <v>2023</v>
      </c>
      <c r="D1289" t="str">
        <f t="shared" si="40"/>
        <v>Jul</v>
      </c>
      <c r="E1289" t="s">
        <v>14</v>
      </c>
      <c r="F1289" t="s">
        <v>2046</v>
      </c>
      <c r="G1289" t="s">
        <v>22</v>
      </c>
      <c r="H1289" t="s">
        <v>25</v>
      </c>
      <c r="I1289">
        <v>8</v>
      </c>
      <c r="J1289" s="9">
        <v>10600</v>
      </c>
      <c r="K1289" s="7">
        <v>0.15000000000000002</v>
      </c>
      <c r="L1289" s="9">
        <v>9010</v>
      </c>
      <c r="M1289" s="10">
        <f>Sales_Data3[[#This Row],[Profit]]/Sales_Data3[[#This Row],[Sales]]</f>
        <v>0.85</v>
      </c>
      <c r="N1289" t="str">
        <f t="shared" si="41"/>
        <v>High</v>
      </c>
      <c r="O1289" s="2">
        <v>45129</v>
      </c>
      <c r="P1289" s="9">
        <v>10600</v>
      </c>
    </row>
    <row r="1290" spans="1:16" x14ac:dyDescent="0.25">
      <c r="A1290" t="s">
        <v>1311</v>
      </c>
      <c r="B1290" s="2">
        <v>45130</v>
      </c>
      <c r="C1290">
        <v>2023</v>
      </c>
      <c r="D1290" t="str">
        <f t="shared" si="40"/>
        <v>Jul</v>
      </c>
      <c r="E1290" t="s">
        <v>14</v>
      </c>
      <c r="F1290" t="s">
        <v>2047</v>
      </c>
      <c r="G1290" t="s">
        <v>19</v>
      </c>
      <c r="H1290" t="s">
        <v>25</v>
      </c>
      <c r="I1290">
        <v>5</v>
      </c>
      <c r="J1290" s="9">
        <v>4000</v>
      </c>
      <c r="K1290" s="7">
        <v>0.2</v>
      </c>
      <c r="L1290" s="9">
        <v>3200</v>
      </c>
      <c r="M1290" s="10">
        <f>Sales_Data3[[#This Row],[Profit]]/Sales_Data3[[#This Row],[Sales]]</f>
        <v>0.8</v>
      </c>
      <c r="N1290" t="str">
        <f t="shared" si="41"/>
        <v>Low</v>
      </c>
      <c r="O1290" s="2">
        <v>45130</v>
      </c>
      <c r="P1290" s="9">
        <v>4000</v>
      </c>
    </row>
    <row r="1291" spans="1:16" x14ac:dyDescent="0.25">
      <c r="A1291" t="s">
        <v>1312</v>
      </c>
      <c r="B1291" s="2">
        <v>45131</v>
      </c>
      <c r="C1291">
        <v>2023</v>
      </c>
      <c r="D1291" t="str">
        <f t="shared" si="40"/>
        <v>Jul</v>
      </c>
      <c r="E1291" t="s">
        <v>14</v>
      </c>
      <c r="F1291" t="s">
        <v>2048</v>
      </c>
      <c r="G1291" t="s">
        <v>20</v>
      </c>
      <c r="H1291" t="s">
        <v>25</v>
      </c>
      <c r="I1291">
        <v>9</v>
      </c>
      <c r="J1291" s="9">
        <v>8000</v>
      </c>
      <c r="K1291" s="7">
        <v>0.25</v>
      </c>
      <c r="L1291" s="9">
        <v>6000</v>
      </c>
      <c r="M1291" s="10">
        <f>Sales_Data3[[#This Row],[Profit]]/Sales_Data3[[#This Row],[Sales]]</f>
        <v>0.75</v>
      </c>
      <c r="N1291" t="str">
        <f t="shared" si="41"/>
        <v>Medium</v>
      </c>
      <c r="O1291" s="2">
        <v>45131</v>
      </c>
      <c r="P1291" s="9">
        <v>8000</v>
      </c>
    </row>
    <row r="1292" spans="1:16" x14ac:dyDescent="0.25">
      <c r="A1292" t="s">
        <v>1313</v>
      </c>
      <c r="B1292" s="2">
        <v>45132</v>
      </c>
      <c r="C1292">
        <v>2023</v>
      </c>
      <c r="D1292" t="str">
        <f t="shared" si="40"/>
        <v>Jul</v>
      </c>
      <c r="E1292" t="s">
        <v>12</v>
      </c>
      <c r="F1292" t="s">
        <v>15</v>
      </c>
      <c r="G1292" t="s">
        <v>21</v>
      </c>
      <c r="H1292" t="s">
        <v>23</v>
      </c>
      <c r="I1292">
        <v>1</v>
      </c>
      <c r="J1292" s="9">
        <v>7600</v>
      </c>
      <c r="K1292" s="7">
        <v>0.05</v>
      </c>
      <c r="L1292" s="9">
        <v>7220</v>
      </c>
      <c r="M1292" s="10">
        <f>Sales_Data3[[#This Row],[Profit]]/Sales_Data3[[#This Row],[Sales]]</f>
        <v>0.95</v>
      </c>
      <c r="N1292" t="str">
        <f t="shared" si="41"/>
        <v>Medium</v>
      </c>
      <c r="O1292" s="2">
        <v>45132</v>
      </c>
      <c r="P1292" s="9">
        <v>7600</v>
      </c>
    </row>
    <row r="1293" spans="1:16" x14ac:dyDescent="0.25">
      <c r="A1293" t="s">
        <v>1314</v>
      </c>
      <c r="B1293" s="2">
        <v>45133</v>
      </c>
      <c r="C1293">
        <v>2023</v>
      </c>
      <c r="D1293" t="str">
        <f t="shared" si="40"/>
        <v>Jul</v>
      </c>
      <c r="E1293" t="s">
        <v>12</v>
      </c>
      <c r="F1293" t="s">
        <v>17</v>
      </c>
      <c r="G1293" t="s">
        <v>22</v>
      </c>
      <c r="H1293" t="s">
        <v>23</v>
      </c>
      <c r="I1293">
        <v>7</v>
      </c>
      <c r="J1293" s="9">
        <v>8800</v>
      </c>
      <c r="K1293" s="7">
        <v>0.1</v>
      </c>
      <c r="L1293" s="9">
        <v>7920</v>
      </c>
      <c r="M1293" s="10">
        <f>Sales_Data3[[#This Row],[Profit]]/Sales_Data3[[#This Row],[Sales]]</f>
        <v>0.9</v>
      </c>
      <c r="N1293" t="str">
        <f t="shared" si="41"/>
        <v>Medium</v>
      </c>
      <c r="O1293" s="2">
        <v>45133</v>
      </c>
      <c r="P1293" s="9">
        <v>8800</v>
      </c>
    </row>
    <row r="1294" spans="1:16" x14ac:dyDescent="0.25">
      <c r="A1294" t="s">
        <v>1315</v>
      </c>
      <c r="B1294" s="2">
        <v>45134</v>
      </c>
      <c r="C1294">
        <v>2023</v>
      </c>
      <c r="D1294" t="str">
        <f t="shared" si="40"/>
        <v>Jul</v>
      </c>
      <c r="E1294" t="s">
        <v>12</v>
      </c>
      <c r="F1294" t="s">
        <v>2023</v>
      </c>
      <c r="G1294" t="s">
        <v>19</v>
      </c>
      <c r="H1294" t="s">
        <v>23</v>
      </c>
      <c r="I1294">
        <v>2</v>
      </c>
      <c r="J1294" s="9">
        <v>10500</v>
      </c>
      <c r="K1294" s="7">
        <v>0.15000000000000002</v>
      </c>
      <c r="L1294" s="9">
        <v>8925</v>
      </c>
      <c r="M1294" s="10">
        <f>Sales_Data3[[#This Row],[Profit]]/Sales_Data3[[#This Row],[Sales]]</f>
        <v>0.85</v>
      </c>
      <c r="N1294" t="str">
        <f t="shared" si="41"/>
        <v>High</v>
      </c>
      <c r="O1294" s="2">
        <v>45134</v>
      </c>
      <c r="P1294" s="9">
        <v>10500</v>
      </c>
    </row>
    <row r="1295" spans="1:16" x14ac:dyDescent="0.25">
      <c r="A1295" t="s">
        <v>1316</v>
      </c>
      <c r="B1295" s="2">
        <v>45135</v>
      </c>
      <c r="C1295">
        <v>2023</v>
      </c>
      <c r="D1295" t="str">
        <f t="shared" si="40"/>
        <v>Jul</v>
      </c>
      <c r="E1295" t="s">
        <v>12</v>
      </c>
      <c r="F1295" t="s">
        <v>18</v>
      </c>
      <c r="G1295" t="s">
        <v>20</v>
      </c>
      <c r="H1295" t="s">
        <v>23</v>
      </c>
      <c r="I1295">
        <v>10</v>
      </c>
      <c r="J1295" s="9">
        <v>6500</v>
      </c>
      <c r="K1295" s="7">
        <v>0.2</v>
      </c>
      <c r="L1295" s="9">
        <v>5200</v>
      </c>
      <c r="M1295" s="10">
        <f>Sales_Data3[[#This Row],[Profit]]/Sales_Data3[[#This Row],[Sales]]</f>
        <v>0.8</v>
      </c>
      <c r="N1295" t="str">
        <f t="shared" si="41"/>
        <v>Medium</v>
      </c>
      <c r="O1295" s="2">
        <v>45135</v>
      </c>
      <c r="P1295" s="9">
        <v>6500</v>
      </c>
    </row>
    <row r="1296" spans="1:16" x14ac:dyDescent="0.25">
      <c r="A1296" t="s">
        <v>1317</v>
      </c>
      <c r="B1296" s="2">
        <v>45136</v>
      </c>
      <c r="C1296">
        <v>2023</v>
      </c>
      <c r="D1296" t="str">
        <f t="shared" si="40"/>
        <v>Jul</v>
      </c>
      <c r="E1296" t="s">
        <v>12</v>
      </c>
      <c r="F1296" t="s">
        <v>2024</v>
      </c>
      <c r="G1296" t="s">
        <v>21</v>
      </c>
      <c r="H1296" t="s">
        <v>23</v>
      </c>
      <c r="I1296">
        <v>2</v>
      </c>
      <c r="J1296" s="9">
        <v>9500</v>
      </c>
      <c r="K1296" s="7">
        <v>0.25</v>
      </c>
      <c r="L1296" s="9">
        <v>7125</v>
      </c>
      <c r="M1296" s="10">
        <f>Sales_Data3[[#This Row],[Profit]]/Sales_Data3[[#This Row],[Sales]]</f>
        <v>0.75</v>
      </c>
      <c r="N1296" t="str">
        <f t="shared" si="41"/>
        <v>Medium</v>
      </c>
      <c r="O1296" s="2">
        <v>45136</v>
      </c>
      <c r="P1296" s="9">
        <v>9500</v>
      </c>
    </row>
    <row r="1297" spans="1:16" x14ac:dyDescent="0.25">
      <c r="A1297" t="s">
        <v>1318</v>
      </c>
      <c r="B1297" s="2">
        <v>45137</v>
      </c>
      <c r="C1297">
        <v>2023</v>
      </c>
      <c r="D1297" t="str">
        <f t="shared" si="40"/>
        <v>Jul</v>
      </c>
      <c r="E1297" t="s">
        <v>12</v>
      </c>
      <c r="F1297" t="s">
        <v>2025</v>
      </c>
      <c r="G1297" t="s">
        <v>22</v>
      </c>
      <c r="H1297" t="s">
        <v>23</v>
      </c>
      <c r="I1297">
        <v>8</v>
      </c>
      <c r="J1297" s="9">
        <v>7500</v>
      </c>
      <c r="K1297" s="7">
        <v>0.05</v>
      </c>
      <c r="L1297" s="9">
        <v>7125</v>
      </c>
      <c r="M1297" s="10">
        <f>Sales_Data3[[#This Row],[Profit]]/Sales_Data3[[#This Row],[Sales]]</f>
        <v>0.95</v>
      </c>
      <c r="N1297" t="str">
        <f t="shared" si="41"/>
        <v>Medium</v>
      </c>
      <c r="O1297" s="2">
        <v>45137</v>
      </c>
      <c r="P1297" s="9">
        <v>7500</v>
      </c>
    </row>
    <row r="1298" spans="1:16" x14ac:dyDescent="0.25">
      <c r="A1298" t="s">
        <v>1319</v>
      </c>
      <c r="B1298" s="2">
        <v>45138</v>
      </c>
      <c r="C1298">
        <v>2023</v>
      </c>
      <c r="D1298" t="str">
        <f t="shared" si="40"/>
        <v>Jul</v>
      </c>
      <c r="E1298" t="s">
        <v>12</v>
      </c>
      <c r="F1298" t="s">
        <v>2026</v>
      </c>
      <c r="G1298" t="s">
        <v>19</v>
      </c>
      <c r="H1298" t="s">
        <v>23</v>
      </c>
      <c r="I1298">
        <v>10</v>
      </c>
      <c r="J1298" s="9">
        <v>14800</v>
      </c>
      <c r="K1298" s="7">
        <v>0.1</v>
      </c>
      <c r="L1298" s="9">
        <v>13320</v>
      </c>
      <c r="M1298" s="10">
        <f>Sales_Data3[[#This Row],[Profit]]/Sales_Data3[[#This Row],[Sales]]</f>
        <v>0.9</v>
      </c>
      <c r="N1298" t="str">
        <f t="shared" si="41"/>
        <v>High</v>
      </c>
      <c r="O1298" s="2">
        <v>45138</v>
      </c>
      <c r="P1298" s="9">
        <v>14800</v>
      </c>
    </row>
    <row r="1299" spans="1:16" x14ac:dyDescent="0.25">
      <c r="A1299" t="s">
        <v>1320</v>
      </c>
      <c r="B1299" s="2">
        <v>45139</v>
      </c>
      <c r="C1299">
        <v>2023</v>
      </c>
      <c r="D1299" t="str">
        <f t="shared" si="40"/>
        <v>Aug</v>
      </c>
      <c r="E1299" t="s">
        <v>12</v>
      </c>
      <c r="F1299" t="s">
        <v>2027</v>
      </c>
      <c r="G1299" t="s">
        <v>20</v>
      </c>
      <c r="H1299" t="s">
        <v>23</v>
      </c>
      <c r="I1299">
        <v>10</v>
      </c>
      <c r="J1299" s="9">
        <v>4800</v>
      </c>
      <c r="K1299" s="7">
        <v>0.15000000000000002</v>
      </c>
      <c r="L1299" s="9">
        <v>4080</v>
      </c>
      <c r="M1299" s="10">
        <f>Sales_Data3[[#This Row],[Profit]]/Sales_Data3[[#This Row],[Sales]]</f>
        <v>0.85</v>
      </c>
      <c r="N1299" t="str">
        <f t="shared" si="41"/>
        <v>Low</v>
      </c>
      <c r="O1299" s="2">
        <v>45139</v>
      </c>
      <c r="P1299" s="9">
        <v>4800</v>
      </c>
    </row>
    <row r="1300" spans="1:16" x14ac:dyDescent="0.25">
      <c r="A1300" t="s">
        <v>1321</v>
      </c>
      <c r="B1300" s="2">
        <v>45140</v>
      </c>
      <c r="C1300">
        <v>2023</v>
      </c>
      <c r="D1300" t="str">
        <f t="shared" si="40"/>
        <v>Aug</v>
      </c>
      <c r="E1300" t="s">
        <v>12</v>
      </c>
      <c r="F1300" t="s">
        <v>2028</v>
      </c>
      <c r="G1300" t="s">
        <v>21</v>
      </c>
      <c r="H1300" t="s">
        <v>23</v>
      </c>
      <c r="I1300">
        <v>8</v>
      </c>
      <c r="J1300" s="9">
        <v>11600</v>
      </c>
      <c r="K1300" s="7">
        <v>0.2</v>
      </c>
      <c r="L1300" s="9">
        <v>9280</v>
      </c>
      <c r="M1300" s="10">
        <f>Sales_Data3[[#This Row],[Profit]]/Sales_Data3[[#This Row],[Sales]]</f>
        <v>0.8</v>
      </c>
      <c r="N1300" t="str">
        <f t="shared" si="41"/>
        <v>High</v>
      </c>
      <c r="O1300" s="2">
        <v>45140</v>
      </c>
      <c r="P1300" s="9">
        <v>11600</v>
      </c>
    </row>
    <row r="1301" spans="1:16" x14ac:dyDescent="0.25">
      <c r="A1301" t="s">
        <v>1322</v>
      </c>
      <c r="B1301" s="2">
        <v>45141</v>
      </c>
      <c r="C1301">
        <v>2023</v>
      </c>
      <c r="D1301" t="str">
        <f t="shared" si="40"/>
        <v>Aug</v>
      </c>
      <c r="E1301" t="s">
        <v>12</v>
      </c>
      <c r="F1301" t="s">
        <v>2029</v>
      </c>
      <c r="G1301" t="s">
        <v>22</v>
      </c>
      <c r="H1301" t="s">
        <v>23</v>
      </c>
      <c r="I1301">
        <v>2</v>
      </c>
      <c r="J1301" s="9">
        <v>9700</v>
      </c>
      <c r="K1301" s="7">
        <v>0.25</v>
      </c>
      <c r="L1301" s="9">
        <v>7275</v>
      </c>
      <c r="M1301" s="10">
        <f>Sales_Data3[[#This Row],[Profit]]/Sales_Data3[[#This Row],[Sales]]</f>
        <v>0.75</v>
      </c>
      <c r="N1301" t="str">
        <f t="shared" si="41"/>
        <v>Medium</v>
      </c>
      <c r="O1301" s="2">
        <v>45141</v>
      </c>
      <c r="P1301" s="9">
        <v>9700</v>
      </c>
    </row>
    <row r="1302" spans="1:16" x14ac:dyDescent="0.25">
      <c r="A1302" t="s">
        <v>1323</v>
      </c>
      <c r="B1302" s="2">
        <v>45142</v>
      </c>
      <c r="C1302">
        <v>2023</v>
      </c>
      <c r="D1302" t="str">
        <f t="shared" si="40"/>
        <v>Aug</v>
      </c>
      <c r="E1302" t="s">
        <v>13</v>
      </c>
      <c r="F1302" t="s">
        <v>16</v>
      </c>
      <c r="G1302" t="s">
        <v>19</v>
      </c>
      <c r="H1302" t="s">
        <v>24</v>
      </c>
      <c r="I1302">
        <v>9</v>
      </c>
      <c r="J1302" s="9">
        <v>7200</v>
      </c>
      <c r="K1302" s="7">
        <v>0.05</v>
      </c>
      <c r="L1302" s="9">
        <v>6840</v>
      </c>
      <c r="M1302" s="10">
        <f>Sales_Data3[[#This Row],[Profit]]/Sales_Data3[[#This Row],[Sales]]</f>
        <v>0.95</v>
      </c>
      <c r="N1302" t="str">
        <f t="shared" si="41"/>
        <v>Medium</v>
      </c>
      <c r="O1302" s="2">
        <v>45142</v>
      </c>
      <c r="P1302" s="9">
        <v>7200</v>
      </c>
    </row>
    <row r="1303" spans="1:16" x14ac:dyDescent="0.25">
      <c r="A1303" t="s">
        <v>1324</v>
      </c>
      <c r="B1303" s="2">
        <v>45143</v>
      </c>
      <c r="C1303">
        <v>2023</v>
      </c>
      <c r="D1303" t="str">
        <f t="shared" si="40"/>
        <v>Aug</v>
      </c>
      <c r="E1303" t="s">
        <v>13</v>
      </c>
      <c r="F1303" t="s">
        <v>2030</v>
      </c>
      <c r="G1303" t="s">
        <v>20</v>
      </c>
      <c r="H1303" t="s">
        <v>24</v>
      </c>
      <c r="I1303">
        <v>5</v>
      </c>
      <c r="J1303" s="9">
        <v>5900</v>
      </c>
      <c r="K1303" s="7">
        <v>0.1</v>
      </c>
      <c r="L1303" s="9">
        <v>5310</v>
      </c>
      <c r="M1303" s="10">
        <f>Sales_Data3[[#This Row],[Profit]]/Sales_Data3[[#This Row],[Sales]]</f>
        <v>0.9</v>
      </c>
      <c r="N1303" t="str">
        <f t="shared" si="41"/>
        <v>Medium</v>
      </c>
      <c r="O1303" s="2">
        <v>45143</v>
      </c>
      <c r="P1303" s="9">
        <v>5900</v>
      </c>
    </row>
    <row r="1304" spans="1:16" x14ac:dyDescent="0.25">
      <c r="A1304" t="s">
        <v>1325</v>
      </c>
      <c r="B1304" s="2">
        <v>45144</v>
      </c>
      <c r="C1304">
        <v>2023</v>
      </c>
      <c r="D1304" t="str">
        <f t="shared" si="40"/>
        <v>Aug</v>
      </c>
      <c r="E1304" t="s">
        <v>13</v>
      </c>
      <c r="F1304" t="s">
        <v>2031</v>
      </c>
      <c r="G1304" t="s">
        <v>21</v>
      </c>
      <c r="H1304" t="s">
        <v>24</v>
      </c>
      <c r="I1304">
        <v>3</v>
      </c>
      <c r="J1304" s="9">
        <v>12500</v>
      </c>
      <c r="K1304" s="7">
        <v>0.15000000000000002</v>
      </c>
      <c r="L1304" s="9">
        <v>10625</v>
      </c>
      <c r="M1304" s="10">
        <f>Sales_Data3[[#This Row],[Profit]]/Sales_Data3[[#This Row],[Sales]]</f>
        <v>0.85</v>
      </c>
      <c r="N1304" t="str">
        <f t="shared" si="41"/>
        <v>High</v>
      </c>
      <c r="O1304" s="2">
        <v>45144</v>
      </c>
      <c r="P1304" s="9">
        <v>12500</v>
      </c>
    </row>
    <row r="1305" spans="1:16" x14ac:dyDescent="0.25">
      <c r="A1305" t="s">
        <v>1326</v>
      </c>
      <c r="B1305" s="2">
        <v>45145</v>
      </c>
      <c r="C1305">
        <v>2023</v>
      </c>
      <c r="D1305" t="str">
        <f t="shared" si="40"/>
        <v>Aug</v>
      </c>
      <c r="E1305" t="s">
        <v>13</v>
      </c>
      <c r="F1305" t="s">
        <v>2032</v>
      </c>
      <c r="G1305" t="s">
        <v>22</v>
      </c>
      <c r="H1305" t="s">
        <v>24</v>
      </c>
      <c r="I1305">
        <v>10</v>
      </c>
      <c r="J1305" s="9">
        <v>14100</v>
      </c>
      <c r="K1305" s="7">
        <v>0.2</v>
      </c>
      <c r="L1305" s="9">
        <v>11280</v>
      </c>
      <c r="M1305" s="10">
        <f>Sales_Data3[[#This Row],[Profit]]/Sales_Data3[[#This Row],[Sales]]</f>
        <v>0.8</v>
      </c>
      <c r="N1305" t="str">
        <f t="shared" si="41"/>
        <v>High</v>
      </c>
      <c r="O1305" s="2">
        <v>45145</v>
      </c>
      <c r="P1305" s="9">
        <v>14100</v>
      </c>
    </row>
    <row r="1306" spans="1:16" x14ac:dyDescent="0.25">
      <c r="A1306" t="s">
        <v>1327</v>
      </c>
      <c r="B1306" s="2">
        <v>45146</v>
      </c>
      <c r="C1306">
        <v>2023</v>
      </c>
      <c r="D1306" t="str">
        <f t="shared" si="40"/>
        <v>Aug</v>
      </c>
      <c r="E1306" t="s">
        <v>13</v>
      </c>
      <c r="F1306" t="s">
        <v>2033</v>
      </c>
      <c r="G1306" t="s">
        <v>19</v>
      </c>
      <c r="H1306" t="s">
        <v>24</v>
      </c>
      <c r="I1306">
        <v>6</v>
      </c>
      <c r="J1306" s="9">
        <v>4400</v>
      </c>
      <c r="K1306" s="7">
        <v>0.25</v>
      </c>
      <c r="L1306" s="9">
        <v>3300</v>
      </c>
      <c r="M1306" s="10">
        <f>Sales_Data3[[#This Row],[Profit]]/Sales_Data3[[#This Row],[Sales]]</f>
        <v>0.75</v>
      </c>
      <c r="N1306" t="str">
        <f t="shared" si="41"/>
        <v>Low</v>
      </c>
      <c r="O1306" s="2">
        <v>45146</v>
      </c>
      <c r="P1306" s="9">
        <v>4400</v>
      </c>
    </row>
    <row r="1307" spans="1:16" x14ac:dyDescent="0.25">
      <c r="A1307" t="s">
        <v>1328</v>
      </c>
      <c r="B1307" s="2">
        <v>45147</v>
      </c>
      <c r="C1307">
        <v>2023</v>
      </c>
      <c r="D1307" t="str">
        <f t="shared" si="40"/>
        <v>Aug</v>
      </c>
      <c r="E1307" t="s">
        <v>13</v>
      </c>
      <c r="F1307" t="s">
        <v>2034</v>
      </c>
      <c r="G1307" t="s">
        <v>20</v>
      </c>
      <c r="H1307" t="s">
        <v>24</v>
      </c>
      <c r="I1307">
        <v>4</v>
      </c>
      <c r="J1307" s="9">
        <v>12900</v>
      </c>
      <c r="K1307" s="7">
        <v>0.05</v>
      </c>
      <c r="L1307" s="9">
        <v>12255</v>
      </c>
      <c r="M1307" s="10">
        <f>Sales_Data3[[#This Row],[Profit]]/Sales_Data3[[#This Row],[Sales]]</f>
        <v>0.95</v>
      </c>
      <c r="N1307" t="str">
        <f t="shared" si="41"/>
        <v>High</v>
      </c>
      <c r="O1307" s="2">
        <v>45147</v>
      </c>
      <c r="P1307" s="9">
        <v>12900</v>
      </c>
    </row>
    <row r="1308" spans="1:16" x14ac:dyDescent="0.25">
      <c r="A1308" t="s">
        <v>1329</v>
      </c>
      <c r="B1308" s="2">
        <v>45148</v>
      </c>
      <c r="C1308">
        <v>2023</v>
      </c>
      <c r="D1308" t="str">
        <f t="shared" si="40"/>
        <v>Aug</v>
      </c>
      <c r="E1308" t="s">
        <v>13</v>
      </c>
      <c r="F1308" t="s">
        <v>2035</v>
      </c>
      <c r="G1308" t="s">
        <v>21</v>
      </c>
      <c r="H1308" t="s">
        <v>24</v>
      </c>
      <c r="I1308">
        <v>10</v>
      </c>
      <c r="J1308" s="9">
        <v>6900</v>
      </c>
      <c r="K1308" s="7">
        <v>0.1</v>
      </c>
      <c r="L1308" s="9">
        <v>6210</v>
      </c>
      <c r="M1308" s="10">
        <f>Sales_Data3[[#This Row],[Profit]]/Sales_Data3[[#This Row],[Sales]]</f>
        <v>0.9</v>
      </c>
      <c r="N1308" t="str">
        <f t="shared" si="41"/>
        <v>Medium</v>
      </c>
      <c r="O1308" s="2">
        <v>45148</v>
      </c>
      <c r="P1308" s="9">
        <v>6900</v>
      </c>
    </row>
    <row r="1309" spans="1:16" x14ac:dyDescent="0.25">
      <c r="A1309" t="s">
        <v>1330</v>
      </c>
      <c r="B1309" s="2">
        <v>45149</v>
      </c>
      <c r="C1309">
        <v>2023</v>
      </c>
      <c r="D1309" t="str">
        <f t="shared" si="40"/>
        <v>Aug</v>
      </c>
      <c r="E1309" t="s">
        <v>13</v>
      </c>
      <c r="F1309" t="s">
        <v>2036</v>
      </c>
      <c r="G1309" t="s">
        <v>22</v>
      </c>
      <c r="H1309" t="s">
        <v>24</v>
      </c>
      <c r="I1309">
        <v>6</v>
      </c>
      <c r="J1309" s="9">
        <v>10700</v>
      </c>
      <c r="K1309" s="7">
        <v>0.15000000000000002</v>
      </c>
      <c r="L1309" s="9">
        <v>9095</v>
      </c>
      <c r="M1309" s="10">
        <f>Sales_Data3[[#This Row],[Profit]]/Sales_Data3[[#This Row],[Sales]]</f>
        <v>0.85</v>
      </c>
      <c r="N1309" t="str">
        <f t="shared" si="41"/>
        <v>High</v>
      </c>
      <c r="O1309" s="2">
        <v>45149</v>
      </c>
      <c r="P1309" s="9">
        <v>10700</v>
      </c>
    </row>
    <row r="1310" spans="1:16" x14ac:dyDescent="0.25">
      <c r="A1310" t="s">
        <v>1331</v>
      </c>
      <c r="B1310" s="2">
        <v>45150</v>
      </c>
      <c r="C1310">
        <v>2023</v>
      </c>
      <c r="D1310" t="str">
        <f t="shared" si="40"/>
        <v>Aug</v>
      </c>
      <c r="E1310" t="s">
        <v>13</v>
      </c>
      <c r="F1310" t="s">
        <v>2037</v>
      </c>
      <c r="G1310" t="s">
        <v>19</v>
      </c>
      <c r="H1310" t="s">
        <v>24</v>
      </c>
      <c r="I1310">
        <v>1</v>
      </c>
      <c r="J1310" s="9">
        <v>5200</v>
      </c>
      <c r="K1310" s="7">
        <v>0.2</v>
      </c>
      <c r="L1310" s="9">
        <v>4160</v>
      </c>
      <c r="M1310" s="10">
        <f>Sales_Data3[[#This Row],[Profit]]/Sales_Data3[[#This Row],[Sales]]</f>
        <v>0.8</v>
      </c>
      <c r="N1310" t="str">
        <f t="shared" si="41"/>
        <v>Medium</v>
      </c>
      <c r="O1310" s="2">
        <v>45150</v>
      </c>
      <c r="P1310" s="9">
        <v>5200</v>
      </c>
    </row>
    <row r="1311" spans="1:16" x14ac:dyDescent="0.25">
      <c r="A1311" t="s">
        <v>1332</v>
      </c>
      <c r="B1311" s="2">
        <v>45151</v>
      </c>
      <c r="C1311">
        <v>2023</v>
      </c>
      <c r="D1311" t="str">
        <f t="shared" si="40"/>
        <v>Aug</v>
      </c>
      <c r="E1311" t="s">
        <v>13</v>
      </c>
      <c r="F1311" t="s">
        <v>2038</v>
      </c>
      <c r="G1311" t="s">
        <v>20</v>
      </c>
      <c r="H1311" t="s">
        <v>24</v>
      </c>
      <c r="I1311">
        <v>10</v>
      </c>
      <c r="J1311" s="9">
        <v>7200</v>
      </c>
      <c r="K1311" s="7">
        <v>0.25</v>
      </c>
      <c r="L1311" s="9">
        <v>5400</v>
      </c>
      <c r="M1311" s="10">
        <f>Sales_Data3[[#This Row],[Profit]]/Sales_Data3[[#This Row],[Sales]]</f>
        <v>0.75</v>
      </c>
      <c r="N1311" t="str">
        <f t="shared" si="41"/>
        <v>Medium</v>
      </c>
      <c r="O1311" s="2">
        <v>45151</v>
      </c>
      <c r="P1311" s="9">
        <v>7200</v>
      </c>
    </row>
    <row r="1312" spans="1:16" x14ac:dyDescent="0.25">
      <c r="A1312" t="s">
        <v>1333</v>
      </c>
      <c r="B1312" s="2">
        <v>45152</v>
      </c>
      <c r="C1312">
        <v>2023</v>
      </c>
      <c r="D1312" t="str">
        <f t="shared" si="40"/>
        <v>Aug</v>
      </c>
      <c r="E1312" t="s">
        <v>14</v>
      </c>
      <c r="F1312" t="s">
        <v>2039</v>
      </c>
      <c r="G1312" t="s">
        <v>21</v>
      </c>
      <c r="H1312" t="s">
        <v>25</v>
      </c>
      <c r="I1312">
        <v>3</v>
      </c>
      <c r="J1312" s="9">
        <v>14600</v>
      </c>
      <c r="K1312" s="7">
        <v>0.05</v>
      </c>
      <c r="L1312" s="9">
        <v>13870</v>
      </c>
      <c r="M1312" s="10">
        <f>Sales_Data3[[#This Row],[Profit]]/Sales_Data3[[#This Row],[Sales]]</f>
        <v>0.95</v>
      </c>
      <c r="N1312" t="str">
        <f t="shared" si="41"/>
        <v>High</v>
      </c>
      <c r="O1312" s="2">
        <v>45152</v>
      </c>
      <c r="P1312" s="9">
        <v>14600</v>
      </c>
    </row>
    <row r="1313" spans="1:16" x14ac:dyDescent="0.25">
      <c r="A1313" t="s">
        <v>1334</v>
      </c>
      <c r="B1313" s="2">
        <v>45153</v>
      </c>
      <c r="C1313">
        <v>2023</v>
      </c>
      <c r="D1313" t="str">
        <f t="shared" si="40"/>
        <v>Aug</v>
      </c>
      <c r="E1313" t="s">
        <v>14</v>
      </c>
      <c r="F1313" t="s">
        <v>2040</v>
      </c>
      <c r="G1313" t="s">
        <v>22</v>
      </c>
      <c r="H1313" t="s">
        <v>25</v>
      </c>
      <c r="I1313">
        <v>10</v>
      </c>
      <c r="J1313" s="9">
        <v>10700</v>
      </c>
      <c r="K1313" s="7">
        <v>0.1</v>
      </c>
      <c r="L1313" s="9">
        <v>9630</v>
      </c>
      <c r="M1313" s="10">
        <f>Sales_Data3[[#This Row],[Profit]]/Sales_Data3[[#This Row],[Sales]]</f>
        <v>0.9</v>
      </c>
      <c r="N1313" t="str">
        <f t="shared" si="41"/>
        <v>High</v>
      </c>
      <c r="O1313" s="2">
        <v>45153</v>
      </c>
      <c r="P1313" s="9">
        <v>10700</v>
      </c>
    </row>
    <row r="1314" spans="1:16" x14ac:dyDescent="0.25">
      <c r="A1314" t="s">
        <v>1335</v>
      </c>
      <c r="B1314" s="2">
        <v>45154</v>
      </c>
      <c r="C1314">
        <v>2023</v>
      </c>
      <c r="D1314" t="str">
        <f t="shared" si="40"/>
        <v>Aug</v>
      </c>
      <c r="E1314" t="s">
        <v>14</v>
      </c>
      <c r="F1314" t="s">
        <v>2041</v>
      </c>
      <c r="G1314" t="s">
        <v>19</v>
      </c>
      <c r="H1314" t="s">
        <v>25</v>
      </c>
      <c r="I1314">
        <v>2</v>
      </c>
      <c r="J1314" s="9">
        <v>13000</v>
      </c>
      <c r="K1314" s="7">
        <v>0.15000000000000002</v>
      </c>
      <c r="L1314" s="9">
        <v>11050</v>
      </c>
      <c r="M1314" s="10">
        <f>Sales_Data3[[#This Row],[Profit]]/Sales_Data3[[#This Row],[Sales]]</f>
        <v>0.85</v>
      </c>
      <c r="N1314" t="str">
        <f t="shared" si="41"/>
        <v>High</v>
      </c>
      <c r="O1314" s="2">
        <v>45154</v>
      </c>
      <c r="P1314" s="9">
        <v>13000</v>
      </c>
    </row>
    <row r="1315" spans="1:16" x14ac:dyDescent="0.25">
      <c r="A1315" t="s">
        <v>1336</v>
      </c>
      <c r="B1315" s="2">
        <v>45155</v>
      </c>
      <c r="C1315">
        <v>2023</v>
      </c>
      <c r="D1315" t="str">
        <f t="shared" si="40"/>
        <v>Aug</v>
      </c>
      <c r="E1315" t="s">
        <v>14</v>
      </c>
      <c r="F1315" t="s">
        <v>2042</v>
      </c>
      <c r="G1315" t="s">
        <v>20</v>
      </c>
      <c r="H1315" t="s">
        <v>25</v>
      </c>
      <c r="I1315">
        <v>10</v>
      </c>
      <c r="J1315" s="9">
        <v>12900</v>
      </c>
      <c r="K1315" s="7">
        <v>0.2</v>
      </c>
      <c r="L1315" s="9">
        <v>10320</v>
      </c>
      <c r="M1315" s="10">
        <f>Sales_Data3[[#This Row],[Profit]]/Sales_Data3[[#This Row],[Sales]]</f>
        <v>0.8</v>
      </c>
      <c r="N1315" t="str">
        <f t="shared" si="41"/>
        <v>High</v>
      </c>
      <c r="O1315" s="2">
        <v>45155</v>
      </c>
      <c r="P1315" s="9">
        <v>12900</v>
      </c>
    </row>
    <row r="1316" spans="1:16" x14ac:dyDescent="0.25">
      <c r="A1316" t="s">
        <v>1337</v>
      </c>
      <c r="B1316" s="2">
        <v>45156</v>
      </c>
      <c r="C1316">
        <v>2023</v>
      </c>
      <c r="D1316" t="str">
        <f t="shared" si="40"/>
        <v>Aug</v>
      </c>
      <c r="E1316" t="s">
        <v>14</v>
      </c>
      <c r="F1316" t="s">
        <v>2043</v>
      </c>
      <c r="G1316" t="s">
        <v>21</v>
      </c>
      <c r="H1316" t="s">
        <v>25</v>
      </c>
      <c r="I1316">
        <v>8</v>
      </c>
      <c r="J1316" s="9">
        <v>5800</v>
      </c>
      <c r="K1316" s="7">
        <v>0.25</v>
      </c>
      <c r="L1316" s="9">
        <v>4350</v>
      </c>
      <c r="M1316" s="10">
        <f>Sales_Data3[[#This Row],[Profit]]/Sales_Data3[[#This Row],[Sales]]</f>
        <v>0.75</v>
      </c>
      <c r="N1316" t="str">
        <f t="shared" si="41"/>
        <v>Medium</v>
      </c>
      <c r="O1316" s="2">
        <v>45156</v>
      </c>
      <c r="P1316" s="9">
        <v>5800</v>
      </c>
    </row>
    <row r="1317" spans="1:16" x14ac:dyDescent="0.25">
      <c r="A1317" t="s">
        <v>1338</v>
      </c>
      <c r="B1317" s="2">
        <v>45157</v>
      </c>
      <c r="C1317">
        <v>2023</v>
      </c>
      <c r="D1317" t="str">
        <f t="shared" si="40"/>
        <v>Aug</v>
      </c>
      <c r="E1317" t="s">
        <v>14</v>
      </c>
      <c r="F1317" t="s">
        <v>2044</v>
      </c>
      <c r="G1317" t="s">
        <v>22</v>
      </c>
      <c r="H1317" t="s">
        <v>25</v>
      </c>
      <c r="I1317">
        <v>5</v>
      </c>
      <c r="J1317" s="9">
        <v>9200</v>
      </c>
      <c r="K1317" s="7">
        <v>0.05</v>
      </c>
      <c r="L1317" s="9">
        <v>8740</v>
      </c>
      <c r="M1317" s="10">
        <f>Sales_Data3[[#This Row],[Profit]]/Sales_Data3[[#This Row],[Sales]]</f>
        <v>0.95</v>
      </c>
      <c r="N1317" t="str">
        <f t="shared" si="41"/>
        <v>Medium</v>
      </c>
      <c r="O1317" s="2">
        <v>45157</v>
      </c>
      <c r="P1317" s="9">
        <v>9200</v>
      </c>
    </row>
    <row r="1318" spans="1:16" x14ac:dyDescent="0.25">
      <c r="A1318" t="s">
        <v>1339</v>
      </c>
      <c r="B1318" s="2">
        <v>45158</v>
      </c>
      <c r="C1318">
        <v>2023</v>
      </c>
      <c r="D1318" t="str">
        <f t="shared" si="40"/>
        <v>Aug</v>
      </c>
      <c r="E1318" t="s">
        <v>14</v>
      </c>
      <c r="F1318" t="s">
        <v>2045</v>
      </c>
      <c r="G1318" t="s">
        <v>19</v>
      </c>
      <c r="H1318" t="s">
        <v>25</v>
      </c>
      <c r="I1318">
        <v>2</v>
      </c>
      <c r="J1318" s="9">
        <v>12600</v>
      </c>
      <c r="K1318" s="7">
        <v>0.1</v>
      </c>
      <c r="L1318" s="9">
        <v>11340</v>
      </c>
      <c r="M1318" s="10">
        <f>Sales_Data3[[#This Row],[Profit]]/Sales_Data3[[#This Row],[Sales]]</f>
        <v>0.9</v>
      </c>
      <c r="N1318" t="str">
        <f t="shared" si="41"/>
        <v>High</v>
      </c>
      <c r="O1318" s="2">
        <v>45158</v>
      </c>
      <c r="P1318" s="9">
        <v>12600</v>
      </c>
    </row>
    <row r="1319" spans="1:16" x14ac:dyDescent="0.25">
      <c r="A1319" t="s">
        <v>1340</v>
      </c>
      <c r="B1319" s="2">
        <v>45159</v>
      </c>
      <c r="C1319">
        <v>2023</v>
      </c>
      <c r="D1319" t="str">
        <f t="shared" si="40"/>
        <v>Aug</v>
      </c>
      <c r="E1319" t="s">
        <v>14</v>
      </c>
      <c r="F1319" t="s">
        <v>2046</v>
      </c>
      <c r="G1319" t="s">
        <v>20</v>
      </c>
      <c r="H1319" t="s">
        <v>25</v>
      </c>
      <c r="I1319">
        <v>8</v>
      </c>
      <c r="J1319" s="9">
        <v>10000</v>
      </c>
      <c r="K1319" s="7">
        <v>0.15000000000000002</v>
      </c>
      <c r="L1319" s="9">
        <v>8500</v>
      </c>
      <c r="M1319" s="10">
        <f>Sales_Data3[[#This Row],[Profit]]/Sales_Data3[[#This Row],[Sales]]</f>
        <v>0.85</v>
      </c>
      <c r="N1319" t="str">
        <f t="shared" si="41"/>
        <v>Medium</v>
      </c>
      <c r="O1319" s="2">
        <v>45159</v>
      </c>
      <c r="P1319" s="9">
        <v>10000</v>
      </c>
    </row>
    <row r="1320" spans="1:16" x14ac:dyDescent="0.25">
      <c r="A1320" t="s">
        <v>1341</v>
      </c>
      <c r="B1320" s="2">
        <v>45160</v>
      </c>
      <c r="C1320">
        <v>2023</v>
      </c>
      <c r="D1320" t="str">
        <f t="shared" si="40"/>
        <v>Aug</v>
      </c>
      <c r="E1320" t="s">
        <v>14</v>
      </c>
      <c r="F1320" t="s">
        <v>2047</v>
      </c>
      <c r="G1320" t="s">
        <v>21</v>
      </c>
      <c r="H1320" t="s">
        <v>25</v>
      </c>
      <c r="I1320">
        <v>4</v>
      </c>
      <c r="J1320" s="9">
        <v>13200</v>
      </c>
      <c r="K1320" s="7">
        <v>0.2</v>
      </c>
      <c r="L1320" s="9">
        <v>10560</v>
      </c>
      <c r="M1320" s="10">
        <f>Sales_Data3[[#This Row],[Profit]]/Sales_Data3[[#This Row],[Sales]]</f>
        <v>0.8</v>
      </c>
      <c r="N1320" t="str">
        <f t="shared" si="41"/>
        <v>High</v>
      </c>
      <c r="O1320" s="2">
        <v>45160</v>
      </c>
      <c r="P1320" s="9">
        <v>13200</v>
      </c>
    </row>
    <row r="1321" spans="1:16" x14ac:dyDescent="0.25">
      <c r="A1321" t="s">
        <v>1342</v>
      </c>
      <c r="B1321" s="2">
        <v>45161</v>
      </c>
      <c r="C1321">
        <v>2023</v>
      </c>
      <c r="D1321" t="str">
        <f t="shared" si="40"/>
        <v>Aug</v>
      </c>
      <c r="E1321" t="s">
        <v>14</v>
      </c>
      <c r="F1321" t="s">
        <v>2048</v>
      </c>
      <c r="G1321" t="s">
        <v>22</v>
      </c>
      <c r="H1321" t="s">
        <v>25</v>
      </c>
      <c r="I1321">
        <v>3</v>
      </c>
      <c r="J1321" s="9">
        <v>14700</v>
      </c>
      <c r="K1321" s="7">
        <v>0.25</v>
      </c>
      <c r="L1321" s="9">
        <v>11025</v>
      </c>
      <c r="M1321" s="10">
        <f>Sales_Data3[[#This Row],[Profit]]/Sales_Data3[[#This Row],[Sales]]</f>
        <v>0.75</v>
      </c>
      <c r="N1321" t="str">
        <f t="shared" si="41"/>
        <v>High</v>
      </c>
      <c r="O1321" s="2">
        <v>45161</v>
      </c>
      <c r="P1321" s="9">
        <v>14700</v>
      </c>
    </row>
    <row r="1322" spans="1:16" x14ac:dyDescent="0.25">
      <c r="A1322" t="s">
        <v>1343</v>
      </c>
      <c r="B1322" s="2">
        <v>45162</v>
      </c>
      <c r="C1322">
        <v>2023</v>
      </c>
      <c r="D1322" t="str">
        <f t="shared" si="40"/>
        <v>Aug</v>
      </c>
      <c r="E1322" t="s">
        <v>12</v>
      </c>
      <c r="F1322" t="s">
        <v>15</v>
      </c>
      <c r="G1322" t="s">
        <v>19</v>
      </c>
      <c r="H1322" t="s">
        <v>23</v>
      </c>
      <c r="I1322">
        <v>10</v>
      </c>
      <c r="J1322" s="9">
        <v>14800</v>
      </c>
      <c r="K1322" s="7">
        <v>0.05</v>
      </c>
      <c r="L1322" s="9">
        <v>14060</v>
      </c>
      <c r="M1322" s="10">
        <f>Sales_Data3[[#This Row],[Profit]]/Sales_Data3[[#This Row],[Sales]]</f>
        <v>0.95</v>
      </c>
      <c r="N1322" t="str">
        <f t="shared" si="41"/>
        <v>High</v>
      </c>
      <c r="O1322" s="2">
        <v>45162</v>
      </c>
      <c r="P1322" s="9">
        <v>14800</v>
      </c>
    </row>
    <row r="1323" spans="1:16" x14ac:dyDescent="0.25">
      <c r="A1323" t="s">
        <v>1344</v>
      </c>
      <c r="B1323" s="2">
        <v>45163</v>
      </c>
      <c r="C1323">
        <v>2023</v>
      </c>
      <c r="D1323" t="str">
        <f t="shared" si="40"/>
        <v>Aug</v>
      </c>
      <c r="E1323" t="s">
        <v>12</v>
      </c>
      <c r="F1323" t="s">
        <v>17</v>
      </c>
      <c r="G1323" t="s">
        <v>20</v>
      </c>
      <c r="H1323" t="s">
        <v>23</v>
      </c>
      <c r="I1323">
        <v>9</v>
      </c>
      <c r="J1323" s="9">
        <v>13500</v>
      </c>
      <c r="K1323" s="7">
        <v>0.1</v>
      </c>
      <c r="L1323" s="9">
        <v>12150</v>
      </c>
      <c r="M1323" s="10">
        <f>Sales_Data3[[#This Row],[Profit]]/Sales_Data3[[#This Row],[Sales]]</f>
        <v>0.9</v>
      </c>
      <c r="N1323" t="str">
        <f t="shared" si="41"/>
        <v>High</v>
      </c>
      <c r="O1323" s="2">
        <v>45163</v>
      </c>
      <c r="P1323" s="9">
        <v>13500</v>
      </c>
    </row>
    <row r="1324" spans="1:16" x14ac:dyDescent="0.25">
      <c r="A1324" t="s">
        <v>1345</v>
      </c>
      <c r="B1324" s="2">
        <v>45164</v>
      </c>
      <c r="C1324">
        <v>2023</v>
      </c>
      <c r="D1324" t="str">
        <f t="shared" si="40"/>
        <v>Aug</v>
      </c>
      <c r="E1324" t="s">
        <v>12</v>
      </c>
      <c r="F1324" t="s">
        <v>2023</v>
      </c>
      <c r="G1324" t="s">
        <v>21</v>
      </c>
      <c r="H1324" t="s">
        <v>23</v>
      </c>
      <c r="I1324">
        <v>3</v>
      </c>
      <c r="J1324" s="9">
        <v>13300</v>
      </c>
      <c r="K1324" s="7">
        <v>0.15000000000000002</v>
      </c>
      <c r="L1324" s="9">
        <v>11305</v>
      </c>
      <c r="M1324" s="10">
        <f>Sales_Data3[[#This Row],[Profit]]/Sales_Data3[[#This Row],[Sales]]</f>
        <v>0.85</v>
      </c>
      <c r="N1324" t="str">
        <f t="shared" si="41"/>
        <v>High</v>
      </c>
      <c r="O1324" s="2">
        <v>45164</v>
      </c>
      <c r="P1324" s="9">
        <v>13300</v>
      </c>
    </row>
    <row r="1325" spans="1:16" x14ac:dyDescent="0.25">
      <c r="A1325" t="s">
        <v>1346</v>
      </c>
      <c r="B1325" s="2">
        <v>45165</v>
      </c>
      <c r="C1325">
        <v>2023</v>
      </c>
      <c r="D1325" t="str">
        <f t="shared" si="40"/>
        <v>Aug</v>
      </c>
      <c r="E1325" t="s">
        <v>12</v>
      </c>
      <c r="F1325" t="s">
        <v>18</v>
      </c>
      <c r="G1325" t="s">
        <v>22</v>
      </c>
      <c r="H1325" t="s">
        <v>23</v>
      </c>
      <c r="I1325">
        <v>9</v>
      </c>
      <c r="J1325" s="9">
        <v>14100</v>
      </c>
      <c r="K1325" s="7">
        <v>0.2</v>
      </c>
      <c r="L1325" s="9">
        <v>11280</v>
      </c>
      <c r="M1325" s="10">
        <f>Sales_Data3[[#This Row],[Profit]]/Sales_Data3[[#This Row],[Sales]]</f>
        <v>0.8</v>
      </c>
      <c r="N1325" t="str">
        <f t="shared" si="41"/>
        <v>High</v>
      </c>
      <c r="O1325" s="2">
        <v>45165</v>
      </c>
      <c r="P1325" s="9">
        <v>14100</v>
      </c>
    </row>
    <row r="1326" spans="1:16" x14ac:dyDescent="0.25">
      <c r="A1326" t="s">
        <v>1347</v>
      </c>
      <c r="B1326" s="2">
        <v>45166</v>
      </c>
      <c r="C1326">
        <v>2023</v>
      </c>
      <c r="D1326" t="str">
        <f t="shared" si="40"/>
        <v>Aug</v>
      </c>
      <c r="E1326" t="s">
        <v>12</v>
      </c>
      <c r="F1326" t="s">
        <v>2024</v>
      </c>
      <c r="G1326" t="s">
        <v>19</v>
      </c>
      <c r="H1326" t="s">
        <v>23</v>
      </c>
      <c r="I1326">
        <v>3</v>
      </c>
      <c r="J1326" s="9">
        <v>7400</v>
      </c>
      <c r="K1326" s="7">
        <v>0.25</v>
      </c>
      <c r="L1326" s="9">
        <v>5550</v>
      </c>
      <c r="M1326" s="10">
        <f>Sales_Data3[[#This Row],[Profit]]/Sales_Data3[[#This Row],[Sales]]</f>
        <v>0.75</v>
      </c>
      <c r="N1326" t="str">
        <f t="shared" si="41"/>
        <v>Medium</v>
      </c>
      <c r="O1326" s="2">
        <v>45166</v>
      </c>
      <c r="P1326" s="9">
        <v>7400</v>
      </c>
    </row>
    <row r="1327" spans="1:16" x14ac:dyDescent="0.25">
      <c r="A1327" t="s">
        <v>1348</v>
      </c>
      <c r="B1327" s="2">
        <v>45167</v>
      </c>
      <c r="C1327">
        <v>2023</v>
      </c>
      <c r="D1327" t="str">
        <f t="shared" si="40"/>
        <v>Aug</v>
      </c>
      <c r="E1327" t="s">
        <v>12</v>
      </c>
      <c r="F1327" t="s">
        <v>2025</v>
      </c>
      <c r="G1327" t="s">
        <v>20</v>
      </c>
      <c r="H1327" t="s">
        <v>23</v>
      </c>
      <c r="I1327">
        <v>4</v>
      </c>
      <c r="J1327" s="9">
        <v>8500</v>
      </c>
      <c r="K1327" s="7">
        <v>0.05</v>
      </c>
      <c r="L1327" s="9">
        <v>8075</v>
      </c>
      <c r="M1327" s="10">
        <f>Sales_Data3[[#This Row],[Profit]]/Sales_Data3[[#This Row],[Sales]]</f>
        <v>0.95</v>
      </c>
      <c r="N1327" t="str">
        <f t="shared" si="41"/>
        <v>Medium</v>
      </c>
      <c r="O1327" s="2">
        <v>45167</v>
      </c>
      <c r="P1327" s="9">
        <v>8500</v>
      </c>
    </row>
    <row r="1328" spans="1:16" x14ac:dyDescent="0.25">
      <c r="A1328" t="s">
        <v>1349</v>
      </c>
      <c r="B1328" s="2">
        <v>45168</v>
      </c>
      <c r="C1328">
        <v>2023</v>
      </c>
      <c r="D1328" t="str">
        <f t="shared" si="40"/>
        <v>Aug</v>
      </c>
      <c r="E1328" t="s">
        <v>12</v>
      </c>
      <c r="F1328" t="s">
        <v>2026</v>
      </c>
      <c r="G1328" t="s">
        <v>21</v>
      </c>
      <c r="H1328" t="s">
        <v>23</v>
      </c>
      <c r="I1328">
        <v>9</v>
      </c>
      <c r="J1328" s="9">
        <v>10700</v>
      </c>
      <c r="K1328" s="7">
        <v>0.1</v>
      </c>
      <c r="L1328" s="9">
        <v>9630</v>
      </c>
      <c r="M1328" s="10">
        <f>Sales_Data3[[#This Row],[Profit]]/Sales_Data3[[#This Row],[Sales]]</f>
        <v>0.9</v>
      </c>
      <c r="N1328" t="str">
        <f t="shared" si="41"/>
        <v>High</v>
      </c>
      <c r="O1328" s="2">
        <v>45168</v>
      </c>
      <c r="P1328" s="9">
        <v>10700</v>
      </c>
    </row>
    <row r="1329" spans="1:16" x14ac:dyDescent="0.25">
      <c r="A1329" t="s">
        <v>1350</v>
      </c>
      <c r="B1329" s="2">
        <v>45169</v>
      </c>
      <c r="C1329">
        <v>2023</v>
      </c>
      <c r="D1329" t="str">
        <f t="shared" si="40"/>
        <v>Aug</v>
      </c>
      <c r="E1329" t="s">
        <v>12</v>
      </c>
      <c r="F1329" t="s">
        <v>2027</v>
      </c>
      <c r="G1329" t="s">
        <v>22</v>
      </c>
      <c r="H1329" t="s">
        <v>23</v>
      </c>
      <c r="I1329">
        <v>4</v>
      </c>
      <c r="J1329" s="9">
        <v>10100</v>
      </c>
      <c r="K1329" s="7">
        <v>0.15000000000000002</v>
      </c>
      <c r="L1329" s="9">
        <v>8585</v>
      </c>
      <c r="M1329" s="10">
        <f>Sales_Data3[[#This Row],[Profit]]/Sales_Data3[[#This Row],[Sales]]</f>
        <v>0.85</v>
      </c>
      <c r="N1329" t="str">
        <f t="shared" si="41"/>
        <v>High</v>
      </c>
      <c r="O1329" s="2">
        <v>45169</v>
      </c>
      <c r="P1329" s="9">
        <v>10100</v>
      </c>
    </row>
    <row r="1330" spans="1:16" x14ac:dyDescent="0.25">
      <c r="A1330" t="s">
        <v>1351</v>
      </c>
      <c r="B1330" s="2">
        <v>45170</v>
      </c>
      <c r="C1330">
        <v>2023</v>
      </c>
      <c r="D1330" t="str">
        <f t="shared" si="40"/>
        <v>Sep</v>
      </c>
      <c r="E1330" t="s">
        <v>12</v>
      </c>
      <c r="F1330" t="s">
        <v>2028</v>
      </c>
      <c r="G1330" t="s">
        <v>19</v>
      </c>
      <c r="H1330" t="s">
        <v>23</v>
      </c>
      <c r="I1330">
        <v>1</v>
      </c>
      <c r="J1330" s="9">
        <v>5500</v>
      </c>
      <c r="K1330" s="7">
        <v>0.2</v>
      </c>
      <c r="L1330" s="9">
        <v>4400</v>
      </c>
      <c r="M1330" s="10">
        <f>Sales_Data3[[#This Row],[Profit]]/Sales_Data3[[#This Row],[Sales]]</f>
        <v>0.8</v>
      </c>
      <c r="N1330" t="str">
        <f t="shared" si="41"/>
        <v>Medium</v>
      </c>
      <c r="O1330" s="2">
        <v>45170</v>
      </c>
      <c r="P1330" s="9">
        <v>5500</v>
      </c>
    </row>
    <row r="1331" spans="1:16" x14ac:dyDescent="0.25">
      <c r="A1331" t="s">
        <v>1352</v>
      </c>
      <c r="B1331" s="2">
        <v>45171</v>
      </c>
      <c r="C1331">
        <v>2023</v>
      </c>
      <c r="D1331" t="str">
        <f t="shared" si="40"/>
        <v>Sep</v>
      </c>
      <c r="E1331" t="s">
        <v>12</v>
      </c>
      <c r="F1331" t="s">
        <v>2029</v>
      </c>
      <c r="G1331" t="s">
        <v>20</v>
      </c>
      <c r="H1331" t="s">
        <v>23</v>
      </c>
      <c r="I1331">
        <v>8</v>
      </c>
      <c r="J1331" s="9">
        <v>9100</v>
      </c>
      <c r="K1331" s="7">
        <v>0.25</v>
      </c>
      <c r="L1331" s="9">
        <v>6825</v>
      </c>
      <c r="M1331" s="10">
        <f>Sales_Data3[[#This Row],[Profit]]/Sales_Data3[[#This Row],[Sales]]</f>
        <v>0.75</v>
      </c>
      <c r="N1331" t="str">
        <f t="shared" si="41"/>
        <v>Medium</v>
      </c>
      <c r="O1331" s="2">
        <v>45171</v>
      </c>
      <c r="P1331" s="9">
        <v>9100</v>
      </c>
    </row>
    <row r="1332" spans="1:16" x14ac:dyDescent="0.25">
      <c r="A1332" t="s">
        <v>1353</v>
      </c>
      <c r="B1332" s="2">
        <v>45172</v>
      </c>
      <c r="C1332">
        <v>2023</v>
      </c>
      <c r="D1332" t="str">
        <f t="shared" si="40"/>
        <v>Sep</v>
      </c>
      <c r="E1332" t="s">
        <v>13</v>
      </c>
      <c r="F1332" t="s">
        <v>16</v>
      </c>
      <c r="G1332" t="s">
        <v>21</v>
      </c>
      <c r="H1332" t="s">
        <v>24</v>
      </c>
      <c r="I1332">
        <v>2</v>
      </c>
      <c r="J1332" s="9">
        <v>5700</v>
      </c>
      <c r="K1332" s="7">
        <v>0.05</v>
      </c>
      <c r="L1332" s="9">
        <v>5415</v>
      </c>
      <c r="M1332" s="10">
        <f>Sales_Data3[[#This Row],[Profit]]/Sales_Data3[[#This Row],[Sales]]</f>
        <v>0.95</v>
      </c>
      <c r="N1332" t="str">
        <f t="shared" si="41"/>
        <v>Medium</v>
      </c>
      <c r="O1332" s="2">
        <v>45172</v>
      </c>
      <c r="P1332" s="9">
        <v>5700</v>
      </c>
    </row>
    <row r="1333" spans="1:16" x14ac:dyDescent="0.25">
      <c r="A1333" t="s">
        <v>1354</v>
      </c>
      <c r="B1333" s="2">
        <v>45173</v>
      </c>
      <c r="C1333">
        <v>2023</v>
      </c>
      <c r="D1333" t="str">
        <f t="shared" si="40"/>
        <v>Sep</v>
      </c>
      <c r="E1333" t="s">
        <v>13</v>
      </c>
      <c r="F1333" t="s">
        <v>2030</v>
      </c>
      <c r="G1333" t="s">
        <v>22</v>
      </c>
      <c r="H1333" t="s">
        <v>24</v>
      </c>
      <c r="I1333">
        <v>7</v>
      </c>
      <c r="J1333" s="9">
        <v>5200</v>
      </c>
      <c r="K1333" s="7">
        <v>0.1</v>
      </c>
      <c r="L1333" s="9">
        <v>4680</v>
      </c>
      <c r="M1333" s="10">
        <f>Sales_Data3[[#This Row],[Profit]]/Sales_Data3[[#This Row],[Sales]]</f>
        <v>0.9</v>
      </c>
      <c r="N1333" t="str">
        <f t="shared" si="41"/>
        <v>Medium</v>
      </c>
      <c r="O1333" s="2">
        <v>45173</v>
      </c>
      <c r="P1333" s="9">
        <v>5200</v>
      </c>
    </row>
    <row r="1334" spans="1:16" x14ac:dyDescent="0.25">
      <c r="A1334" t="s">
        <v>1355</v>
      </c>
      <c r="B1334" s="2">
        <v>45174</v>
      </c>
      <c r="C1334">
        <v>2023</v>
      </c>
      <c r="D1334" t="str">
        <f t="shared" si="40"/>
        <v>Sep</v>
      </c>
      <c r="E1334" t="s">
        <v>13</v>
      </c>
      <c r="F1334" t="s">
        <v>2031</v>
      </c>
      <c r="G1334" t="s">
        <v>19</v>
      </c>
      <c r="H1334" t="s">
        <v>24</v>
      </c>
      <c r="I1334">
        <v>8</v>
      </c>
      <c r="J1334" s="9">
        <v>4800</v>
      </c>
      <c r="K1334" s="7">
        <v>0.15000000000000002</v>
      </c>
      <c r="L1334" s="9">
        <v>4080</v>
      </c>
      <c r="M1334" s="10">
        <f>Sales_Data3[[#This Row],[Profit]]/Sales_Data3[[#This Row],[Sales]]</f>
        <v>0.85</v>
      </c>
      <c r="N1334" t="str">
        <f t="shared" si="41"/>
        <v>Low</v>
      </c>
      <c r="O1334" s="2">
        <v>45174</v>
      </c>
      <c r="P1334" s="9">
        <v>4800</v>
      </c>
    </row>
    <row r="1335" spans="1:16" x14ac:dyDescent="0.25">
      <c r="A1335" t="s">
        <v>1356</v>
      </c>
      <c r="B1335" s="2">
        <v>45175</v>
      </c>
      <c r="C1335">
        <v>2023</v>
      </c>
      <c r="D1335" t="str">
        <f t="shared" si="40"/>
        <v>Sep</v>
      </c>
      <c r="E1335" t="s">
        <v>13</v>
      </c>
      <c r="F1335" t="s">
        <v>2032</v>
      </c>
      <c r="G1335" t="s">
        <v>20</v>
      </c>
      <c r="H1335" t="s">
        <v>24</v>
      </c>
      <c r="I1335">
        <v>10</v>
      </c>
      <c r="J1335" s="9">
        <v>12200</v>
      </c>
      <c r="K1335" s="7">
        <v>0.2</v>
      </c>
      <c r="L1335" s="9">
        <v>9760</v>
      </c>
      <c r="M1335" s="10">
        <f>Sales_Data3[[#This Row],[Profit]]/Sales_Data3[[#This Row],[Sales]]</f>
        <v>0.8</v>
      </c>
      <c r="N1335" t="str">
        <f t="shared" si="41"/>
        <v>High</v>
      </c>
      <c r="O1335" s="2">
        <v>45175</v>
      </c>
      <c r="P1335" s="9">
        <v>12200</v>
      </c>
    </row>
    <row r="1336" spans="1:16" x14ac:dyDescent="0.25">
      <c r="A1336" t="s">
        <v>1357</v>
      </c>
      <c r="B1336" s="2">
        <v>45176</v>
      </c>
      <c r="C1336">
        <v>2023</v>
      </c>
      <c r="D1336" t="str">
        <f t="shared" si="40"/>
        <v>Sep</v>
      </c>
      <c r="E1336" t="s">
        <v>13</v>
      </c>
      <c r="F1336" t="s">
        <v>2033</v>
      </c>
      <c r="G1336" t="s">
        <v>21</v>
      </c>
      <c r="H1336" t="s">
        <v>24</v>
      </c>
      <c r="I1336">
        <v>10</v>
      </c>
      <c r="J1336" s="9">
        <v>12300</v>
      </c>
      <c r="K1336" s="7">
        <v>0.25</v>
      </c>
      <c r="L1336" s="9">
        <v>9225</v>
      </c>
      <c r="M1336" s="10">
        <f>Sales_Data3[[#This Row],[Profit]]/Sales_Data3[[#This Row],[Sales]]</f>
        <v>0.75</v>
      </c>
      <c r="N1336" t="str">
        <f t="shared" si="41"/>
        <v>High</v>
      </c>
      <c r="O1336" s="2">
        <v>45176</v>
      </c>
      <c r="P1336" s="9">
        <v>12300</v>
      </c>
    </row>
    <row r="1337" spans="1:16" x14ac:dyDescent="0.25">
      <c r="A1337" t="s">
        <v>1358</v>
      </c>
      <c r="B1337" s="2">
        <v>45177</v>
      </c>
      <c r="C1337">
        <v>2023</v>
      </c>
      <c r="D1337" t="str">
        <f t="shared" si="40"/>
        <v>Sep</v>
      </c>
      <c r="E1337" t="s">
        <v>13</v>
      </c>
      <c r="F1337" t="s">
        <v>2034</v>
      </c>
      <c r="G1337" t="s">
        <v>22</v>
      </c>
      <c r="H1337" t="s">
        <v>24</v>
      </c>
      <c r="I1337">
        <v>8</v>
      </c>
      <c r="J1337" s="9">
        <v>10500</v>
      </c>
      <c r="K1337" s="7">
        <v>0.05</v>
      </c>
      <c r="L1337" s="9">
        <v>9975</v>
      </c>
      <c r="M1337" s="10">
        <f>Sales_Data3[[#This Row],[Profit]]/Sales_Data3[[#This Row],[Sales]]</f>
        <v>0.95</v>
      </c>
      <c r="N1337" t="str">
        <f t="shared" si="41"/>
        <v>High</v>
      </c>
      <c r="O1337" s="2">
        <v>45177</v>
      </c>
      <c r="P1337" s="9">
        <v>10500</v>
      </c>
    </row>
    <row r="1338" spans="1:16" x14ac:dyDescent="0.25">
      <c r="A1338" t="s">
        <v>1359</v>
      </c>
      <c r="B1338" s="2">
        <v>45178</v>
      </c>
      <c r="C1338">
        <v>2023</v>
      </c>
      <c r="D1338" t="str">
        <f t="shared" si="40"/>
        <v>Sep</v>
      </c>
      <c r="E1338" t="s">
        <v>13</v>
      </c>
      <c r="F1338" t="s">
        <v>2035</v>
      </c>
      <c r="G1338" t="s">
        <v>19</v>
      </c>
      <c r="H1338" t="s">
        <v>24</v>
      </c>
      <c r="I1338">
        <v>8</v>
      </c>
      <c r="J1338" s="9">
        <v>10000</v>
      </c>
      <c r="K1338" s="7">
        <v>0.1</v>
      </c>
      <c r="L1338" s="9">
        <v>9000</v>
      </c>
      <c r="M1338" s="10">
        <f>Sales_Data3[[#This Row],[Profit]]/Sales_Data3[[#This Row],[Sales]]</f>
        <v>0.9</v>
      </c>
      <c r="N1338" t="str">
        <f t="shared" si="41"/>
        <v>Medium</v>
      </c>
      <c r="O1338" s="2">
        <v>45178</v>
      </c>
      <c r="P1338" s="9">
        <v>10000</v>
      </c>
    </row>
    <row r="1339" spans="1:16" x14ac:dyDescent="0.25">
      <c r="A1339" t="s">
        <v>1360</v>
      </c>
      <c r="B1339" s="2">
        <v>45179</v>
      </c>
      <c r="C1339">
        <v>2023</v>
      </c>
      <c r="D1339" t="str">
        <f t="shared" si="40"/>
        <v>Sep</v>
      </c>
      <c r="E1339" t="s">
        <v>13</v>
      </c>
      <c r="F1339" t="s">
        <v>2036</v>
      </c>
      <c r="G1339" t="s">
        <v>20</v>
      </c>
      <c r="H1339" t="s">
        <v>24</v>
      </c>
      <c r="I1339">
        <v>8</v>
      </c>
      <c r="J1339" s="9">
        <v>9600</v>
      </c>
      <c r="K1339" s="7">
        <v>0.15000000000000002</v>
      </c>
      <c r="L1339" s="9">
        <v>8160</v>
      </c>
      <c r="M1339" s="10">
        <f>Sales_Data3[[#This Row],[Profit]]/Sales_Data3[[#This Row],[Sales]]</f>
        <v>0.85</v>
      </c>
      <c r="N1339" t="str">
        <f t="shared" si="41"/>
        <v>Medium</v>
      </c>
      <c r="O1339" s="2">
        <v>45179</v>
      </c>
      <c r="P1339" s="9">
        <v>9600</v>
      </c>
    </row>
    <row r="1340" spans="1:16" x14ac:dyDescent="0.25">
      <c r="A1340" t="s">
        <v>1361</v>
      </c>
      <c r="B1340" s="2">
        <v>45180</v>
      </c>
      <c r="C1340">
        <v>2023</v>
      </c>
      <c r="D1340" t="str">
        <f t="shared" si="40"/>
        <v>Sep</v>
      </c>
      <c r="E1340" t="s">
        <v>13</v>
      </c>
      <c r="F1340" t="s">
        <v>2037</v>
      </c>
      <c r="G1340" t="s">
        <v>21</v>
      </c>
      <c r="H1340" t="s">
        <v>24</v>
      </c>
      <c r="I1340">
        <v>3</v>
      </c>
      <c r="J1340" s="9">
        <v>4600</v>
      </c>
      <c r="K1340" s="7">
        <v>0.2</v>
      </c>
      <c r="L1340" s="9">
        <v>3680</v>
      </c>
      <c r="M1340" s="10">
        <f>Sales_Data3[[#This Row],[Profit]]/Sales_Data3[[#This Row],[Sales]]</f>
        <v>0.8</v>
      </c>
      <c r="N1340" t="str">
        <f t="shared" si="41"/>
        <v>Low</v>
      </c>
      <c r="O1340" s="2">
        <v>45180</v>
      </c>
      <c r="P1340" s="9">
        <v>4600</v>
      </c>
    </row>
    <row r="1341" spans="1:16" x14ac:dyDescent="0.25">
      <c r="A1341" t="s">
        <v>1362</v>
      </c>
      <c r="B1341" s="2">
        <v>45181</v>
      </c>
      <c r="C1341">
        <v>2023</v>
      </c>
      <c r="D1341" t="str">
        <f t="shared" si="40"/>
        <v>Sep</v>
      </c>
      <c r="E1341" t="s">
        <v>13</v>
      </c>
      <c r="F1341" t="s">
        <v>2038</v>
      </c>
      <c r="G1341" t="s">
        <v>22</v>
      </c>
      <c r="H1341" t="s">
        <v>24</v>
      </c>
      <c r="I1341">
        <v>1</v>
      </c>
      <c r="J1341" s="9">
        <v>7900</v>
      </c>
      <c r="K1341" s="7">
        <v>0.25</v>
      </c>
      <c r="L1341" s="9">
        <v>5925</v>
      </c>
      <c r="M1341" s="10">
        <f>Sales_Data3[[#This Row],[Profit]]/Sales_Data3[[#This Row],[Sales]]</f>
        <v>0.75</v>
      </c>
      <c r="N1341" t="str">
        <f t="shared" si="41"/>
        <v>Medium</v>
      </c>
      <c r="O1341" s="2">
        <v>45181</v>
      </c>
      <c r="P1341" s="9">
        <v>7900</v>
      </c>
    </row>
    <row r="1342" spans="1:16" x14ac:dyDescent="0.25">
      <c r="A1342" t="s">
        <v>1363</v>
      </c>
      <c r="B1342" s="2">
        <v>45182</v>
      </c>
      <c r="C1342">
        <v>2023</v>
      </c>
      <c r="D1342" t="str">
        <f t="shared" si="40"/>
        <v>Sep</v>
      </c>
      <c r="E1342" t="s">
        <v>14</v>
      </c>
      <c r="F1342" t="s">
        <v>2039</v>
      </c>
      <c r="G1342" t="s">
        <v>19</v>
      </c>
      <c r="H1342" t="s">
        <v>25</v>
      </c>
      <c r="I1342">
        <v>1</v>
      </c>
      <c r="J1342" s="9">
        <v>15000</v>
      </c>
      <c r="K1342" s="7">
        <v>0.05</v>
      </c>
      <c r="L1342" s="9">
        <v>14250</v>
      </c>
      <c r="M1342" s="10">
        <f>Sales_Data3[[#This Row],[Profit]]/Sales_Data3[[#This Row],[Sales]]</f>
        <v>0.95</v>
      </c>
      <c r="N1342" t="str">
        <f t="shared" si="41"/>
        <v>High</v>
      </c>
      <c r="O1342" s="2">
        <v>45182</v>
      </c>
      <c r="P1342" s="9">
        <v>15000</v>
      </c>
    </row>
    <row r="1343" spans="1:16" x14ac:dyDescent="0.25">
      <c r="A1343" t="s">
        <v>1364</v>
      </c>
      <c r="B1343" s="2">
        <v>45183</v>
      </c>
      <c r="C1343">
        <v>2023</v>
      </c>
      <c r="D1343" t="str">
        <f t="shared" si="40"/>
        <v>Sep</v>
      </c>
      <c r="E1343" t="s">
        <v>14</v>
      </c>
      <c r="F1343" t="s">
        <v>2040</v>
      </c>
      <c r="G1343" t="s">
        <v>20</v>
      </c>
      <c r="H1343" t="s">
        <v>25</v>
      </c>
      <c r="I1343">
        <v>6</v>
      </c>
      <c r="J1343" s="9">
        <v>5900</v>
      </c>
      <c r="K1343" s="7">
        <v>0.1</v>
      </c>
      <c r="L1343" s="9">
        <v>5310</v>
      </c>
      <c r="M1343" s="10">
        <f>Sales_Data3[[#This Row],[Profit]]/Sales_Data3[[#This Row],[Sales]]</f>
        <v>0.9</v>
      </c>
      <c r="N1343" t="str">
        <f t="shared" si="41"/>
        <v>Medium</v>
      </c>
      <c r="O1343" s="2">
        <v>45183</v>
      </c>
      <c r="P1343" s="9">
        <v>5900</v>
      </c>
    </row>
    <row r="1344" spans="1:16" x14ac:dyDescent="0.25">
      <c r="A1344" t="s">
        <v>1365</v>
      </c>
      <c r="B1344" s="2">
        <v>45184</v>
      </c>
      <c r="C1344">
        <v>2023</v>
      </c>
      <c r="D1344" t="str">
        <f t="shared" si="40"/>
        <v>Sep</v>
      </c>
      <c r="E1344" t="s">
        <v>14</v>
      </c>
      <c r="F1344" t="s">
        <v>2041</v>
      </c>
      <c r="G1344" t="s">
        <v>21</v>
      </c>
      <c r="H1344" t="s">
        <v>25</v>
      </c>
      <c r="I1344">
        <v>1</v>
      </c>
      <c r="J1344" s="9">
        <v>14200</v>
      </c>
      <c r="K1344" s="7">
        <v>0.15000000000000002</v>
      </c>
      <c r="L1344" s="9">
        <v>12070</v>
      </c>
      <c r="M1344" s="10">
        <f>Sales_Data3[[#This Row],[Profit]]/Sales_Data3[[#This Row],[Sales]]</f>
        <v>0.85</v>
      </c>
      <c r="N1344" t="str">
        <f t="shared" si="41"/>
        <v>High</v>
      </c>
      <c r="O1344" s="2">
        <v>45184</v>
      </c>
      <c r="P1344" s="9">
        <v>14200</v>
      </c>
    </row>
    <row r="1345" spans="1:16" x14ac:dyDescent="0.25">
      <c r="A1345" t="s">
        <v>1366</v>
      </c>
      <c r="B1345" s="2">
        <v>45185</v>
      </c>
      <c r="C1345">
        <v>2023</v>
      </c>
      <c r="D1345" t="str">
        <f t="shared" si="40"/>
        <v>Sep</v>
      </c>
      <c r="E1345" t="s">
        <v>14</v>
      </c>
      <c r="F1345" t="s">
        <v>2042</v>
      </c>
      <c r="G1345" t="s">
        <v>22</v>
      </c>
      <c r="H1345" t="s">
        <v>25</v>
      </c>
      <c r="I1345">
        <v>3</v>
      </c>
      <c r="J1345" s="9">
        <v>9200</v>
      </c>
      <c r="K1345" s="7">
        <v>0.2</v>
      </c>
      <c r="L1345" s="9">
        <v>7360</v>
      </c>
      <c r="M1345" s="10">
        <f>Sales_Data3[[#This Row],[Profit]]/Sales_Data3[[#This Row],[Sales]]</f>
        <v>0.8</v>
      </c>
      <c r="N1345" t="str">
        <f t="shared" si="41"/>
        <v>Medium</v>
      </c>
      <c r="O1345" s="2">
        <v>45185</v>
      </c>
      <c r="P1345" s="9">
        <v>9200</v>
      </c>
    </row>
    <row r="1346" spans="1:16" x14ac:dyDescent="0.25">
      <c r="A1346" t="s">
        <v>1367</v>
      </c>
      <c r="B1346" s="2">
        <v>45186</v>
      </c>
      <c r="C1346">
        <v>2023</v>
      </c>
      <c r="D1346" t="str">
        <f t="shared" ref="D1346:D1409" si="42">TEXT(B1346,"MMM")</f>
        <v>Sep</v>
      </c>
      <c r="E1346" t="s">
        <v>14</v>
      </c>
      <c r="F1346" t="s">
        <v>2043</v>
      </c>
      <c r="G1346" t="s">
        <v>19</v>
      </c>
      <c r="H1346" t="s">
        <v>25</v>
      </c>
      <c r="I1346">
        <v>10</v>
      </c>
      <c r="J1346" s="9">
        <v>10700</v>
      </c>
      <c r="K1346" s="7">
        <v>0.25</v>
      </c>
      <c r="L1346" s="9">
        <v>8025</v>
      </c>
      <c r="M1346" s="10">
        <f>Sales_Data3[[#This Row],[Profit]]/Sales_Data3[[#This Row],[Sales]]</f>
        <v>0.75</v>
      </c>
      <c r="N1346" t="str">
        <f t="shared" ref="N1346:N1409" si="43">IF(J1346&gt;10000,"High",IF(J1346&gt;5000,"Medium","Low"))</f>
        <v>High</v>
      </c>
      <c r="O1346" s="2">
        <v>45186</v>
      </c>
      <c r="P1346" s="9">
        <v>10700</v>
      </c>
    </row>
    <row r="1347" spans="1:16" x14ac:dyDescent="0.25">
      <c r="A1347" t="s">
        <v>1368</v>
      </c>
      <c r="B1347" s="2">
        <v>45187</v>
      </c>
      <c r="C1347">
        <v>2023</v>
      </c>
      <c r="D1347" t="str">
        <f t="shared" si="42"/>
        <v>Sep</v>
      </c>
      <c r="E1347" t="s">
        <v>14</v>
      </c>
      <c r="F1347" t="s">
        <v>2044</v>
      </c>
      <c r="G1347" t="s">
        <v>20</v>
      </c>
      <c r="H1347" t="s">
        <v>25</v>
      </c>
      <c r="I1347">
        <v>6</v>
      </c>
      <c r="J1347" s="9">
        <v>9500</v>
      </c>
      <c r="K1347" s="7">
        <v>0.05</v>
      </c>
      <c r="L1347" s="9">
        <v>9025</v>
      </c>
      <c r="M1347" s="10">
        <f>Sales_Data3[[#This Row],[Profit]]/Sales_Data3[[#This Row],[Sales]]</f>
        <v>0.95</v>
      </c>
      <c r="N1347" t="str">
        <f t="shared" si="43"/>
        <v>Medium</v>
      </c>
      <c r="O1347" s="2">
        <v>45187</v>
      </c>
      <c r="P1347" s="9">
        <v>9500</v>
      </c>
    </row>
    <row r="1348" spans="1:16" x14ac:dyDescent="0.25">
      <c r="A1348" t="s">
        <v>1369</v>
      </c>
      <c r="B1348" s="2">
        <v>45188</v>
      </c>
      <c r="C1348">
        <v>2023</v>
      </c>
      <c r="D1348" t="str">
        <f t="shared" si="42"/>
        <v>Sep</v>
      </c>
      <c r="E1348" t="s">
        <v>14</v>
      </c>
      <c r="F1348" t="s">
        <v>2045</v>
      </c>
      <c r="G1348" t="s">
        <v>21</v>
      </c>
      <c r="H1348" t="s">
        <v>25</v>
      </c>
      <c r="I1348">
        <v>6</v>
      </c>
      <c r="J1348" s="9">
        <v>7300</v>
      </c>
      <c r="K1348" s="7">
        <v>0.1</v>
      </c>
      <c r="L1348" s="9">
        <v>6570</v>
      </c>
      <c r="M1348" s="10">
        <f>Sales_Data3[[#This Row],[Profit]]/Sales_Data3[[#This Row],[Sales]]</f>
        <v>0.9</v>
      </c>
      <c r="N1348" t="str">
        <f t="shared" si="43"/>
        <v>Medium</v>
      </c>
      <c r="O1348" s="2">
        <v>45188</v>
      </c>
      <c r="P1348" s="9">
        <v>7300</v>
      </c>
    </row>
    <row r="1349" spans="1:16" x14ac:dyDescent="0.25">
      <c r="A1349" t="s">
        <v>1370</v>
      </c>
      <c r="B1349" s="2">
        <v>45189</v>
      </c>
      <c r="C1349">
        <v>2023</v>
      </c>
      <c r="D1349" t="str">
        <f t="shared" si="42"/>
        <v>Sep</v>
      </c>
      <c r="E1349" t="s">
        <v>14</v>
      </c>
      <c r="F1349" t="s">
        <v>2046</v>
      </c>
      <c r="G1349" t="s">
        <v>22</v>
      </c>
      <c r="H1349" t="s">
        <v>25</v>
      </c>
      <c r="I1349">
        <v>2</v>
      </c>
      <c r="J1349" s="9">
        <v>4600</v>
      </c>
      <c r="K1349" s="7">
        <v>0.15000000000000002</v>
      </c>
      <c r="L1349" s="9">
        <v>3910</v>
      </c>
      <c r="M1349" s="10">
        <f>Sales_Data3[[#This Row],[Profit]]/Sales_Data3[[#This Row],[Sales]]</f>
        <v>0.85</v>
      </c>
      <c r="N1349" t="str">
        <f t="shared" si="43"/>
        <v>Low</v>
      </c>
      <c r="O1349" s="2">
        <v>45189</v>
      </c>
      <c r="P1349" s="9">
        <v>4600</v>
      </c>
    </row>
    <row r="1350" spans="1:16" x14ac:dyDescent="0.25">
      <c r="A1350" t="s">
        <v>1371</v>
      </c>
      <c r="B1350" s="2">
        <v>45190</v>
      </c>
      <c r="C1350">
        <v>2023</v>
      </c>
      <c r="D1350" t="str">
        <f t="shared" si="42"/>
        <v>Sep</v>
      </c>
      <c r="E1350" t="s">
        <v>14</v>
      </c>
      <c r="F1350" t="s">
        <v>2047</v>
      </c>
      <c r="G1350" t="s">
        <v>19</v>
      </c>
      <c r="H1350" t="s">
        <v>25</v>
      </c>
      <c r="I1350">
        <v>8</v>
      </c>
      <c r="J1350" s="9">
        <v>12700</v>
      </c>
      <c r="K1350" s="7">
        <v>0.2</v>
      </c>
      <c r="L1350" s="9">
        <v>10160</v>
      </c>
      <c r="M1350" s="10">
        <f>Sales_Data3[[#This Row],[Profit]]/Sales_Data3[[#This Row],[Sales]]</f>
        <v>0.8</v>
      </c>
      <c r="N1350" t="str">
        <f t="shared" si="43"/>
        <v>High</v>
      </c>
      <c r="O1350" s="2">
        <v>45190</v>
      </c>
      <c r="P1350" s="9">
        <v>12700</v>
      </c>
    </row>
    <row r="1351" spans="1:16" x14ac:dyDescent="0.25">
      <c r="A1351" t="s">
        <v>1372</v>
      </c>
      <c r="B1351" s="2">
        <v>45191</v>
      </c>
      <c r="C1351">
        <v>2023</v>
      </c>
      <c r="D1351" t="str">
        <f t="shared" si="42"/>
        <v>Sep</v>
      </c>
      <c r="E1351" t="s">
        <v>14</v>
      </c>
      <c r="F1351" t="s">
        <v>2048</v>
      </c>
      <c r="G1351" t="s">
        <v>20</v>
      </c>
      <c r="H1351" t="s">
        <v>25</v>
      </c>
      <c r="I1351">
        <v>7</v>
      </c>
      <c r="J1351" s="9">
        <v>6900</v>
      </c>
      <c r="K1351" s="7">
        <v>0.25</v>
      </c>
      <c r="L1351" s="9">
        <v>5175</v>
      </c>
      <c r="M1351" s="10">
        <f>Sales_Data3[[#This Row],[Profit]]/Sales_Data3[[#This Row],[Sales]]</f>
        <v>0.75</v>
      </c>
      <c r="N1351" t="str">
        <f t="shared" si="43"/>
        <v>Medium</v>
      </c>
      <c r="O1351" s="2">
        <v>45191</v>
      </c>
      <c r="P1351" s="9">
        <v>6900</v>
      </c>
    </row>
    <row r="1352" spans="1:16" x14ac:dyDescent="0.25">
      <c r="A1352" t="s">
        <v>1373</v>
      </c>
      <c r="B1352" s="2">
        <v>45192</v>
      </c>
      <c r="C1352">
        <v>2023</v>
      </c>
      <c r="D1352" t="str">
        <f t="shared" si="42"/>
        <v>Sep</v>
      </c>
      <c r="E1352" t="s">
        <v>12</v>
      </c>
      <c r="F1352" t="s">
        <v>15</v>
      </c>
      <c r="G1352" t="s">
        <v>21</v>
      </c>
      <c r="H1352" t="s">
        <v>23</v>
      </c>
      <c r="I1352">
        <v>1</v>
      </c>
      <c r="J1352" s="9">
        <v>9000</v>
      </c>
      <c r="K1352" s="7">
        <v>0.05</v>
      </c>
      <c r="L1352" s="9">
        <v>8550</v>
      </c>
      <c r="M1352" s="10">
        <f>Sales_Data3[[#This Row],[Profit]]/Sales_Data3[[#This Row],[Sales]]</f>
        <v>0.95</v>
      </c>
      <c r="N1352" t="str">
        <f t="shared" si="43"/>
        <v>Medium</v>
      </c>
      <c r="O1352" s="2">
        <v>45192</v>
      </c>
      <c r="P1352" s="9">
        <v>9000</v>
      </c>
    </row>
    <row r="1353" spans="1:16" x14ac:dyDescent="0.25">
      <c r="A1353" t="s">
        <v>1374</v>
      </c>
      <c r="B1353" s="2">
        <v>45193</v>
      </c>
      <c r="C1353">
        <v>2023</v>
      </c>
      <c r="D1353" t="str">
        <f t="shared" si="42"/>
        <v>Sep</v>
      </c>
      <c r="E1353" t="s">
        <v>12</v>
      </c>
      <c r="F1353" t="s">
        <v>17</v>
      </c>
      <c r="G1353" t="s">
        <v>22</v>
      </c>
      <c r="H1353" t="s">
        <v>23</v>
      </c>
      <c r="I1353">
        <v>8</v>
      </c>
      <c r="J1353" s="9">
        <v>10100</v>
      </c>
      <c r="K1353" s="7">
        <v>0.1</v>
      </c>
      <c r="L1353" s="9">
        <v>9090</v>
      </c>
      <c r="M1353" s="10">
        <f>Sales_Data3[[#This Row],[Profit]]/Sales_Data3[[#This Row],[Sales]]</f>
        <v>0.9</v>
      </c>
      <c r="N1353" t="str">
        <f t="shared" si="43"/>
        <v>High</v>
      </c>
      <c r="O1353" s="2">
        <v>45193</v>
      </c>
      <c r="P1353" s="9">
        <v>10100</v>
      </c>
    </row>
    <row r="1354" spans="1:16" x14ac:dyDescent="0.25">
      <c r="A1354" t="s">
        <v>1375</v>
      </c>
      <c r="B1354" s="2">
        <v>45194</v>
      </c>
      <c r="C1354">
        <v>2023</v>
      </c>
      <c r="D1354" t="str">
        <f t="shared" si="42"/>
        <v>Sep</v>
      </c>
      <c r="E1354" t="s">
        <v>12</v>
      </c>
      <c r="F1354" t="s">
        <v>2023</v>
      </c>
      <c r="G1354" t="s">
        <v>19</v>
      </c>
      <c r="H1354" t="s">
        <v>23</v>
      </c>
      <c r="I1354">
        <v>7</v>
      </c>
      <c r="J1354" s="9">
        <v>9900</v>
      </c>
      <c r="K1354" s="7">
        <v>0.15000000000000002</v>
      </c>
      <c r="L1354" s="9">
        <v>8415</v>
      </c>
      <c r="M1354" s="10">
        <f>Sales_Data3[[#This Row],[Profit]]/Sales_Data3[[#This Row],[Sales]]</f>
        <v>0.85</v>
      </c>
      <c r="N1354" t="str">
        <f t="shared" si="43"/>
        <v>Medium</v>
      </c>
      <c r="O1354" s="2">
        <v>45194</v>
      </c>
      <c r="P1354" s="9">
        <v>9900</v>
      </c>
    </row>
    <row r="1355" spans="1:16" x14ac:dyDescent="0.25">
      <c r="A1355" t="s">
        <v>1376</v>
      </c>
      <c r="B1355" s="2">
        <v>45195</v>
      </c>
      <c r="C1355">
        <v>2023</v>
      </c>
      <c r="D1355" t="str">
        <f t="shared" si="42"/>
        <v>Sep</v>
      </c>
      <c r="E1355" t="s">
        <v>12</v>
      </c>
      <c r="F1355" t="s">
        <v>18</v>
      </c>
      <c r="G1355" t="s">
        <v>20</v>
      </c>
      <c r="H1355" t="s">
        <v>23</v>
      </c>
      <c r="I1355">
        <v>5</v>
      </c>
      <c r="J1355" s="9">
        <v>13000</v>
      </c>
      <c r="K1355" s="7">
        <v>0.2</v>
      </c>
      <c r="L1355" s="9">
        <v>10400</v>
      </c>
      <c r="M1355" s="10">
        <f>Sales_Data3[[#This Row],[Profit]]/Sales_Data3[[#This Row],[Sales]]</f>
        <v>0.8</v>
      </c>
      <c r="N1355" t="str">
        <f t="shared" si="43"/>
        <v>High</v>
      </c>
      <c r="O1355" s="2">
        <v>45195</v>
      </c>
      <c r="P1355" s="9">
        <v>13000</v>
      </c>
    </row>
    <row r="1356" spans="1:16" x14ac:dyDescent="0.25">
      <c r="A1356" t="s">
        <v>1377</v>
      </c>
      <c r="B1356" s="2">
        <v>45196</v>
      </c>
      <c r="C1356">
        <v>2023</v>
      </c>
      <c r="D1356" t="str">
        <f t="shared" si="42"/>
        <v>Sep</v>
      </c>
      <c r="E1356" t="s">
        <v>12</v>
      </c>
      <c r="F1356" t="s">
        <v>2024</v>
      </c>
      <c r="G1356" t="s">
        <v>21</v>
      </c>
      <c r="H1356" t="s">
        <v>23</v>
      </c>
      <c r="I1356">
        <v>8</v>
      </c>
      <c r="J1356" s="9">
        <v>10100</v>
      </c>
      <c r="K1356" s="7">
        <v>0.25</v>
      </c>
      <c r="L1356" s="9">
        <v>7575</v>
      </c>
      <c r="M1356" s="10">
        <f>Sales_Data3[[#This Row],[Profit]]/Sales_Data3[[#This Row],[Sales]]</f>
        <v>0.75</v>
      </c>
      <c r="N1356" t="str">
        <f t="shared" si="43"/>
        <v>High</v>
      </c>
      <c r="O1356" s="2">
        <v>45196</v>
      </c>
      <c r="P1356" s="9">
        <v>10100</v>
      </c>
    </row>
    <row r="1357" spans="1:16" x14ac:dyDescent="0.25">
      <c r="A1357" t="s">
        <v>1378</v>
      </c>
      <c r="B1357" s="2">
        <v>45197</v>
      </c>
      <c r="C1357">
        <v>2023</v>
      </c>
      <c r="D1357" t="str">
        <f t="shared" si="42"/>
        <v>Sep</v>
      </c>
      <c r="E1357" t="s">
        <v>12</v>
      </c>
      <c r="F1357" t="s">
        <v>2025</v>
      </c>
      <c r="G1357" t="s">
        <v>22</v>
      </c>
      <c r="H1357" t="s">
        <v>23</v>
      </c>
      <c r="I1357">
        <v>5</v>
      </c>
      <c r="J1357" s="9">
        <v>13500</v>
      </c>
      <c r="K1357" s="7">
        <v>0.05</v>
      </c>
      <c r="L1357" s="9">
        <v>12825</v>
      </c>
      <c r="M1357" s="10">
        <f>Sales_Data3[[#This Row],[Profit]]/Sales_Data3[[#This Row],[Sales]]</f>
        <v>0.95</v>
      </c>
      <c r="N1357" t="str">
        <f t="shared" si="43"/>
        <v>High</v>
      </c>
      <c r="O1357" s="2">
        <v>45197</v>
      </c>
      <c r="P1357" s="9">
        <v>13500</v>
      </c>
    </row>
    <row r="1358" spans="1:16" x14ac:dyDescent="0.25">
      <c r="A1358" t="s">
        <v>1379</v>
      </c>
      <c r="B1358" s="2">
        <v>45198</v>
      </c>
      <c r="C1358">
        <v>2023</v>
      </c>
      <c r="D1358" t="str">
        <f t="shared" si="42"/>
        <v>Sep</v>
      </c>
      <c r="E1358" t="s">
        <v>12</v>
      </c>
      <c r="F1358" t="s">
        <v>2026</v>
      </c>
      <c r="G1358" t="s">
        <v>19</v>
      </c>
      <c r="H1358" t="s">
        <v>23</v>
      </c>
      <c r="I1358">
        <v>3</v>
      </c>
      <c r="J1358" s="9">
        <v>12700</v>
      </c>
      <c r="K1358" s="7">
        <v>0.1</v>
      </c>
      <c r="L1358" s="9">
        <v>11430</v>
      </c>
      <c r="M1358" s="10">
        <f>Sales_Data3[[#This Row],[Profit]]/Sales_Data3[[#This Row],[Sales]]</f>
        <v>0.9</v>
      </c>
      <c r="N1358" t="str">
        <f t="shared" si="43"/>
        <v>High</v>
      </c>
      <c r="O1358" s="2">
        <v>45198</v>
      </c>
      <c r="P1358" s="9">
        <v>12700</v>
      </c>
    </row>
    <row r="1359" spans="1:16" x14ac:dyDescent="0.25">
      <c r="A1359" t="s">
        <v>1380</v>
      </c>
      <c r="B1359" s="2">
        <v>45199</v>
      </c>
      <c r="C1359">
        <v>2023</v>
      </c>
      <c r="D1359" t="str">
        <f t="shared" si="42"/>
        <v>Sep</v>
      </c>
      <c r="E1359" t="s">
        <v>12</v>
      </c>
      <c r="F1359" t="s">
        <v>2027</v>
      </c>
      <c r="G1359" t="s">
        <v>20</v>
      </c>
      <c r="H1359" t="s">
        <v>23</v>
      </c>
      <c r="I1359">
        <v>8</v>
      </c>
      <c r="J1359" s="9">
        <v>10300</v>
      </c>
      <c r="K1359" s="7">
        <v>0.15000000000000002</v>
      </c>
      <c r="L1359" s="9">
        <v>8755</v>
      </c>
      <c r="M1359" s="10">
        <f>Sales_Data3[[#This Row],[Profit]]/Sales_Data3[[#This Row],[Sales]]</f>
        <v>0.85</v>
      </c>
      <c r="N1359" t="str">
        <f t="shared" si="43"/>
        <v>High</v>
      </c>
      <c r="O1359" s="2">
        <v>45199</v>
      </c>
      <c r="P1359" s="9">
        <v>10300</v>
      </c>
    </row>
    <row r="1360" spans="1:16" x14ac:dyDescent="0.25">
      <c r="A1360" t="s">
        <v>1381</v>
      </c>
      <c r="B1360" s="2">
        <v>45200</v>
      </c>
      <c r="C1360">
        <v>2023</v>
      </c>
      <c r="D1360" t="str">
        <f t="shared" si="42"/>
        <v>Oct</v>
      </c>
      <c r="E1360" t="s">
        <v>12</v>
      </c>
      <c r="F1360" t="s">
        <v>2028</v>
      </c>
      <c r="G1360" t="s">
        <v>21</v>
      </c>
      <c r="H1360" t="s">
        <v>23</v>
      </c>
      <c r="I1360">
        <v>4</v>
      </c>
      <c r="J1360" s="9">
        <v>12100</v>
      </c>
      <c r="K1360" s="7">
        <v>0.2</v>
      </c>
      <c r="L1360" s="9">
        <v>9680</v>
      </c>
      <c r="M1360" s="10">
        <f>Sales_Data3[[#This Row],[Profit]]/Sales_Data3[[#This Row],[Sales]]</f>
        <v>0.8</v>
      </c>
      <c r="N1360" t="str">
        <f t="shared" si="43"/>
        <v>High</v>
      </c>
      <c r="O1360" s="2">
        <v>45200</v>
      </c>
      <c r="P1360" s="9">
        <v>12100</v>
      </c>
    </row>
    <row r="1361" spans="1:16" x14ac:dyDescent="0.25">
      <c r="A1361" t="s">
        <v>1382</v>
      </c>
      <c r="B1361" s="2">
        <v>45201</v>
      </c>
      <c r="C1361">
        <v>2023</v>
      </c>
      <c r="D1361" t="str">
        <f t="shared" si="42"/>
        <v>Oct</v>
      </c>
      <c r="E1361" t="s">
        <v>12</v>
      </c>
      <c r="F1361" t="s">
        <v>2029</v>
      </c>
      <c r="G1361" t="s">
        <v>22</v>
      </c>
      <c r="H1361" t="s">
        <v>23</v>
      </c>
      <c r="I1361">
        <v>9</v>
      </c>
      <c r="J1361" s="9">
        <v>11700</v>
      </c>
      <c r="K1361" s="7">
        <v>0.25</v>
      </c>
      <c r="L1361" s="9">
        <v>8775</v>
      </c>
      <c r="M1361" s="10">
        <f>Sales_Data3[[#This Row],[Profit]]/Sales_Data3[[#This Row],[Sales]]</f>
        <v>0.75</v>
      </c>
      <c r="N1361" t="str">
        <f t="shared" si="43"/>
        <v>High</v>
      </c>
      <c r="O1361" s="2">
        <v>45201</v>
      </c>
      <c r="P1361" s="9">
        <v>11700</v>
      </c>
    </row>
    <row r="1362" spans="1:16" x14ac:dyDescent="0.25">
      <c r="A1362" t="s">
        <v>1383</v>
      </c>
      <c r="B1362" s="2">
        <v>45202</v>
      </c>
      <c r="C1362">
        <v>2023</v>
      </c>
      <c r="D1362" t="str">
        <f t="shared" si="42"/>
        <v>Oct</v>
      </c>
      <c r="E1362" t="s">
        <v>13</v>
      </c>
      <c r="F1362" t="s">
        <v>16</v>
      </c>
      <c r="G1362" t="s">
        <v>19</v>
      </c>
      <c r="H1362" t="s">
        <v>24</v>
      </c>
      <c r="I1362">
        <v>6</v>
      </c>
      <c r="J1362" s="9">
        <v>7500</v>
      </c>
      <c r="K1362" s="7">
        <v>0.05</v>
      </c>
      <c r="L1362" s="9">
        <v>7125</v>
      </c>
      <c r="M1362" s="10">
        <f>Sales_Data3[[#This Row],[Profit]]/Sales_Data3[[#This Row],[Sales]]</f>
        <v>0.95</v>
      </c>
      <c r="N1362" t="str">
        <f t="shared" si="43"/>
        <v>Medium</v>
      </c>
      <c r="O1362" s="2">
        <v>45202</v>
      </c>
      <c r="P1362" s="9">
        <v>7500</v>
      </c>
    </row>
    <row r="1363" spans="1:16" x14ac:dyDescent="0.25">
      <c r="A1363" t="s">
        <v>1384</v>
      </c>
      <c r="B1363" s="2">
        <v>45203</v>
      </c>
      <c r="C1363">
        <v>2023</v>
      </c>
      <c r="D1363" t="str">
        <f t="shared" si="42"/>
        <v>Oct</v>
      </c>
      <c r="E1363" t="s">
        <v>13</v>
      </c>
      <c r="F1363" t="s">
        <v>2030</v>
      </c>
      <c r="G1363" t="s">
        <v>20</v>
      </c>
      <c r="H1363" t="s">
        <v>24</v>
      </c>
      <c r="I1363">
        <v>8</v>
      </c>
      <c r="J1363" s="9">
        <v>14600</v>
      </c>
      <c r="K1363" s="7">
        <v>0.1</v>
      </c>
      <c r="L1363" s="9">
        <v>13140</v>
      </c>
      <c r="M1363" s="10">
        <f>Sales_Data3[[#This Row],[Profit]]/Sales_Data3[[#This Row],[Sales]]</f>
        <v>0.9</v>
      </c>
      <c r="N1363" t="str">
        <f t="shared" si="43"/>
        <v>High</v>
      </c>
      <c r="O1363" s="2">
        <v>45203</v>
      </c>
      <c r="P1363" s="9">
        <v>14600</v>
      </c>
    </row>
    <row r="1364" spans="1:16" x14ac:dyDescent="0.25">
      <c r="A1364" t="s">
        <v>1385</v>
      </c>
      <c r="B1364" s="2">
        <v>45204</v>
      </c>
      <c r="C1364">
        <v>2023</v>
      </c>
      <c r="D1364" t="str">
        <f t="shared" si="42"/>
        <v>Oct</v>
      </c>
      <c r="E1364" t="s">
        <v>13</v>
      </c>
      <c r="F1364" t="s">
        <v>2031</v>
      </c>
      <c r="G1364" t="s">
        <v>21</v>
      </c>
      <c r="H1364" t="s">
        <v>24</v>
      </c>
      <c r="I1364">
        <v>1</v>
      </c>
      <c r="J1364" s="9">
        <v>4200</v>
      </c>
      <c r="K1364" s="7">
        <v>0.15000000000000002</v>
      </c>
      <c r="L1364" s="9">
        <v>3570</v>
      </c>
      <c r="M1364" s="10">
        <f>Sales_Data3[[#This Row],[Profit]]/Sales_Data3[[#This Row],[Sales]]</f>
        <v>0.85</v>
      </c>
      <c r="N1364" t="str">
        <f t="shared" si="43"/>
        <v>Low</v>
      </c>
      <c r="O1364" s="2">
        <v>45204</v>
      </c>
      <c r="P1364" s="9">
        <v>4200</v>
      </c>
    </row>
    <row r="1365" spans="1:16" x14ac:dyDescent="0.25">
      <c r="A1365" t="s">
        <v>1386</v>
      </c>
      <c r="B1365" s="2">
        <v>45205</v>
      </c>
      <c r="C1365">
        <v>2023</v>
      </c>
      <c r="D1365" t="str">
        <f t="shared" si="42"/>
        <v>Oct</v>
      </c>
      <c r="E1365" t="s">
        <v>13</v>
      </c>
      <c r="F1365" t="s">
        <v>2032</v>
      </c>
      <c r="G1365" t="s">
        <v>22</v>
      </c>
      <c r="H1365" t="s">
        <v>24</v>
      </c>
      <c r="I1365">
        <v>4</v>
      </c>
      <c r="J1365" s="9">
        <v>12300</v>
      </c>
      <c r="K1365" s="7">
        <v>0.2</v>
      </c>
      <c r="L1365" s="9">
        <v>9840</v>
      </c>
      <c r="M1365" s="10">
        <f>Sales_Data3[[#This Row],[Profit]]/Sales_Data3[[#This Row],[Sales]]</f>
        <v>0.8</v>
      </c>
      <c r="N1365" t="str">
        <f t="shared" si="43"/>
        <v>High</v>
      </c>
      <c r="O1365" s="2">
        <v>45205</v>
      </c>
      <c r="P1365" s="9">
        <v>12300</v>
      </c>
    </row>
    <row r="1366" spans="1:16" x14ac:dyDescent="0.25">
      <c r="A1366" t="s">
        <v>1387</v>
      </c>
      <c r="B1366" s="2">
        <v>45206</v>
      </c>
      <c r="C1366">
        <v>2023</v>
      </c>
      <c r="D1366" t="str">
        <f t="shared" si="42"/>
        <v>Oct</v>
      </c>
      <c r="E1366" t="s">
        <v>13</v>
      </c>
      <c r="F1366" t="s">
        <v>2033</v>
      </c>
      <c r="G1366" t="s">
        <v>19</v>
      </c>
      <c r="H1366" t="s">
        <v>24</v>
      </c>
      <c r="I1366">
        <v>7</v>
      </c>
      <c r="J1366" s="9">
        <v>5600</v>
      </c>
      <c r="K1366" s="7">
        <v>0.25</v>
      </c>
      <c r="L1366" s="9">
        <v>4200</v>
      </c>
      <c r="M1366" s="10">
        <f>Sales_Data3[[#This Row],[Profit]]/Sales_Data3[[#This Row],[Sales]]</f>
        <v>0.75</v>
      </c>
      <c r="N1366" t="str">
        <f t="shared" si="43"/>
        <v>Medium</v>
      </c>
      <c r="O1366" s="2">
        <v>45206</v>
      </c>
      <c r="P1366" s="9">
        <v>5600</v>
      </c>
    </row>
    <row r="1367" spans="1:16" x14ac:dyDescent="0.25">
      <c r="A1367" t="s">
        <v>1388</v>
      </c>
      <c r="B1367" s="2">
        <v>45207</v>
      </c>
      <c r="C1367">
        <v>2023</v>
      </c>
      <c r="D1367" t="str">
        <f t="shared" si="42"/>
        <v>Oct</v>
      </c>
      <c r="E1367" t="s">
        <v>13</v>
      </c>
      <c r="F1367" t="s">
        <v>2034</v>
      </c>
      <c r="G1367" t="s">
        <v>20</v>
      </c>
      <c r="H1367" t="s">
        <v>24</v>
      </c>
      <c r="I1367">
        <v>6</v>
      </c>
      <c r="J1367" s="9">
        <v>14200</v>
      </c>
      <c r="K1367" s="7">
        <v>0.05</v>
      </c>
      <c r="L1367" s="9">
        <v>13490</v>
      </c>
      <c r="M1367" s="10">
        <f>Sales_Data3[[#This Row],[Profit]]/Sales_Data3[[#This Row],[Sales]]</f>
        <v>0.95</v>
      </c>
      <c r="N1367" t="str">
        <f t="shared" si="43"/>
        <v>High</v>
      </c>
      <c r="O1367" s="2">
        <v>45207</v>
      </c>
      <c r="P1367" s="9">
        <v>14200</v>
      </c>
    </row>
    <row r="1368" spans="1:16" x14ac:dyDescent="0.25">
      <c r="A1368" t="s">
        <v>1389</v>
      </c>
      <c r="B1368" s="2">
        <v>45208</v>
      </c>
      <c r="C1368">
        <v>2023</v>
      </c>
      <c r="D1368" t="str">
        <f t="shared" si="42"/>
        <v>Oct</v>
      </c>
      <c r="E1368" t="s">
        <v>13</v>
      </c>
      <c r="F1368" t="s">
        <v>2035</v>
      </c>
      <c r="G1368" t="s">
        <v>21</v>
      </c>
      <c r="H1368" t="s">
        <v>24</v>
      </c>
      <c r="I1368">
        <v>6</v>
      </c>
      <c r="J1368" s="9">
        <v>13400</v>
      </c>
      <c r="K1368" s="7">
        <v>0.1</v>
      </c>
      <c r="L1368" s="9">
        <v>12060</v>
      </c>
      <c r="M1368" s="10">
        <f>Sales_Data3[[#This Row],[Profit]]/Sales_Data3[[#This Row],[Sales]]</f>
        <v>0.9</v>
      </c>
      <c r="N1368" t="str">
        <f t="shared" si="43"/>
        <v>High</v>
      </c>
      <c r="O1368" s="2">
        <v>45208</v>
      </c>
      <c r="P1368" s="9">
        <v>13400</v>
      </c>
    </row>
    <row r="1369" spans="1:16" x14ac:dyDescent="0.25">
      <c r="A1369" t="s">
        <v>1390</v>
      </c>
      <c r="B1369" s="2">
        <v>45209</v>
      </c>
      <c r="C1369">
        <v>2023</v>
      </c>
      <c r="D1369" t="str">
        <f t="shared" si="42"/>
        <v>Oct</v>
      </c>
      <c r="E1369" t="s">
        <v>13</v>
      </c>
      <c r="F1369" t="s">
        <v>2036</v>
      </c>
      <c r="G1369" t="s">
        <v>22</v>
      </c>
      <c r="H1369" t="s">
        <v>24</v>
      </c>
      <c r="I1369">
        <v>8</v>
      </c>
      <c r="J1369" s="9">
        <v>14700</v>
      </c>
      <c r="K1369" s="7">
        <v>0.15000000000000002</v>
      </c>
      <c r="L1369" s="9">
        <v>12495</v>
      </c>
      <c r="M1369" s="10">
        <f>Sales_Data3[[#This Row],[Profit]]/Sales_Data3[[#This Row],[Sales]]</f>
        <v>0.85</v>
      </c>
      <c r="N1369" t="str">
        <f t="shared" si="43"/>
        <v>High</v>
      </c>
      <c r="O1369" s="2">
        <v>45209</v>
      </c>
      <c r="P1369" s="9">
        <v>14700</v>
      </c>
    </row>
    <row r="1370" spans="1:16" x14ac:dyDescent="0.25">
      <c r="A1370" t="s">
        <v>1391</v>
      </c>
      <c r="B1370" s="2">
        <v>45210</v>
      </c>
      <c r="C1370">
        <v>2023</v>
      </c>
      <c r="D1370" t="str">
        <f t="shared" si="42"/>
        <v>Oct</v>
      </c>
      <c r="E1370" t="s">
        <v>13</v>
      </c>
      <c r="F1370" t="s">
        <v>2037</v>
      </c>
      <c r="G1370" t="s">
        <v>19</v>
      </c>
      <c r="H1370" t="s">
        <v>24</v>
      </c>
      <c r="I1370">
        <v>6</v>
      </c>
      <c r="J1370" s="9">
        <v>7600</v>
      </c>
      <c r="K1370" s="7">
        <v>0.2</v>
      </c>
      <c r="L1370" s="9">
        <v>6080</v>
      </c>
      <c r="M1370" s="10">
        <f>Sales_Data3[[#This Row],[Profit]]/Sales_Data3[[#This Row],[Sales]]</f>
        <v>0.8</v>
      </c>
      <c r="N1370" t="str">
        <f t="shared" si="43"/>
        <v>Medium</v>
      </c>
      <c r="O1370" s="2">
        <v>45210</v>
      </c>
      <c r="P1370" s="9">
        <v>7600</v>
      </c>
    </row>
    <row r="1371" spans="1:16" x14ac:dyDescent="0.25">
      <c r="A1371" t="s">
        <v>1392</v>
      </c>
      <c r="B1371" s="2">
        <v>45211</v>
      </c>
      <c r="C1371">
        <v>2023</v>
      </c>
      <c r="D1371" t="str">
        <f t="shared" si="42"/>
        <v>Oct</v>
      </c>
      <c r="E1371" t="s">
        <v>13</v>
      </c>
      <c r="F1371" t="s">
        <v>2038</v>
      </c>
      <c r="G1371" t="s">
        <v>20</v>
      </c>
      <c r="H1371" t="s">
        <v>24</v>
      </c>
      <c r="I1371">
        <v>10</v>
      </c>
      <c r="J1371" s="9">
        <v>12200</v>
      </c>
      <c r="K1371" s="7">
        <v>0.25</v>
      </c>
      <c r="L1371" s="9">
        <v>9150</v>
      </c>
      <c r="M1371" s="10">
        <f>Sales_Data3[[#This Row],[Profit]]/Sales_Data3[[#This Row],[Sales]]</f>
        <v>0.75</v>
      </c>
      <c r="N1371" t="str">
        <f t="shared" si="43"/>
        <v>High</v>
      </c>
      <c r="O1371" s="2">
        <v>45211</v>
      </c>
      <c r="P1371" s="9">
        <v>12200</v>
      </c>
    </row>
    <row r="1372" spans="1:16" x14ac:dyDescent="0.25">
      <c r="A1372" t="s">
        <v>1393</v>
      </c>
      <c r="B1372" s="2">
        <v>45212</v>
      </c>
      <c r="C1372">
        <v>2023</v>
      </c>
      <c r="D1372" t="str">
        <f t="shared" si="42"/>
        <v>Oct</v>
      </c>
      <c r="E1372" t="s">
        <v>14</v>
      </c>
      <c r="F1372" t="s">
        <v>2039</v>
      </c>
      <c r="G1372" t="s">
        <v>21</v>
      </c>
      <c r="H1372" t="s">
        <v>25</v>
      </c>
      <c r="I1372">
        <v>3</v>
      </c>
      <c r="J1372" s="9">
        <v>8300</v>
      </c>
      <c r="K1372" s="7">
        <v>0.05</v>
      </c>
      <c r="L1372" s="9">
        <v>7885</v>
      </c>
      <c r="M1372" s="10">
        <f>Sales_Data3[[#This Row],[Profit]]/Sales_Data3[[#This Row],[Sales]]</f>
        <v>0.95</v>
      </c>
      <c r="N1372" t="str">
        <f t="shared" si="43"/>
        <v>Medium</v>
      </c>
      <c r="O1372" s="2">
        <v>45212</v>
      </c>
      <c r="P1372" s="9">
        <v>8300</v>
      </c>
    </row>
    <row r="1373" spans="1:16" x14ac:dyDescent="0.25">
      <c r="A1373" t="s">
        <v>1394</v>
      </c>
      <c r="B1373" s="2">
        <v>45213</v>
      </c>
      <c r="C1373">
        <v>2023</v>
      </c>
      <c r="D1373" t="str">
        <f t="shared" si="42"/>
        <v>Oct</v>
      </c>
      <c r="E1373" t="s">
        <v>14</v>
      </c>
      <c r="F1373" t="s">
        <v>2040</v>
      </c>
      <c r="G1373" t="s">
        <v>22</v>
      </c>
      <c r="H1373" t="s">
        <v>25</v>
      </c>
      <c r="I1373">
        <v>4</v>
      </c>
      <c r="J1373" s="9">
        <v>9800</v>
      </c>
      <c r="K1373" s="7">
        <v>0.1</v>
      </c>
      <c r="L1373" s="9">
        <v>8820</v>
      </c>
      <c r="M1373" s="10">
        <f>Sales_Data3[[#This Row],[Profit]]/Sales_Data3[[#This Row],[Sales]]</f>
        <v>0.9</v>
      </c>
      <c r="N1373" t="str">
        <f t="shared" si="43"/>
        <v>Medium</v>
      </c>
      <c r="O1373" s="2">
        <v>45213</v>
      </c>
      <c r="P1373" s="9">
        <v>9800</v>
      </c>
    </row>
    <row r="1374" spans="1:16" x14ac:dyDescent="0.25">
      <c r="A1374" t="s">
        <v>1395</v>
      </c>
      <c r="B1374" s="2">
        <v>45214</v>
      </c>
      <c r="C1374">
        <v>2023</v>
      </c>
      <c r="D1374" t="str">
        <f t="shared" si="42"/>
        <v>Oct</v>
      </c>
      <c r="E1374" t="s">
        <v>14</v>
      </c>
      <c r="F1374" t="s">
        <v>2041</v>
      </c>
      <c r="G1374" t="s">
        <v>19</v>
      </c>
      <c r="H1374" t="s">
        <v>25</v>
      </c>
      <c r="I1374">
        <v>4</v>
      </c>
      <c r="J1374" s="9">
        <v>10300</v>
      </c>
      <c r="K1374" s="7">
        <v>0.15000000000000002</v>
      </c>
      <c r="L1374" s="9">
        <v>8755</v>
      </c>
      <c r="M1374" s="10">
        <f>Sales_Data3[[#This Row],[Profit]]/Sales_Data3[[#This Row],[Sales]]</f>
        <v>0.85</v>
      </c>
      <c r="N1374" t="str">
        <f t="shared" si="43"/>
        <v>High</v>
      </c>
      <c r="O1374" s="2">
        <v>45214</v>
      </c>
      <c r="P1374" s="9">
        <v>10300</v>
      </c>
    </row>
    <row r="1375" spans="1:16" x14ac:dyDescent="0.25">
      <c r="A1375" t="s">
        <v>1396</v>
      </c>
      <c r="B1375" s="2">
        <v>45215</v>
      </c>
      <c r="C1375">
        <v>2023</v>
      </c>
      <c r="D1375" t="str">
        <f t="shared" si="42"/>
        <v>Oct</v>
      </c>
      <c r="E1375" t="s">
        <v>14</v>
      </c>
      <c r="F1375" t="s">
        <v>2042</v>
      </c>
      <c r="G1375" t="s">
        <v>20</v>
      </c>
      <c r="H1375" t="s">
        <v>25</v>
      </c>
      <c r="I1375">
        <v>7</v>
      </c>
      <c r="J1375" s="9">
        <v>7400</v>
      </c>
      <c r="K1375" s="7">
        <v>0.2</v>
      </c>
      <c r="L1375" s="9">
        <v>5920</v>
      </c>
      <c r="M1375" s="10">
        <f>Sales_Data3[[#This Row],[Profit]]/Sales_Data3[[#This Row],[Sales]]</f>
        <v>0.8</v>
      </c>
      <c r="N1375" t="str">
        <f t="shared" si="43"/>
        <v>Medium</v>
      </c>
      <c r="O1375" s="2">
        <v>45215</v>
      </c>
      <c r="P1375" s="9">
        <v>7400</v>
      </c>
    </row>
    <row r="1376" spans="1:16" x14ac:dyDescent="0.25">
      <c r="A1376" t="s">
        <v>1397</v>
      </c>
      <c r="B1376" s="2">
        <v>45216</v>
      </c>
      <c r="C1376">
        <v>2023</v>
      </c>
      <c r="D1376" t="str">
        <f t="shared" si="42"/>
        <v>Oct</v>
      </c>
      <c r="E1376" t="s">
        <v>14</v>
      </c>
      <c r="F1376" t="s">
        <v>2043</v>
      </c>
      <c r="G1376" t="s">
        <v>21</v>
      </c>
      <c r="H1376" t="s">
        <v>25</v>
      </c>
      <c r="I1376">
        <v>8</v>
      </c>
      <c r="J1376" s="9">
        <v>6200</v>
      </c>
      <c r="K1376" s="7">
        <v>0.25</v>
      </c>
      <c r="L1376" s="9">
        <v>4650</v>
      </c>
      <c r="M1376" s="10">
        <f>Sales_Data3[[#This Row],[Profit]]/Sales_Data3[[#This Row],[Sales]]</f>
        <v>0.75</v>
      </c>
      <c r="N1376" t="str">
        <f t="shared" si="43"/>
        <v>Medium</v>
      </c>
      <c r="O1376" s="2">
        <v>45216</v>
      </c>
      <c r="P1376" s="9">
        <v>6200</v>
      </c>
    </row>
    <row r="1377" spans="1:16" x14ac:dyDescent="0.25">
      <c r="A1377" t="s">
        <v>1398</v>
      </c>
      <c r="B1377" s="2">
        <v>45217</v>
      </c>
      <c r="C1377">
        <v>2023</v>
      </c>
      <c r="D1377" t="str">
        <f t="shared" si="42"/>
        <v>Oct</v>
      </c>
      <c r="E1377" t="s">
        <v>14</v>
      </c>
      <c r="F1377" t="s">
        <v>2044</v>
      </c>
      <c r="G1377" t="s">
        <v>22</v>
      </c>
      <c r="H1377" t="s">
        <v>25</v>
      </c>
      <c r="I1377">
        <v>2</v>
      </c>
      <c r="J1377" s="9">
        <v>8800</v>
      </c>
      <c r="K1377" s="7">
        <v>0.05</v>
      </c>
      <c r="L1377" s="9">
        <v>8360</v>
      </c>
      <c r="M1377" s="10">
        <f>Sales_Data3[[#This Row],[Profit]]/Sales_Data3[[#This Row],[Sales]]</f>
        <v>0.95</v>
      </c>
      <c r="N1377" t="str">
        <f t="shared" si="43"/>
        <v>Medium</v>
      </c>
      <c r="O1377" s="2">
        <v>45217</v>
      </c>
      <c r="P1377" s="9">
        <v>8800</v>
      </c>
    </row>
    <row r="1378" spans="1:16" x14ac:dyDescent="0.25">
      <c r="A1378" t="s">
        <v>1399</v>
      </c>
      <c r="B1378" s="2">
        <v>45218</v>
      </c>
      <c r="C1378">
        <v>2023</v>
      </c>
      <c r="D1378" t="str">
        <f t="shared" si="42"/>
        <v>Oct</v>
      </c>
      <c r="E1378" t="s">
        <v>14</v>
      </c>
      <c r="F1378" t="s">
        <v>2045</v>
      </c>
      <c r="G1378" t="s">
        <v>19</v>
      </c>
      <c r="H1378" t="s">
        <v>25</v>
      </c>
      <c r="I1378">
        <v>5</v>
      </c>
      <c r="J1378" s="9">
        <v>7300</v>
      </c>
      <c r="K1378" s="7">
        <v>0.1</v>
      </c>
      <c r="L1378" s="9">
        <v>6570</v>
      </c>
      <c r="M1378" s="10">
        <f>Sales_Data3[[#This Row],[Profit]]/Sales_Data3[[#This Row],[Sales]]</f>
        <v>0.9</v>
      </c>
      <c r="N1378" t="str">
        <f t="shared" si="43"/>
        <v>Medium</v>
      </c>
      <c r="O1378" s="2">
        <v>45218</v>
      </c>
      <c r="P1378" s="9">
        <v>7300</v>
      </c>
    </row>
    <row r="1379" spans="1:16" x14ac:dyDescent="0.25">
      <c r="A1379" t="s">
        <v>1400</v>
      </c>
      <c r="B1379" s="2">
        <v>45219</v>
      </c>
      <c r="C1379">
        <v>2023</v>
      </c>
      <c r="D1379" t="str">
        <f t="shared" si="42"/>
        <v>Oct</v>
      </c>
      <c r="E1379" t="s">
        <v>14</v>
      </c>
      <c r="F1379" t="s">
        <v>2046</v>
      </c>
      <c r="G1379" t="s">
        <v>20</v>
      </c>
      <c r="H1379" t="s">
        <v>25</v>
      </c>
      <c r="I1379">
        <v>1</v>
      </c>
      <c r="J1379" s="9">
        <v>12600</v>
      </c>
      <c r="K1379" s="7">
        <v>0.15000000000000002</v>
      </c>
      <c r="L1379" s="9">
        <v>10710</v>
      </c>
      <c r="M1379" s="10">
        <f>Sales_Data3[[#This Row],[Profit]]/Sales_Data3[[#This Row],[Sales]]</f>
        <v>0.85</v>
      </c>
      <c r="N1379" t="str">
        <f t="shared" si="43"/>
        <v>High</v>
      </c>
      <c r="O1379" s="2">
        <v>45219</v>
      </c>
      <c r="P1379" s="9">
        <v>12600</v>
      </c>
    </row>
    <row r="1380" spans="1:16" x14ac:dyDescent="0.25">
      <c r="A1380" t="s">
        <v>1401</v>
      </c>
      <c r="B1380" s="2">
        <v>45220</v>
      </c>
      <c r="C1380">
        <v>2023</v>
      </c>
      <c r="D1380" t="str">
        <f t="shared" si="42"/>
        <v>Oct</v>
      </c>
      <c r="E1380" t="s">
        <v>14</v>
      </c>
      <c r="F1380" t="s">
        <v>2047</v>
      </c>
      <c r="G1380" t="s">
        <v>21</v>
      </c>
      <c r="H1380" t="s">
        <v>25</v>
      </c>
      <c r="I1380">
        <v>1</v>
      </c>
      <c r="J1380" s="9">
        <v>11000</v>
      </c>
      <c r="K1380" s="7">
        <v>0.2</v>
      </c>
      <c r="L1380" s="9">
        <v>8800</v>
      </c>
      <c r="M1380" s="10">
        <f>Sales_Data3[[#This Row],[Profit]]/Sales_Data3[[#This Row],[Sales]]</f>
        <v>0.8</v>
      </c>
      <c r="N1380" t="str">
        <f t="shared" si="43"/>
        <v>High</v>
      </c>
      <c r="O1380" s="2">
        <v>45220</v>
      </c>
      <c r="P1380" s="9">
        <v>11000</v>
      </c>
    </row>
    <row r="1381" spans="1:16" x14ac:dyDescent="0.25">
      <c r="A1381" t="s">
        <v>1402</v>
      </c>
      <c r="B1381" s="2">
        <v>45221</v>
      </c>
      <c r="C1381">
        <v>2023</v>
      </c>
      <c r="D1381" t="str">
        <f t="shared" si="42"/>
        <v>Oct</v>
      </c>
      <c r="E1381" t="s">
        <v>14</v>
      </c>
      <c r="F1381" t="s">
        <v>2048</v>
      </c>
      <c r="G1381" t="s">
        <v>22</v>
      </c>
      <c r="H1381" t="s">
        <v>25</v>
      </c>
      <c r="I1381">
        <v>4</v>
      </c>
      <c r="J1381" s="9">
        <v>11200</v>
      </c>
      <c r="K1381" s="7">
        <v>0.25</v>
      </c>
      <c r="L1381" s="9">
        <v>8400</v>
      </c>
      <c r="M1381" s="10">
        <f>Sales_Data3[[#This Row],[Profit]]/Sales_Data3[[#This Row],[Sales]]</f>
        <v>0.75</v>
      </c>
      <c r="N1381" t="str">
        <f t="shared" si="43"/>
        <v>High</v>
      </c>
      <c r="O1381" s="2">
        <v>45221</v>
      </c>
      <c r="P1381" s="9">
        <v>11200</v>
      </c>
    </row>
    <row r="1382" spans="1:16" x14ac:dyDescent="0.25">
      <c r="A1382" t="s">
        <v>1403</v>
      </c>
      <c r="B1382" s="2">
        <v>45222</v>
      </c>
      <c r="C1382">
        <v>2023</v>
      </c>
      <c r="D1382" t="str">
        <f t="shared" si="42"/>
        <v>Oct</v>
      </c>
      <c r="E1382" t="s">
        <v>12</v>
      </c>
      <c r="F1382" t="s">
        <v>15</v>
      </c>
      <c r="G1382" t="s">
        <v>19</v>
      </c>
      <c r="H1382" t="s">
        <v>23</v>
      </c>
      <c r="I1382">
        <v>2</v>
      </c>
      <c r="J1382" s="9">
        <v>4400</v>
      </c>
      <c r="K1382" s="7">
        <v>0.05</v>
      </c>
      <c r="L1382" s="9">
        <v>4180</v>
      </c>
      <c r="M1382" s="10">
        <f>Sales_Data3[[#This Row],[Profit]]/Sales_Data3[[#This Row],[Sales]]</f>
        <v>0.95</v>
      </c>
      <c r="N1382" t="str">
        <f t="shared" si="43"/>
        <v>Low</v>
      </c>
      <c r="O1382" s="2">
        <v>45222</v>
      </c>
      <c r="P1382" s="9">
        <v>4400</v>
      </c>
    </row>
    <row r="1383" spans="1:16" x14ac:dyDescent="0.25">
      <c r="A1383" t="s">
        <v>1404</v>
      </c>
      <c r="B1383" s="2">
        <v>45223</v>
      </c>
      <c r="C1383">
        <v>2023</v>
      </c>
      <c r="D1383" t="str">
        <f t="shared" si="42"/>
        <v>Oct</v>
      </c>
      <c r="E1383" t="s">
        <v>12</v>
      </c>
      <c r="F1383" t="s">
        <v>17</v>
      </c>
      <c r="G1383" t="s">
        <v>20</v>
      </c>
      <c r="H1383" t="s">
        <v>23</v>
      </c>
      <c r="I1383">
        <v>1</v>
      </c>
      <c r="J1383" s="9">
        <v>4800</v>
      </c>
      <c r="K1383" s="7">
        <v>0.1</v>
      </c>
      <c r="L1383" s="9">
        <v>4320</v>
      </c>
      <c r="M1383" s="10">
        <f>Sales_Data3[[#This Row],[Profit]]/Sales_Data3[[#This Row],[Sales]]</f>
        <v>0.9</v>
      </c>
      <c r="N1383" t="str">
        <f t="shared" si="43"/>
        <v>Low</v>
      </c>
      <c r="O1383" s="2">
        <v>45223</v>
      </c>
      <c r="P1383" s="9">
        <v>4800</v>
      </c>
    </row>
    <row r="1384" spans="1:16" x14ac:dyDescent="0.25">
      <c r="A1384" t="s">
        <v>1405</v>
      </c>
      <c r="B1384" s="2">
        <v>45224</v>
      </c>
      <c r="C1384">
        <v>2023</v>
      </c>
      <c r="D1384" t="str">
        <f t="shared" si="42"/>
        <v>Oct</v>
      </c>
      <c r="E1384" t="s">
        <v>12</v>
      </c>
      <c r="F1384" t="s">
        <v>2023</v>
      </c>
      <c r="G1384" t="s">
        <v>21</v>
      </c>
      <c r="H1384" t="s">
        <v>23</v>
      </c>
      <c r="I1384">
        <v>7</v>
      </c>
      <c r="J1384" s="9">
        <v>11700</v>
      </c>
      <c r="K1384" s="7">
        <v>0.15000000000000002</v>
      </c>
      <c r="L1384" s="9">
        <v>9945</v>
      </c>
      <c r="M1384" s="10">
        <f>Sales_Data3[[#This Row],[Profit]]/Sales_Data3[[#This Row],[Sales]]</f>
        <v>0.85</v>
      </c>
      <c r="N1384" t="str">
        <f t="shared" si="43"/>
        <v>High</v>
      </c>
      <c r="O1384" s="2">
        <v>45224</v>
      </c>
      <c r="P1384" s="9">
        <v>11700</v>
      </c>
    </row>
    <row r="1385" spans="1:16" x14ac:dyDescent="0.25">
      <c r="A1385" t="s">
        <v>1406</v>
      </c>
      <c r="B1385" s="2">
        <v>45225</v>
      </c>
      <c r="C1385">
        <v>2023</v>
      </c>
      <c r="D1385" t="str">
        <f t="shared" si="42"/>
        <v>Oct</v>
      </c>
      <c r="E1385" t="s">
        <v>12</v>
      </c>
      <c r="F1385" t="s">
        <v>18</v>
      </c>
      <c r="G1385" t="s">
        <v>22</v>
      </c>
      <c r="H1385" t="s">
        <v>23</v>
      </c>
      <c r="I1385">
        <v>4</v>
      </c>
      <c r="J1385" s="9">
        <v>6400</v>
      </c>
      <c r="K1385" s="7">
        <v>0.2</v>
      </c>
      <c r="L1385" s="9">
        <v>5120</v>
      </c>
      <c r="M1385" s="10">
        <f>Sales_Data3[[#This Row],[Profit]]/Sales_Data3[[#This Row],[Sales]]</f>
        <v>0.8</v>
      </c>
      <c r="N1385" t="str">
        <f t="shared" si="43"/>
        <v>Medium</v>
      </c>
      <c r="O1385" s="2">
        <v>45225</v>
      </c>
      <c r="P1385" s="9">
        <v>6400</v>
      </c>
    </row>
    <row r="1386" spans="1:16" x14ac:dyDescent="0.25">
      <c r="A1386" t="s">
        <v>1407</v>
      </c>
      <c r="B1386" s="2">
        <v>45226</v>
      </c>
      <c r="C1386">
        <v>2023</v>
      </c>
      <c r="D1386" t="str">
        <f t="shared" si="42"/>
        <v>Oct</v>
      </c>
      <c r="E1386" t="s">
        <v>12</v>
      </c>
      <c r="F1386" t="s">
        <v>2024</v>
      </c>
      <c r="G1386" t="s">
        <v>19</v>
      </c>
      <c r="H1386" t="s">
        <v>23</v>
      </c>
      <c r="I1386">
        <v>4</v>
      </c>
      <c r="J1386" s="9">
        <v>8000</v>
      </c>
      <c r="K1386" s="7">
        <v>0.25</v>
      </c>
      <c r="L1386" s="9">
        <v>6000</v>
      </c>
      <c r="M1386" s="10">
        <f>Sales_Data3[[#This Row],[Profit]]/Sales_Data3[[#This Row],[Sales]]</f>
        <v>0.75</v>
      </c>
      <c r="N1386" t="str">
        <f t="shared" si="43"/>
        <v>Medium</v>
      </c>
      <c r="O1386" s="2">
        <v>45226</v>
      </c>
      <c r="P1386" s="9">
        <v>8000</v>
      </c>
    </row>
    <row r="1387" spans="1:16" x14ac:dyDescent="0.25">
      <c r="A1387" t="s">
        <v>1408</v>
      </c>
      <c r="B1387" s="2">
        <v>45227</v>
      </c>
      <c r="C1387">
        <v>2023</v>
      </c>
      <c r="D1387" t="str">
        <f t="shared" si="42"/>
        <v>Oct</v>
      </c>
      <c r="E1387" t="s">
        <v>12</v>
      </c>
      <c r="F1387" t="s">
        <v>2025</v>
      </c>
      <c r="G1387" t="s">
        <v>20</v>
      </c>
      <c r="H1387" t="s">
        <v>23</v>
      </c>
      <c r="I1387">
        <v>10</v>
      </c>
      <c r="J1387" s="9">
        <v>8100</v>
      </c>
      <c r="K1387" s="7">
        <v>0.05</v>
      </c>
      <c r="L1387" s="9">
        <v>7695</v>
      </c>
      <c r="M1387" s="10">
        <f>Sales_Data3[[#This Row],[Profit]]/Sales_Data3[[#This Row],[Sales]]</f>
        <v>0.95</v>
      </c>
      <c r="N1387" t="str">
        <f t="shared" si="43"/>
        <v>Medium</v>
      </c>
      <c r="O1387" s="2">
        <v>45227</v>
      </c>
      <c r="P1387" s="9">
        <v>8100</v>
      </c>
    </row>
    <row r="1388" spans="1:16" x14ac:dyDescent="0.25">
      <c r="A1388" t="s">
        <v>1409</v>
      </c>
      <c r="B1388" s="2">
        <v>45228</v>
      </c>
      <c r="C1388">
        <v>2023</v>
      </c>
      <c r="D1388" t="str">
        <f t="shared" si="42"/>
        <v>Oct</v>
      </c>
      <c r="E1388" t="s">
        <v>12</v>
      </c>
      <c r="F1388" t="s">
        <v>2026</v>
      </c>
      <c r="G1388" t="s">
        <v>21</v>
      </c>
      <c r="H1388" t="s">
        <v>23</v>
      </c>
      <c r="I1388">
        <v>9</v>
      </c>
      <c r="J1388" s="9">
        <v>12700</v>
      </c>
      <c r="K1388" s="7">
        <v>0.1</v>
      </c>
      <c r="L1388" s="9">
        <v>11430</v>
      </c>
      <c r="M1388" s="10">
        <f>Sales_Data3[[#This Row],[Profit]]/Sales_Data3[[#This Row],[Sales]]</f>
        <v>0.9</v>
      </c>
      <c r="N1388" t="str">
        <f t="shared" si="43"/>
        <v>High</v>
      </c>
      <c r="O1388" s="2">
        <v>45228</v>
      </c>
      <c r="P1388" s="9">
        <v>12700</v>
      </c>
    </row>
    <row r="1389" spans="1:16" x14ac:dyDescent="0.25">
      <c r="A1389" t="s">
        <v>1410</v>
      </c>
      <c r="B1389" s="2">
        <v>45229</v>
      </c>
      <c r="C1389">
        <v>2023</v>
      </c>
      <c r="D1389" t="str">
        <f t="shared" si="42"/>
        <v>Oct</v>
      </c>
      <c r="E1389" t="s">
        <v>12</v>
      </c>
      <c r="F1389" t="s">
        <v>2027</v>
      </c>
      <c r="G1389" t="s">
        <v>22</v>
      </c>
      <c r="H1389" t="s">
        <v>23</v>
      </c>
      <c r="I1389">
        <v>7</v>
      </c>
      <c r="J1389" s="9">
        <v>5200</v>
      </c>
      <c r="K1389" s="7">
        <v>0.15000000000000002</v>
      </c>
      <c r="L1389" s="9">
        <v>4420</v>
      </c>
      <c r="M1389" s="10">
        <f>Sales_Data3[[#This Row],[Profit]]/Sales_Data3[[#This Row],[Sales]]</f>
        <v>0.85</v>
      </c>
      <c r="N1389" t="str">
        <f t="shared" si="43"/>
        <v>Medium</v>
      </c>
      <c r="O1389" s="2">
        <v>45229</v>
      </c>
      <c r="P1389" s="9">
        <v>5200</v>
      </c>
    </row>
    <row r="1390" spans="1:16" x14ac:dyDescent="0.25">
      <c r="A1390" t="s">
        <v>1411</v>
      </c>
      <c r="B1390" s="2">
        <v>45230</v>
      </c>
      <c r="C1390">
        <v>2023</v>
      </c>
      <c r="D1390" t="str">
        <f t="shared" si="42"/>
        <v>Oct</v>
      </c>
      <c r="E1390" t="s">
        <v>12</v>
      </c>
      <c r="F1390" t="s">
        <v>2028</v>
      </c>
      <c r="G1390" t="s">
        <v>19</v>
      </c>
      <c r="H1390" t="s">
        <v>23</v>
      </c>
      <c r="I1390">
        <v>1</v>
      </c>
      <c r="J1390" s="9">
        <v>11400</v>
      </c>
      <c r="K1390" s="7">
        <v>0.2</v>
      </c>
      <c r="L1390" s="9">
        <v>9120</v>
      </c>
      <c r="M1390" s="10">
        <f>Sales_Data3[[#This Row],[Profit]]/Sales_Data3[[#This Row],[Sales]]</f>
        <v>0.8</v>
      </c>
      <c r="N1390" t="str">
        <f t="shared" si="43"/>
        <v>High</v>
      </c>
      <c r="O1390" s="2">
        <v>45230</v>
      </c>
      <c r="P1390" s="9">
        <v>11400</v>
      </c>
    </row>
    <row r="1391" spans="1:16" x14ac:dyDescent="0.25">
      <c r="A1391" t="s">
        <v>1412</v>
      </c>
      <c r="B1391" s="2">
        <v>45231</v>
      </c>
      <c r="C1391">
        <v>2023</v>
      </c>
      <c r="D1391" t="str">
        <f t="shared" si="42"/>
        <v>Nov</v>
      </c>
      <c r="E1391" t="s">
        <v>12</v>
      </c>
      <c r="F1391" t="s">
        <v>2029</v>
      </c>
      <c r="G1391" t="s">
        <v>20</v>
      </c>
      <c r="H1391" t="s">
        <v>23</v>
      </c>
      <c r="I1391">
        <v>5</v>
      </c>
      <c r="J1391" s="9">
        <v>7000</v>
      </c>
      <c r="K1391" s="7">
        <v>0.25</v>
      </c>
      <c r="L1391" s="9">
        <v>5250</v>
      </c>
      <c r="M1391" s="10">
        <f>Sales_Data3[[#This Row],[Profit]]/Sales_Data3[[#This Row],[Sales]]</f>
        <v>0.75</v>
      </c>
      <c r="N1391" t="str">
        <f t="shared" si="43"/>
        <v>Medium</v>
      </c>
      <c r="O1391" s="2">
        <v>45231</v>
      </c>
      <c r="P1391" s="9">
        <v>7000</v>
      </c>
    </row>
    <row r="1392" spans="1:16" x14ac:dyDescent="0.25">
      <c r="A1392" t="s">
        <v>1413</v>
      </c>
      <c r="B1392" s="2">
        <v>45232</v>
      </c>
      <c r="C1392">
        <v>2023</v>
      </c>
      <c r="D1392" t="str">
        <f t="shared" si="42"/>
        <v>Nov</v>
      </c>
      <c r="E1392" t="s">
        <v>13</v>
      </c>
      <c r="F1392" t="s">
        <v>16</v>
      </c>
      <c r="G1392" t="s">
        <v>21</v>
      </c>
      <c r="H1392" t="s">
        <v>24</v>
      </c>
      <c r="I1392">
        <v>10</v>
      </c>
      <c r="J1392" s="9">
        <v>10000</v>
      </c>
      <c r="K1392" s="7">
        <v>0.05</v>
      </c>
      <c r="L1392" s="9">
        <v>9500</v>
      </c>
      <c r="M1392" s="10">
        <f>Sales_Data3[[#This Row],[Profit]]/Sales_Data3[[#This Row],[Sales]]</f>
        <v>0.95</v>
      </c>
      <c r="N1392" t="str">
        <f t="shared" si="43"/>
        <v>Medium</v>
      </c>
      <c r="O1392" s="2">
        <v>45232</v>
      </c>
      <c r="P1392" s="9">
        <v>10000</v>
      </c>
    </row>
    <row r="1393" spans="1:16" x14ac:dyDescent="0.25">
      <c r="A1393" t="s">
        <v>1414</v>
      </c>
      <c r="B1393" s="2">
        <v>45233</v>
      </c>
      <c r="C1393">
        <v>2023</v>
      </c>
      <c r="D1393" t="str">
        <f t="shared" si="42"/>
        <v>Nov</v>
      </c>
      <c r="E1393" t="s">
        <v>13</v>
      </c>
      <c r="F1393" t="s">
        <v>2030</v>
      </c>
      <c r="G1393" t="s">
        <v>22</v>
      </c>
      <c r="H1393" t="s">
        <v>24</v>
      </c>
      <c r="I1393">
        <v>7</v>
      </c>
      <c r="J1393" s="9">
        <v>4700</v>
      </c>
      <c r="K1393" s="7">
        <v>0.1</v>
      </c>
      <c r="L1393" s="9">
        <v>4230</v>
      </c>
      <c r="M1393" s="10">
        <f>Sales_Data3[[#This Row],[Profit]]/Sales_Data3[[#This Row],[Sales]]</f>
        <v>0.9</v>
      </c>
      <c r="N1393" t="str">
        <f t="shared" si="43"/>
        <v>Low</v>
      </c>
      <c r="O1393" s="2">
        <v>45233</v>
      </c>
      <c r="P1393" s="9">
        <v>4700</v>
      </c>
    </row>
    <row r="1394" spans="1:16" x14ac:dyDescent="0.25">
      <c r="A1394" t="s">
        <v>1415</v>
      </c>
      <c r="B1394" s="2">
        <v>45234</v>
      </c>
      <c r="C1394">
        <v>2023</v>
      </c>
      <c r="D1394" t="str">
        <f t="shared" si="42"/>
        <v>Nov</v>
      </c>
      <c r="E1394" t="s">
        <v>13</v>
      </c>
      <c r="F1394" t="s">
        <v>2031</v>
      </c>
      <c r="G1394" t="s">
        <v>19</v>
      </c>
      <c r="H1394" t="s">
        <v>24</v>
      </c>
      <c r="I1394">
        <v>1</v>
      </c>
      <c r="J1394" s="9">
        <v>13300</v>
      </c>
      <c r="K1394" s="7">
        <v>0.15000000000000002</v>
      </c>
      <c r="L1394" s="9">
        <v>11305</v>
      </c>
      <c r="M1394" s="10">
        <f>Sales_Data3[[#This Row],[Profit]]/Sales_Data3[[#This Row],[Sales]]</f>
        <v>0.85</v>
      </c>
      <c r="N1394" t="str">
        <f t="shared" si="43"/>
        <v>High</v>
      </c>
      <c r="O1394" s="2">
        <v>45234</v>
      </c>
      <c r="P1394" s="9">
        <v>13300</v>
      </c>
    </row>
    <row r="1395" spans="1:16" x14ac:dyDescent="0.25">
      <c r="A1395" t="s">
        <v>1416</v>
      </c>
      <c r="B1395" s="2">
        <v>45235</v>
      </c>
      <c r="C1395">
        <v>2023</v>
      </c>
      <c r="D1395" t="str">
        <f t="shared" si="42"/>
        <v>Nov</v>
      </c>
      <c r="E1395" t="s">
        <v>13</v>
      </c>
      <c r="F1395" t="s">
        <v>2032</v>
      </c>
      <c r="G1395" t="s">
        <v>20</v>
      </c>
      <c r="H1395" t="s">
        <v>24</v>
      </c>
      <c r="I1395">
        <v>9</v>
      </c>
      <c r="J1395" s="9">
        <v>13400</v>
      </c>
      <c r="K1395" s="7">
        <v>0.2</v>
      </c>
      <c r="L1395" s="9">
        <v>10720</v>
      </c>
      <c r="M1395" s="10">
        <f>Sales_Data3[[#This Row],[Profit]]/Sales_Data3[[#This Row],[Sales]]</f>
        <v>0.8</v>
      </c>
      <c r="N1395" t="str">
        <f t="shared" si="43"/>
        <v>High</v>
      </c>
      <c r="O1395" s="2">
        <v>45235</v>
      </c>
      <c r="P1395" s="9">
        <v>13400</v>
      </c>
    </row>
    <row r="1396" spans="1:16" x14ac:dyDescent="0.25">
      <c r="A1396" t="s">
        <v>1417</v>
      </c>
      <c r="B1396" s="2">
        <v>45236</v>
      </c>
      <c r="C1396">
        <v>2023</v>
      </c>
      <c r="D1396" t="str">
        <f t="shared" si="42"/>
        <v>Nov</v>
      </c>
      <c r="E1396" t="s">
        <v>13</v>
      </c>
      <c r="F1396" t="s">
        <v>2033</v>
      </c>
      <c r="G1396" t="s">
        <v>21</v>
      </c>
      <c r="H1396" t="s">
        <v>24</v>
      </c>
      <c r="I1396">
        <v>8</v>
      </c>
      <c r="J1396" s="9">
        <v>11200</v>
      </c>
      <c r="K1396" s="7">
        <v>0.25</v>
      </c>
      <c r="L1396" s="9">
        <v>8400</v>
      </c>
      <c r="M1396" s="10">
        <f>Sales_Data3[[#This Row],[Profit]]/Sales_Data3[[#This Row],[Sales]]</f>
        <v>0.75</v>
      </c>
      <c r="N1396" t="str">
        <f t="shared" si="43"/>
        <v>High</v>
      </c>
      <c r="O1396" s="2">
        <v>45236</v>
      </c>
      <c r="P1396" s="9">
        <v>11200</v>
      </c>
    </row>
    <row r="1397" spans="1:16" x14ac:dyDescent="0.25">
      <c r="A1397" t="s">
        <v>1418</v>
      </c>
      <c r="B1397" s="2">
        <v>45237</v>
      </c>
      <c r="C1397">
        <v>2023</v>
      </c>
      <c r="D1397" t="str">
        <f t="shared" si="42"/>
        <v>Nov</v>
      </c>
      <c r="E1397" t="s">
        <v>13</v>
      </c>
      <c r="F1397" t="s">
        <v>2034</v>
      </c>
      <c r="G1397" t="s">
        <v>22</v>
      </c>
      <c r="H1397" t="s">
        <v>24</v>
      </c>
      <c r="I1397">
        <v>3</v>
      </c>
      <c r="J1397" s="9">
        <v>13200</v>
      </c>
      <c r="K1397" s="7">
        <v>0.05</v>
      </c>
      <c r="L1397" s="9">
        <v>12540</v>
      </c>
      <c r="M1397" s="10">
        <f>Sales_Data3[[#This Row],[Profit]]/Sales_Data3[[#This Row],[Sales]]</f>
        <v>0.95</v>
      </c>
      <c r="N1397" t="str">
        <f t="shared" si="43"/>
        <v>High</v>
      </c>
      <c r="O1397" s="2">
        <v>45237</v>
      </c>
      <c r="P1397" s="9">
        <v>13200</v>
      </c>
    </row>
    <row r="1398" spans="1:16" x14ac:dyDescent="0.25">
      <c r="A1398" t="s">
        <v>1419</v>
      </c>
      <c r="B1398" s="2">
        <v>45238</v>
      </c>
      <c r="C1398">
        <v>2023</v>
      </c>
      <c r="D1398" t="str">
        <f t="shared" si="42"/>
        <v>Nov</v>
      </c>
      <c r="E1398" t="s">
        <v>13</v>
      </c>
      <c r="F1398" t="s">
        <v>2035</v>
      </c>
      <c r="G1398" t="s">
        <v>19</v>
      </c>
      <c r="H1398" t="s">
        <v>24</v>
      </c>
      <c r="I1398">
        <v>7</v>
      </c>
      <c r="J1398" s="9">
        <v>9400</v>
      </c>
      <c r="K1398" s="7">
        <v>0.1</v>
      </c>
      <c r="L1398" s="9">
        <v>8460</v>
      </c>
      <c r="M1398" s="10">
        <f>Sales_Data3[[#This Row],[Profit]]/Sales_Data3[[#This Row],[Sales]]</f>
        <v>0.9</v>
      </c>
      <c r="N1398" t="str">
        <f t="shared" si="43"/>
        <v>Medium</v>
      </c>
      <c r="O1398" s="2">
        <v>45238</v>
      </c>
      <c r="P1398" s="9">
        <v>9400</v>
      </c>
    </row>
    <row r="1399" spans="1:16" x14ac:dyDescent="0.25">
      <c r="A1399" t="s">
        <v>1420</v>
      </c>
      <c r="B1399" s="2">
        <v>45239</v>
      </c>
      <c r="C1399">
        <v>2023</v>
      </c>
      <c r="D1399" t="str">
        <f t="shared" si="42"/>
        <v>Nov</v>
      </c>
      <c r="E1399" t="s">
        <v>13</v>
      </c>
      <c r="F1399" t="s">
        <v>2036</v>
      </c>
      <c r="G1399" t="s">
        <v>20</v>
      </c>
      <c r="H1399" t="s">
        <v>24</v>
      </c>
      <c r="I1399">
        <v>1</v>
      </c>
      <c r="J1399" s="9">
        <v>8600</v>
      </c>
      <c r="K1399" s="7">
        <v>0.15000000000000002</v>
      </c>
      <c r="L1399" s="9">
        <v>7310</v>
      </c>
      <c r="M1399" s="10">
        <f>Sales_Data3[[#This Row],[Profit]]/Sales_Data3[[#This Row],[Sales]]</f>
        <v>0.85</v>
      </c>
      <c r="N1399" t="str">
        <f t="shared" si="43"/>
        <v>Medium</v>
      </c>
      <c r="O1399" s="2">
        <v>45239</v>
      </c>
      <c r="P1399" s="9">
        <v>8600</v>
      </c>
    </row>
    <row r="1400" spans="1:16" x14ac:dyDescent="0.25">
      <c r="A1400" t="s">
        <v>1421</v>
      </c>
      <c r="B1400" s="2">
        <v>45240</v>
      </c>
      <c r="C1400">
        <v>2023</v>
      </c>
      <c r="D1400" t="str">
        <f t="shared" si="42"/>
        <v>Nov</v>
      </c>
      <c r="E1400" t="s">
        <v>13</v>
      </c>
      <c r="F1400" t="s">
        <v>2037</v>
      </c>
      <c r="G1400" t="s">
        <v>21</v>
      </c>
      <c r="H1400" t="s">
        <v>24</v>
      </c>
      <c r="I1400">
        <v>2</v>
      </c>
      <c r="J1400" s="9">
        <v>13000</v>
      </c>
      <c r="K1400" s="7">
        <v>0.2</v>
      </c>
      <c r="L1400" s="9">
        <v>10400</v>
      </c>
      <c r="M1400" s="10">
        <f>Sales_Data3[[#This Row],[Profit]]/Sales_Data3[[#This Row],[Sales]]</f>
        <v>0.8</v>
      </c>
      <c r="N1400" t="str">
        <f t="shared" si="43"/>
        <v>High</v>
      </c>
      <c r="O1400" s="2">
        <v>45240</v>
      </c>
      <c r="P1400" s="9">
        <v>13000</v>
      </c>
    </row>
    <row r="1401" spans="1:16" x14ac:dyDescent="0.25">
      <c r="A1401" t="s">
        <v>1422</v>
      </c>
      <c r="B1401" s="2">
        <v>45241</v>
      </c>
      <c r="C1401">
        <v>2023</v>
      </c>
      <c r="D1401" t="str">
        <f t="shared" si="42"/>
        <v>Nov</v>
      </c>
      <c r="E1401" t="s">
        <v>13</v>
      </c>
      <c r="F1401" t="s">
        <v>2038</v>
      </c>
      <c r="G1401" t="s">
        <v>22</v>
      </c>
      <c r="H1401" t="s">
        <v>24</v>
      </c>
      <c r="I1401">
        <v>4</v>
      </c>
      <c r="J1401" s="9">
        <v>8500</v>
      </c>
      <c r="K1401" s="7">
        <v>0.25</v>
      </c>
      <c r="L1401" s="9">
        <v>6375</v>
      </c>
      <c r="M1401" s="10">
        <f>Sales_Data3[[#This Row],[Profit]]/Sales_Data3[[#This Row],[Sales]]</f>
        <v>0.75</v>
      </c>
      <c r="N1401" t="str">
        <f t="shared" si="43"/>
        <v>Medium</v>
      </c>
      <c r="O1401" s="2">
        <v>45241</v>
      </c>
      <c r="P1401" s="9">
        <v>8500</v>
      </c>
    </row>
    <row r="1402" spans="1:16" x14ac:dyDescent="0.25">
      <c r="A1402" t="s">
        <v>1423</v>
      </c>
      <c r="B1402" s="2">
        <v>45242</v>
      </c>
      <c r="C1402">
        <v>2023</v>
      </c>
      <c r="D1402" t="str">
        <f t="shared" si="42"/>
        <v>Nov</v>
      </c>
      <c r="E1402" t="s">
        <v>14</v>
      </c>
      <c r="F1402" t="s">
        <v>2039</v>
      </c>
      <c r="G1402" t="s">
        <v>19</v>
      </c>
      <c r="H1402" t="s">
        <v>25</v>
      </c>
      <c r="I1402">
        <v>6</v>
      </c>
      <c r="J1402" s="9">
        <v>11400</v>
      </c>
      <c r="K1402" s="7">
        <v>0.05</v>
      </c>
      <c r="L1402" s="9">
        <v>10830</v>
      </c>
      <c r="M1402" s="10">
        <f>Sales_Data3[[#This Row],[Profit]]/Sales_Data3[[#This Row],[Sales]]</f>
        <v>0.95</v>
      </c>
      <c r="N1402" t="str">
        <f t="shared" si="43"/>
        <v>High</v>
      </c>
      <c r="O1402" s="2">
        <v>45242</v>
      </c>
      <c r="P1402" s="9">
        <v>11400</v>
      </c>
    </row>
    <row r="1403" spans="1:16" x14ac:dyDescent="0.25">
      <c r="A1403" t="s">
        <v>1424</v>
      </c>
      <c r="B1403" s="2">
        <v>45243</v>
      </c>
      <c r="C1403">
        <v>2023</v>
      </c>
      <c r="D1403" t="str">
        <f t="shared" si="42"/>
        <v>Nov</v>
      </c>
      <c r="E1403" t="s">
        <v>14</v>
      </c>
      <c r="F1403" t="s">
        <v>2040</v>
      </c>
      <c r="G1403" t="s">
        <v>20</v>
      </c>
      <c r="H1403" t="s">
        <v>25</v>
      </c>
      <c r="I1403">
        <v>2</v>
      </c>
      <c r="J1403" s="9">
        <v>5500</v>
      </c>
      <c r="K1403" s="7">
        <v>0.1</v>
      </c>
      <c r="L1403" s="9">
        <v>4950</v>
      </c>
      <c r="M1403" s="10">
        <f>Sales_Data3[[#This Row],[Profit]]/Sales_Data3[[#This Row],[Sales]]</f>
        <v>0.9</v>
      </c>
      <c r="N1403" t="str">
        <f t="shared" si="43"/>
        <v>Medium</v>
      </c>
      <c r="O1403" s="2">
        <v>45243</v>
      </c>
      <c r="P1403" s="9">
        <v>5500</v>
      </c>
    </row>
    <row r="1404" spans="1:16" x14ac:dyDescent="0.25">
      <c r="A1404" t="s">
        <v>1425</v>
      </c>
      <c r="B1404" s="2">
        <v>45244</v>
      </c>
      <c r="C1404">
        <v>2023</v>
      </c>
      <c r="D1404" t="str">
        <f t="shared" si="42"/>
        <v>Nov</v>
      </c>
      <c r="E1404" t="s">
        <v>14</v>
      </c>
      <c r="F1404" t="s">
        <v>2041</v>
      </c>
      <c r="G1404" t="s">
        <v>21</v>
      </c>
      <c r="H1404" t="s">
        <v>25</v>
      </c>
      <c r="I1404">
        <v>4</v>
      </c>
      <c r="J1404" s="9">
        <v>5000</v>
      </c>
      <c r="K1404" s="7">
        <v>0.15000000000000002</v>
      </c>
      <c r="L1404" s="9">
        <v>4250</v>
      </c>
      <c r="M1404" s="10">
        <f>Sales_Data3[[#This Row],[Profit]]/Sales_Data3[[#This Row],[Sales]]</f>
        <v>0.85</v>
      </c>
      <c r="N1404" t="str">
        <f t="shared" si="43"/>
        <v>Low</v>
      </c>
      <c r="O1404" s="2">
        <v>45244</v>
      </c>
      <c r="P1404" s="9">
        <v>5000</v>
      </c>
    </row>
    <row r="1405" spans="1:16" x14ac:dyDescent="0.25">
      <c r="A1405" t="s">
        <v>1426</v>
      </c>
      <c r="B1405" s="2">
        <v>45245</v>
      </c>
      <c r="C1405">
        <v>2023</v>
      </c>
      <c r="D1405" t="str">
        <f t="shared" si="42"/>
        <v>Nov</v>
      </c>
      <c r="E1405" t="s">
        <v>14</v>
      </c>
      <c r="F1405" t="s">
        <v>2042</v>
      </c>
      <c r="G1405" t="s">
        <v>22</v>
      </c>
      <c r="H1405" t="s">
        <v>25</v>
      </c>
      <c r="I1405">
        <v>4</v>
      </c>
      <c r="J1405" s="9">
        <v>14900</v>
      </c>
      <c r="K1405" s="7">
        <v>0.2</v>
      </c>
      <c r="L1405" s="9">
        <v>11920</v>
      </c>
      <c r="M1405" s="10">
        <f>Sales_Data3[[#This Row],[Profit]]/Sales_Data3[[#This Row],[Sales]]</f>
        <v>0.8</v>
      </c>
      <c r="N1405" t="str">
        <f t="shared" si="43"/>
        <v>High</v>
      </c>
      <c r="O1405" s="2">
        <v>45245</v>
      </c>
      <c r="P1405" s="9">
        <v>14900</v>
      </c>
    </row>
    <row r="1406" spans="1:16" x14ac:dyDescent="0.25">
      <c r="A1406" t="s">
        <v>1427</v>
      </c>
      <c r="B1406" s="2">
        <v>45246</v>
      </c>
      <c r="C1406">
        <v>2023</v>
      </c>
      <c r="D1406" t="str">
        <f t="shared" si="42"/>
        <v>Nov</v>
      </c>
      <c r="E1406" t="s">
        <v>14</v>
      </c>
      <c r="F1406" t="s">
        <v>2043</v>
      </c>
      <c r="G1406" t="s">
        <v>19</v>
      </c>
      <c r="H1406" t="s">
        <v>25</v>
      </c>
      <c r="I1406">
        <v>9</v>
      </c>
      <c r="J1406" s="9">
        <v>4500</v>
      </c>
      <c r="K1406" s="7">
        <v>0.25</v>
      </c>
      <c r="L1406" s="9">
        <v>3375</v>
      </c>
      <c r="M1406" s="10">
        <f>Sales_Data3[[#This Row],[Profit]]/Sales_Data3[[#This Row],[Sales]]</f>
        <v>0.75</v>
      </c>
      <c r="N1406" t="str">
        <f t="shared" si="43"/>
        <v>Low</v>
      </c>
      <c r="O1406" s="2">
        <v>45246</v>
      </c>
      <c r="P1406" s="9">
        <v>4500</v>
      </c>
    </row>
    <row r="1407" spans="1:16" x14ac:dyDescent="0.25">
      <c r="A1407" t="s">
        <v>1428</v>
      </c>
      <c r="B1407" s="2">
        <v>45247</v>
      </c>
      <c r="C1407">
        <v>2023</v>
      </c>
      <c r="D1407" t="str">
        <f t="shared" si="42"/>
        <v>Nov</v>
      </c>
      <c r="E1407" t="s">
        <v>14</v>
      </c>
      <c r="F1407" t="s">
        <v>2044</v>
      </c>
      <c r="G1407" t="s">
        <v>20</v>
      </c>
      <c r="H1407" t="s">
        <v>25</v>
      </c>
      <c r="I1407">
        <v>9</v>
      </c>
      <c r="J1407" s="9">
        <v>14500</v>
      </c>
      <c r="K1407" s="7">
        <v>0.05</v>
      </c>
      <c r="L1407" s="9">
        <v>13775</v>
      </c>
      <c r="M1407" s="10">
        <f>Sales_Data3[[#This Row],[Profit]]/Sales_Data3[[#This Row],[Sales]]</f>
        <v>0.95</v>
      </c>
      <c r="N1407" t="str">
        <f t="shared" si="43"/>
        <v>High</v>
      </c>
      <c r="O1407" s="2">
        <v>45247</v>
      </c>
      <c r="P1407" s="9">
        <v>14500</v>
      </c>
    </row>
    <row r="1408" spans="1:16" x14ac:dyDescent="0.25">
      <c r="A1408" t="s">
        <v>1429</v>
      </c>
      <c r="B1408" s="2">
        <v>45248</v>
      </c>
      <c r="C1408">
        <v>2023</v>
      </c>
      <c r="D1408" t="str">
        <f t="shared" si="42"/>
        <v>Nov</v>
      </c>
      <c r="E1408" t="s">
        <v>14</v>
      </c>
      <c r="F1408" t="s">
        <v>2045</v>
      </c>
      <c r="G1408" t="s">
        <v>21</v>
      </c>
      <c r="H1408" t="s">
        <v>25</v>
      </c>
      <c r="I1408">
        <v>7</v>
      </c>
      <c r="J1408" s="9">
        <v>4300</v>
      </c>
      <c r="K1408" s="7">
        <v>0.1</v>
      </c>
      <c r="L1408" s="9">
        <v>3870</v>
      </c>
      <c r="M1408" s="10">
        <f>Sales_Data3[[#This Row],[Profit]]/Sales_Data3[[#This Row],[Sales]]</f>
        <v>0.9</v>
      </c>
      <c r="N1408" t="str">
        <f t="shared" si="43"/>
        <v>Low</v>
      </c>
      <c r="O1408" s="2">
        <v>45248</v>
      </c>
      <c r="P1408" s="9">
        <v>4300</v>
      </c>
    </row>
    <row r="1409" spans="1:16" x14ac:dyDescent="0.25">
      <c r="A1409" t="s">
        <v>1430</v>
      </c>
      <c r="B1409" s="2">
        <v>45249</v>
      </c>
      <c r="C1409">
        <v>2023</v>
      </c>
      <c r="D1409" t="str">
        <f t="shared" si="42"/>
        <v>Nov</v>
      </c>
      <c r="E1409" t="s">
        <v>14</v>
      </c>
      <c r="F1409" t="s">
        <v>2046</v>
      </c>
      <c r="G1409" t="s">
        <v>22</v>
      </c>
      <c r="H1409" t="s">
        <v>25</v>
      </c>
      <c r="I1409">
        <v>6</v>
      </c>
      <c r="J1409" s="9">
        <v>10700</v>
      </c>
      <c r="K1409" s="7">
        <v>0.15000000000000002</v>
      </c>
      <c r="L1409" s="9">
        <v>9095</v>
      </c>
      <c r="M1409" s="10">
        <f>Sales_Data3[[#This Row],[Profit]]/Sales_Data3[[#This Row],[Sales]]</f>
        <v>0.85</v>
      </c>
      <c r="N1409" t="str">
        <f t="shared" si="43"/>
        <v>High</v>
      </c>
      <c r="O1409" s="2">
        <v>45249</v>
      </c>
      <c r="P1409" s="9">
        <v>10700</v>
      </c>
    </row>
    <row r="1410" spans="1:16" x14ac:dyDescent="0.25">
      <c r="A1410" t="s">
        <v>1431</v>
      </c>
      <c r="B1410" s="2">
        <v>45250</v>
      </c>
      <c r="C1410">
        <v>2023</v>
      </c>
      <c r="D1410" t="str">
        <f t="shared" ref="D1410:D1473" si="44">TEXT(B1410,"MMM")</f>
        <v>Nov</v>
      </c>
      <c r="E1410" t="s">
        <v>14</v>
      </c>
      <c r="F1410" t="s">
        <v>2047</v>
      </c>
      <c r="G1410" t="s">
        <v>19</v>
      </c>
      <c r="H1410" t="s">
        <v>25</v>
      </c>
      <c r="I1410">
        <v>3</v>
      </c>
      <c r="J1410" s="9">
        <v>8600</v>
      </c>
      <c r="K1410" s="7">
        <v>0.2</v>
      </c>
      <c r="L1410" s="9">
        <v>6880</v>
      </c>
      <c r="M1410" s="10">
        <f>Sales_Data3[[#This Row],[Profit]]/Sales_Data3[[#This Row],[Sales]]</f>
        <v>0.8</v>
      </c>
      <c r="N1410" t="str">
        <f t="shared" ref="N1410:N1473" si="45">IF(J1410&gt;10000,"High",IF(J1410&gt;5000,"Medium","Low"))</f>
        <v>Medium</v>
      </c>
      <c r="O1410" s="2">
        <v>45250</v>
      </c>
      <c r="P1410" s="9">
        <v>8600</v>
      </c>
    </row>
    <row r="1411" spans="1:16" x14ac:dyDescent="0.25">
      <c r="A1411" t="s">
        <v>1432</v>
      </c>
      <c r="B1411" s="2">
        <v>45251</v>
      </c>
      <c r="C1411">
        <v>2023</v>
      </c>
      <c r="D1411" t="str">
        <f t="shared" si="44"/>
        <v>Nov</v>
      </c>
      <c r="E1411" t="s">
        <v>14</v>
      </c>
      <c r="F1411" t="s">
        <v>2048</v>
      </c>
      <c r="G1411" t="s">
        <v>20</v>
      </c>
      <c r="H1411" t="s">
        <v>25</v>
      </c>
      <c r="I1411">
        <v>6</v>
      </c>
      <c r="J1411" s="9">
        <v>13700</v>
      </c>
      <c r="K1411" s="7">
        <v>0.25</v>
      </c>
      <c r="L1411" s="9">
        <v>10275</v>
      </c>
      <c r="M1411" s="10">
        <f>Sales_Data3[[#This Row],[Profit]]/Sales_Data3[[#This Row],[Sales]]</f>
        <v>0.75</v>
      </c>
      <c r="N1411" t="str">
        <f t="shared" si="45"/>
        <v>High</v>
      </c>
      <c r="O1411" s="2">
        <v>45251</v>
      </c>
      <c r="P1411" s="9">
        <v>13700</v>
      </c>
    </row>
    <row r="1412" spans="1:16" x14ac:dyDescent="0.25">
      <c r="A1412" t="s">
        <v>1433</v>
      </c>
      <c r="B1412" s="2">
        <v>45252</v>
      </c>
      <c r="C1412">
        <v>2023</v>
      </c>
      <c r="D1412" t="str">
        <f t="shared" si="44"/>
        <v>Nov</v>
      </c>
      <c r="E1412" t="s">
        <v>12</v>
      </c>
      <c r="F1412" t="s">
        <v>15</v>
      </c>
      <c r="G1412" t="s">
        <v>21</v>
      </c>
      <c r="H1412" t="s">
        <v>23</v>
      </c>
      <c r="I1412">
        <v>1</v>
      </c>
      <c r="J1412" s="9">
        <v>10100</v>
      </c>
      <c r="K1412" s="7">
        <v>0.05</v>
      </c>
      <c r="L1412" s="9">
        <v>9595</v>
      </c>
      <c r="M1412" s="10">
        <f>Sales_Data3[[#This Row],[Profit]]/Sales_Data3[[#This Row],[Sales]]</f>
        <v>0.95</v>
      </c>
      <c r="N1412" t="str">
        <f t="shared" si="45"/>
        <v>High</v>
      </c>
      <c r="O1412" s="2">
        <v>45252</v>
      </c>
      <c r="P1412" s="9">
        <v>10100</v>
      </c>
    </row>
    <row r="1413" spans="1:16" x14ac:dyDescent="0.25">
      <c r="A1413" t="s">
        <v>1434</v>
      </c>
      <c r="B1413" s="2">
        <v>45253</v>
      </c>
      <c r="C1413">
        <v>2023</v>
      </c>
      <c r="D1413" t="str">
        <f t="shared" si="44"/>
        <v>Nov</v>
      </c>
      <c r="E1413" t="s">
        <v>12</v>
      </c>
      <c r="F1413" t="s">
        <v>17</v>
      </c>
      <c r="G1413" t="s">
        <v>22</v>
      </c>
      <c r="H1413" t="s">
        <v>23</v>
      </c>
      <c r="I1413">
        <v>3</v>
      </c>
      <c r="J1413" s="9">
        <v>5400</v>
      </c>
      <c r="K1413" s="7">
        <v>0.1</v>
      </c>
      <c r="L1413" s="9">
        <v>4860</v>
      </c>
      <c r="M1413" s="10">
        <f>Sales_Data3[[#This Row],[Profit]]/Sales_Data3[[#This Row],[Sales]]</f>
        <v>0.9</v>
      </c>
      <c r="N1413" t="str">
        <f t="shared" si="45"/>
        <v>Medium</v>
      </c>
      <c r="O1413" s="2">
        <v>45253</v>
      </c>
      <c r="P1413" s="9">
        <v>5400</v>
      </c>
    </row>
    <row r="1414" spans="1:16" x14ac:dyDescent="0.25">
      <c r="A1414" t="s">
        <v>1435</v>
      </c>
      <c r="B1414" s="2">
        <v>45254</v>
      </c>
      <c r="C1414">
        <v>2023</v>
      </c>
      <c r="D1414" t="str">
        <f t="shared" si="44"/>
        <v>Nov</v>
      </c>
      <c r="E1414" t="s">
        <v>12</v>
      </c>
      <c r="F1414" t="s">
        <v>2023</v>
      </c>
      <c r="G1414" t="s">
        <v>19</v>
      </c>
      <c r="H1414" t="s">
        <v>23</v>
      </c>
      <c r="I1414">
        <v>5</v>
      </c>
      <c r="J1414" s="9">
        <v>12300</v>
      </c>
      <c r="K1414" s="7">
        <v>0.15000000000000002</v>
      </c>
      <c r="L1414" s="9">
        <v>10455</v>
      </c>
      <c r="M1414" s="10">
        <f>Sales_Data3[[#This Row],[Profit]]/Sales_Data3[[#This Row],[Sales]]</f>
        <v>0.85</v>
      </c>
      <c r="N1414" t="str">
        <f t="shared" si="45"/>
        <v>High</v>
      </c>
      <c r="O1414" s="2">
        <v>45254</v>
      </c>
      <c r="P1414" s="9">
        <v>12300</v>
      </c>
    </row>
    <row r="1415" spans="1:16" x14ac:dyDescent="0.25">
      <c r="A1415" t="s">
        <v>1436</v>
      </c>
      <c r="B1415" s="2">
        <v>45255</v>
      </c>
      <c r="C1415">
        <v>2023</v>
      </c>
      <c r="D1415" t="str">
        <f t="shared" si="44"/>
        <v>Nov</v>
      </c>
      <c r="E1415" t="s">
        <v>12</v>
      </c>
      <c r="F1415" t="s">
        <v>18</v>
      </c>
      <c r="G1415" t="s">
        <v>20</v>
      </c>
      <c r="H1415" t="s">
        <v>23</v>
      </c>
      <c r="I1415">
        <v>6</v>
      </c>
      <c r="J1415" s="9">
        <v>6400</v>
      </c>
      <c r="K1415" s="7">
        <v>0.2</v>
      </c>
      <c r="L1415" s="9">
        <v>5120</v>
      </c>
      <c r="M1415" s="10">
        <f>Sales_Data3[[#This Row],[Profit]]/Sales_Data3[[#This Row],[Sales]]</f>
        <v>0.8</v>
      </c>
      <c r="N1415" t="str">
        <f t="shared" si="45"/>
        <v>Medium</v>
      </c>
      <c r="O1415" s="2">
        <v>45255</v>
      </c>
      <c r="P1415" s="9">
        <v>6400</v>
      </c>
    </row>
    <row r="1416" spans="1:16" x14ac:dyDescent="0.25">
      <c r="A1416" t="s">
        <v>1437</v>
      </c>
      <c r="B1416" s="2">
        <v>45256</v>
      </c>
      <c r="C1416">
        <v>2023</v>
      </c>
      <c r="D1416" t="str">
        <f t="shared" si="44"/>
        <v>Nov</v>
      </c>
      <c r="E1416" t="s">
        <v>12</v>
      </c>
      <c r="F1416" t="s">
        <v>2024</v>
      </c>
      <c r="G1416" t="s">
        <v>21</v>
      </c>
      <c r="H1416" t="s">
        <v>23</v>
      </c>
      <c r="I1416">
        <v>1</v>
      </c>
      <c r="J1416" s="9">
        <v>8500</v>
      </c>
      <c r="K1416" s="7">
        <v>0.25</v>
      </c>
      <c r="L1416" s="9">
        <v>6375</v>
      </c>
      <c r="M1416" s="10">
        <f>Sales_Data3[[#This Row],[Profit]]/Sales_Data3[[#This Row],[Sales]]</f>
        <v>0.75</v>
      </c>
      <c r="N1416" t="str">
        <f t="shared" si="45"/>
        <v>Medium</v>
      </c>
      <c r="O1416" s="2">
        <v>45256</v>
      </c>
      <c r="P1416" s="9">
        <v>8500</v>
      </c>
    </row>
    <row r="1417" spans="1:16" x14ac:dyDescent="0.25">
      <c r="A1417" t="s">
        <v>1438</v>
      </c>
      <c r="B1417" s="2">
        <v>45257</v>
      </c>
      <c r="C1417">
        <v>2023</v>
      </c>
      <c r="D1417" t="str">
        <f t="shared" si="44"/>
        <v>Nov</v>
      </c>
      <c r="E1417" t="s">
        <v>12</v>
      </c>
      <c r="F1417" t="s">
        <v>2025</v>
      </c>
      <c r="G1417" t="s">
        <v>22</v>
      </c>
      <c r="H1417" t="s">
        <v>23</v>
      </c>
      <c r="I1417">
        <v>6</v>
      </c>
      <c r="J1417" s="9">
        <v>9900</v>
      </c>
      <c r="K1417" s="7">
        <v>0.05</v>
      </c>
      <c r="L1417" s="9">
        <v>9405</v>
      </c>
      <c r="M1417" s="10">
        <f>Sales_Data3[[#This Row],[Profit]]/Sales_Data3[[#This Row],[Sales]]</f>
        <v>0.95</v>
      </c>
      <c r="N1417" t="str">
        <f t="shared" si="45"/>
        <v>Medium</v>
      </c>
      <c r="O1417" s="2">
        <v>45257</v>
      </c>
      <c r="P1417" s="9">
        <v>9900</v>
      </c>
    </row>
    <row r="1418" spans="1:16" x14ac:dyDescent="0.25">
      <c r="A1418" t="s">
        <v>1439</v>
      </c>
      <c r="B1418" s="2">
        <v>45258</v>
      </c>
      <c r="C1418">
        <v>2023</v>
      </c>
      <c r="D1418" t="str">
        <f t="shared" si="44"/>
        <v>Nov</v>
      </c>
      <c r="E1418" t="s">
        <v>12</v>
      </c>
      <c r="F1418" t="s">
        <v>2026</v>
      </c>
      <c r="G1418" t="s">
        <v>19</v>
      </c>
      <c r="H1418" t="s">
        <v>23</v>
      </c>
      <c r="I1418">
        <v>10</v>
      </c>
      <c r="J1418" s="9">
        <v>11900</v>
      </c>
      <c r="K1418" s="7">
        <v>0.1</v>
      </c>
      <c r="L1418" s="9">
        <v>10710</v>
      </c>
      <c r="M1418" s="10">
        <f>Sales_Data3[[#This Row],[Profit]]/Sales_Data3[[#This Row],[Sales]]</f>
        <v>0.9</v>
      </c>
      <c r="N1418" t="str">
        <f t="shared" si="45"/>
        <v>High</v>
      </c>
      <c r="O1418" s="2">
        <v>45258</v>
      </c>
      <c r="P1418" s="9">
        <v>11900</v>
      </c>
    </row>
    <row r="1419" spans="1:16" x14ac:dyDescent="0.25">
      <c r="A1419" t="s">
        <v>1440</v>
      </c>
      <c r="B1419" s="2">
        <v>45259</v>
      </c>
      <c r="C1419">
        <v>2023</v>
      </c>
      <c r="D1419" t="str">
        <f t="shared" si="44"/>
        <v>Nov</v>
      </c>
      <c r="E1419" t="s">
        <v>12</v>
      </c>
      <c r="F1419" t="s">
        <v>2027</v>
      </c>
      <c r="G1419" t="s">
        <v>20</v>
      </c>
      <c r="H1419" t="s">
        <v>23</v>
      </c>
      <c r="I1419">
        <v>9</v>
      </c>
      <c r="J1419" s="9">
        <v>7900</v>
      </c>
      <c r="K1419" s="7">
        <v>0.15000000000000002</v>
      </c>
      <c r="L1419" s="9">
        <v>6715</v>
      </c>
      <c r="M1419" s="10">
        <f>Sales_Data3[[#This Row],[Profit]]/Sales_Data3[[#This Row],[Sales]]</f>
        <v>0.85</v>
      </c>
      <c r="N1419" t="str">
        <f t="shared" si="45"/>
        <v>Medium</v>
      </c>
      <c r="O1419" s="2">
        <v>45259</v>
      </c>
      <c r="P1419" s="9">
        <v>7900</v>
      </c>
    </row>
    <row r="1420" spans="1:16" x14ac:dyDescent="0.25">
      <c r="A1420" t="s">
        <v>1441</v>
      </c>
      <c r="B1420" s="2">
        <v>45260</v>
      </c>
      <c r="C1420">
        <v>2023</v>
      </c>
      <c r="D1420" t="str">
        <f t="shared" si="44"/>
        <v>Nov</v>
      </c>
      <c r="E1420" t="s">
        <v>12</v>
      </c>
      <c r="F1420" t="s">
        <v>2028</v>
      </c>
      <c r="G1420" t="s">
        <v>21</v>
      </c>
      <c r="H1420" t="s">
        <v>23</v>
      </c>
      <c r="I1420">
        <v>8</v>
      </c>
      <c r="J1420" s="9">
        <v>6800</v>
      </c>
      <c r="K1420" s="7">
        <v>0.2</v>
      </c>
      <c r="L1420" s="9">
        <v>5440</v>
      </c>
      <c r="M1420" s="10">
        <f>Sales_Data3[[#This Row],[Profit]]/Sales_Data3[[#This Row],[Sales]]</f>
        <v>0.8</v>
      </c>
      <c r="N1420" t="str">
        <f t="shared" si="45"/>
        <v>Medium</v>
      </c>
      <c r="O1420" s="2">
        <v>45260</v>
      </c>
      <c r="P1420" s="9">
        <v>6800</v>
      </c>
    </row>
    <row r="1421" spans="1:16" x14ac:dyDescent="0.25">
      <c r="A1421" t="s">
        <v>1442</v>
      </c>
      <c r="B1421" s="2">
        <v>45261</v>
      </c>
      <c r="C1421">
        <v>2023</v>
      </c>
      <c r="D1421" t="str">
        <f t="shared" si="44"/>
        <v>Dec</v>
      </c>
      <c r="E1421" t="s">
        <v>12</v>
      </c>
      <c r="F1421" t="s">
        <v>2029</v>
      </c>
      <c r="G1421" t="s">
        <v>22</v>
      </c>
      <c r="H1421" t="s">
        <v>23</v>
      </c>
      <c r="I1421">
        <v>10</v>
      </c>
      <c r="J1421" s="9">
        <v>13400</v>
      </c>
      <c r="K1421" s="7">
        <v>0.25</v>
      </c>
      <c r="L1421" s="9">
        <v>10050</v>
      </c>
      <c r="M1421" s="10">
        <f>Sales_Data3[[#This Row],[Profit]]/Sales_Data3[[#This Row],[Sales]]</f>
        <v>0.75</v>
      </c>
      <c r="N1421" t="str">
        <f t="shared" si="45"/>
        <v>High</v>
      </c>
      <c r="O1421" s="2">
        <v>45261</v>
      </c>
      <c r="P1421" s="9">
        <v>13400</v>
      </c>
    </row>
    <row r="1422" spans="1:16" x14ac:dyDescent="0.25">
      <c r="A1422" t="s">
        <v>1443</v>
      </c>
      <c r="B1422" s="2">
        <v>45262</v>
      </c>
      <c r="C1422">
        <v>2023</v>
      </c>
      <c r="D1422" t="str">
        <f t="shared" si="44"/>
        <v>Dec</v>
      </c>
      <c r="E1422" t="s">
        <v>13</v>
      </c>
      <c r="F1422" t="s">
        <v>16</v>
      </c>
      <c r="G1422" t="s">
        <v>19</v>
      </c>
      <c r="H1422" t="s">
        <v>24</v>
      </c>
      <c r="I1422">
        <v>4</v>
      </c>
      <c r="J1422" s="9">
        <v>4400</v>
      </c>
      <c r="K1422" s="7">
        <v>0.05</v>
      </c>
      <c r="L1422" s="9">
        <v>4180</v>
      </c>
      <c r="M1422" s="10">
        <f>Sales_Data3[[#This Row],[Profit]]/Sales_Data3[[#This Row],[Sales]]</f>
        <v>0.95</v>
      </c>
      <c r="N1422" t="str">
        <f t="shared" si="45"/>
        <v>Low</v>
      </c>
      <c r="O1422" s="2">
        <v>45262</v>
      </c>
      <c r="P1422" s="9">
        <v>4400</v>
      </c>
    </row>
    <row r="1423" spans="1:16" x14ac:dyDescent="0.25">
      <c r="A1423" t="s">
        <v>1444</v>
      </c>
      <c r="B1423" s="2">
        <v>45263</v>
      </c>
      <c r="C1423">
        <v>2023</v>
      </c>
      <c r="D1423" t="str">
        <f t="shared" si="44"/>
        <v>Dec</v>
      </c>
      <c r="E1423" t="s">
        <v>13</v>
      </c>
      <c r="F1423" t="s">
        <v>2030</v>
      </c>
      <c r="G1423" t="s">
        <v>20</v>
      </c>
      <c r="H1423" t="s">
        <v>24</v>
      </c>
      <c r="I1423">
        <v>6</v>
      </c>
      <c r="J1423" s="9">
        <v>6900</v>
      </c>
      <c r="K1423" s="7">
        <v>0.1</v>
      </c>
      <c r="L1423" s="9">
        <v>6210</v>
      </c>
      <c r="M1423" s="10">
        <f>Sales_Data3[[#This Row],[Profit]]/Sales_Data3[[#This Row],[Sales]]</f>
        <v>0.9</v>
      </c>
      <c r="N1423" t="str">
        <f t="shared" si="45"/>
        <v>Medium</v>
      </c>
      <c r="O1423" s="2">
        <v>45263</v>
      </c>
      <c r="P1423" s="9">
        <v>6900</v>
      </c>
    </row>
    <row r="1424" spans="1:16" x14ac:dyDescent="0.25">
      <c r="A1424" t="s">
        <v>1445</v>
      </c>
      <c r="B1424" s="2">
        <v>45264</v>
      </c>
      <c r="C1424">
        <v>2023</v>
      </c>
      <c r="D1424" t="str">
        <f t="shared" si="44"/>
        <v>Dec</v>
      </c>
      <c r="E1424" t="s">
        <v>13</v>
      </c>
      <c r="F1424" t="s">
        <v>2031</v>
      </c>
      <c r="G1424" t="s">
        <v>21</v>
      </c>
      <c r="H1424" t="s">
        <v>24</v>
      </c>
      <c r="I1424">
        <v>9</v>
      </c>
      <c r="J1424" s="9">
        <v>13000</v>
      </c>
      <c r="K1424" s="7">
        <v>0.15000000000000002</v>
      </c>
      <c r="L1424" s="9">
        <v>11050</v>
      </c>
      <c r="M1424" s="10">
        <f>Sales_Data3[[#This Row],[Profit]]/Sales_Data3[[#This Row],[Sales]]</f>
        <v>0.85</v>
      </c>
      <c r="N1424" t="str">
        <f t="shared" si="45"/>
        <v>High</v>
      </c>
      <c r="O1424" s="2">
        <v>45264</v>
      </c>
      <c r="P1424" s="9">
        <v>13000</v>
      </c>
    </row>
    <row r="1425" spans="1:16" x14ac:dyDescent="0.25">
      <c r="A1425" t="s">
        <v>1446</v>
      </c>
      <c r="B1425" s="2">
        <v>45265</v>
      </c>
      <c r="C1425">
        <v>2023</v>
      </c>
      <c r="D1425" t="str">
        <f t="shared" si="44"/>
        <v>Dec</v>
      </c>
      <c r="E1425" t="s">
        <v>13</v>
      </c>
      <c r="F1425" t="s">
        <v>2032</v>
      </c>
      <c r="G1425" t="s">
        <v>22</v>
      </c>
      <c r="H1425" t="s">
        <v>24</v>
      </c>
      <c r="I1425">
        <v>2</v>
      </c>
      <c r="J1425" s="9">
        <v>6000</v>
      </c>
      <c r="K1425" s="7">
        <v>0.2</v>
      </c>
      <c r="L1425" s="9">
        <v>4800</v>
      </c>
      <c r="M1425" s="10">
        <f>Sales_Data3[[#This Row],[Profit]]/Sales_Data3[[#This Row],[Sales]]</f>
        <v>0.8</v>
      </c>
      <c r="N1425" t="str">
        <f t="shared" si="45"/>
        <v>Medium</v>
      </c>
      <c r="O1425" s="2">
        <v>45265</v>
      </c>
      <c r="P1425" s="9">
        <v>6000</v>
      </c>
    </row>
    <row r="1426" spans="1:16" x14ac:dyDescent="0.25">
      <c r="A1426" t="s">
        <v>1447</v>
      </c>
      <c r="B1426" s="2">
        <v>45266</v>
      </c>
      <c r="C1426">
        <v>2023</v>
      </c>
      <c r="D1426" t="str">
        <f t="shared" si="44"/>
        <v>Dec</v>
      </c>
      <c r="E1426" t="s">
        <v>13</v>
      </c>
      <c r="F1426" t="s">
        <v>2033</v>
      </c>
      <c r="G1426" t="s">
        <v>19</v>
      </c>
      <c r="H1426" t="s">
        <v>24</v>
      </c>
      <c r="I1426">
        <v>5</v>
      </c>
      <c r="J1426" s="9">
        <v>4800</v>
      </c>
      <c r="K1426" s="7">
        <v>0.25</v>
      </c>
      <c r="L1426" s="9">
        <v>3600</v>
      </c>
      <c r="M1426" s="10">
        <f>Sales_Data3[[#This Row],[Profit]]/Sales_Data3[[#This Row],[Sales]]</f>
        <v>0.75</v>
      </c>
      <c r="N1426" t="str">
        <f t="shared" si="45"/>
        <v>Low</v>
      </c>
      <c r="O1426" s="2">
        <v>45266</v>
      </c>
      <c r="P1426" s="9">
        <v>4800</v>
      </c>
    </row>
    <row r="1427" spans="1:16" x14ac:dyDescent="0.25">
      <c r="A1427" t="s">
        <v>1448</v>
      </c>
      <c r="B1427" s="2">
        <v>45267</v>
      </c>
      <c r="C1427">
        <v>2023</v>
      </c>
      <c r="D1427" t="str">
        <f t="shared" si="44"/>
        <v>Dec</v>
      </c>
      <c r="E1427" t="s">
        <v>13</v>
      </c>
      <c r="F1427" t="s">
        <v>2034</v>
      </c>
      <c r="G1427" t="s">
        <v>20</v>
      </c>
      <c r="H1427" t="s">
        <v>24</v>
      </c>
      <c r="I1427">
        <v>6</v>
      </c>
      <c r="J1427" s="9">
        <v>10200</v>
      </c>
      <c r="K1427" s="7">
        <v>0.05</v>
      </c>
      <c r="L1427" s="9">
        <v>9690</v>
      </c>
      <c r="M1427" s="10">
        <f>Sales_Data3[[#This Row],[Profit]]/Sales_Data3[[#This Row],[Sales]]</f>
        <v>0.95</v>
      </c>
      <c r="N1427" t="str">
        <f t="shared" si="45"/>
        <v>High</v>
      </c>
      <c r="O1427" s="2">
        <v>45267</v>
      </c>
      <c r="P1427" s="9">
        <v>10200</v>
      </c>
    </row>
    <row r="1428" spans="1:16" x14ac:dyDescent="0.25">
      <c r="A1428" t="s">
        <v>1449</v>
      </c>
      <c r="B1428" s="2">
        <v>45268</v>
      </c>
      <c r="C1428">
        <v>2023</v>
      </c>
      <c r="D1428" t="str">
        <f t="shared" si="44"/>
        <v>Dec</v>
      </c>
      <c r="E1428" t="s">
        <v>13</v>
      </c>
      <c r="F1428" t="s">
        <v>2035</v>
      </c>
      <c r="G1428" t="s">
        <v>21</v>
      </c>
      <c r="H1428" t="s">
        <v>24</v>
      </c>
      <c r="I1428">
        <v>2</v>
      </c>
      <c r="J1428" s="9">
        <v>5600</v>
      </c>
      <c r="K1428" s="7">
        <v>0.1</v>
      </c>
      <c r="L1428" s="9">
        <v>5040</v>
      </c>
      <c r="M1428" s="10">
        <f>Sales_Data3[[#This Row],[Profit]]/Sales_Data3[[#This Row],[Sales]]</f>
        <v>0.9</v>
      </c>
      <c r="N1428" t="str">
        <f t="shared" si="45"/>
        <v>Medium</v>
      </c>
      <c r="O1428" s="2">
        <v>45268</v>
      </c>
      <c r="P1428" s="9">
        <v>5600</v>
      </c>
    </row>
    <row r="1429" spans="1:16" x14ac:dyDescent="0.25">
      <c r="A1429" t="s">
        <v>1450</v>
      </c>
      <c r="B1429" s="2">
        <v>45269</v>
      </c>
      <c r="C1429">
        <v>2023</v>
      </c>
      <c r="D1429" t="str">
        <f t="shared" si="44"/>
        <v>Dec</v>
      </c>
      <c r="E1429" t="s">
        <v>13</v>
      </c>
      <c r="F1429" t="s">
        <v>2036</v>
      </c>
      <c r="G1429" t="s">
        <v>22</v>
      </c>
      <c r="H1429" t="s">
        <v>24</v>
      </c>
      <c r="I1429">
        <v>8</v>
      </c>
      <c r="J1429" s="9">
        <v>8000</v>
      </c>
      <c r="K1429" s="7">
        <v>0.15000000000000002</v>
      </c>
      <c r="L1429" s="9">
        <v>6800</v>
      </c>
      <c r="M1429" s="10">
        <f>Sales_Data3[[#This Row],[Profit]]/Sales_Data3[[#This Row],[Sales]]</f>
        <v>0.85</v>
      </c>
      <c r="N1429" t="str">
        <f t="shared" si="45"/>
        <v>Medium</v>
      </c>
      <c r="O1429" s="2">
        <v>45269</v>
      </c>
      <c r="P1429" s="9">
        <v>8000</v>
      </c>
    </row>
    <row r="1430" spans="1:16" x14ac:dyDescent="0.25">
      <c r="A1430" t="s">
        <v>1451</v>
      </c>
      <c r="B1430" s="2">
        <v>45270</v>
      </c>
      <c r="C1430">
        <v>2023</v>
      </c>
      <c r="D1430" t="str">
        <f t="shared" si="44"/>
        <v>Dec</v>
      </c>
      <c r="E1430" t="s">
        <v>13</v>
      </c>
      <c r="F1430" t="s">
        <v>2037</v>
      </c>
      <c r="G1430" t="s">
        <v>19</v>
      </c>
      <c r="H1430" t="s">
        <v>24</v>
      </c>
      <c r="I1430">
        <v>3</v>
      </c>
      <c r="J1430" s="9">
        <v>6000</v>
      </c>
      <c r="K1430" s="7">
        <v>0.2</v>
      </c>
      <c r="L1430" s="9">
        <v>4800</v>
      </c>
      <c r="M1430" s="10">
        <f>Sales_Data3[[#This Row],[Profit]]/Sales_Data3[[#This Row],[Sales]]</f>
        <v>0.8</v>
      </c>
      <c r="N1430" t="str">
        <f t="shared" si="45"/>
        <v>Medium</v>
      </c>
      <c r="O1430" s="2">
        <v>45270</v>
      </c>
      <c r="P1430" s="9">
        <v>6000</v>
      </c>
    </row>
    <row r="1431" spans="1:16" x14ac:dyDescent="0.25">
      <c r="A1431" t="s">
        <v>1452</v>
      </c>
      <c r="B1431" s="2">
        <v>45271</v>
      </c>
      <c r="C1431">
        <v>2023</v>
      </c>
      <c r="D1431" t="str">
        <f t="shared" si="44"/>
        <v>Dec</v>
      </c>
      <c r="E1431" t="s">
        <v>13</v>
      </c>
      <c r="F1431" t="s">
        <v>2038</v>
      </c>
      <c r="G1431" t="s">
        <v>20</v>
      </c>
      <c r="H1431" t="s">
        <v>24</v>
      </c>
      <c r="I1431">
        <v>10</v>
      </c>
      <c r="J1431" s="9">
        <v>14800</v>
      </c>
      <c r="K1431" s="7">
        <v>0.25</v>
      </c>
      <c r="L1431" s="9">
        <v>11100</v>
      </c>
      <c r="M1431" s="10">
        <f>Sales_Data3[[#This Row],[Profit]]/Sales_Data3[[#This Row],[Sales]]</f>
        <v>0.75</v>
      </c>
      <c r="N1431" t="str">
        <f t="shared" si="45"/>
        <v>High</v>
      </c>
      <c r="O1431" s="2">
        <v>45271</v>
      </c>
      <c r="P1431" s="9">
        <v>14800</v>
      </c>
    </row>
    <row r="1432" spans="1:16" x14ac:dyDescent="0.25">
      <c r="A1432" t="s">
        <v>1453</v>
      </c>
      <c r="B1432" s="2">
        <v>45272</v>
      </c>
      <c r="C1432">
        <v>2023</v>
      </c>
      <c r="D1432" t="str">
        <f t="shared" si="44"/>
        <v>Dec</v>
      </c>
      <c r="E1432" t="s">
        <v>14</v>
      </c>
      <c r="F1432" t="s">
        <v>2039</v>
      </c>
      <c r="G1432" t="s">
        <v>21</v>
      </c>
      <c r="H1432" t="s">
        <v>25</v>
      </c>
      <c r="I1432">
        <v>2</v>
      </c>
      <c r="J1432" s="9">
        <v>11100</v>
      </c>
      <c r="K1432" s="7">
        <v>0.05</v>
      </c>
      <c r="L1432" s="9">
        <v>10545</v>
      </c>
      <c r="M1432" s="10">
        <f>Sales_Data3[[#This Row],[Profit]]/Sales_Data3[[#This Row],[Sales]]</f>
        <v>0.95</v>
      </c>
      <c r="N1432" t="str">
        <f t="shared" si="45"/>
        <v>High</v>
      </c>
      <c r="O1432" s="2">
        <v>45272</v>
      </c>
      <c r="P1432" s="9">
        <v>11100</v>
      </c>
    </row>
    <row r="1433" spans="1:16" x14ac:dyDescent="0.25">
      <c r="A1433" t="s">
        <v>1454</v>
      </c>
      <c r="B1433" s="2">
        <v>45273</v>
      </c>
      <c r="C1433">
        <v>2023</v>
      </c>
      <c r="D1433" t="str">
        <f t="shared" si="44"/>
        <v>Dec</v>
      </c>
      <c r="E1433" t="s">
        <v>14</v>
      </c>
      <c r="F1433" t="s">
        <v>2040</v>
      </c>
      <c r="G1433" t="s">
        <v>22</v>
      </c>
      <c r="H1433" t="s">
        <v>25</v>
      </c>
      <c r="I1433">
        <v>7</v>
      </c>
      <c r="J1433" s="9">
        <v>14500</v>
      </c>
      <c r="K1433" s="7">
        <v>0.1</v>
      </c>
      <c r="L1433" s="9">
        <v>13050</v>
      </c>
      <c r="M1433" s="10">
        <f>Sales_Data3[[#This Row],[Profit]]/Sales_Data3[[#This Row],[Sales]]</f>
        <v>0.9</v>
      </c>
      <c r="N1433" t="str">
        <f t="shared" si="45"/>
        <v>High</v>
      </c>
      <c r="O1433" s="2">
        <v>45273</v>
      </c>
      <c r="P1433" s="9">
        <v>14500</v>
      </c>
    </row>
    <row r="1434" spans="1:16" x14ac:dyDescent="0.25">
      <c r="A1434" t="s">
        <v>1455</v>
      </c>
      <c r="B1434" s="2">
        <v>45274</v>
      </c>
      <c r="C1434">
        <v>2023</v>
      </c>
      <c r="D1434" t="str">
        <f t="shared" si="44"/>
        <v>Dec</v>
      </c>
      <c r="E1434" t="s">
        <v>14</v>
      </c>
      <c r="F1434" t="s">
        <v>2041</v>
      </c>
      <c r="G1434" t="s">
        <v>19</v>
      </c>
      <c r="H1434" t="s">
        <v>25</v>
      </c>
      <c r="I1434">
        <v>8</v>
      </c>
      <c r="J1434" s="9">
        <v>13600</v>
      </c>
      <c r="K1434" s="7">
        <v>0.15000000000000002</v>
      </c>
      <c r="L1434" s="9">
        <v>11560</v>
      </c>
      <c r="M1434" s="10">
        <f>Sales_Data3[[#This Row],[Profit]]/Sales_Data3[[#This Row],[Sales]]</f>
        <v>0.85</v>
      </c>
      <c r="N1434" t="str">
        <f t="shared" si="45"/>
        <v>High</v>
      </c>
      <c r="O1434" s="2">
        <v>45274</v>
      </c>
      <c r="P1434" s="9">
        <v>13600</v>
      </c>
    </row>
    <row r="1435" spans="1:16" x14ac:dyDescent="0.25">
      <c r="A1435" t="s">
        <v>1456</v>
      </c>
      <c r="B1435" s="2">
        <v>45275</v>
      </c>
      <c r="C1435">
        <v>2023</v>
      </c>
      <c r="D1435" t="str">
        <f t="shared" si="44"/>
        <v>Dec</v>
      </c>
      <c r="E1435" t="s">
        <v>14</v>
      </c>
      <c r="F1435" t="s">
        <v>2042</v>
      </c>
      <c r="G1435" t="s">
        <v>20</v>
      </c>
      <c r="H1435" t="s">
        <v>25</v>
      </c>
      <c r="I1435">
        <v>6</v>
      </c>
      <c r="J1435" s="9">
        <v>5400</v>
      </c>
      <c r="K1435" s="7">
        <v>0.2</v>
      </c>
      <c r="L1435" s="9">
        <v>4320</v>
      </c>
      <c r="M1435" s="10">
        <f>Sales_Data3[[#This Row],[Profit]]/Sales_Data3[[#This Row],[Sales]]</f>
        <v>0.8</v>
      </c>
      <c r="N1435" t="str">
        <f t="shared" si="45"/>
        <v>Medium</v>
      </c>
      <c r="O1435" s="2">
        <v>45275</v>
      </c>
      <c r="P1435" s="9">
        <v>5400</v>
      </c>
    </row>
    <row r="1436" spans="1:16" x14ac:dyDescent="0.25">
      <c r="A1436" t="s">
        <v>1457</v>
      </c>
      <c r="B1436" s="2">
        <v>45276</v>
      </c>
      <c r="C1436">
        <v>2023</v>
      </c>
      <c r="D1436" t="str">
        <f t="shared" si="44"/>
        <v>Dec</v>
      </c>
      <c r="E1436" t="s">
        <v>14</v>
      </c>
      <c r="F1436" t="s">
        <v>2043</v>
      </c>
      <c r="G1436" t="s">
        <v>21</v>
      </c>
      <c r="H1436" t="s">
        <v>25</v>
      </c>
      <c r="I1436">
        <v>5</v>
      </c>
      <c r="J1436" s="9">
        <v>7100</v>
      </c>
      <c r="K1436" s="7">
        <v>0.25</v>
      </c>
      <c r="L1436" s="9">
        <v>5325</v>
      </c>
      <c r="M1436" s="10">
        <f>Sales_Data3[[#This Row],[Profit]]/Sales_Data3[[#This Row],[Sales]]</f>
        <v>0.75</v>
      </c>
      <c r="N1436" t="str">
        <f t="shared" si="45"/>
        <v>Medium</v>
      </c>
      <c r="O1436" s="2">
        <v>45276</v>
      </c>
      <c r="P1436" s="9">
        <v>7100</v>
      </c>
    </row>
    <row r="1437" spans="1:16" x14ac:dyDescent="0.25">
      <c r="A1437" t="s">
        <v>1458</v>
      </c>
      <c r="B1437" s="2">
        <v>45277</v>
      </c>
      <c r="C1437">
        <v>2023</v>
      </c>
      <c r="D1437" t="str">
        <f t="shared" si="44"/>
        <v>Dec</v>
      </c>
      <c r="E1437" t="s">
        <v>14</v>
      </c>
      <c r="F1437" t="s">
        <v>2044</v>
      </c>
      <c r="G1437" t="s">
        <v>22</v>
      </c>
      <c r="H1437" t="s">
        <v>25</v>
      </c>
      <c r="I1437">
        <v>6</v>
      </c>
      <c r="J1437" s="9">
        <v>4600</v>
      </c>
      <c r="K1437" s="7">
        <v>0.05</v>
      </c>
      <c r="L1437" s="9">
        <v>4370</v>
      </c>
      <c r="M1437" s="10">
        <f>Sales_Data3[[#This Row],[Profit]]/Sales_Data3[[#This Row],[Sales]]</f>
        <v>0.95</v>
      </c>
      <c r="N1437" t="str">
        <f t="shared" si="45"/>
        <v>Low</v>
      </c>
      <c r="O1437" s="2">
        <v>45277</v>
      </c>
      <c r="P1437" s="9">
        <v>4600</v>
      </c>
    </row>
    <row r="1438" spans="1:16" x14ac:dyDescent="0.25">
      <c r="A1438" t="s">
        <v>1459</v>
      </c>
      <c r="B1438" s="2">
        <v>45278</v>
      </c>
      <c r="C1438">
        <v>2023</v>
      </c>
      <c r="D1438" t="str">
        <f t="shared" si="44"/>
        <v>Dec</v>
      </c>
      <c r="E1438" t="s">
        <v>14</v>
      </c>
      <c r="F1438" t="s">
        <v>2045</v>
      </c>
      <c r="G1438" t="s">
        <v>19</v>
      </c>
      <c r="H1438" t="s">
        <v>25</v>
      </c>
      <c r="I1438">
        <v>4</v>
      </c>
      <c r="J1438" s="9">
        <v>11300</v>
      </c>
      <c r="K1438" s="7">
        <v>0.1</v>
      </c>
      <c r="L1438" s="9">
        <v>10170</v>
      </c>
      <c r="M1438" s="10">
        <f>Sales_Data3[[#This Row],[Profit]]/Sales_Data3[[#This Row],[Sales]]</f>
        <v>0.9</v>
      </c>
      <c r="N1438" t="str">
        <f t="shared" si="45"/>
        <v>High</v>
      </c>
      <c r="O1438" s="2">
        <v>45278</v>
      </c>
      <c r="P1438" s="9">
        <v>11300</v>
      </c>
    </row>
    <row r="1439" spans="1:16" x14ac:dyDescent="0.25">
      <c r="A1439" t="s">
        <v>1460</v>
      </c>
      <c r="B1439" s="2">
        <v>45279</v>
      </c>
      <c r="C1439">
        <v>2023</v>
      </c>
      <c r="D1439" t="str">
        <f t="shared" si="44"/>
        <v>Dec</v>
      </c>
      <c r="E1439" t="s">
        <v>14</v>
      </c>
      <c r="F1439" t="s">
        <v>2046</v>
      </c>
      <c r="G1439" t="s">
        <v>20</v>
      </c>
      <c r="H1439" t="s">
        <v>25</v>
      </c>
      <c r="I1439">
        <v>2</v>
      </c>
      <c r="J1439" s="9">
        <v>13300</v>
      </c>
      <c r="K1439" s="7">
        <v>0.15000000000000002</v>
      </c>
      <c r="L1439" s="9">
        <v>11305</v>
      </c>
      <c r="M1439" s="10">
        <f>Sales_Data3[[#This Row],[Profit]]/Sales_Data3[[#This Row],[Sales]]</f>
        <v>0.85</v>
      </c>
      <c r="N1439" t="str">
        <f t="shared" si="45"/>
        <v>High</v>
      </c>
      <c r="O1439" s="2">
        <v>45279</v>
      </c>
      <c r="P1439" s="9">
        <v>13300</v>
      </c>
    </row>
    <row r="1440" spans="1:16" x14ac:dyDescent="0.25">
      <c r="A1440" t="s">
        <v>1461</v>
      </c>
      <c r="B1440" s="2">
        <v>45280</v>
      </c>
      <c r="C1440">
        <v>2023</v>
      </c>
      <c r="D1440" t="str">
        <f t="shared" si="44"/>
        <v>Dec</v>
      </c>
      <c r="E1440" t="s">
        <v>14</v>
      </c>
      <c r="F1440" t="s">
        <v>2047</v>
      </c>
      <c r="G1440" t="s">
        <v>21</v>
      </c>
      <c r="H1440" t="s">
        <v>25</v>
      </c>
      <c r="I1440">
        <v>5</v>
      </c>
      <c r="J1440" s="9">
        <v>14900</v>
      </c>
      <c r="K1440" s="7">
        <v>0.2</v>
      </c>
      <c r="L1440" s="9">
        <v>11920</v>
      </c>
      <c r="M1440" s="10">
        <f>Sales_Data3[[#This Row],[Profit]]/Sales_Data3[[#This Row],[Sales]]</f>
        <v>0.8</v>
      </c>
      <c r="N1440" t="str">
        <f t="shared" si="45"/>
        <v>High</v>
      </c>
      <c r="O1440" s="2">
        <v>45280</v>
      </c>
      <c r="P1440" s="9">
        <v>14900</v>
      </c>
    </row>
    <row r="1441" spans="1:16" x14ac:dyDescent="0.25">
      <c r="A1441" t="s">
        <v>1462</v>
      </c>
      <c r="B1441" s="2">
        <v>45281</v>
      </c>
      <c r="C1441">
        <v>2023</v>
      </c>
      <c r="D1441" t="str">
        <f t="shared" si="44"/>
        <v>Dec</v>
      </c>
      <c r="E1441" t="s">
        <v>14</v>
      </c>
      <c r="F1441" t="s">
        <v>2048</v>
      </c>
      <c r="G1441" t="s">
        <v>22</v>
      </c>
      <c r="H1441" t="s">
        <v>25</v>
      </c>
      <c r="I1441">
        <v>10</v>
      </c>
      <c r="J1441" s="9">
        <v>14600</v>
      </c>
      <c r="K1441" s="7">
        <v>0.25</v>
      </c>
      <c r="L1441" s="9">
        <v>10950</v>
      </c>
      <c r="M1441" s="10">
        <f>Sales_Data3[[#This Row],[Profit]]/Sales_Data3[[#This Row],[Sales]]</f>
        <v>0.75</v>
      </c>
      <c r="N1441" t="str">
        <f t="shared" si="45"/>
        <v>High</v>
      </c>
      <c r="O1441" s="2">
        <v>45281</v>
      </c>
      <c r="P1441" s="9">
        <v>14600</v>
      </c>
    </row>
    <row r="1442" spans="1:16" x14ac:dyDescent="0.25">
      <c r="A1442" t="s">
        <v>1463</v>
      </c>
      <c r="B1442" s="2">
        <v>45282</v>
      </c>
      <c r="C1442">
        <v>2023</v>
      </c>
      <c r="D1442" t="str">
        <f t="shared" si="44"/>
        <v>Dec</v>
      </c>
      <c r="E1442" t="s">
        <v>12</v>
      </c>
      <c r="F1442" t="s">
        <v>15</v>
      </c>
      <c r="G1442" t="s">
        <v>19</v>
      </c>
      <c r="H1442" t="s">
        <v>23</v>
      </c>
      <c r="I1442">
        <v>8</v>
      </c>
      <c r="J1442" s="9">
        <v>10100</v>
      </c>
      <c r="K1442" s="7">
        <v>0.05</v>
      </c>
      <c r="L1442" s="9">
        <v>9595</v>
      </c>
      <c r="M1442" s="10">
        <f>Sales_Data3[[#This Row],[Profit]]/Sales_Data3[[#This Row],[Sales]]</f>
        <v>0.95</v>
      </c>
      <c r="N1442" t="str">
        <f t="shared" si="45"/>
        <v>High</v>
      </c>
      <c r="O1442" s="2">
        <v>45282</v>
      </c>
      <c r="P1442" s="9">
        <v>10100</v>
      </c>
    </row>
    <row r="1443" spans="1:16" x14ac:dyDescent="0.25">
      <c r="A1443" t="s">
        <v>1464</v>
      </c>
      <c r="B1443" s="2">
        <v>45283</v>
      </c>
      <c r="C1443">
        <v>2023</v>
      </c>
      <c r="D1443" t="str">
        <f t="shared" si="44"/>
        <v>Dec</v>
      </c>
      <c r="E1443" t="s">
        <v>12</v>
      </c>
      <c r="F1443" t="s">
        <v>17</v>
      </c>
      <c r="G1443" t="s">
        <v>20</v>
      </c>
      <c r="H1443" t="s">
        <v>23</v>
      </c>
      <c r="I1443">
        <v>10</v>
      </c>
      <c r="J1443" s="9">
        <v>7500</v>
      </c>
      <c r="K1443" s="7">
        <v>0.1</v>
      </c>
      <c r="L1443" s="9">
        <v>6750</v>
      </c>
      <c r="M1443" s="10">
        <f>Sales_Data3[[#This Row],[Profit]]/Sales_Data3[[#This Row],[Sales]]</f>
        <v>0.9</v>
      </c>
      <c r="N1443" t="str">
        <f t="shared" si="45"/>
        <v>Medium</v>
      </c>
      <c r="O1443" s="2">
        <v>45283</v>
      </c>
      <c r="P1443" s="9">
        <v>7500</v>
      </c>
    </row>
    <row r="1444" spans="1:16" x14ac:dyDescent="0.25">
      <c r="A1444" t="s">
        <v>1465</v>
      </c>
      <c r="B1444" s="2">
        <v>45284</v>
      </c>
      <c r="C1444">
        <v>2023</v>
      </c>
      <c r="D1444" t="str">
        <f t="shared" si="44"/>
        <v>Dec</v>
      </c>
      <c r="E1444" t="s">
        <v>12</v>
      </c>
      <c r="F1444" t="s">
        <v>2023</v>
      </c>
      <c r="G1444" t="s">
        <v>21</v>
      </c>
      <c r="H1444" t="s">
        <v>23</v>
      </c>
      <c r="I1444">
        <v>4</v>
      </c>
      <c r="J1444" s="9">
        <v>9900</v>
      </c>
      <c r="K1444" s="7">
        <v>0.15000000000000002</v>
      </c>
      <c r="L1444" s="9">
        <v>8415</v>
      </c>
      <c r="M1444" s="10">
        <f>Sales_Data3[[#This Row],[Profit]]/Sales_Data3[[#This Row],[Sales]]</f>
        <v>0.85</v>
      </c>
      <c r="N1444" t="str">
        <f t="shared" si="45"/>
        <v>Medium</v>
      </c>
      <c r="O1444" s="2">
        <v>45284</v>
      </c>
      <c r="P1444" s="9">
        <v>9900</v>
      </c>
    </row>
    <row r="1445" spans="1:16" x14ac:dyDescent="0.25">
      <c r="A1445" t="s">
        <v>1466</v>
      </c>
      <c r="B1445" s="2">
        <v>45285</v>
      </c>
      <c r="C1445">
        <v>2023</v>
      </c>
      <c r="D1445" t="str">
        <f t="shared" si="44"/>
        <v>Dec</v>
      </c>
      <c r="E1445" t="s">
        <v>12</v>
      </c>
      <c r="F1445" t="s">
        <v>18</v>
      </c>
      <c r="G1445" t="s">
        <v>22</v>
      </c>
      <c r="H1445" t="s">
        <v>23</v>
      </c>
      <c r="I1445">
        <v>7</v>
      </c>
      <c r="J1445" s="9">
        <v>7200</v>
      </c>
      <c r="K1445" s="7">
        <v>0.2</v>
      </c>
      <c r="L1445" s="9">
        <v>5760</v>
      </c>
      <c r="M1445" s="10">
        <f>Sales_Data3[[#This Row],[Profit]]/Sales_Data3[[#This Row],[Sales]]</f>
        <v>0.8</v>
      </c>
      <c r="N1445" t="str">
        <f t="shared" si="45"/>
        <v>Medium</v>
      </c>
      <c r="O1445" s="2">
        <v>45285</v>
      </c>
      <c r="P1445" s="9">
        <v>7200</v>
      </c>
    </row>
    <row r="1446" spans="1:16" x14ac:dyDescent="0.25">
      <c r="A1446" t="s">
        <v>1467</v>
      </c>
      <c r="B1446" s="2">
        <v>45286</v>
      </c>
      <c r="C1446">
        <v>2023</v>
      </c>
      <c r="D1446" t="str">
        <f t="shared" si="44"/>
        <v>Dec</v>
      </c>
      <c r="E1446" t="s">
        <v>12</v>
      </c>
      <c r="F1446" t="s">
        <v>2024</v>
      </c>
      <c r="G1446" t="s">
        <v>19</v>
      </c>
      <c r="H1446" t="s">
        <v>23</v>
      </c>
      <c r="I1446">
        <v>9</v>
      </c>
      <c r="J1446" s="9">
        <v>15000</v>
      </c>
      <c r="K1446" s="7">
        <v>0.25</v>
      </c>
      <c r="L1446" s="9">
        <v>11250</v>
      </c>
      <c r="M1446" s="10">
        <f>Sales_Data3[[#This Row],[Profit]]/Sales_Data3[[#This Row],[Sales]]</f>
        <v>0.75</v>
      </c>
      <c r="N1446" t="str">
        <f t="shared" si="45"/>
        <v>High</v>
      </c>
      <c r="O1446" s="2">
        <v>45286</v>
      </c>
      <c r="P1446" s="9">
        <v>15000</v>
      </c>
    </row>
    <row r="1447" spans="1:16" x14ac:dyDescent="0.25">
      <c r="A1447" t="s">
        <v>1468</v>
      </c>
      <c r="B1447" s="2">
        <v>45287</v>
      </c>
      <c r="C1447">
        <v>2023</v>
      </c>
      <c r="D1447" t="str">
        <f t="shared" si="44"/>
        <v>Dec</v>
      </c>
      <c r="E1447" t="s">
        <v>12</v>
      </c>
      <c r="F1447" t="s">
        <v>2025</v>
      </c>
      <c r="G1447" t="s">
        <v>20</v>
      </c>
      <c r="H1447" t="s">
        <v>23</v>
      </c>
      <c r="I1447">
        <v>9</v>
      </c>
      <c r="J1447" s="9">
        <v>6900</v>
      </c>
      <c r="K1447" s="7">
        <v>0.05</v>
      </c>
      <c r="L1447" s="9">
        <v>6555</v>
      </c>
      <c r="M1447" s="10">
        <f>Sales_Data3[[#This Row],[Profit]]/Sales_Data3[[#This Row],[Sales]]</f>
        <v>0.95</v>
      </c>
      <c r="N1447" t="str">
        <f t="shared" si="45"/>
        <v>Medium</v>
      </c>
      <c r="O1447" s="2">
        <v>45287</v>
      </c>
      <c r="P1447" s="9">
        <v>6900</v>
      </c>
    </row>
    <row r="1448" spans="1:16" x14ac:dyDescent="0.25">
      <c r="A1448" t="s">
        <v>1469</v>
      </c>
      <c r="B1448" s="2">
        <v>45288</v>
      </c>
      <c r="C1448">
        <v>2023</v>
      </c>
      <c r="D1448" t="str">
        <f t="shared" si="44"/>
        <v>Dec</v>
      </c>
      <c r="E1448" t="s">
        <v>12</v>
      </c>
      <c r="F1448" t="s">
        <v>2026</v>
      </c>
      <c r="G1448" t="s">
        <v>21</v>
      </c>
      <c r="H1448" t="s">
        <v>23</v>
      </c>
      <c r="I1448">
        <v>7</v>
      </c>
      <c r="J1448" s="9">
        <v>12400</v>
      </c>
      <c r="K1448" s="7">
        <v>0.1</v>
      </c>
      <c r="L1448" s="9">
        <v>11160</v>
      </c>
      <c r="M1448" s="10">
        <f>Sales_Data3[[#This Row],[Profit]]/Sales_Data3[[#This Row],[Sales]]</f>
        <v>0.9</v>
      </c>
      <c r="N1448" t="str">
        <f t="shared" si="45"/>
        <v>High</v>
      </c>
      <c r="O1448" s="2">
        <v>45288</v>
      </c>
      <c r="P1448" s="9">
        <v>12400</v>
      </c>
    </row>
    <row r="1449" spans="1:16" x14ac:dyDescent="0.25">
      <c r="A1449" t="s">
        <v>1470</v>
      </c>
      <c r="B1449" s="2">
        <v>45289</v>
      </c>
      <c r="C1449">
        <v>2023</v>
      </c>
      <c r="D1449" t="str">
        <f t="shared" si="44"/>
        <v>Dec</v>
      </c>
      <c r="E1449" t="s">
        <v>12</v>
      </c>
      <c r="F1449" t="s">
        <v>2027</v>
      </c>
      <c r="G1449" t="s">
        <v>22</v>
      </c>
      <c r="H1449" t="s">
        <v>23</v>
      </c>
      <c r="I1449">
        <v>9</v>
      </c>
      <c r="J1449" s="9">
        <v>5000</v>
      </c>
      <c r="K1449" s="7">
        <v>0.15000000000000002</v>
      </c>
      <c r="L1449" s="9">
        <v>4250</v>
      </c>
      <c r="M1449" s="10">
        <f>Sales_Data3[[#This Row],[Profit]]/Sales_Data3[[#This Row],[Sales]]</f>
        <v>0.85</v>
      </c>
      <c r="N1449" t="str">
        <f t="shared" si="45"/>
        <v>Low</v>
      </c>
      <c r="O1449" s="2">
        <v>45289</v>
      </c>
      <c r="P1449" s="9">
        <v>5000</v>
      </c>
    </row>
    <row r="1450" spans="1:16" x14ac:dyDescent="0.25">
      <c r="A1450" t="s">
        <v>1471</v>
      </c>
      <c r="B1450" s="2">
        <v>45290</v>
      </c>
      <c r="C1450">
        <v>2023</v>
      </c>
      <c r="D1450" t="str">
        <f t="shared" si="44"/>
        <v>Dec</v>
      </c>
      <c r="E1450" t="s">
        <v>12</v>
      </c>
      <c r="F1450" t="s">
        <v>2028</v>
      </c>
      <c r="G1450" t="s">
        <v>19</v>
      </c>
      <c r="H1450" t="s">
        <v>23</v>
      </c>
      <c r="I1450">
        <v>4</v>
      </c>
      <c r="J1450" s="9">
        <v>5800</v>
      </c>
      <c r="K1450" s="7">
        <v>0.2</v>
      </c>
      <c r="L1450" s="9">
        <v>4640</v>
      </c>
      <c r="M1450" s="10">
        <f>Sales_Data3[[#This Row],[Profit]]/Sales_Data3[[#This Row],[Sales]]</f>
        <v>0.8</v>
      </c>
      <c r="N1450" t="str">
        <f t="shared" si="45"/>
        <v>Medium</v>
      </c>
      <c r="O1450" s="2">
        <v>45290</v>
      </c>
      <c r="P1450" s="9">
        <v>5800</v>
      </c>
    </row>
    <row r="1451" spans="1:16" x14ac:dyDescent="0.25">
      <c r="A1451" t="s">
        <v>1472</v>
      </c>
      <c r="B1451" s="2">
        <v>45291</v>
      </c>
      <c r="C1451">
        <v>2023</v>
      </c>
      <c r="D1451" t="str">
        <f t="shared" si="44"/>
        <v>Dec</v>
      </c>
      <c r="E1451" t="s">
        <v>12</v>
      </c>
      <c r="F1451" t="s">
        <v>2029</v>
      </c>
      <c r="G1451" t="s">
        <v>20</v>
      </c>
      <c r="H1451" t="s">
        <v>23</v>
      </c>
      <c r="I1451">
        <v>4</v>
      </c>
      <c r="J1451" s="9">
        <v>13800</v>
      </c>
      <c r="K1451" s="7">
        <v>0.25</v>
      </c>
      <c r="L1451" s="9">
        <v>10350</v>
      </c>
      <c r="M1451" s="10">
        <f>Sales_Data3[[#This Row],[Profit]]/Sales_Data3[[#This Row],[Sales]]</f>
        <v>0.75</v>
      </c>
      <c r="N1451" t="str">
        <f t="shared" si="45"/>
        <v>High</v>
      </c>
      <c r="O1451" s="2">
        <v>45291</v>
      </c>
      <c r="P1451" s="9">
        <v>13800</v>
      </c>
    </row>
    <row r="1452" spans="1:16" x14ac:dyDescent="0.25">
      <c r="A1452" t="s">
        <v>1473</v>
      </c>
      <c r="B1452" s="2">
        <v>45292</v>
      </c>
      <c r="C1452">
        <v>2024</v>
      </c>
      <c r="D1452" t="str">
        <f t="shared" si="44"/>
        <v>Jan</v>
      </c>
      <c r="E1452" t="s">
        <v>13</v>
      </c>
      <c r="F1452" t="s">
        <v>16</v>
      </c>
      <c r="G1452" t="s">
        <v>21</v>
      </c>
      <c r="H1452" t="s">
        <v>24</v>
      </c>
      <c r="I1452">
        <v>7</v>
      </c>
      <c r="J1452" s="9">
        <v>6100</v>
      </c>
      <c r="K1452" s="7">
        <v>0.05</v>
      </c>
      <c r="L1452" s="9">
        <v>5795</v>
      </c>
      <c r="M1452" s="10">
        <f>Sales_Data3[[#This Row],[Profit]]/Sales_Data3[[#This Row],[Sales]]</f>
        <v>0.95</v>
      </c>
      <c r="N1452" t="str">
        <f t="shared" si="45"/>
        <v>Medium</v>
      </c>
      <c r="O1452" s="2">
        <v>45292</v>
      </c>
      <c r="P1452" s="9">
        <v>6100</v>
      </c>
    </row>
    <row r="1453" spans="1:16" x14ac:dyDescent="0.25">
      <c r="A1453" t="s">
        <v>1474</v>
      </c>
      <c r="B1453" s="2">
        <v>45293</v>
      </c>
      <c r="C1453">
        <v>2024</v>
      </c>
      <c r="D1453" t="str">
        <f t="shared" si="44"/>
        <v>Jan</v>
      </c>
      <c r="E1453" t="s">
        <v>13</v>
      </c>
      <c r="F1453" t="s">
        <v>2030</v>
      </c>
      <c r="G1453" t="s">
        <v>22</v>
      </c>
      <c r="H1453" t="s">
        <v>24</v>
      </c>
      <c r="I1453">
        <v>1</v>
      </c>
      <c r="J1453" s="9">
        <v>13300</v>
      </c>
      <c r="K1453" s="7">
        <v>0.1</v>
      </c>
      <c r="L1453" s="9">
        <v>11970</v>
      </c>
      <c r="M1453" s="10">
        <f>Sales_Data3[[#This Row],[Profit]]/Sales_Data3[[#This Row],[Sales]]</f>
        <v>0.9</v>
      </c>
      <c r="N1453" t="str">
        <f t="shared" si="45"/>
        <v>High</v>
      </c>
      <c r="O1453" s="2">
        <v>45293</v>
      </c>
      <c r="P1453" s="9">
        <v>13300</v>
      </c>
    </row>
    <row r="1454" spans="1:16" x14ac:dyDescent="0.25">
      <c r="A1454" t="s">
        <v>1475</v>
      </c>
      <c r="B1454" s="2">
        <v>45294</v>
      </c>
      <c r="C1454">
        <v>2024</v>
      </c>
      <c r="D1454" t="str">
        <f t="shared" si="44"/>
        <v>Jan</v>
      </c>
      <c r="E1454" t="s">
        <v>13</v>
      </c>
      <c r="F1454" t="s">
        <v>2031</v>
      </c>
      <c r="G1454" t="s">
        <v>19</v>
      </c>
      <c r="H1454" t="s">
        <v>24</v>
      </c>
      <c r="I1454">
        <v>5</v>
      </c>
      <c r="J1454" s="9">
        <v>4100</v>
      </c>
      <c r="K1454" s="7">
        <v>0.15000000000000002</v>
      </c>
      <c r="L1454" s="9">
        <v>3485</v>
      </c>
      <c r="M1454" s="10">
        <f>Sales_Data3[[#This Row],[Profit]]/Sales_Data3[[#This Row],[Sales]]</f>
        <v>0.85</v>
      </c>
      <c r="N1454" t="str">
        <f t="shared" si="45"/>
        <v>Low</v>
      </c>
      <c r="O1454" s="2">
        <v>45294</v>
      </c>
      <c r="P1454" s="9">
        <v>4100</v>
      </c>
    </row>
    <row r="1455" spans="1:16" x14ac:dyDescent="0.25">
      <c r="A1455" t="s">
        <v>1476</v>
      </c>
      <c r="B1455" s="2">
        <v>45295</v>
      </c>
      <c r="C1455">
        <v>2024</v>
      </c>
      <c r="D1455" t="str">
        <f t="shared" si="44"/>
        <v>Jan</v>
      </c>
      <c r="E1455" t="s">
        <v>13</v>
      </c>
      <c r="F1455" t="s">
        <v>2032</v>
      </c>
      <c r="G1455" t="s">
        <v>20</v>
      </c>
      <c r="H1455" t="s">
        <v>24</v>
      </c>
      <c r="I1455">
        <v>4</v>
      </c>
      <c r="J1455" s="9">
        <v>6700</v>
      </c>
      <c r="K1455" s="7">
        <v>0.2</v>
      </c>
      <c r="L1455" s="9">
        <v>5360</v>
      </c>
      <c r="M1455" s="10">
        <f>Sales_Data3[[#This Row],[Profit]]/Sales_Data3[[#This Row],[Sales]]</f>
        <v>0.8</v>
      </c>
      <c r="N1455" t="str">
        <f t="shared" si="45"/>
        <v>Medium</v>
      </c>
      <c r="O1455" s="2">
        <v>45295</v>
      </c>
      <c r="P1455" s="9">
        <v>6700</v>
      </c>
    </row>
    <row r="1456" spans="1:16" x14ac:dyDescent="0.25">
      <c r="A1456" t="s">
        <v>1477</v>
      </c>
      <c r="B1456" s="2">
        <v>45296</v>
      </c>
      <c r="C1456">
        <v>2024</v>
      </c>
      <c r="D1456" t="str">
        <f t="shared" si="44"/>
        <v>Jan</v>
      </c>
      <c r="E1456" t="s">
        <v>13</v>
      </c>
      <c r="F1456" t="s">
        <v>2033</v>
      </c>
      <c r="G1456" t="s">
        <v>21</v>
      </c>
      <c r="H1456" t="s">
        <v>24</v>
      </c>
      <c r="I1456">
        <v>10</v>
      </c>
      <c r="J1456" s="9">
        <v>14800</v>
      </c>
      <c r="K1456" s="7">
        <v>0.25</v>
      </c>
      <c r="L1456" s="9">
        <v>11100</v>
      </c>
      <c r="M1456" s="10">
        <f>Sales_Data3[[#This Row],[Profit]]/Sales_Data3[[#This Row],[Sales]]</f>
        <v>0.75</v>
      </c>
      <c r="N1456" t="str">
        <f t="shared" si="45"/>
        <v>High</v>
      </c>
      <c r="O1456" s="2">
        <v>45296</v>
      </c>
      <c r="P1456" s="9">
        <v>14800</v>
      </c>
    </row>
    <row r="1457" spans="1:16" x14ac:dyDescent="0.25">
      <c r="A1457" t="s">
        <v>1478</v>
      </c>
      <c r="B1457" s="2">
        <v>45297</v>
      </c>
      <c r="C1457">
        <v>2024</v>
      </c>
      <c r="D1457" t="str">
        <f t="shared" si="44"/>
        <v>Jan</v>
      </c>
      <c r="E1457" t="s">
        <v>13</v>
      </c>
      <c r="F1457" t="s">
        <v>2034</v>
      </c>
      <c r="G1457" t="s">
        <v>22</v>
      </c>
      <c r="H1457" t="s">
        <v>24</v>
      </c>
      <c r="I1457">
        <v>3</v>
      </c>
      <c r="J1457" s="9">
        <v>5800</v>
      </c>
      <c r="K1457" s="7">
        <v>0.05</v>
      </c>
      <c r="L1457" s="9">
        <v>5510</v>
      </c>
      <c r="M1457" s="10">
        <f>Sales_Data3[[#This Row],[Profit]]/Sales_Data3[[#This Row],[Sales]]</f>
        <v>0.95</v>
      </c>
      <c r="N1457" t="str">
        <f t="shared" si="45"/>
        <v>Medium</v>
      </c>
      <c r="O1457" s="2">
        <v>45297</v>
      </c>
      <c r="P1457" s="9">
        <v>5800</v>
      </c>
    </row>
    <row r="1458" spans="1:16" x14ac:dyDescent="0.25">
      <c r="A1458" t="s">
        <v>1479</v>
      </c>
      <c r="B1458" s="2">
        <v>45298</v>
      </c>
      <c r="C1458">
        <v>2024</v>
      </c>
      <c r="D1458" t="str">
        <f t="shared" si="44"/>
        <v>Jan</v>
      </c>
      <c r="E1458" t="s">
        <v>13</v>
      </c>
      <c r="F1458" t="s">
        <v>2035</v>
      </c>
      <c r="G1458" t="s">
        <v>19</v>
      </c>
      <c r="H1458" t="s">
        <v>24</v>
      </c>
      <c r="I1458">
        <v>9</v>
      </c>
      <c r="J1458" s="9">
        <v>10700</v>
      </c>
      <c r="K1458" s="7">
        <v>0.1</v>
      </c>
      <c r="L1458" s="9">
        <v>9630</v>
      </c>
      <c r="M1458" s="10">
        <f>Sales_Data3[[#This Row],[Profit]]/Sales_Data3[[#This Row],[Sales]]</f>
        <v>0.9</v>
      </c>
      <c r="N1458" t="str">
        <f t="shared" si="45"/>
        <v>High</v>
      </c>
      <c r="O1458" s="2">
        <v>45298</v>
      </c>
      <c r="P1458" s="9">
        <v>10700</v>
      </c>
    </row>
    <row r="1459" spans="1:16" x14ac:dyDescent="0.25">
      <c r="A1459" t="s">
        <v>1480</v>
      </c>
      <c r="B1459" s="2">
        <v>45299</v>
      </c>
      <c r="C1459">
        <v>2024</v>
      </c>
      <c r="D1459" t="str">
        <f t="shared" si="44"/>
        <v>Jan</v>
      </c>
      <c r="E1459" t="s">
        <v>13</v>
      </c>
      <c r="F1459" t="s">
        <v>2036</v>
      </c>
      <c r="G1459" t="s">
        <v>20</v>
      </c>
      <c r="H1459" t="s">
        <v>24</v>
      </c>
      <c r="I1459">
        <v>1</v>
      </c>
      <c r="J1459" s="9">
        <v>10000</v>
      </c>
      <c r="K1459" s="7">
        <v>0.15000000000000002</v>
      </c>
      <c r="L1459" s="9">
        <v>8500</v>
      </c>
      <c r="M1459" s="10">
        <f>Sales_Data3[[#This Row],[Profit]]/Sales_Data3[[#This Row],[Sales]]</f>
        <v>0.85</v>
      </c>
      <c r="N1459" t="str">
        <f t="shared" si="45"/>
        <v>Medium</v>
      </c>
      <c r="O1459" s="2">
        <v>45299</v>
      </c>
      <c r="P1459" s="9">
        <v>10000</v>
      </c>
    </row>
    <row r="1460" spans="1:16" x14ac:dyDescent="0.25">
      <c r="A1460" t="s">
        <v>1481</v>
      </c>
      <c r="B1460" s="2">
        <v>45300</v>
      </c>
      <c r="C1460">
        <v>2024</v>
      </c>
      <c r="D1460" t="str">
        <f t="shared" si="44"/>
        <v>Jan</v>
      </c>
      <c r="E1460" t="s">
        <v>13</v>
      </c>
      <c r="F1460" t="s">
        <v>2037</v>
      </c>
      <c r="G1460" t="s">
        <v>21</v>
      </c>
      <c r="H1460" t="s">
        <v>24</v>
      </c>
      <c r="I1460">
        <v>1</v>
      </c>
      <c r="J1460" s="9">
        <v>6200</v>
      </c>
      <c r="K1460" s="7">
        <v>0.2</v>
      </c>
      <c r="L1460" s="9">
        <v>4960</v>
      </c>
      <c r="M1460" s="10">
        <f>Sales_Data3[[#This Row],[Profit]]/Sales_Data3[[#This Row],[Sales]]</f>
        <v>0.8</v>
      </c>
      <c r="N1460" t="str">
        <f t="shared" si="45"/>
        <v>Medium</v>
      </c>
      <c r="O1460" s="2">
        <v>45300</v>
      </c>
      <c r="P1460" s="9">
        <v>6200</v>
      </c>
    </row>
    <row r="1461" spans="1:16" x14ac:dyDescent="0.25">
      <c r="A1461" t="s">
        <v>1482</v>
      </c>
      <c r="B1461" s="2">
        <v>45301</v>
      </c>
      <c r="C1461">
        <v>2024</v>
      </c>
      <c r="D1461" t="str">
        <f t="shared" si="44"/>
        <v>Jan</v>
      </c>
      <c r="E1461" t="s">
        <v>13</v>
      </c>
      <c r="F1461" t="s">
        <v>2038</v>
      </c>
      <c r="G1461" t="s">
        <v>22</v>
      </c>
      <c r="H1461" t="s">
        <v>24</v>
      </c>
      <c r="I1461">
        <v>10</v>
      </c>
      <c r="J1461" s="9">
        <v>14800</v>
      </c>
      <c r="K1461" s="7">
        <v>0.25</v>
      </c>
      <c r="L1461" s="9">
        <v>11100</v>
      </c>
      <c r="M1461" s="10">
        <f>Sales_Data3[[#This Row],[Profit]]/Sales_Data3[[#This Row],[Sales]]</f>
        <v>0.75</v>
      </c>
      <c r="N1461" t="str">
        <f t="shared" si="45"/>
        <v>High</v>
      </c>
      <c r="O1461" s="2">
        <v>45301</v>
      </c>
      <c r="P1461" s="9">
        <v>14800</v>
      </c>
    </row>
    <row r="1462" spans="1:16" x14ac:dyDescent="0.25">
      <c r="A1462" t="s">
        <v>1483</v>
      </c>
      <c r="B1462" s="2">
        <v>45302</v>
      </c>
      <c r="C1462">
        <v>2024</v>
      </c>
      <c r="D1462" t="str">
        <f t="shared" si="44"/>
        <v>Jan</v>
      </c>
      <c r="E1462" t="s">
        <v>14</v>
      </c>
      <c r="F1462" t="s">
        <v>2039</v>
      </c>
      <c r="G1462" t="s">
        <v>19</v>
      </c>
      <c r="H1462" t="s">
        <v>25</v>
      </c>
      <c r="I1462">
        <v>5</v>
      </c>
      <c r="J1462" s="9">
        <v>12500</v>
      </c>
      <c r="K1462" s="7">
        <v>0.05</v>
      </c>
      <c r="L1462" s="9">
        <v>11875</v>
      </c>
      <c r="M1462" s="10">
        <f>Sales_Data3[[#This Row],[Profit]]/Sales_Data3[[#This Row],[Sales]]</f>
        <v>0.95</v>
      </c>
      <c r="N1462" t="str">
        <f t="shared" si="45"/>
        <v>High</v>
      </c>
      <c r="O1462" s="2">
        <v>45302</v>
      </c>
      <c r="P1462" s="9">
        <v>12500</v>
      </c>
    </row>
    <row r="1463" spans="1:16" x14ac:dyDescent="0.25">
      <c r="A1463" t="s">
        <v>1484</v>
      </c>
      <c r="B1463" s="2">
        <v>45303</v>
      </c>
      <c r="C1463">
        <v>2024</v>
      </c>
      <c r="D1463" t="str">
        <f t="shared" si="44"/>
        <v>Jan</v>
      </c>
      <c r="E1463" t="s">
        <v>14</v>
      </c>
      <c r="F1463" t="s">
        <v>2040</v>
      </c>
      <c r="G1463" t="s">
        <v>20</v>
      </c>
      <c r="H1463" t="s">
        <v>25</v>
      </c>
      <c r="I1463">
        <v>7</v>
      </c>
      <c r="J1463" s="9">
        <v>7000</v>
      </c>
      <c r="K1463" s="7">
        <v>0.1</v>
      </c>
      <c r="L1463" s="9">
        <v>6300</v>
      </c>
      <c r="M1463" s="10">
        <f>Sales_Data3[[#This Row],[Profit]]/Sales_Data3[[#This Row],[Sales]]</f>
        <v>0.9</v>
      </c>
      <c r="N1463" t="str">
        <f t="shared" si="45"/>
        <v>Medium</v>
      </c>
      <c r="O1463" s="2">
        <v>45303</v>
      </c>
      <c r="P1463" s="9">
        <v>7000</v>
      </c>
    </row>
    <row r="1464" spans="1:16" x14ac:dyDescent="0.25">
      <c r="A1464" t="s">
        <v>1485</v>
      </c>
      <c r="B1464" s="2">
        <v>45304</v>
      </c>
      <c r="C1464">
        <v>2024</v>
      </c>
      <c r="D1464" t="str">
        <f t="shared" si="44"/>
        <v>Jan</v>
      </c>
      <c r="E1464" t="s">
        <v>14</v>
      </c>
      <c r="F1464" t="s">
        <v>2041</v>
      </c>
      <c r="G1464" t="s">
        <v>21</v>
      </c>
      <c r="H1464" t="s">
        <v>25</v>
      </c>
      <c r="I1464">
        <v>8</v>
      </c>
      <c r="J1464" s="9">
        <v>7300</v>
      </c>
      <c r="K1464" s="7">
        <v>0.15000000000000002</v>
      </c>
      <c r="L1464" s="9">
        <v>6205</v>
      </c>
      <c r="M1464" s="10">
        <f>Sales_Data3[[#This Row],[Profit]]/Sales_Data3[[#This Row],[Sales]]</f>
        <v>0.85</v>
      </c>
      <c r="N1464" t="str">
        <f t="shared" si="45"/>
        <v>Medium</v>
      </c>
      <c r="O1464" s="2">
        <v>45304</v>
      </c>
      <c r="P1464" s="9">
        <v>7300</v>
      </c>
    </row>
    <row r="1465" spans="1:16" x14ac:dyDescent="0.25">
      <c r="A1465" t="s">
        <v>1486</v>
      </c>
      <c r="B1465" s="2">
        <v>45305</v>
      </c>
      <c r="C1465">
        <v>2024</v>
      </c>
      <c r="D1465" t="str">
        <f t="shared" si="44"/>
        <v>Jan</v>
      </c>
      <c r="E1465" t="s">
        <v>14</v>
      </c>
      <c r="F1465" t="s">
        <v>2042</v>
      </c>
      <c r="G1465" t="s">
        <v>22</v>
      </c>
      <c r="H1465" t="s">
        <v>25</v>
      </c>
      <c r="I1465">
        <v>3</v>
      </c>
      <c r="J1465" s="9">
        <v>9900</v>
      </c>
      <c r="K1465" s="7">
        <v>0.2</v>
      </c>
      <c r="L1465" s="9">
        <v>7920</v>
      </c>
      <c r="M1465" s="10">
        <f>Sales_Data3[[#This Row],[Profit]]/Sales_Data3[[#This Row],[Sales]]</f>
        <v>0.8</v>
      </c>
      <c r="N1465" t="str">
        <f t="shared" si="45"/>
        <v>Medium</v>
      </c>
      <c r="O1465" s="2">
        <v>45305</v>
      </c>
      <c r="P1465" s="9">
        <v>9900</v>
      </c>
    </row>
    <row r="1466" spans="1:16" x14ac:dyDescent="0.25">
      <c r="A1466" t="s">
        <v>1487</v>
      </c>
      <c r="B1466" s="2">
        <v>45306</v>
      </c>
      <c r="C1466">
        <v>2024</v>
      </c>
      <c r="D1466" t="str">
        <f t="shared" si="44"/>
        <v>Jan</v>
      </c>
      <c r="E1466" t="s">
        <v>14</v>
      </c>
      <c r="F1466" t="s">
        <v>2043</v>
      </c>
      <c r="G1466" t="s">
        <v>19</v>
      </c>
      <c r="H1466" t="s">
        <v>25</v>
      </c>
      <c r="I1466">
        <v>3</v>
      </c>
      <c r="J1466" s="9">
        <v>7800</v>
      </c>
      <c r="K1466" s="7">
        <v>0.25</v>
      </c>
      <c r="L1466" s="9">
        <v>5850</v>
      </c>
      <c r="M1466" s="10">
        <f>Sales_Data3[[#This Row],[Profit]]/Sales_Data3[[#This Row],[Sales]]</f>
        <v>0.75</v>
      </c>
      <c r="N1466" t="str">
        <f t="shared" si="45"/>
        <v>Medium</v>
      </c>
      <c r="O1466" s="2">
        <v>45306</v>
      </c>
      <c r="P1466" s="9">
        <v>7800</v>
      </c>
    </row>
    <row r="1467" spans="1:16" x14ac:dyDescent="0.25">
      <c r="A1467" t="s">
        <v>1488</v>
      </c>
      <c r="B1467" s="2">
        <v>45307</v>
      </c>
      <c r="C1467">
        <v>2024</v>
      </c>
      <c r="D1467" t="str">
        <f t="shared" si="44"/>
        <v>Jan</v>
      </c>
      <c r="E1467" t="s">
        <v>14</v>
      </c>
      <c r="F1467" t="s">
        <v>2044</v>
      </c>
      <c r="G1467" t="s">
        <v>20</v>
      </c>
      <c r="H1467" t="s">
        <v>25</v>
      </c>
      <c r="I1467">
        <v>10</v>
      </c>
      <c r="J1467" s="9">
        <v>8100</v>
      </c>
      <c r="K1467" s="7">
        <v>0.05</v>
      </c>
      <c r="L1467" s="9">
        <v>7695</v>
      </c>
      <c r="M1467" s="10">
        <f>Sales_Data3[[#This Row],[Profit]]/Sales_Data3[[#This Row],[Sales]]</f>
        <v>0.95</v>
      </c>
      <c r="N1467" t="str">
        <f t="shared" si="45"/>
        <v>Medium</v>
      </c>
      <c r="O1467" s="2">
        <v>45307</v>
      </c>
      <c r="P1467" s="9">
        <v>8100</v>
      </c>
    </row>
    <row r="1468" spans="1:16" x14ac:dyDescent="0.25">
      <c r="A1468" t="s">
        <v>1489</v>
      </c>
      <c r="B1468" s="2">
        <v>45308</v>
      </c>
      <c r="C1468">
        <v>2024</v>
      </c>
      <c r="D1468" t="str">
        <f t="shared" si="44"/>
        <v>Jan</v>
      </c>
      <c r="E1468" t="s">
        <v>14</v>
      </c>
      <c r="F1468" t="s">
        <v>2045</v>
      </c>
      <c r="G1468" t="s">
        <v>21</v>
      </c>
      <c r="H1468" t="s">
        <v>25</v>
      </c>
      <c r="I1468">
        <v>6</v>
      </c>
      <c r="J1468" s="9">
        <v>4500</v>
      </c>
      <c r="K1468" s="7">
        <v>0.1</v>
      </c>
      <c r="L1468" s="9">
        <v>4050</v>
      </c>
      <c r="M1468" s="10">
        <f>Sales_Data3[[#This Row],[Profit]]/Sales_Data3[[#This Row],[Sales]]</f>
        <v>0.9</v>
      </c>
      <c r="N1468" t="str">
        <f t="shared" si="45"/>
        <v>Low</v>
      </c>
      <c r="O1468" s="2">
        <v>45308</v>
      </c>
      <c r="P1468" s="9">
        <v>4500</v>
      </c>
    </row>
    <row r="1469" spans="1:16" x14ac:dyDescent="0.25">
      <c r="A1469" t="s">
        <v>1490</v>
      </c>
      <c r="B1469" s="2">
        <v>45309</v>
      </c>
      <c r="C1469">
        <v>2024</v>
      </c>
      <c r="D1469" t="str">
        <f t="shared" si="44"/>
        <v>Jan</v>
      </c>
      <c r="E1469" t="s">
        <v>14</v>
      </c>
      <c r="F1469" t="s">
        <v>2046</v>
      </c>
      <c r="G1469" t="s">
        <v>22</v>
      </c>
      <c r="H1469" t="s">
        <v>25</v>
      </c>
      <c r="I1469">
        <v>3</v>
      </c>
      <c r="J1469" s="9">
        <v>8300</v>
      </c>
      <c r="K1469" s="7">
        <v>0.15000000000000002</v>
      </c>
      <c r="L1469" s="9">
        <v>7055</v>
      </c>
      <c r="M1469" s="10">
        <f>Sales_Data3[[#This Row],[Profit]]/Sales_Data3[[#This Row],[Sales]]</f>
        <v>0.85</v>
      </c>
      <c r="N1469" t="str">
        <f t="shared" si="45"/>
        <v>Medium</v>
      </c>
      <c r="O1469" s="2">
        <v>45309</v>
      </c>
      <c r="P1469" s="9">
        <v>8300</v>
      </c>
    </row>
    <row r="1470" spans="1:16" x14ac:dyDescent="0.25">
      <c r="A1470" t="s">
        <v>1491</v>
      </c>
      <c r="B1470" s="2">
        <v>45310</v>
      </c>
      <c r="C1470">
        <v>2024</v>
      </c>
      <c r="D1470" t="str">
        <f t="shared" si="44"/>
        <v>Jan</v>
      </c>
      <c r="E1470" t="s">
        <v>14</v>
      </c>
      <c r="F1470" t="s">
        <v>2047</v>
      </c>
      <c r="G1470" t="s">
        <v>19</v>
      </c>
      <c r="H1470" t="s">
        <v>25</v>
      </c>
      <c r="I1470">
        <v>8</v>
      </c>
      <c r="J1470" s="9">
        <v>7500</v>
      </c>
      <c r="K1470" s="7">
        <v>0.2</v>
      </c>
      <c r="L1470" s="9">
        <v>6000</v>
      </c>
      <c r="M1470" s="10">
        <f>Sales_Data3[[#This Row],[Profit]]/Sales_Data3[[#This Row],[Sales]]</f>
        <v>0.8</v>
      </c>
      <c r="N1470" t="str">
        <f t="shared" si="45"/>
        <v>Medium</v>
      </c>
      <c r="O1470" s="2">
        <v>45310</v>
      </c>
      <c r="P1470" s="9">
        <v>7500</v>
      </c>
    </row>
    <row r="1471" spans="1:16" x14ac:dyDescent="0.25">
      <c r="A1471" t="s">
        <v>1492</v>
      </c>
      <c r="B1471" s="2">
        <v>45311</v>
      </c>
      <c r="C1471">
        <v>2024</v>
      </c>
      <c r="D1471" t="str">
        <f t="shared" si="44"/>
        <v>Jan</v>
      </c>
      <c r="E1471" t="s">
        <v>14</v>
      </c>
      <c r="F1471" t="s">
        <v>2048</v>
      </c>
      <c r="G1471" t="s">
        <v>20</v>
      </c>
      <c r="H1471" t="s">
        <v>25</v>
      </c>
      <c r="I1471">
        <v>10</v>
      </c>
      <c r="J1471" s="9">
        <v>5800</v>
      </c>
      <c r="K1471" s="7">
        <v>0.25</v>
      </c>
      <c r="L1471" s="9">
        <v>4350</v>
      </c>
      <c r="M1471" s="10">
        <f>Sales_Data3[[#This Row],[Profit]]/Sales_Data3[[#This Row],[Sales]]</f>
        <v>0.75</v>
      </c>
      <c r="N1471" t="str">
        <f t="shared" si="45"/>
        <v>Medium</v>
      </c>
      <c r="O1471" s="2">
        <v>45311</v>
      </c>
      <c r="P1471" s="9">
        <v>5800</v>
      </c>
    </row>
    <row r="1472" spans="1:16" x14ac:dyDescent="0.25">
      <c r="A1472" t="s">
        <v>1493</v>
      </c>
      <c r="B1472" s="2">
        <v>45312</v>
      </c>
      <c r="C1472">
        <v>2024</v>
      </c>
      <c r="D1472" t="str">
        <f t="shared" si="44"/>
        <v>Jan</v>
      </c>
      <c r="E1472" t="s">
        <v>12</v>
      </c>
      <c r="F1472" t="s">
        <v>15</v>
      </c>
      <c r="G1472" t="s">
        <v>21</v>
      </c>
      <c r="H1472" t="s">
        <v>23</v>
      </c>
      <c r="I1472">
        <v>4</v>
      </c>
      <c r="J1472" s="9">
        <v>9900</v>
      </c>
      <c r="K1472" s="7">
        <v>0.05</v>
      </c>
      <c r="L1472" s="9">
        <v>9405</v>
      </c>
      <c r="M1472" s="10">
        <f>Sales_Data3[[#This Row],[Profit]]/Sales_Data3[[#This Row],[Sales]]</f>
        <v>0.95</v>
      </c>
      <c r="N1472" t="str">
        <f t="shared" si="45"/>
        <v>Medium</v>
      </c>
      <c r="O1472" s="2">
        <v>45312</v>
      </c>
      <c r="P1472" s="9">
        <v>9900</v>
      </c>
    </row>
    <row r="1473" spans="1:16" x14ac:dyDescent="0.25">
      <c r="A1473" t="s">
        <v>1494</v>
      </c>
      <c r="B1473" s="2">
        <v>45313</v>
      </c>
      <c r="C1473">
        <v>2024</v>
      </c>
      <c r="D1473" t="str">
        <f t="shared" si="44"/>
        <v>Jan</v>
      </c>
      <c r="E1473" t="s">
        <v>12</v>
      </c>
      <c r="F1473" t="s">
        <v>17</v>
      </c>
      <c r="G1473" t="s">
        <v>22</v>
      </c>
      <c r="H1473" t="s">
        <v>23</v>
      </c>
      <c r="I1473">
        <v>10</v>
      </c>
      <c r="J1473" s="9">
        <v>5500</v>
      </c>
      <c r="K1473" s="7">
        <v>0.1</v>
      </c>
      <c r="L1473" s="9">
        <v>4950</v>
      </c>
      <c r="M1473" s="10">
        <f>Sales_Data3[[#This Row],[Profit]]/Sales_Data3[[#This Row],[Sales]]</f>
        <v>0.9</v>
      </c>
      <c r="N1473" t="str">
        <f t="shared" si="45"/>
        <v>Medium</v>
      </c>
      <c r="O1473" s="2">
        <v>45313</v>
      </c>
      <c r="P1473" s="9">
        <v>5500</v>
      </c>
    </row>
    <row r="1474" spans="1:16" x14ac:dyDescent="0.25">
      <c r="A1474" t="s">
        <v>1495</v>
      </c>
      <c r="B1474" s="2">
        <v>45314</v>
      </c>
      <c r="C1474">
        <v>2024</v>
      </c>
      <c r="D1474" t="str">
        <f t="shared" ref="D1474:D1537" si="46">TEXT(B1474,"MMM")</f>
        <v>Jan</v>
      </c>
      <c r="E1474" t="s">
        <v>12</v>
      </c>
      <c r="F1474" t="s">
        <v>2023</v>
      </c>
      <c r="G1474" t="s">
        <v>19</v>
      </c>
      <c r="H1474" t="s">
        <v>23</v>
      </c>
      <c r="I1474">
        <v>1</v>
      </c>
      <c r="J1474" s="9">
        <v>5700</v>
      </c>
      <c r="K1474" s="7">
        <v>0.15000000000000002</v>
      </c>
      <c r="L1474" s="9">
        <v>4845</v>
      </c>
      <c r="M1474" s="10">
        <f>Sales_Data3[[#This Row],[Profit]]/Sales_Data3[[#This Row],[Sales]]</f>
        <v>0.85</v>
      </c>
      <c r="N1474" t="str">
        <f t="shared" ref="N1474:N1537" si="47">IF(J1474&gt;10000,"High",IF(J1474&gt;5000,"Medium","Low"))</f>
        <v>Medium</v>
      </c>
      <c r="O1474" s="2">
        <v>45314</v>
      </c>
      <c r="P1474" s="9">
        <v>5700</v>
      </c>
    </row>
    <row r="1475" spans="1:16" x14ac:dyDescent="0.25">
      <c r="A1475" t="s">
        <v>1496</v>
      </c>
      <c r="B1475" s="2">
        <v>45315</v>
      </c>
      <c r="C1475">
        <v>2024</v>
      </c>
      <c r="D1475" t="str">
        <f t="shared" si="46"/>
        <v>Jan</v>
      </c>
      <c r="E1475" t="s">
        <v>12</v>
      </c>
      <c r="F1475" t="s">
        <v>18</v>
      </c>
      <c r="G1475" t="s">
        <v>20</v>
      </c>
      <c r="H1475" t="s">
        <v>23</v>
      </c>
      <c r="I1475">
        <v>10</v>
      </c>
      <c r="J1475" s="9">
        <v>7200</v>
      </c>
      <c r="K1475" s="7">
        <v>0.2</v>
      </c>
      <c r="L1475" s="9">
        <v>5760</v>
      </c>
      <c r="M1475" s="10">
        <f>Sales_Data3[[#This Row],[Profit]]/Sales_Data3[[#This Row],[Sales]]</f>
        <v>0.8</v>
      </c>
      <c r="N1475" t="str">
        <f t="shared" si="47"/>
        <v>Medium</v>
      </c>
      <c r="O1475" s="2">
        <v>45315</v>
      </c>
      <c r="P1475" s="9">
        <v>7200</v>
      </c>
    </row>
    <row r="1476" spans="1:16" x14ac:dyDescent="0.25">
      <c r="A1476" t="s">
        <v>1497</v>
      </c>
      <c r="B1476" s="2">
        <v>45316</v>
      </c>
      <c r="C1476">
        <v>2024</v>
      </c>
      <c r="D1476" t="str">
        <f t="shared" si="46"/>
        <v>Jan</v>
      </c>
      <c r="E1476" t="s">
        <v>12</v>
      </c>
      <c r="F1476" t="s">
        <v>2024</v>
      </c>
      <c r="G1476" t="s">
        <v>21</v>
      </c>
      <c r="H1476" t="s">
        <v>23</v>
      </c>
      <c r="I1476">
        <v>6</v>
      </c>
      <c r="J1476" s="9">
        <v>10800</v>
      </c>
      <c r="K1476" s="7">
        <v>0.25</v>
      </c>
      <c r="L1476" s="9">
        <v>8100</v>
      </c>
      <c r="M1476" s="10">
        <f>Sales_Data3[[#This Row],[Profit]]/Sales_Data3[[#This Row],[Sales]]</f>
        <v>0.75</v>
      </c>
      <c r="N1476" t="str">
        <f t="shared" si="47"/>
        <v>High</v>
      </c>
      <c r="O1476" s="2">
        <v>45316</v>
      </c>
      <c r="P1476" s="9">
        <v>10800</v>
      </c>
    </row>
    <row r="1477" spans="1:16" x14ac:dyDescent="0.25">
      <c r="A1477" t="s">
        <v>1498</v>
      </c>
      <c r="B1477" s="2">
        <v>45317</v>
      </c>
      <c r="C1477">
        <v>2024</v>
      </c>
      <c r="D1477" t="str">
        <f t="shared" si="46"/>
        <v>Jan</v>
      </c>
      <c r="E1477" t="s">
        <v>12</v>
      </c>
      <c r="F1477" t="s">
        <v>2025</v>
      </c>
      <c r="G1477" t="s">
        <v>22</v>
      </c>
      <c r="H1477" t="s">
        <v>23</v>
      </c>
      <c r="I1477">
        <v>5</v>
      </c>
      <c r="J1477" s="9">
        <v>6800</v>
      </c>
      <c r="K1477" s="7">
        <v>0.05</v>
      </c>
      <c r="L1477" s="9">
        <v>6460</v>
      </c>
      <c r="M1477" s="10">
        <f>Sales_Data3[[#This Row],[Profit]]/Sales_Data3[[#This Row],[Sales]]</f>
        <v>0.95</v>
      </c>
      <c r="N1477" t="str">
        <f t="shared" si="47"/>
        <v>Medium</v>
      </c>
      <c r="O1477" s="2">
        <v>45317</v>
      </c>
      <c r="P1477" s="9">
        <v>6800</v>
      </c>
    </row>
    <row r="1478" spans="1:16" x14ac:dyDescent="0.25">
      <c r="A1478" t="s">
        <v>1499</v>
      </c>
      <c r="B1478" s="2">
        <v>45318</v>
      </c>
      <c r="C1478">
        <v>2024</v>
      </c>
      <c r="D1478" t="str">
        <f t="shared" si="46"/>
        <v>Jan</v>
      </c>
      <c r="E1478" t="s">
        <v>12</v>
      </c>
      <c r="F1478" t="s">
        <v>2026</v>
      </c>
      <c r="G1478" t="s">
        <v>19</v>
      </c>
      <c r="H1478" t="s">
        <v>23</v>
      </c>
      <c r="I1478">
        <v>5</v>
      </c>
      <c r="J1478" s="9">
        <v>14500</v>
      </c>
      <c r="K1478" s="7">
        <v>0.1</v>
      </c>
      <c r="L1478" s="9">
        <v>13050</v>
      </c>
      <c r="M1478" s="10">
        <f>Sales_Data3[[#This Row],[Profit]]/Sales_Data3[[#This Row],[Sales]]</f>
        <v>0.9</v>
      </c>
      <c r="N1478" t="str">
        <f t="shared" si="47"/>
        <v>High</v>
      </c>
      <c r="O1478" s="2">
        <v>45318</v>
      </c>
      <c r="P1478" s="9">
        <v>14500</v>
      </c>
    </row>
    <row r="1479" spans="1:16" x14ac:dyDescent="0.25">
      <c r="A1479" t="s">
        <v>1500</v>
      </c>
      <c r="B1479" s="2">
        <v>45319</v>
      </c>
      <c r="C1479">
        <v>2024</v>
      </c>
      <c r="D1479" t="str">
        <f t="shared" si="46"/>
        <v>Jan</v>
      </c>
      <c r="E1479" t="s">
        <v>12</v>
      </c>
      <c r="F1479" t="s">
        <v>2027</v>
      </c>
      <c r="G1479" t="s">
        <v>20</v>
      </c>
      <c r="H1479" t="s">
        <v>23</v>
      </c>
      <c r="I1479">
        <v>3</v>
      </c>
      <c r="J1479" s="9">
        <v>11300</v>
      </c>
      <c r="K1479" s="7">
        <v>0.15000000000000002</v>
      </c>
      <c r="L1479" s="9">
        <v>9605</v>
      </c>
      <c r="M1479" s="10">
        <f>Sales_Data3[[#This Row],[Profit]]/Sales_Data3[[#This Row],[Sales]]</f>
        <v>0.85</v>
      </c>
      <c r="N1479" t="str">
        <f t="shared" si="47"/>
        <v>High</v>
      </c>
      <c r="O1479" s="2">
        <v>45319</v>
      </c>
      <c r="P1479" s="9">
        <v>11300</v>
      </c>
    </row>
    <row r="1480" spans="1:16" x14ac:dyDescent="0.25">
      <c r="A1480" t="s">
        <v>1501</v>
      </c>
      <c r="B1480" s="2">
        <v>45320</v>
      </c>
      <c r="C1480">
        <v>2024</v>
      </c>
      <c r="D1480" t="str">
        <f t="shared" si="46"/>
        <v>Jan</v>
      </c>
      <c r="E1480" t="s">
        <v>12</v>
      </c>
      <c r="F1480" t="s">
        <v>2028</v>
      </c>
      <c r="G1480" t="s">
        <v>21</v>
      </c>
      <c r="H1480" t="s">
        <v>23</v>
      </c>
      <c r="I1480">
        <v>10</v>
      </c>
      <c r="J1480" s="9">
        <v>12600</v>
      </c>
      <c r="K1480" s="7">
        <v>0.2</v>
      </c>
      <c r="L1480" s="9">
        <v>10080</v>
      </c>
      <c r="M1480" s="10">
        <f>Sales_Data3[[#This Row],[Profit]]/Sales_Data3[[#This Row],[Sales]]</f>
        <v>0.8</v>
      </c>
      <c r="N1480" t="str">
        <f t="shared" si="47"/>
        <v>High</v>
      </c>
      <c r="O1480" s="2">
        <v>45320</v>
      </c>
      <c r="P1480" s="9">
        <v>12600</v>
      </c>
    </row>
    <row r="1481" spans="1:16" x14ac:dyDescent="0.25">
      <c r="A1481" t="s">
        <v>1502</v>
      </c>
      <c r="B1481" s="2">
        <v>45321</v>
      </c>
      <c r="C1481">
        <v>2024</v>
      </c>
      <c r="D1481" t="str">
        <f t="shared" si="46"/>
        <v>Jan</v>
      </c>
      <c r="E1481" t="s">
        <v>12</v>
      </c>
      <c r="F1481" t="s">
        <v>2029</v>
      </c>
      <c r="G1481" t="s">
        <v>22</v>
      </c>
      <c r="H1481" t="s">
        <v>23</v>
      </c>
      <c r="I1481">
        <v>7</v>
      </c>
      <c r="J1481" s="9">
        <v>11800</v>
      </c>
      <c r="K1481" s="7">
        <v>0.25</v>
      </c>
      <c r="L1481" s="9">
        <v>8850</v>
      </c>
      <c r="M1481" s="10">
        <f>Sales_Data3[[#This Row],[Profit]]/Sales_Data3[[#This Row],[Sales]]</f>
        <v>0.75</v>
      </c>
      <c r="N1481" t="str">
        <f t="shared" si="47"/>
        <v>High</v>
      </c>
      <c r="O1481" s="2">
        <v>45321</v>
      </c>
      <c r="P1481" s="9">
        <v>11800</v>
      </c>
    </row>
    <row r="1482" spans="1:16" x14ac:dyDescent="0.25">
      <c r="A1482" t="s">
        <v>1503</v>
      </c>
      <c r="B1482" s="2">
        <v>45322</v>
      </c>
      <c r="C1482">
        <v>2024</v>
      </c>
      <c r="D1482" t="str">
        <f t="shared" si="46"/>
        <v>Jan</v>
      </c>
      <c r="E1482" t="s">
        <v>13</v>
      </c>
      <c r="F1482" t="s">
        <v>16</v>
      </c>
      <c r="G1482" t="s">
        <v>19</v>
      </c>
      <c r="H1482" t="s">
        <v>24</v>
      </c>
      <c r="I1482">
        <v>8</v>
      </c>
      <c r="J1482" s="9">
        <v>13000</v>
      </c>
      <c r="K1482" s="7">
        <v>0.05</v>
      </c>
      <c r="L1482" s="9">
        <v>12350</v>
      </c>
      <c r="M1482" s="10">
        <f>Sales_Data3[[#This Row],[Profit]]/Sales_Data3[[#This Row],[Sales]]</f>
        <v>0.95</v>
      </c>
      <c r="N1482" t="str">
        <f t="shared" si="47"/>
        <v>High</v>
      </c>
      <c r="O1482" s="2">
        <v>45322</v>
      </c>
      <c r="P1482" s="9">
        <v>13000</v>
      </c>
    </row>
    <row r="1483" spans="1:16" x14ac:dyDescent="0.25">
      <c r="A1483" t="s">
        <v>1504</v>
      </c>
      <c r="B1483" s="2">
        <v>45323</v>
      </c>
      <c r="C1483">
        <v>2024</v>
      </c>
      <c r="D1483" t="str">
        <f t="shared" si="46"/>
        <v>Feb</v>
      </c>
      <c r="E1483" t="s">
        <v>13</v>
      </c>
      <c r="F1483" t="s">
        <v>2030</v>
      </c>
      <c r="G1483" t="s">
        <v>20</v>
      </c>
      <c r="H1483" t="s">
        <v>24</v>
      </c>
      <c r="I1483">
        <v>1</v>
      </c>
      <c r="J1483" s="9">
        <v>8600</v>
      </c>
      <c r="K1483" s="7">
        <v>0.1</v>
      </c>
      <c r="L1483" s="9">
        <v>7740</v>
      </c>
      <c r="M1483" s="10">
        <f>Sales_Data3[[#This Row],[Profit]]/Sales_Data3[[#This Row],[Sales]]</f>
        <v>0.9</v>
      </c>
      <c r="N1483" t="str">
        <f t="shared" si="47"/>
        <v>Medium</v>
      </c>
      <c r="O1483" s="2">
        <v>45323</v>
      </c>
      <c r="P1483" s="9">
        <v>8600</v>
      </c>
    </row>
    <row r="1484" spans="1:16" x14ac:dyDescent="0.25">
      <c r="A1484" t="s">
        <v>1505</v>
      </c>
      <c r="B1484" s="2">
        <v>45324</v>
      </c>
      <c r="C1484">
        <v>2024</v>
      </c>
      <c r="D1484" t="str">
        <f t="shared" si="46"/>
        <v>Feb</v>
      </c>
      <c r="E1484" t="s">
        <v>13</v>
      </c>
      <c r="F1484" t="s">
        <v>2031</v>
      </c>
      <c r="G1484" t="s">
        <v>21</v>
      </c>
      <c r="H1484" t="s">
        <v>24</v>
      </c>
      <c r="I1484">
        <v>3</v>
      </c>
      <c r="J1484" s="9">
        <v>12800</v>
      </c>
      <c r="K1484" s="7">
        <v>0.15000000000000002</v>
      </c>
      <c r="L1484" s="9">
        <v>10880</v>
      </c>
      <c r="M1484" s="10">
        <f>Sales_Data3[[#This Row],[Profit]]/Sales_Data3[[#This Row],[Sales]]</f>
        <v>0.85</v>
      </c>
      <c r="N1484" t="str">
        <f t="shared" si="47"/>
        <v>High</v>
      </c>
      <c r="O1484" s="2">
        <v>45324</v>
      </c>
      <c r="P1484" s="9">
        <v>12800</v>
      </c>
    </row>
    <row r="1485" spans="1:16" x14ac:dyDescent="0.25">
      <c r="A1485" t="s">
        <v>1506</v>
      </c>
      <c r="B1485" s="2">
        <v>45325</v>
      </c>
      <c r="C1485">
        <v>2024</v>
      </c>
      <c r="D1485" t="str">
        <f t="shared" si="46"/>
        <v>Feb</v>
      </c>
      <c r="E1485" t="s">
        <v>13</v>
      </c>
      <c r="F1485" t="s">
        <v>2032</v>
      </c>
      <c r="G1485" t="s">
        <v>22</v>
      </c>
      <c r="H1485" t="s">
        <v>24</v>
      </c>
      <c r="I1485">
        <v>1</v>
      </c>
      <c r="J1485" s="9">
        <v>11600</v>
      </c>
      <c r="K1485" s="7">
        <v>0.2</v>
      </c>
      <c r="L1485" s="9">
        <v>9280</v>
      </c>
      <c r="M1485" s="10">
        <f>Sales_Data3[[#This Row],[Profit]]/Sales_Data3[[#This Row],[Sales]]</f>
        <v>0.8</v>
      </c>
      <c r="N1485" t="str">
        <f t="shared" si="47"/>
        <v>High</v>
      </c>
      <c r="O1485" s="2">
        <v>45325</v>
      </c>
      <c r="P1485" s="9">
        <v>11600</v>
      </c>
    </row>
    <row r="1486" spans="1:16" x14ac:dyDescent="0.25">
      <c r="A1486" t="s">
        <v>1507</v>
      </c>
      <c r="B1486" s="2">
        <v>45326</v>
      </c>
      <c r="C1486">
        <v>2024</v>
      </c>
      <c r="D1486" t="str">
        <f t="shared" si="46"/>
        <v>Feb</v>
      </c>
      <c r="E1486" t="s">
        <v>13</v>
      </c>
      <c r="F1486" t="s">
        <v>2033</v>
      </c>
      <c r="G1486" t="s">
        <v>19</v>
      </c>
      <c r="H1486" t="s">
        <v>24</v>
      </c>
      <c r="I1486">
        <v>1</v>
      </c>
      <c r="J1486" s="9">
        <v>5200</v>
      </c>
      <c r="K1486" s="7">
        <v>0.25</v>
      </c>
      <c r="L1486" s="9">
        <v>3900</v>
      </c>
      <c r="M1486" s="10">
        <f>Sales_Data3[[#This Row],[Profit]]/Sales_Data3[[#This Row],[Sales]]</f>
        <v>0.75</v>
      </c>
      <c r="N1486" t="str">
        <f t="shared" si="47"/>
        <v>Medium</v>
      </c>
      <c r="O1486" s="2">
        <v>45326</v>
      </c>
      <c r="P1486" s="9">
        <v>5200</v>
      </c>
    </row>
    <row r="1487" spans="1:16" x14ac:dyDescent="0.25">
      <c r="A1487" t="s">
        <v>1508</v>
      </c>
      <c r="B1487" s="2">
        <v>45327</v>
      </c>
      <c r="C1487">
        <v>2024</v>
      </c>
      <c r="D1487" t="str">
        <f t="shared" si="46"/>
        <v>Feb</v>
      </c>
      <c r="E1487" t="s">
        <v>13</v>
      </c>
      <c r="F1487" t="s">
        <v>2034</v>
      </c>
      <c r="G1487" t="s">
        <v>20</v>
      </c>
      <c r="H1487" t="s">
        <v>24</v>
      </c>
      <c r="I1487">
        <v>9</v>
      </c>
      <c r="J1487" s="9">
        <v>6600</v>
      </c>
      <c r="K1487" s="7">
        <v>0.05</v>
      </c>
      <c r="L1487" s="9">
        <v>6270</v>
      </c>
      <c r="M1487" s="10">
        <f>Sales_Data3[[#This Row],[Profit]]/Sales_Data3[[#This Row],[Sales]]</f>
        <v>0.95</v>
      </c>
      <c r="N1487" t="str">
        <f t="shared" si="47"/>
        <v>Medium</v>
      </c>
      <c r="O1487" s="2">
        <v>45327</v>
      </c>
      <c r="P1487" s="9">
        <v>6600</v>
      </c>
    </row>
    <row r="1488" spans="1:16" x14ac:dyDescent="0.25">
      <c r="A1488" t="s">
        <v>1509</v>
      </c>
      <c r="B1488" s="2">
        <v>45328</v>
      </c>
      <c r="C1488">
        <v>2024</v>
      </c>
      <c r="D1488" t="str">
        <f t="shared" si="46"/>
        <v>Feb</v>
      </c>
      <c r="E1488" t="s">
        <v>13</v>
      </c>
      <c r="F1488" t="s">
        <v>2035</v>
      </c>
      <c r="G1488" t="s">
        <v>21</v>
      </c>
      <c r="H1488" t="s">
        <v>24</v>
      </c>
      <c r="I1488">
        <v>1</v>
      </c>
      <c r="J1488" s="9">
        <v>8600</v>
      </c>
      <c r="K1488" s="7">
        <v>0.1</v>
      </c>
      <c r="L1488" s="9">
        <v>7740</v>
      </c>
      <c r="M1488" s="10">
        <f>Sales_Data3[[#This Row],[Profit]]/Sales_Data3[[#This Row],[Sales]]</f>
        <v>0.9</v>
      </c>
      <c r="N1488" t="str">
        <f t="shared" si="47"/>
        <v>Medium</v>
      </c>
      <c r="O1488" s="2">
        <v>45328</v>
      </c>
      <c r="P1488" s="9">
        <v>8600</v>
      </c>
    </row>
    <row r="1489" spans="1:16" x14ac:dyDescent="0.25">
      <c r="A1489" t="s">
        <v>1510</v>
      </c>
      <c r="B1489" s="2">
        <v>45329</v>
      </c>
      <c r="C1489">
        <v>2024</v>
      </c>
      <c r="D1489" t="str">
        <f t="shared" si="46"/>
        <v>Feb</v>
      </c>
      <c r="E1489" t="s">
        <v>13</v>
      </c>
      <c r="F1489" t="s">
        <v>2036</v>
      </c>
      <c r="G1489" t="s">
        <v>22</v>
      </c>
      <c r="H1489" t="s">
        <v>24</v>
      </c>
      <c r="I1489">
        <v>1</v>
      </c>
      <c r="J1489" s="9">
        <v>8400</v>
      </c>
      <c r="K1489" s="7">
        <v>0.15000000000000002</v>
      </c>
      <c r="L1489" s="9">
        <v>7140</v>
      </c>
      <c r="M1489" s="10">
        <f>Sales_Data3[[#This Row],[Profit]]/Sales_Data3[[#This Row],[Sales]]</f>
        <v>0.85</v>
      </c>
      <c r="N1489" t="str">
        <f t="shared" si="47"/>
        <v>Medium</v>
      </c>
      <c r="O1489" s="2">
        <v>45329</v>
      </c>
      <c r="P1489" s="9">
        <v>8400</v>
      </c>
    </row>
    <row r="1490" spans="1:16" x14ac:dyDescent="0.25">
      <c r="A1490" t="s">
        <v>1511</v>
      </c>
      <c r="B1490" s="2">
        <v>45330</v>
      </c>
      <c r="C1490">
        <v>2024</v>
      </c>
      <c r="D1490" t="str">
        <f t="shared" si="46"/>
        <v>Feb</v>
      </c>
      <c r="E1490" t="s">
        <v>13</v>
      </c>
      <c r="F1490" t="s">
        <v>2037</v>
      </c>
      <c r="G1490" t="s">
        <v>19</v>
      </c>
      <c r="H1490" t="s">
        <v>24</v>
      </c>
      <c r="I1490">
        <v>2</v>
      </c>
      <c r="J1490" s="9">
        <v>10400</v>
      </c>
      <c r="K1490" s="7">
        <v>0.2</v>
      </c>
      <c r="L1490" s="9">
        <v>8320</v>
      </c>
      <c r="M1490" s="10">
        <f>Sales_Data3[[#This Row],[Profit]]/Sales_Data3[[#This Row],[Sales]]</f>
        <v>0.8</v>
      </c>
      <c r="N1490" t="str">
        <f t="shared" si="47"/>
        <v>High</v>
      </c>
      <c r="O1490" s="2">
        <v>45330</v>
      </c>
      <c r="P1490" s="9">
        <v>10400</v>
      </c>
    </row>
    <row r="1491" spans="1:16" x14ac:dyDescent="0.25">
      <c r="A1491" t="s">
        <v>1512</v>
      </c>
      <c r="B1491" s="2">
        <v>45331</v>
      </c>
      <c r="C1491">
        <v>2024</v>
      </c>
      <c r="D1491" t="str">
        <f t="shared" si="46"/>
        <v>Feb</v>
      </c>
      <c r="E1491" t="s">
        <v>13</v>
      </c>
      <c r="F1491" t="s">
        <v>2038</v>
      </c>
      <c r="G1491" t="s">
        <v>20</v>
      </c>
      <c r="H1491" t="s">
        <v>24</v>
      </c>
      <c r="I1491">
        <v>7</v>
      </c>
      <c r="J1491" s="9">
        <v>12200</v>
      </c>
      <c r="K1491" s="7">
        <v>0.25</v>
      </c>
      <c r="L1491" s="9">
        <v>9150</v>
      </c>
      <c r="M1491" s="10">
        <f>Sales_Data3[[#This Row],[Profit]]/Sales_Data3[[#This Row],[Sales]]</f>
        <v>0.75</v>
      </c>
      <c r="N1491" t="str">
        <f t="shared" si="47"/>
        <v>High</v>
      </c>
      <c r="O1491" s="2">
        <v>45331</v>
      </c>
      <c r="P1491" s="9">
        <v>12200</v>
      </c>
    </row>
    <row r="1492" spans="1:16" x14ac:dyDescent="0.25">
      <c r="A1492" t="s">
        <v>1513</v>
      </c>
      <c r="B1492" s="2">
        <v>45332</v>
      </c>
      <c r="C1492">
        <v>2024</v>
      </c>
      <c r="D1492" t="str">
        <f t="shared" si="46"/>
        <v>Feb</v>
      </c>
      <c r="E1492" t="s">
        <v>14</v>
      </c>
      <c r="F1492" t="s">
        <v>2039</v>
      </c>
      <c r="G1492" t="s">
        <v>21</v>
      </c>
      <c r="H1492" t="s">
        <v>25</v>
      </c>
      <c r="I1492">
        <v>2</v>
      </c>
      <c r="J1492" s="9">
        <v>7200</v>
      </c>
      <c r="K1492" s="7">
        <v>0.05</v>
      </c>
      <c r="L1492" s="9">
        <v>6840</v>
      </c>
      <c r="M1492" s="10">
        <f>Sales_Data3[[#This Row],[Profit]]/Sales_Data3[[#This Row],[Sales]]</f>
        <v>0.95</v>
      </c>
      <c r="N1492" t="str">
        <f t="shared" si="47"/>
        <v>Medium</v>
      </c>
      <c r="O1492" s="2">
        <v>45332</v>
      </c>
      <c r="P1492" s="9">
        <v>7200</v>
      </c>
    </row>
    <row r="1493" spans="1:16" x14ac:dyDescent="0.25">
      <c r="A1493" t="s">
        <v>1514</v>
      </c>
      <c r="B1493" s="2">
        <v>45333</v>
      </c>
      <c r="C1493">
        <v>2024</v>
      </c>
      <c r="D1493" t="str">
        <f t="shared" si="46"/>
        <v>Feb</v>
      </c>
      <c r="E1493" t="s">
        <v>14</v>
      </c>
      <c r="F1493" t="s">
        <v>2040</v>
      </c>
      <c r="G1493" t="s">
        <v>22</v>
      </c>
      <c r="H1493" t="s">
        <v>25</v>
      </c>
      <c r="I1493">
        <v>1</v>
      </c>
      <c r="J1493" s="9">
        <v>14400</v>
      </c>
      <c r="K1493" s="7">
        <v>0.1</v>
      </c>
      <c r="L1493" s="9">
        <v>12960</v>
      </c>
      <c r="M1493" s="10">
        <f>Sales_Data3[[#This Row],[Profit]]/Sales_Data3[[#This Row],[Sales]]</f>
        <v>0.9</v>
      </c>
      <c r="N1493" t="str">
        <f t="shared" si="47"/>
        <v>High</v>
      </c>
      <c r="O1493" s="2">
        <v>45333</v>
      </c>
      <c r="P1493" s="9">
        <v>14400</v>
      </c>
    </row>
    <row r="1494" spans="1:16" x14ac:dyDescent="0.25">
      <c r="A1494" t="s">
        <v>1515</v>
      </c>
      <c r="B1494" s="2">
        <v>45334</v>
      </c>
      <c r="C1494">
        <v>2024</v>
      </c>
      <c r="D1494" t="str">
        <f t="shared" si="46"/>
        <v>Feb</v>
      </c>
      <c r="E1494" t="s">
        <v>14</v>
      </c>
      <c r="F1494" t="s">
        <v>2041</v>
      </c>
      <c r="G1494" t="s">
        <v>19</v>
      </c>
      <c r="H1494" t="s">
        <v>25</v>
      </c>
      <c r="I1494">
        <v>3</v>
      </c>
      <c r="J1494" s="9">
        <v>14300</v>
      </c>
      <c r="K1494" s="7">
        <v>0.15000000000000002</v>
      </c>
      <c r="L1494" s="9">
        <v>12155</v>
      </c>
      <c r="M1494" s="10">
        <f>Sales_Data3[[#This Row],[Profit]]/Sales_Data3[[#This Row],[Sales]]</f>
        <v>0.85</v>
      </c>
      <c r="N1494" t="str">
        <f t="shared" si="47"/>
        <v>High</v>
      </c>
      <c r="O1494" s="2">
        <v>45334</v>
      </c>
      <c r="P1494" s="9">
        <v>14300</v>
      </c>
    </row>
    <row r="1495" spans="1:16" x14ac:dyDescent="0.25">
      <c r="A1495" t="s">
        <v>1516</v>
      </c>
      <c r="B1495" s="2">
        <v>45335</v>
      </c>
      <c r="C1495">
        <v>2024</v>
      </c>
      <c r="D1495" t="str">
        <f t="shared" si="46"/>
        <v>Feb</v>
      </c>
      <c r="E1495" t="s">
        <v>14</v>
      </c>
      <c r="F1495" t="s">
        <v>2042</v>
      </c>
      <c r="G1495" t="s">
        <v>20</v>
      </c>
      <c r="H1495" t="s">
        <v>25</v>
      </c>
      <c r="I1495">
        <v>9</v>
      </c>
      <c r="J1495" s="9">
        <v>7300</v>
      </c>
      <c r="K1495" s="7">
        <v>0.2</v>
      </c>
      <c r="L1495" s="9">
        <v>5840</v>
      </c>
      <c r="M1495" s="10">
        <f>Sales_Data3[[#This Row],[Profit]]/Sales_Data3[[#This Row],[Sales]]</f>
        <v>0.8</v>
      </c>
      <c r="N1495" t="str">
        <f t="shared" si="47"/>
        <v>Medium</v>
      </c>
      <c r="O1495" s="2">
        <v>45335</v>
      </c>
      <c r="P1495" s="9">
        <v>7300</v>
      </c>
    </row>
    <row r="1496" spans="1:16" x14ac:dyDescent="0.25">
      <c r="A1496" t="s">
        <v>1517</v>
      </c>
      <c r="B1496" s="2">
        <v>45336</v>
      </c>
      <c r="C1496">
        <v>2024</v>
      </c>
      <c r="D1496" t="str">
        <f t="shared" si="46"/>
        <v>Feb</v>
      </c>
      <c r="E1496" t="s">
        <v>14</v>
      </c>
      <c r="F1496" t="s">
        <v>2043</v>
      </c>
      <c r="G1496" t="s">
        <v>21</v>
      </c>
      <c r="H1496" t="s">
        <v>25</v>
      </c>
      <c r="I1496">
        <v>4</v>
      </c>
      <c r="J1496" s="9">
        <v>13500</v>
      </c>
      <c r="K1496" s="7">
        <v>0.25</v>
      </c>
      <c r="L1496" s="9">
        <v>10125</v>
      </c>
      <c r="M1496" s="10">
        <f>Sales_Data3[[#This Row],[Profit]]/Sales_Data3[[#This Row],[Sales]]</f>
        <v>0.75</v>
      </c>
      <c r="N1496" t="str">
        <f t="shared" si="47"/>
        <v>High</v>
      </c>
      <c r="O1496" s="2">
        <v>45336</v>
      </c>
      <c r="P1496" s="9">
        <v>13500</v>
      </c>
    </row>
    <row r="1497" spans="1:16" x14ac:dyDescent="0.25">
      <c r="A1497" t="s">
        <v>1518</v>
      </c>
      <c r="B1497" s="2">
        <v>45337</v>
      </c>
      <c r="C1497">
        <v>2024</v>
      </c>
      <c r="D1497" t="str">
        <f t="shared" si="46"/>
        <v>Feb</v>
      </c>
      <c r="E1497" t="s">
        <v>14</v>
      </c>
      <c r="F1497" t="s">
        <v>2044</v>
      </c>
      <c r="G1497" t="s">
        <v>22</v>
      </c>
      <c r="H1497" t="s">
        <v>25</v>
      </c>
      <c r="I1497">
        <v>2</v>
      </c>
      <c r="J1497" s="9">
        <v>9400</v>
      </c>
      <c r="K1497" s="7">
        <v>0.05</v>
      </c>
      <c r="L1497" s="9">
        <v>8930</v>
      </c>
      <c r="M1497" s="10">
        <f>Sales_Data3[[#This Row],[Profit]]/Sales_Data3[[#This Row],[Sales]]</f>
        <v>0.95</v>
      </c>
      <c r="N1497" t="str">
        <f t="shared" si="47"/>
        <v>Medium</v>
      </c>
      <c r="O1497" s="2">
        <v>45337</v>
      </c>
      <c r="P1497" s="9">
        <v>9400</v>
      </c>
    </row>
    <row r="1498" spans="1:16" x14ac:dyDescent="0.25">
      <c r="A1498" t="s">
        <v>1519</v>
      </c>
      <c r="B1498" s="2">
        <v>45338</v>
      </c>
      <c r="C1498">
        <v>2024</v>
      </c>
      <c r="D1498" t="str">
        <f t="shared" si="46"/>
        <v>Feb</v>
      </c>
      <c r="E1498" t="s">
        <v>14</v>
      </c>
      <c r="F1498" t="s">
        <v>2045</v>
      </c>
      <c r="G1498" t="s">
        <v>19</v>
      </c>
      <c r="H1498" t="s">
        <v>25</v>
      </c>
      <c r="I1498">
        <v>8</v>
      </c>
      <c r="J1498" s="9">
        <v>10800</v>
      </c>
      <c r="K1498" s="7">
        <v>0.1</v>
      </c>
      <c r="L1498" s="9">
        <v>9720</v>
      </c>
      <c r="M1498" s="10">
        <f>Sales_Data3[[#This Row],[Profit]]/Sales_Data3[[#This Row],[Sales]]</f>
        <v>0.9</v>
      </c>
      <c r="N1498" t="str">
        <f t="shared" si="47"/>
        <v>High</v>
      </c>
      <c r="O1498" s="2">
        <v>45338</v>
      </c>
      <c r="P1498" s="9">
        <v>10800</v>
      </c>
    </row>
    <row r="1499" spans="1:16" x14ac:dyDescent="0.25">
      <c r="A1499" t="s">
        <v>1520</v>
      </c>
      <c r="B1499" s="2">
        <v>45339</v>
      </c>
      <c r="C1499">
        <v>2024</v>
      </c>
      <c r="D1499" t="str">
        <f t="shared" si="46"/>
        <v>Feb</v>
      </c>
      <c r="E1499" t="s">
        <v>14</v>
      </c>
      <c r="F1499" t="s">
        <v>2046</v>
      </c>
      <c r="G1499" t="s">
        <v>20</v>
      </c>
      <c r="H1499" t="s">
        <v>25</v>
      </c>
      <c r="I1499">
        <v>1</v>
      </c>
      <c r="J1499" s="9">
        <v>7200</v>
      </c>
      <c r="K1499" s="7">
        <v>0.15000000000000002</v>
      </c>
      <c r="L1499" s="9">
        <v>6120</v>
      </c>
      <c r="M1499" s="10">
        <f>Sales_Data3[[#This Row],[Profit]]/Sales_Data3[[#This Row],[Sales]]</f>
        <v>0.85</v>
      </c>
      <c r="N1499" t="str">
        <f t="shared" si="47"/>
        <v>Medium</v>
      </c>
      <c r="O1499" s="2">
        <v>45339</v>
      </c>
      <c r="P1499" s="9">
        <v>7200</v>
      </c>
    </row>
    <row r="1500" spans="1:16" x14ac:dyDescent="0.25">
      <c r="A1500" t="s">
        <v>1521</v>
      </c>
      <c r="B1500" s="2">
        <v>45340</v>
      </c>
      <c r="C1500">
        <v>2024</v>
      </c>
      <c r="D1500" t="str">
        <f t="shared" si="46"/>
        <v>Feb</v>
      </c>
      <c r="E1500" t="s">
        <v>14</v>
      </c>
      <c r="F1500" t="s">
        <v>2047</v>
      </c>
      <c r="G1500" t="s">
        <v>21</v>
      </c>
      <c r="H1500" t="s">
        <v>25</v>
      </c>
      <c r="I1500">
        <v>6</v>
      </c>
      <c r="J1500" s="9">
        <v>11100</v>
      </c>
      <c r="K1500" s="7">
        <v>0.2</v>
      </c>
      <c r="L1500" s="9">
        <v>8880</v>
      </c>
      <c r="M1500" s="10">
        <f>Sales_Data3[[#This Row],[Profit]]/Sales_Data3[[#This Row],[Sales]]</f>
        <v>0.8</v>
      </c>
      <c r="N1500" t="str">
        <f t="shared" si="47"/>
        <v>High</v>
      </c>
      <c r="O1500" s="2">
        <v>45340</v>
      </c>
      <c r="P1500" s="9">
        <v>11100</v>
      </c>
    </row>
    <row r="1501" spans="1:16" x14ac:dyDescent="0.25">
      <c r="A1501" t="s">
        <v>1522</v>
      </c>
      <c r="B1501" s="2">
        <v>45341</v>
      </c>
      <c r="C1501">
        <v>2024</v>
      </c>
      <c r="D1501" t="str">
        <f t="shared" si="46"/>
        <v>Feb</v>
      </c>
      <c r="E1501" t="s">
        <v>14</v>
      </c>
      <c r="F1501" t="s">
        <v>2048</v>
      </c>
      <c r="G1501" t="s">
        <v>22</v>
      </c>
      <c r="H1501" t="s">
        <v>25</v>
      </c>
      <c r="I1501">
        <v>9</v>
      </c>
      <c r="J1501" s="9">
        <v>7900</v>
      </c>
      <c r="K1501" s="7">
        <v>0.25</v>
      </c>
      <c r="L1501" s="9">
        <v>5925</v>
      </c>
      <c r="M1501" s="10">
        <f>Sales_Data3[[#This Row],[Profit]]/Sales_Data3[[#This Row],[Sales]]</f>
        <v>0.75</v>
      </c>
      <c r="N1501" t="str">
        <f t="shared" si="47"/>
        <v>Medium</v>
      </c>
      <c r="O1501" s="2">
        <v>45341</v>
      </c>
      <c r="P1501" s="9">
        <v>7900</v>
      </c>
    </row>
    <row r="1502" spans="1:16" x14ac:dyDescent="0.25">
      <c r="A1502" t="s">
        <v>1523</v>
      </c>
      <c r="B1502" s="2">
        <v>45342</v>
      </c>
      <c r="C1502">
        <v>2024</v>
      </c>
      <c r="D1502" t="str">
        <f t="shared" si="46"/>
        <v>Feb</v>
      </c>
      <c r="E1502" t="s">
        <v>12</v>
      </c>
      <c r="F1502" t="s">
        <v>15</v>
      </c>
      <c r="G1502" t="s">
        <v>19</v>
      </c>
      <c r="H1502" t="s">
        <v>23</v>
      </c>
      <c r="I1502">
        <v>4</v>
      </c>
      <c r="J1502" s="9">
        <v>6600</v>
      </c>
      <c r="K1502" s="7">
        <v>0.05</v>
      </c>
      <c r="L1502" s="9">
        <v>6270</v>
      </c>
      <c r="M1502" s="10">
        <f>Sales_Data3[[#This Row],[Profit]]/Sales_Data3[[#This Row],[Sales]]</f>
        <v>0.95</v>
      </c>
      <c r="N1502" t="str">
        <f t="shared" si="47"/>
        <v>Medium</v>
      </c>
      <c r="O1502" s="2">
        <v>45342</v>
      </c>
      <c r="P1502" s="9">
        <v>6600</v>
      </c>
    </row>
    <row r="1503" spans="1:16" x14ac:dyDescent="0.25">
      <c r="A1503" t="s">
        <v>1524</v>
      </c>
      <c r="B1503" s="2">
        <v>45343</v>
      </c>
      <c r="C1503">
        <v>2024</v>
      </c>
      <c r="D1503" t="str">
        <f t="shared" si="46"/>
        <v>Feb</v>
      </c>
      <c r="E1503" t="s">
        <v>12</v>
      </c>
      <c r="F1503" t="s">
        <v>17</v>
      </c>
      <c r="G1503" t="s">
        <v>20</v>
      </c>
      <c r="H1503" t="s">
        <v>23</v>
      </c>
      <c r="I1503">
        <v>9</v>
      </c>
      <c r="J1503" s="9">
        <v>13400</v>
      </c>
      <c r="K1503" s="7">
        <v>0.1</v>
      </c>
      <c r="L1503" s="9">
        <v>12060</v>
      </c>
      <c r="M1503" s="10">
        <f>Sales_Data3[[#This Row],[Profit]]/Sales_Data3[[#This Row],[Sales]]</f>
        <v>0.9</v>
      </c>
      <c r="N1503" t="str">
        <f t="shared" si="47"/>
        <v>High</v>
      </c>
      <c r="O1503" s="2">
        <v>45343</v>
      </c>
      <c r="P1503" s="9">
        <v>13400</v>
      </c>
    </row>
    <row r="1504" spans="1:16" x14ac:dyDescent="0.25">
      <c r="A1504" t="s">
        <v>1525</v>
      </c>
      <c r="B1504" s="2">
        <v>45344</v>
      </c>
      <c r="C1504">
        <v>2024</v>
      </c>
      <c r="D1504" t="str">
        <f t="shared" si="46"/>
        <v>Feb</v>
      </c>
      <c r="E1504" t="s">
        <v>12</v>
      </c>
      <c r="F1504" t="s">
        <v>2023</v>
      </c>
      <c r="G1504" t="s">
        <v>21</v>
      </c>
      <c r="H1504" t="s">
        <v>23</v>
      </c>
      <c r="I1504">
        <v>7</v>
      </c>
      <c r="J1504" s="9">
        <v>5800</v>
      </c>
      <c r="K1504" s="7">
        <v>0.15000000000000002</v>
      </c>
      <c r="L1504" s="9">
        <v>4930</v>
      </c>
      <c r="M1504" s="10">
        <f>Sales_Data3[[#This Row],[Profit]]/Sales_Data3[[#This Row],[Sales]]</f>
        <v>0.85</v>
      </c>
      <c r="N1504" t="str">
        <f t="shared" si="47"/>
        <v>Medium</v>
      </c>
      <c r="O1504" s="2">
        <v>45344</v>
      </c>
      <c r="P1504" s="9">
        <v>5800</v>
      </c>
    </row>
    <row r="1505" spans="1:16" x14ac:dyDescent="0.25">
      <c r="A1505" t="s">
        <v>1526</v>
      </c>
      <c r="B1505" s="2">
        <v>45345</v>
      </c>
      <c r="C1505">
        <v>2024</v>
      </c>
      <c r="D1505" t="str">
        <f t="shared" si="46"/>
        <v>Feb</v>
      </c>
      <c r="E1505" t="s">
        <v>12</v>
      </c>
      <c r="F1505" t="s">
        <v>18</v>
      </c>
      <c r="G1505" t="s">
        <v>22</v>
      </c>
      <c r="H1505" t="s">
        <v>23</v>
      </c>
      <c r="I1505">
        <v>5</v>
      </c>
      <c r="J1505" s="9">
        <v>10900</v>
      </c>
      <c r="K1505" s="7">
        <v>0.2</v>
      </c>
      <c r="L1505" s="9">
        <v>8720</v>
      </c>
      <c r="M1505" s="10">
        <f>Sales_Data3[[#This Row],[Profit]]/Sales_Data3[[#This Row],[Sales]]</f>
        <v>0.8</v>
      </c>
      <c r="N1505" t="str">
        <f t="shared" si="47"/>
        <v>High</v>
      </c>
      <c r="O1505" s="2">
        <v>45345</v>
      </c>
      <c r="P1505" s="9">
        <v>10900</v>
      </c>
    </row>
    <row r="1506" spans="1:16" x14ac:dyDescent="0.25">
      <c r="A1506" t="s">
        <v>1527</v>
      </c>
      <c r="B1506" s="2">
        <v>45346</v>
      </c>
      <c r="C1506">
        <v>2024</v>
      </c>
      <c r="D1506" t="str">
        <f t="shared" si="46"/>
        <v>Feb</v>
      </c>
      <c r="E1506" t="s">
        <v>12</v>
      </c>
      <c r="F1506" t="s">
        <v>2024</v>
      </c>
      <c r="G1506" t="s">
        <v>19</v>
      </c>
      <c r="H1506" t="s">
        <v>23</v>
      </c>
      <c r="I1506">
        <v>3</v>
      </c>
      <c r="J1506" s="9">
        <v>5300</v>
      </c>
      <c r="K1506" s="7">
        <v>0.25</v>
      </c>
      <c r="L1506" s="9">
        <v>3975</v>
      </c>
      <c r="M1506" s="10">
        <f>Sales_Data3[[#This Row],[Profit]]/Sales_Data3[[#This Row],[Sales]]</f>
        <v>0.75</v>
      </c>
      <c r="N1506" t="str">
        <f t="shared" si="47"/>
        <v>Medium</v>
      </c>
      <c r="O1506" s="2">
        <v>45346</v>
      </c>
      <c r="P1506" s="9">
        <v>5300</v>
      </c>
    </row>
    <row r="1507" spans="1:16" x14ac:dyDescent="0.25">
      <c r="A1507" t="s">
        <v>1528</v>
      </c>
      <c r="B1507" s="2">
        <v>45347</v>
      </c>
      <c r="C1507">
        <v>2024</v>
      </c>
      <c r="D1507" t="str">
        <f t="shared" si="46"/>
        <v>Feb</v>
      </c>
      <c r="E1507" t="s">
        <v>12</v>
      </c>
      <c r="F1507" t="s">
        <v>2025</v>
      </c>
      <c r="G1507" t="s">
        <v>20</v>
      </c>
      <c r="H1507" t="s">
        <v>23</v>
      </c>
      <c r="I1507">
        <v>9</v>
      </c>
      <c r="J1507" s="9">
        <v>5100</v>
      </c>
      <c r="K1507" s="7">
        <v>0.05</v>
      </c>
      <c r="L1507" s="9">
        <v>4845</v>
      </c>
      <c r="M1507" s="10">
        <f>Sales_Data3[[#This Row],[Profit]]/Sales_Data3[[#This Row],[Sales]]</f>
        <v>0.95</v>
      </c>
      <c r="N1507" t="str">
        <f t="shared" si="47"/>
        <v>Medium</v>
      </c>
      <c r="O1507" s="2">
        <v>45347</v>
      </c>
      <c r="P1507" s="9">
        <v>5100</v>
      </c>
    </row>
    <row r="1508" spans="1:16" x14ac:dyDescent="0.25">
      <c r="A1508" t="s">
        <v>1529</v>
      </c>
      <c r="B1508" s="2">
        <v>45348</v>
      </c>
      <c r="C1508">
        <v>2024</v>
      </c>
      <c r="D1508" t="str">
        <f t="shared" si="46"/>
        <v>Feb</v>
      </c>
      <c r="E1508" t="s">
        <v>12</v>
      </c>
      <c r="F1508" t="s">
        <v>2026</v>
      </c>
      <c r="G1508" t="s">
        <v>21</v>
      </c>
      <c r="H1508" t="s">
        <v>23</v>
      </c>
      <c r="I1508">
        <v>6</v>
      </c>
      <c r="J1508" s="9">
        <v>10200</v>
      </c>
      <c r="K1508" s="7">
        <v>0.1</v>
      </c>
      <c r="L1508" s="9">
        <v>9180</v>
      </c>
      <c r="M1508" s="10">
        <f>Sales_Data3[[#This Row],[Profit]]/Sales_Data3[[#This Row],[Sales]]</f>
        <v>0.9</v>
      </c>
      <c r="N1508" t="str">
        <f t="shared" si="47"/>
        <v>High</v>
      </c>
      <c r="O1508" s="2">
        <v>45348</v>
      </c>
      <c r="P1508" s="9">
        <v>10200</v>
      </c>
    </row>
    <row r="1509" spans="1:16" x14ac:dyDescent="0.25">
      <c r="A1509" t="s">
        <v>1530</v>
      </c>
      <c r="B1509" s="2">
        <v>45349</v>
      </c>
      <c r="C1509">
        <v>2024</v>
      </c>
      <c r="D1509" t="str">
        <f t="shared" si="46"/>
        <v>Feb</v>
      </c>
      <c r="E1509" t="s">
        <v>12</v>
      </c>
      <c r="F1509" t="s">
        <v>2027</v>
      </c>
      <c r="G1509" t="s">
        <v>22</v>
      </c>
      <c r="H1509" t="s">
        <v>23</v>
      </c>
      <c r="I1509">
        <v>7</v>
      </c>
      <c r="J1509" s="9">
        <v>11900</v>
      </c>
      <c r="K1509" s="7">
        <v>0.15000000000000002</v>
      </c>
      <c r="L1509" s="9">
        <v>10115</v>
      </c>
      <c r="M1509" s="10">
        <f>Sales_Data3[[#This Row],[Profit]]/Sales_Data3[[#This Row],[Sales]]</f>
        <v>0.85</v>
      </c>
      <c r="N1509" t="str">
        <f t="shared" si="47"/>
        <v>High</v>
      </c>
      <c r="O1509" s="2">
        <v>45349</v>
      </c>
      <c r="P1509" s="9">
        <v>11900</v>
      </c>
    </row>
    <row r="1510" spans="1:16" x14ac:dyDescent="0.25">
      <c r="A1510" t="s">
        <v>1531</v>
      </c>
      <c r="B1510" s="2">
        <v>45350</v>
      </c>
      <c r="C1510">
        <v>2024</v>
      </c>
      <c r="D1510" t="str">
        <f t="shared" si="46"/>
        <v>Feb</v>
      </c>
      <c r="E1510" t="s">
        <v>12</v>
      </c>
      <c r="F1510" t="s">
        <v>2028</v>
      </c>
      <c r="G1510" t="s">
        <v>19</v>
      </c>
      <c r="H1510" t="s">
        <v>23</v>
      </c>
      <c r="I1510">
        <v>5</v>
      </c>
      <c r="J1510" s="9">
        <v>12300</v>
      </c>
      <c r="K1510" s="7">
        <v>0.2</v>
      </c>
      <c r="L1510" s="9">
        <v>9840</v>
      </c>
      <c r="M1510" s="10">
        <f>Sales_Data3[[#This Row],[Profit]]/Sales_Data3[[#This Row],[Sales]]</f>
        <v>0.8</v>
      </c>
      <c r="N1510" t="str">
        <f t="shared" si="47"/>
        <v>High</v>
      </c>
      <c r="O1510" s="2">
        <v>45350</v>
      </c>
      <c r="P1510" s="9">
        <v>12300</v>
      </c>
    </row>
    <row r="1511" spans="1:16" x14ac:dyDescent="0.25">
      <c r="A1511" t="s">
        <v>1532</v>
      </c>
      <c r="B1511" s="2">
        <v>45351</v>
      </c>
      <c r="C1511">
        <v>2024</v>
      </c>
      <c r="D1511" t="str">
        <f t="shared" si="46"/>
        <v>Feb</v>
      </c>
      <c r="E1511" t="s">
        <v>12</v>
      </c>
      <c r="F1511" t="s">
        <v>2029</v>
      </c>
      <c r="G1511" t="s">
        <v>20</v>
      </c>
      <c r="H1511" t="s">
        <v>23</v>
      </c>
      <c r="I1511">
        <v>8</v>
      </c>
      <c r="J1511" s="9">
        <v>5600</v>
      </c>
      <c r="K1511" s="7">
        <v>0.25</v>
      </c>
      <c r="L1511" s="9">
        <v>4200</v>
      </c>
      <c r="M1511" s="10">
        <f>Sales_Data3[[#This Row],[Profit]]/Sales_Data3[[#This Row],[Sales]]</f>
        <v>0.75</v>
      </c>
      <c r="N1511" t="str">
        <f t="shared" si="47"/>
        <v>Medium</v>
      </c>
      <c r="O1511" s="2">
        <v>45351</v>
      </c>
      <c r="P1511" s="9">
        <v>5600</v>
      </c>
    </row>
    <row r="1512" spans="1:16" x14ac:dyDescent="0.25">
      <c r="A1512" t="s">
        <v>1533</v>
      </c>
      <c r="B1512" s="2">
        <v>45352</v>
      </c>
      <c r="C1512">
        <v>2024</v>
      </c>
      <c r="D1512" t="str">
        <f t="shared" si="46"/>
        <v>Mar</v>
      </c>
      <c r="E1512" t="s">
        <v>13</v>
      </c>
      <c r="F1512" t="s">
        <v>16</v>
      </c>
      <c r="G1512" t="s">
        <v>21</v>
      </c>
      <c r="H1512" t="s">
        <v>24</v>
      </c>
      <c r="I1512">
        <v>3</v>
      </c>
      <c r="J1512" s="9">
        <v>14700</v>
      </c>
      <c r="K1512" s="7">
        <v>0.05</v>
      </c>
      <c r="L1512" s="9">
        <v>13965</v>
      </c>
      <c r="M1512" s="10">
        <f>Sales_Data3[[#This Row],[Profit]]/Sales_Data3[[#This Row],[Sales]]</f>
        <v>0.95</v>
      </c>
      <c r="N1512" t="str">
        <f t="shared" si="47"/>
        <v>High</v>
      </c>
      <c r="O1512" s="2">
        <v>45352</v>
      </c>
      <c r="P1512" s="9">
        <v>14700</v>
      </c>
    </row>
    <row r="1513" spans="1:16" x14ac:dyDescent="0.25">
      <c r="A1513" t="s">
        <v>1534</v>
      </c>
      <c r="B1513" s="2">
        <v>45353</v>
      </c>
      <c r="C1513">
        <v>2024</v>
      </c>
      <c r="D1513" t="str">
        <f t="shared" si="46"/>
        <v>Mar</v>
      </c>
      <c r="E1513" t="s">
        <v>13</v>
      </c>
      <c r="F1513" t="s">
        <v>2030</v>
      </c>
      <c r="G1513" t="s">
        <v>22</v>
      </c>
      <c r="H1513" t="s">
        <v>24</v>
      </c>
      <c r="I1513">
        <v>10</v>
      </c>
      <c r="J1513" s="9">
        <v>4900</v>
      </c>
      <c r="K1513" s="7">
        <v>0.1</v>
      </c>
      <c r="L1513" s="9">
        <v>4410</v>
      </c>
      <c r="M1513" s="10">
        <f>Sales_Data3[[#This Row],[Profit]]/Sales_Data3[[#This Row],[Sales]]</f>
        <v>0.9</v>
      </c>
      <c r="N1513" t="str">
        <f t="shared" si="47"/>
        <v>Low</v>
      </c>
      <c r="O1513" s="2">
        <v>45353</v>
      </c>
      <c r="P1513" s="9">
        <v>4900</v>
      </c>
    </row>
    <row r="1514" spans="1:16" x14ac:dyDescent="0.25">
      <c r="A1514" t="s">
        <v>1535</v>
      </c>
      <c r="B1514" s="2">
        <v>45354</v>
      </c>
      <c r="C1514">
        <v>2024</v>
      </c>
      <c r="D1514" t="str">
        <f t="shared" si="46"/>
        <v>Mar</v>
      </c>
      <c r="E1514" t="s">
        <v>13</v>
      </c>
      <c r="F1514" t="s">
        <v>2031</v>
      </c>
      <c r="G1514" t="s">
        <v>19</v>
      </c>
      <c r="H1514" t="s">
        <v>24</v>
      </c>
      <c r="I1514">
        <v>2</v>
      </c>
      <c r="J1514" s="9">
        <v>8500</v>
      </c>
      <c r="K1514" s="7">
        <v>0.15000000000000002</v>
      </c>
      <c r="L1514" s="9">
        <v>7225</v>
      </c>
      <c r="M1514" s="10">
        <f>Sales_Data3[[#This Row],[Profit]]/Sales_Data3[[#This Row],[Sales]]</f>
        <v>0.85</v>
      </c>
      <c r="N1514" t="str">
        <f t="shared" si="47"/>
        <v>Medium</v>
      </c>
      <c r="O1514" s="2">
        <v>45354</v>
      </c>
      <c r="P1514" s="9">
        <v>8500</v>
      </c>
    </row>
    <row r="1515" spans="1:16" x14ac:dyDescent="0.25">
      <c r="A1515" t="s">
        <v>1536</v>
      </c>
      <c r="B1515" s="2">
        <v>45355</v>
      </c>
      <c r="C1515">
        <v>2024</v>
      </c>
      <c r="D1515" t="str">
        <f t="shared" si="46"/>
        <v>Mar</v>
      </c>
      <c r="E1515" t="s">
        <v>13</v>
      </c>
      <c r="F1515" t="s">
        <v>2032</v>
      </c>
      <c r="G1515" t="s">
        <v>20</v>
      </c>
      <c r="H1515" t="s">
        <v>24</v>
      </c>
      <c r="I1515">
        <v>1</v>
      </c>
      <c r="J1515" s="9">
        <v>9200</v>
      </c>
      <c r="K1515" s="7">
        <v>0.2</v>
      </c>
      <c r="L1515" s="9">
        <v>7360</v>
      </c>
      <c r="M1515" s="10">
        <f>Sales_Data3[[#This Row],[Profit]]/Sales_Data3[[#This Row],[Sales]]</f>
        <v>0.8</v>
      </c>
      <c r="N1515" t="str">
        <f t="shared" si="47"/>
        <v>Medium</v>
      </c>
      <c r="O1515" s="2">
        <v>45355</v>
      </c>
      <c r="P1515" s="9">
        <v>9200</v>
      </c>
    </row>
    <row r="1516" spans="1:16" x14ac:dyDescent="0.25">
      <c r="A1516" t="s">
        <v>1537</v>
      </c>
      <c r="B1516" s="2">
        <v>45356</v>
      </c>
      <c r="C1516">
        <v>2024</v>
      </c>
      <c r="D1516" t="str">
        <f t="shared" si="46"/>
        <v>Mar</v>
      </c>
      <c r="E1516" t="s">
        <v>13</v>
      </c>
      <c r="F1516" t="s">
        <v>2033</v>
      </c>
      <c r="G1516" t="s">
        <v>21</v>
      </c>
      <c r="H1516" t="s">
        <v>24</v>
      </c>
      <c r="I1516">
        <v>1</v>
      </c>
      <c r="J1516" s="9">
        <v>13400</v>
      </c>
      <c r="K1516" s="7">
        <v>0.25</v>
      </c>
      <c r="L1516" s="9">
        <v>10050</v>
      </c>
      <c r="M1516" s="10">
        <f>Sales_Data3[[#This Row],[Profit]]/Sales_Data3[[#This Row],[Sales]]</f>
        <v>0.75</v>
      </c>
      <c r="N1516" t="str">
        <f t="shared" si="47"/>
        <v>High</v>
      </c>
      <c r="O1516" s="2">
        <v>45356</v>
      </c>
      <c r="P1516" s="9">
        <v>13400</v>
      </c>
    </row>
    <row r="1517" spans="1:16" x14ac:dyDescent="0.25">
      <c r="A1517" t="s">
        <v>1538</v>
      </c>
      <c r="B1517" s="2">
        <v>45357</v>
      </c>
      <c r="C1517">
        <v>2024</v>
      </c>
      <c r="D1517" t="str">
        <f t="shared" si="46"/>
        <v>Mar</v>
      </c>
      <c r="E1517" t="s">
        <v>13</v>
      </c>
      <c r="F1517" t="s">
        <v>2034</v>
      </c>
      <c r="G1517" t="s">
        <v>22</v>
      </c>
      <c r="H1517" t="s">
        <v>24</v>
      </c>
      <c r="I1517">
        <v>3</v>
      </c>
      <c r="J1517" s="9">
        <v>10800</v>
      </c>
      <c r="K1517" s="7">
        <v>0.05</v>
      </c>
      <c r="L1517" s="9">
        <v>10260</v>
      </c>
      <c r="M1517" s="10">
        <f>Sales_Data3[[#This Row],[Profit]]/Sales_Data3[[#This Row],[Sales]]</f>
        <v>0.95</v>
      </c>
      <c r="N1517" t="str">
        <f t="shared" si="47"/>
        <v>High</v>
      </c>
      <c r="O1517" s="2">
        <v>45357</v>
      </c>
      <c r="P1517" s="9">
        <v>10800</v>
      </c>
    </row>
    <row r="1518" spans="1:16" x14ac:dyDescent="0.25">
      <c r="A1518" t="s">
        <v>1539</v>
      </c>
      <c r="B1518" s="2">
        <v>45358</v>
      </c>
      <c r="C1518">
        <v>2024</v>
      </c>
      <c r="D1518" t="str">
        <f t="shared" si="46"/>
        <v>Mar</v>
      </c>
      <c r="E1518" t="s">
        <v>13</v>
      </c>
      <c r="F1518" t="s">
        <v>2035</v>
      </c>
      <c r="G1518" t="s">
        <v>19</v>
      </c>
      <c r="H1518" t="s">
        <v>24</v>
      </c>
      <c r="I1518">
        <v>5</v>
      </c>
      <c r="J1518" s="9">
        <v>12400</v>
      </c>
      <c r="K1518" s="7">
        <v>0.1</v>
      </c>
      <c r="L1518" s="9">
        <v>11160</v>
      </c>
      <c r="M1518" s="10">
        <f>Sales_Data3[[#This Row],[Profit]]/Sales_Data3[[#This Row],[Sales]]</f>
        <v>0.9</v>
      </c>
      <c r="N1518" t="str">
        <f t="shared" si="47"/>
        <v>High</v>
      </c>
      <c r="O1518" s="2">
        <v>45358</v>
      </c>
      <c r="P1518" s="9">
        <v>12400</v>
      </c>
    </row>
    <row r="1519" spans="1:16" x14ac:dyDescent="0.25">
      <c r="A1519" t="s">
        <v>1540</v>
      </c>
      <c r="B1519" s="2">
        <v>45359</v>
      </c>
      <c r="C1519">
        <v>2024</v>
      </c>
      <c r="D1519" t="str">
        <f t="shared" si="46"/>
        <v>Mar</v>
      </c>
      <c r="E1519" t="s">
        <v>13</v>
      </c>
      <c r="F1519" t="s">
        <v>2036</v>
      </c>
      <c r="G1519" t="s">
        <v>20</v>
      </c>
      <c r="H1519" t="s">
        <v>24</v>
      </c>
      <c r="I1519">
        <v>8</v>
      </c>
      <c r="J1519" s="9">
        <v>7800</v>
      </c>
      <c r="K1519" s="7">
        <v>0.15000000000000002</v>
      </c>
      <c r="L1519" s="9">
        <v>6630</v>
      </c>
      <c r="M1519" s="10">
        <f>Sales_Data3[[#This Row],[Profit]]/Sales_Data3[[#This Row],[Sales]]</f>
        <v>0.85</v>
      </c>
      <c r="N1519" t="str">
        <f t="shared" si="47"/>
        <v>Medium</v>
      </c>
      <c r="O1519" s="2">
        <v>45359</v>
      </c>
      <c r="P1519" s="9">
        <v>7800</v>
      </c>
    </row>
    <row r="1520" spans="1:16" x14ac:dyDescent="0.25">
      <c r="A1520" t="s">
        <v>1541</v>
      </c>
      <c r="B1520" s="2">
        <v>45360</v>
      </c>
      <c r="C1520">
        <v>2024</v>
      </c>
      <c r="D1520" t="str">
        <f t="shared" si="46"/>
        <v>Mar</v>
      </c>
      <c r="E1520" t="s">
        <v>13</v>
      </c>
      <c r="F1520" t="s">
        <v>2037</v>
      </c>
      <c r="G1520" t="s">
        <v>21</v>
      </c>
      <c r="H1520" t="s">
        <v>24</v>
      </c>
      <c r="I1520">
        <v>9</v>
      </c>
      <c r="J1520" s="9">
        <v>11300</v>
      </c>
      <c r="K1520" s="7">
        <v>0.2</v>
      </c>
      <c r="L1520" s="9">
        <v>9040</v>
      </c>
      <c r="M1520" s="10">
        <f>Sales_Data3[[#This Row],[Profit]]/Sales_Data3[[#This Row],[Sales]]</f>
        <v>0.8</v>
      </c>
      <c r="N1520" t="str">
        <f t="shared" si="47"/>
        <v>High</v>
      </c>
      <c r="O1520" s="2">
        <v>45360</v>
      </c>
      <c r="P1520" s="9">
        <v>11300</v>
      </c>
    </row>
    <row r="1521" spans="1:16" x14ac:dyDescent="0.25">
      <c r="A1521" t="s">
        <v>1542</v>
      </c>
      <c r="B1521" s="2">
        <v>45361</v>
      </c>
      <c r="C1521">
        <v>2024</v>
      </c>
      <c r="D1521" t="str">
        <f t="shared" si="46"/>
        <v>Mar</v>
      </c>
      <c r="E1521" t="s">
        <v>13</v>
      </c>
      <c r="F1521" t="s">
        <v>2038</v>
      </c>
      <c r="G1521" t="s">
        <v>22</v>
      </c>
      <c r="H1521" t="s">
        <v>24</v>
      </c>
      <c r="I1521">
        <v>3</v>
      </c>
      <c r="J1521" s="9">
        <v>6300</v>
      </c>
      <c r="K1521" s="7">
        <v>0.25</v>
      </c>
      <c r="L1521" s="9">
        <v>4725</v>
      </c>
      <c r="M1521" s="10">
        <f>Sales_Data3[[#This Row],[Profit]]/Sales_Data3[[#This Row],[Sales]]</f>
        <v>0.75</v>
      </c>
      <c r="N1521" t="str">
        <f t="shared" si="47"/>
        <v>Medium</v>
      </c>
      <c r="O1521" s="2">
        <v>45361</v>
      </c>
      <c r="P1521" s="9">
        <v>6300</v>
      </c>
    </row>
    <row r="1522" spans="1:16" x14ac:dyDescent="0.25">
      <c r="A1522" t="s">
        <v>1543</v>
      </c>
      <c r="B1522" s="2">
        <v>45362</v>
      </c>
      <c r="C1522">
        <v>2024</v>
      </c>
      <c r="D1522" t="str">
        <f t="shared" si="46"/>
        <v>Mar</v>
      </c>
      <c r="E1522" t="s">
        <v>14</v>
      </c>
      <c r="F1522" t="s">
        <v>2039</v>
      </c>
      <c r="G1522" t="s">
        <v>19</v>
      </c>
      <c r="H1522" t="s">
        <v>25</v>
      </c>
      <c r="I1522">
        <v>8</v>
      </c>
      <c r="J1522" s="9">
        <v>11500</v>
      </c>
      <c r="K1522" s="7">
        <v>0.05</v>
      </c>
      <c r="L1522" s="9">
        <v>10925</v>
      </c>
      <c r="M1522" s="10">
        <f>Sales_Data3[[#This Row],[Profit]]/Sales_Data3[[#This Row],[Sales]]</f>
        <v>0.95</v>
      </c>
      <c r="N1522" t="str">
        <f t="shared" si="47"/>
        <v>High</v>
      </c>
      <c r="O1522" s="2">
        <v>45362</v>
      </c>
      <c r="P1522" s="9">
        <v>11500</v>
      </c>
    </row>
    <row r="1523" spans="1:16" x14ac:dyDescent="0.25">
      <c r="A1523" t="s">
        <v>1544</v>
      </c>
      <c r="B1523" s="2">
        <v>45363</v>
      </c>
      <c r="C1523">
        <v>2024</v>
      </c>
      <c r="D1523" t="str">
        <f t="shared" si="46"/>
        <v>Mar</v>
      </c>
      <c r="E1523" t="s">
        <v>14</v>
      </c>
      <c r="F1523" t="s">
        <v>2040</v>
      </c>
      <c r="G1523" t="s">
        <v>20</v>
      </c>
      <c r="H1523" t="s">
        <v>25</v>
      </c>
      <c r="I1523">
        <v>2</v>
      </c>
      <c r="J1523" s="9">
        <v>14100</v>
      </c>
      <c r="K1523" s="7">
        <v>0.1</v>
      </c>
      <c r="L1523" s="9">
        <v>12690</v>
      </c>
      <c r="M1523" s="10">
        <f>Sales_Data3[[#This Row],[Profit]]/Sales_Data3[[#This Row],[Sales]]</f>
        <v>0.9</v>
      </c>
      <c r="N1523" t="str">
        <f t="shared" si="47"/>
        <v>High</v>
      </c>
      <c r="O1523" s="2">
        <v>45363</v>
      </c>
      <c r="P1523" s="9">
        <v>14100</v>
      </c>
    </row>
    <row r="1524" spans="1:16" x14ac:dyDescent="0.25">
      <c r="A1524" t="s">
        <v>1545</v>
      </c>
      <c r="B1524" s="2">
        <v>45364</v>
      </c>
      <c r="C1524">
        <v>2024</v>
      </c>
      <c r="D1524" t="str">
        <f t="shared" si="46"/>
        <v>Mar</v>
      </c>
      <c r="E1524" t="s">
        <v>14</v>
      </c>
      <c r="F1524" t="s">
        <v>2041</v>
      </c>
      <c r="G1524" t="s">
        <v>21</v>
      </c>
      <c r="H1524" t="s">
        <v>25</v>
      </c>
      <c r="I1524">
        <v>5</v>
      </c>
      <c r="J1524" s="9">
        <v>4500</v>
      </c>
      <c r="K1524" s="7">
        <v>0.15000000000000002</v>
      </c>
      <c r="L1524" s="9">
        <v>3825</v>
      </c>
      <c r="M1524" s="10">
        <f>Sales_Data3[[#This Row],[Profit]]/Sales_Data3[[#This Row],[Sales]]</f>
        <v>0.85</v>
      </c>
      <c r="N1524" t="str">
        <f t="shared" si="47"/>
        <v>Low</v>
      </c>
      <c r="O1524" s="2">
        <v>45364</v>
      </c>
      <c r="P1524" s="9">
        <v>4500</v>
      </c>
    </row>
    <row r="1525" spans="1:16" x14ac:dyDescent="0.25">
      <c r="A1525" t="s">
        <v>1546</v>
      </c>
      <c r="B1525" s="2">
        <v>45365</v>
      </c>
      <c r="C1525">
        <v>2024</v>
      </c>
      <c r="D1525" t="str">
        <f t="shared" si="46"/>
        <v>Mar</v>
      </c>
      <c r="E1525" t="s">
        <v>14</v>
      </c>
      <c r="F1525" t="s">
        <v>2042</v>
      </c>
      <c r="G1525" t="s">
        <v>22</v>
      </c>
      <c r="H1525" t="s">
        <v>25</v>
      </c>
      <c r="I1525">
        <v>3</v>
      </c>
      <c r="J1525" s="9">
        <v>9500</v>
      </c>
      <c r="K1525" s="7">
        <v>0.2</v>
      </c>
      <c r="L1525" s="9">
        <v>7600</v>
      </c>
      <c r="M1525" s="10">
        <f>Sales_Data3[[#This Row],[Profit]]/Sales_Data3[[#This Row],[Sales]]</f>
        <v>0.8</v>
      </c>
      <c r="N1525" t="str">
        <f t="shared" si="47"/>
        <v>Medium</v>
      </c>
      <c r="O1525" s="2">
        <v>45365</v>
      </c>
      <c r="P1525" s="9">
        <v>9500</v>
      </c>
    </row>
    <row r="1526" spans="1:16" x14ac:dyDescent="0.25">
      <c r="A1526" t="s">
        <v>1547</v>
      </c>
      <c r="B1526" s="2">
        <v>45366</v>
      </c>
      <c r="C1526">
        <v>2024</v>
      </c>
      <c r="D1526" t="str">
        <f t="shared" si="46"/>
        <v>Mar</v>
      </c>
      <c r="E1526" t="s">
        <v>14</v>
      </c>
      <c r="F1526" t="s">
        <v>2043</v>
      </c>
      <c r="G1526" t="s">
        <v>19</v>
      </c>
      <c r="H1526" t="s">
        <v>25</v>
      </c>
      <c r="I1526">
        <v>3</v>
      </c>
      <c r="J1526" s="9">
        <v>15000</v>
      </c>
      <c r="K1526" s="7">
        <v>0.25</v>
      </c>
      <c r="L1526" s="9">
        <v>11250</v>
      </c>
      <c r="M1526" s="10">
        <f>Sales_Data3[[#This Row],[Profit]]/Sales_Data3[[#This Row],[Sales]]</f>
        <v>0.75</v>
      </c>
      <c r="N1526" t="str">
        <f t="shared" si="47"/>
        <v>High</v>
      </c>
      <c r="O1526" s="2">
        <v>45366</v>
      </c>
      <c r="P1526" s="9">
        <v>15000</v>
      </c>
    </row>
    <row r="1527" spans="1:16" x14ac:dyDescent="0.25">
      <c r="A1527" t="s">
        <v>1548</v>
      </c>
      <c r="B1527" s="2">
        <v>45367</v>
      </c>
      <c r="C1527">
        <v>2024</v>
      </c>
      <c r="D1527" t="str">
        <f t="shared" si="46"/>
        <v>Mar</v>
      </c>
      <c r="E1527" t="s">
        <v>14</v>
      </c>
      <c r="F1527" t="s">
        <v>2044</v>
      </c>
      <c r="G1527" t="s">
        <v>20</v>
      </c>
      <c r="H1527" t="s">
        <v>25</v>
      </c>
      <c r="I1527">
        <v>10</v>
      </c>
      <c r="J1527" s="9">
        <v>4500</v>
      </c>
      <c r="K1527" s="7">
        <v>0.05</v>
      </c>
      <c r="L1527" s="9">
        <v>4275</v>
      </c>
      <c r="M1527" s="10">
        <f>Sales_Data3[[#This Row],[Profit]]/Sales_Data3[[#This Row],[Sales]]</f>
        <v>0.95</v>
      </c>
      <c r="N1527" t="str">
        <f t="shared" si="47"/>
        <v>Low</v>
      </c>
      <c r="O1527" s="2">
        <v>45367</v>
      </c>
      <c r="P1527" s="9">
        <v>4500</v>
      </c>
    </row>
    <row r="1528" spans="1:16" x14ac:dyDescent="0.25">
      <c r="A1528" t="s">
        <v>1549</v>
      </c>
      <c r="B1528" s="2">
        <v>45368</v>
      </c>
      <c r="C1528">
        <v>2024</v>
      </c>
      <c r="D1528" t="str">
        <f t="shared" si="46"/>
        <v>Mar</v>
      </c>
      <c r="E1528" t="s">
        <v>14</v>
      </c>
      <c r="F1528" t="s">
        <v>2045</v>
      </c>
      <c r="G1528" t="s">
        <v>21</v>
      </c>
      <c r="H1528" t="s">
        <v>25</v>
      </c>
      <c r="I1528">
        <v>5</v>
      </c>
      <c r="J1528" s="9">
        <v>14500</v>
      </c>
      <c r="K1528" s="7">
        <v>0.1</v>
      </c>
      <c r="L1528" s="9">
        <v>13050</v>
      </c>
      <c r="M1528" s="10">
        <f>Sales_Data3[[#This Row],[Profit]]/Sales_Data3[[#This Row],[Sales]]</f>
        <v>0.9</v>
      </c>
      <c r="N1528" t="str">
        <f t="shared" si="47"/>
        <v>High</v>
      </c>
      <c r="O1528" s="2">
        <v>45368</v>
      </c>
      <c r="P1528" s="9">
        <v>14500</v>
      </c>
    </row>
    <row r="1529" spans="1:16" x14ac:dyDescent="0.25">
      <c r="A1529" t="s">
        <v>1550</v>
      </c>
      <c r="B1529" s="2">
        <v>45369</v>
      </c>
      <c r="C1529">
        <v>2024</v>
      </c>
      <c r="D1529" t="str">
        <f t="shared" si="46"/>
        <v>Mar</v>
      </c>
      <c r="E1529" t="s">
        <v>14</v>
      </c>
      <c r="F1529" t="s">
        <v>2046</v>
      </c>
      <c r="G1529" t="s">
        <v>22</v>
      </c>
      <c r="H1529" t="s">
        <v>25</v>
      </c>
      <c r="I1529">
        <v>9</v>
      </c>
      <c r="J1529" s="9">
        <v>5800</v>
      </c>
      <c r="K1529" s="7">
        <v>0.15000000000000002</v>
      </c>
      <c r="L1529" s="9">
        <v>4930</v>
      </c>
      <c r="M1529" s="10">
        <f>Sales_Data3[[#This Row],[Profit]]/Sales_Data3[[#This Row],[Sales]]</f>
        <v>0.85</v>
      </c>
      <c r="N1529" t="str">
        <f t="shared" si="47"/>
        <v>Medium</v>
      </c>
      <c r="O1529" s="2">
        <v>45369</v>
      </c>
      <c r="P1529" s="9">
        <v>5800</v>
      </c>
    </row>
    <row r="1530" spans="1:16" x14ac:dyDescent="0.25">
      <c r="A1530" t="s">
        <v>1551</v>
      </c>
      <c r="B1530" s="2">
        <v>45370</v>
      </c>
      <c r="C1530">
        <v>2024</v>
      </c>
      <c r="D1530" t="str">
        <f t="shared" si="46"/>
        <v>Mar</v>
      </c>
      <c r="E1530" t="s">
        <v>14</v>
      </c>
      <c r="F1530" t="s">
        <v>2047</v>
      </c>
      <c r="G1530" t="s">
        <v>19</v>
      </c>
      <c r="H1530" t="s">
        <v>25</v>
      </c>
      <c r="I1530">
        <v>3</v>
      </c>
      <c r="J1530" s="9">
        <v>13900</v>
      </c>
      <c r="K1530" s="7">
        <v>0.2</v>
      </c>
      <c r="L1530" s="9">
        <v>11120</v>
      </c>
      <c r="M1530" s="10">
        <f>Sales_Data3[[#This Row],[Profit]]/Sales_Data3[[#This Row],[Sales]]</f>
        <v>0.8</v>
      </c>
      <c r="N1530" t="str">
        <f t="shared" si="47"/>
        <v>High</v>
      </c>
      <c r="O1530" s="2">
        <v>45370</v>
      </c>
      <c r="P1530" s="9">
        <v>13900</v>
      </c>
    </row>
    <row r="1531" spans="1:16" x14ac:dyDescent="0.25">
      <c r="A1531" t="s">
        <v>1552</v>
      </c>
      <c r="B1531" s="2">
        <v>45371</v>
      </c>
      <c r="C1531">
        <v>2024</v>
      </c>
      <c r="D1531" t="str">
        <f t="shared" si="46"/>
        <v>Mar</v>
      </c>
      <c r="E1531" t="s">
        <v>14</v>
      </c>
      <c r="F1531" t="s">
        <v>2048</v>
      </c>
      <c r="G1531" t="s">
        <v>20</v>
      </c>
      <c r="H1531" t="s">
        <v>25</v>
      </c>
      <c r="I1531">
        <v>9</v>
      </c>
      <c r="J1531" s="9">
        <v>7400</v>
      </c>
      <c r="K1531" s="7">
        <v>0.25</v>
      </c>
      <c r="L1531" s="9">
        <v>5550</v>
      </c>
      <c r="M1531" s="10">
        <f>Sales_Data3[[#This Row],[Profit]]/Sales_Data3[[#This Row],[Sales]]</f>
        <v>0.75</v>
      </c>
      <c r="N1531" t="str">
        <f t="shared" si="47"/>
        <v>Medium</v>
      </c>
      <c r="O1531" s="2">
        <v>45371</v>
      </c>
      <c r="P1531" s="9">
        <v>7400</v>
      </c>
    </row>
    <row r="1532" spans="1:16" x14ac:dyDescent="0.25">
      <c r="A1532" t="s">
        <v>1553</v>
      </c>
      <c r="B1532" s="2">
        <v>45372</v>
      </c>
      <c r="C1532">
        <v>2024</v>
      </c>
      <c r="D1532" t="str">
        <f t="shared" si="46"/>
        <v>Mar</v>
      </c>
      <c r="E1532" t="s">
        <v>12</v>
      </c>
      <c r="F1532" t="s">
        <v>15</v>
      </c>
      <c r="G1532" t="s">
        <v>21</v>
      </c>
      <c r="H1532" t="s">
        <v>23</v>
      </c>
      <c r="I1532">
        <v>1</v>
      </c>
      <c r="J1532" s="9">
        <v>5000</v>
      </c>
      <c r="K1532" s="7">
        <v>0.05</v>
      </c>
      <c r="L1532" s="9">
        <v>4750</v>
      </c>
      <c r="M1532" s="10">
        <f>Sales_Data3[[#This Row],[Profit]]/Sales_Data3[[#This Row],[Sales]]</f>
        <v>0.95</v>
      </c>
      <c r="N1532" t="str">
        <f t="shared" si="47"/>
        <v>Low</v>
      </c>
      <c r="O1532" s="2">
        <v>45372</v>
      </c>
      <c r="P1532" s="9">
        <v>5000</v>
      </c>
    </row>
    <row r="1533" spans="1:16" x14ac:dyDescent="0.25">
      <c r="A1533" t="s">
        <v>1554</v>
      </c>
      <c r="B1533" s="2">
        <v>45373</v>
      </c>
      <c r="C1533">
        <v>2024</v>
      </c>
      <c r="D1533" t="str">
        <f t="shared" si="46"/>
        <v>Mar</v>
      </c>
      <c r="E1533" t="s">
        <v>12</v>
      </c>
      <c r="F1533" t="s">
        <v>17</v>
      </c>
      <c r="G1533" t="s">
        <v>22</v>
      </c>
      <c r="H1533" t="s">
        <v>23</v>
      </c>
      <c r="I1533">
        <v>7</v>
      </c>
      <c r="J1533" s="9">
        <v>11700</v>
      </c>
      <c r="K1533" s="7">
        <v>0.1</v>
      </c>
      <c r="L1533" s="9">
        <v>10530</v>
      </c>
      <c r="M1533" s="10">
        <f>Sales_Data3[[#This Row],[Profit]]/Sales_Data3[[#This Row],[Sales]]</f>
        <v>0.9</v>
      </c>
      <c r="N1533" t="str">
        <f t="shared" si="47"/>
        <v>High</v>
      </c>
      <c r="O1533" s="2">
        <v>45373</v>
      </c>
      <c r="P1533" s="9">
        <v>11700</v>
      </c>
    </row>
    <row r="1534" spans="1:16" x14ac:dyDescent="0.25">
      <c r="A1534" t="s">
        <v>1555</v>
      </c>
      <c r="B1534" s="2">
        <v>45374</v>
      </c>
      <c r="C1534">
        <v>2024</v>
      </c>
      <c r="D1534" t="str">
        <f t="shared" si="46"/>
        <v>Mar</v>
      </c>
      <c r="E1534" t="s">
        <v>12</v>
      </c>
      <c r="F1534" t="s">
        <v>2023</v>
      </c>
      <c r="G1534" t="s">
        <v>19</v>
      </c>
      <c r="H1534" t="s">
        <v>23</v>
      </c>
      <c r="I1534">
        <v>4</v>
      </c>
      <c r="J1534" s="9">
        <v>11600</v>
      </c>
      <c r="K1534" s="7">
        <v>0.15000000000000002</v>
      </c>
      <c r="L1534" s="9">
        <v>9860</v>
      </c>
      <c r="M1534" s="10">
        <f>Sales_Data3[[#This Row],[Profit]]/Sales_Data3[[#This Row],[Sales]]</f>
        <v>0.85</v>
      </c>
      <c r="N1534" t="str">
        <f t="shared" si="47"/>
        <v>High</v>
      </c>
      <c r="O1534" s="2">
        <v>45374</v>
      </c>
      <c r="P1534" s="9">
        <v>11600</v>
      </c>
    </row>
    <row r="1535" spans="1:16" x14ac:dyDescent="0.25">
      <c r="A1535" t="s">
        <v>1556</v>
      </c>
      <c r="B1535" s="2">
        <v>45375</v>
      </c>
      <c r="C1535">
        <v>2024</v>
      </c>
      <c r="D1535" t="str">
        <f t="shared" si="46"/>
        <v>Mar</v>
      </c>
      <c r="E1535" t="s">
        <v>12</v>
      </c>
      <c r="F1535" t="s">
        <v>18</v>
      </c>
      <c r="G1535" t="s">
        <v>20</v>
      </c>
      <c r="H1535" t="s">
        <v>23</v>
      </c>
      <c r="I1535">
        <v>9</v>
      </c>
      <c r="J1535" s="9">
        <v>13800</v>
      </c>
      <c r="K1535" s="7">
        <v>0.2</v>
      </c>
      <c r="L1535" s="9">
        <v>11040</v>
      </c>
      <c r="M1535" s="10">
        <f>Sales_Data3[[#This Row],[Profit]]/Sales_Data3[[#This Row],[Sales]]</f>
        <v>0.8</v>
      </c>
      <c r="N1535" t="str">
        <f t="shared" si="47"/>
        <v>High</v>
      </c>
      <c r="O1535" s="2">
        <v>45375</v>
      </c>
      <c r="P1535" s="9">
        <v>13800</v>
      </c>
    </row>
    <row r="1536" spans="1:16" x14ac:dyDescent="0.25">
      <c r="A1536" t="s">
        <v>1557</v>
      </c>
      <c r="B1536" s="2">
        <v>45376</v>
      </c>
      <c r="C1536">
        <v>2024</v>
      </c>
      <c r="D1536" t="str">
        <f t="shared" si="46"/>
        <v>Mar</v>
      </c>
      <c r="E1536" t="s">
        <v>12</v>
      </c>
      <c r="F1536" t="s">
        <v>2024</v>
      </c>
      <c r="G1536" t="s">
        <v>21</v>
      </c>
      <c r="H1536" t="s">
        <v>23</v>
      </c>
      <c r="I1536">
        <v>8</v>
      </c>
      <c r="J1536" s="9">
        <v>11200</v>
      </c>
      <c r="K1536" s="7">
        <v>0.25</v>
      </c>
      <c r="L1536" s="9">
        <v>8400</v>
      </c>
      <c r="M1536" s="10">
        <f>Sales_Data3[[#This Row],[Profit]]/Sales_Data3[[#This Row],[Sales]]</f>
        <v>0.75</v>
      </c>
      <c r="N1536" t="str">
        <f t="shared" si="47"/>
        <v>High</v>
      </c>
      <c r="O1536" s="2">
        <v>45376</v>
      </c>
      <c r="P1536" s="9">
        <v>11200</v>
      </c>
    </row>
    <row r="1537" spans="1:16" x14ac:dyDescent="0.25">
      <c r="A1537" t="s">
        <v>1558</v>
      </c>
      <c r="B1537" s="2">
        <v>45377</v>
      </c>
      <c r="C1537">
        <v>2024</v>
      </c>
      <c r="D1537" t="str">
        <f t="shared" si="46"/>
        <v>Mar</v>
      </c>
      <c r="E1537" t="s">
        <v>12</v>
      </c>
      <c r="F1537" t="s">
        <v>2025</v>
      </c>
      <c r="G1537" t="s">
        <v>22</v>
      </c>
      <c r="H1537" t="s">
        <v>23</v>
      </c>
      <c r="I1537">
        <v>7</v>
      </c>
      <c r="J1537" s="9">
        <v>14500</v>
      </c>
      <c r="K1537" s="7">
        <v>0.05</v>
      </c>
      <c r="L1537" s="9">
        <v>13775</v>
      </c>
      <c r="M1537" s="10">
        <f>Sales_Data3[[#This Row],[Profit]]/Sales_Data3[[#This Row],[Sales]]</f>
        <v>0.95</v>
      </c>
      <c r="N1537" t="str">
        <f t="shared" si="47"/>
        <v>High</v>
      </c>
      <c r="O1537" s="2">
        <v>45377</v>
      </c>
      <c r="P1537" s="9">
        <v>14500</v>
      </c>
    </row>
    <row r="1538" spans="1:16" x14ac:dyDescent="0.25">
      <c r="A1538" t="s">
        <v>1559</v>
      </c>
      <c r="B1538" s="2">
        <v>45378</v>
      </c>
      <c r="C1538">
        <v>2024</v>
      </c>
      <c r="D1538" t="str">
        <f t="shared" ref="D1538:D1601" si="48">TEXT(B1538,"MMM")</f>
        <v>Mar</v>
      </c>
      <c r="E1538" t="s">
        <v>12</v>
      </c>
      <c r="F1538" t="s">
        <v>2026</v>
      </c>
      <c r="G1538" t="s">
        <v>19</v>
      </c>
      <c r="H1538" t="s">
        <v>23</v>
      </c>
      <c r="I1538">
        <v>1</v>
      </c>
      <c r="J1538" s="9">
        <v>10600</v>
      </c>
      <c r="K1538" s="7">
        <v>0.1</v>
      </c>
      <c r="L1538" s="9">
        <v>9540</v>
      </c>
      <c r="M1538" s="10">
        <f>Sales_Data3[[#This Row],[Profit]]/Sales_Data3[[#This Row],[Sales]]</f>
        <v>0.9</v>
      </c>
      <c r="N1538" t="str">
        <f t="shared" ref="N1538:N1601" si="49">IF(J1538&gt;10000,"High",IF(J1538&gt;5000,"Medium","Low"))</f>
        <v>High</v>
      </c>
      <c r="O1538" s="2">
        <v>45378</v>
      </c>
      <c r="P1538" s="9">
        <v>10600</v>
      </c>
    </row>
    <row r="1539" spans="1:16" x14ac:dyDescent="0.25">
      <c r="A1539" t="s">
        <v>1560</v>
      </c>
      <c r="B1539" s="2">
        <v>45379</v>
      </c>
      <c r="C1539">
        <v>2024</v>
      </c>
      <c r="D1539" t="str">
        <f t="shared" si="48"/>
        <v>Mar</v>
      </c>
      <c r="E1539" t="s">
        <v>12</v>
      </c>
      <c r="F1539" t="s">
        <v>2027</v>
      </c>
      <c r="G1539" t="s">
        <v>20</v>
      </c>
      <c r="H1539" t="s">
        <v>23</v>
      </c>
      <c r="I1539">
        <v>2</v>
      </c>
      <c r="J1539" s="9">
        <v>7900</v>
      </c>
      <c r="K1539" s="7">
        <v>0.15000000000000002</v>
      </c>
      <c r="L1539" s="9">
        <v>6715</v>
      </c>
      <c r="M1539" s="10">
        <f>Sales_Data3[[#This Row],[Profit]]/Sales_Data3[[#This Row],[Sales]]</f>
        <v>0.85</v>
      </c>
      <c r="N1539" t="str">
        <f t="shared" si="49"/>
        <v>Medium</v>
      </c>
      <c r="O1539" s="2">
        <v>45379</v>
      </c>
      <c r="P1539" s="9">
        <v>7900</v>
      </c>
    </row>
    <row r="1540" spans="1:16" x14ac:dyDescent="0.25">
      <c r="A1540" t="s">
        <v>1561</v>
      </c>
      <c r="B1540" s="2">
        <v>45380</v>
      </c>
      <c r="C1540">
        <v>2024</v>
      </c>
      <c r="D1540" t="str">
        <f t="shared" si="48"/>
        <v>Mar</v>
      </c>
      <c r="E1540" t="s">
        <v>12</v>
      </c>
      <c r="F1540" t="s">
        <v>2028</v>
      </c>
      <c r="G1540" t="s">
        <v>21</v>
      </c>
      <c r="H1540" t="s">
        <v>23</v>
      </c>
      <c r="I1540">
        <v>2</v>
      </c>
      <c r="J1540" s="9">
        <v>8200</v>
      </c>
      <c r="K1540" s="7">
        <v>0.2</v>
      </c>
      <c r="L1540" s="9">
        <v>6560</v>
      </c>
      <c r="M1540" s="10">
        <f>Sales_Data3[[#This Row],[Profit]]/Sales_Data3[[#This Row],[Sales]]</f>
        <v>0.8</v>
      </c>
      <c r="N1540" t="str">
        <f t="shared" si="49"/>
        <v>Medium</v>
      </c>
      <c r="O1540" s="2">
        <v>45380</v>
      </c>
      <c r="P1540" s="9">
        <v>8200</v>
      </c>
    </row>
    <row r="1541" spans="1:16" x14ac:dyDescent="0.25">
      <c r="A1541" t="s">
        <v>1562</v>
      </c>
      <c r="B1541" s="2">
        <v>45381</v>
      </c>
      <c r="C1541">
        <v>2024</v>
      </c>
      <c r="D1541" t="str">
        <f t="shared" si="48"/>
        <v>Mar</v>
      </c>
      <c r="E1541" t="s">
        <v>12</v>
      </c>
      <c r="F1541" t="s">
        <v>2029</v>
      </c>
      <c r="G1541" t="s">
        <v>22</v>
      </c>
      <c r="H1541" t="s">
        <v>23</v>
      </c>
      <c r="I1541">
        <v>10</v>
      </c>
      <c r="J1541" s="9">
        <v>9200</v>
      </c>
      <c r="K1541" s="7">
        <v>0.25</v>
      </c>
      <c r="L1541" s="9">
        <v>6900</v>
      </c>
      <c r="M1541" s="10">
        <f>Sales_Data3[[#This Row],[Profit]]/Sales_Data3[[#This Row],[Sales]]</f>
        <v>0.75</v>
      </c>
      <c r="N1541" t="str">
        <f t="shared" si="49"/>
        <v>Medium</v>
      </c>
      <c r="O1541" s="2">
        <v>45381</v>
      </c>
      <c r="P1541" s="9">
        <v>9200</v>
      </c>
    </row>
    <row r="1542" spans="1:16" x14ac:dyDescent="0.25">
      <c r="A1542" t="s">
        <v>1563</v>
      </c>
      <c r="B1542" s="2">
        <v>45382</v>
      </c>
      <c r="C1542">
        <v>2024</v>
      </c>
      <c r="D1542" t="str">
        <f t="shared" si="48"/>
        <v>Mar</v>
      </c>
      <c r="E1542" t="s">
        <v>13</v>
      </c>
      <c r="F1542" t="s">
        <v>16</v>
      </c>
      <c r="G1542" t="s">
        <v>19</v>
      </c>
      <c r="H1542" t="s">
        <v>24</v>
      </c>
      <c r="I1542">
        <v>1</v>
      </c>
      <c r="J1542" s="9">
        <v>5500</v>
      </c>
      <c r="K1542" s="7">
        <v>0.05</v>
      </c>
      <c r="L1542" s="9">
        <v>5225</v>
      </c>
      <c r="M1542" s="10">
        <f>Sales_Data3[[#This Row],[Profit]]/Sales_Data3[[#This Row],[Sales]]</f>
        <v>0.95</v>
      </c>
      <c r="N1542" t="str">
        <f t="shared" si="49"/>
        <v>Medium</v>
      </c>
      <c r="O1542" s="2">
        <v>45382</v>
      </c>
      <c r="P1542" s="9">
        <v>5500</v>
      </c>
    </row>
    <row r="1543" spans="1:16" x14ac:dyDescent="0.25">
      <c r="A1543" t="s">
        <v>1564</v>
      </c>
      <c r="B1543" s="2">
        <v>45383</v>
      </c>
      <c r="C1543">
        <v>2024</v>
      </c>
      <c r="D1543" t="str">
        <f t="shared" si="48"/>
        <v>Apr</v>
      </c>
      <c r="E1543" t="s">
        <v>13</v>
      </c>
      <c r="F1543" t="s">
        <v>2030</v>
      </c>
      <c r="G1543" t="s">
        <v>20</v>
      </c>
      <c r="H1543" t="s">
        <v>24</v>
      </c>
      <c r="I1543">
        <v>2</v>
      </c>
      <c r="J1543" s="9">
        <v>8600</v>
      </c>
      <c r="K1543" s="7">
        <v>0.1</v>
      </c>
      <c r="L1543" s="9">
        <v>7740</v>
      </c>
      <c r="M1543" s="10">
        <f>Sales_Data3[[#This Row],[Profit]]/Sales_Data3[[#This Row],[Sales]]</f>
        <v>0.9</v>
      </c>
      <c r="N1543" t="str">
        <f t="shared" si="49"/>
        <v>Medium</v>
      </c>
      <c r="O1543" s="2">
        <v>45383</v>
      </c>
      <c r="P1543" s="9">
        <v>8600</v>
      </c>
    </row>
    <row r="1544" spans="1:16" x14ac:dyDescent="0.25">
      <c r="A1544" t="s">
        <v>1565</v>
      </c>
      <c r="B1544" s="2">
        <v>45384</v>
      </c>
      <c r="C1544">
        <v>2024</v>
      </c>
      <c r="D1544" t="str">
        <f t="shared" si="48"/>
        <v>Apr</v>
      </c>
      <c r="E1544" t="s">
        <v>13</v>
      </c>
      <c r="F1544" t="s">
        <v>2031</v>
      </c>
      <c r="G1544" t="s">
        <v>21</v>
      </c>
      <c r="H1544" t="s">
        <v>24</v>
      </c>
      <c r="I1544">
        <v>7</v>
      </c>
      <c r="J1544" s="9">
        <v>8200</v>
      </c>
      <c r="K1544" s="7">
        <v>0.15000000000000002</v>
      </c>
      <c r="L1544" s="9">
        <v>6970</v>
      </c>
      <c r="M1544" s="10">
        <f>Sales_Data3[[#This Row],[Profit]]/Sales_Data3[[#This Row],[Sales]]</f>
        <v>0.85</v>
      </c>
      <c r="N1544" t="str">
        <f t="shared" si="49"/>
        <v>Medium</v>
      </c>
      <c r="O1544" s="2">
        <v>45384</v>
      </c>
      <c r="P1544" s="9">
        <v>8200</v>
      </c>
    </row>
    <row r="1545" spans="1:16" x14ac:dyDescent="0.25">
      <c r="A1545" t="s">
        <v>1566</v>
      </c>
      <c r="B1545" s="2">
        <v>45385</v>
      </c>
      <c r="C1545">
        <v>2024</v>
      </c>
      <c r="D1545" t="str">
        <f t="shared" si="48"/>
        <v>Apr</v>
      </c>
      <c r="E1545" t="s">
        <v>13</v>
      </c>
      <c r="F1545" t="s">
        <v>2032</v>
      </c>
      <c r="G1545" t="s">
        <v>22</v>
      </c>
      <c r="H1545" t="s">
        <v>24</v>
      </c>
      <c r="I1545">
        <v>6</v>
      </c>
      <c r="J1545" s="9">
        <v>10800</v>
      </c>
      <c r="K1545" s="7">
        <v>0.2</v>
      </c>
      <c r="L1545" s="9">
        <v>8640</v>
      </c>
      <c r="M1545" s="10">
        <f>Sales_Data3[[#This Row],[Profit]]/Sales_Data3[[#This Row],[Sales]]</f>
        <v>0.8</v>
      </c>
      <c r="N1545" t="str">
        <f t="shared" si="49"/>
        <v>High</v>
      </c>
      <c r="O1545" s="2">
        <v>45385</v>
      </c>
      <c r="P1545" s="9">
        <v>10800</v>
      </c>
    </row>
    <row r="1546" spans="1:16" x14ac:dyDescent="0.25">
      <c r="A1546" t="s">
        <v>1567</v>
      </c>
      <c r="B1546" s="2">
        <v>45386</v>
      </c>
      <c r="C1546">
        <v>2024</v>
      </c>
      <c r="D1546" t="str">
        <f t="shared" si="48"/>
        <v>Apr</v>
      </c>
      <c r="E1546" t="s">
        <v>13</v>
      </c>
      <c r="F1546" t="s">
        <v>2033</v>
      </c>
      <c r="G1546" t="s">
        <v>19</v>
      </c>
      <c r="H1546" t="s">
        <v>24</v>
      </c>
      <c r="I1546">
        <v>3</v>
      </c>
      <c r="J1546" s="9">
        <v>9800</v>
      </c>
      <c r="K1546" s="7">
        <v>0.25</v>
      </c>
      <c r="L1546" s="9">
        <v>7350</v>
      </c>
      <c r="M1546" s="10">
        <f>Sales_Data3[[#This Row],[Profit]]/Sales_Data3[[#This Row],[Sales]]</f>
        <v>0.75</v>
      </c>
      <c r="N1546" t="str">
        <f t="shared" si="49"/>
        <v>Medium</v>
      </c>
      <c r="O1546" s="2">
        <v>45386</v>
      </c>
      <c r="P1546" s="9">
        <v>9800</v>
      </c>
    </row>
    <row r="1547" spans="1:16" x14ac:dyDescent="0.25">
      <c r="A1547" t="s">
        <v>1568</v>
      </c>
      <c r="B1547" s="2">
        <v>45387</v>
      </c>
      <c r="C1547">
        <v>2024</v>
      </c>
      <c r="D1547" t="str">
        <f t="shared" si="48"/>
        <v>Apr</v>
      </c>
      <c r="E1547" t="s">
        <v>13</v>
      </c>
      <c r="F1547" t="s">
        <v>2034</v>
      </c>
      <c r="G1547" t="s">
        <v>20</v>
      </c>
      <c r="H1547" t="s">
        <v>24</v>
      </c>
      <c r="I1547">
        <v>7</v>
      </c>
      <c r="J1547" s="9">
        <v>7100</v>
      </c>
      <c r="K1547" s="7">
        <v>0.05</v>
      </c>
      <c r="L1547" s="9">
        <v>6745</v>
      </c>
      <c r="M1547" s="10">
        <f>Sales_Data3[[#This Row],[Profit]]/Sales_Data3[[#This Row],[Sales]]</f>
        <v>0.95</v>
      </c>
      <c r="N1547" t="str">
        <f t="shared" si="49"/>
        <v>Medium</v>
      </c>
      <c r="O1547" s="2">
        <v>45387</v>
      </c>
      <c r="P1547" s="9">
        <v>7100</v>
      </c>
    </row>
    <row r="1548" spans="1:16" x14ac:dyDescent="0.25">
      <c r="A1548" t="s">
        <v>1569</v>
      </c>
      <c r="B1548" s="2">
        <v>45388</v>
      </c>
      <c r="C1548">
        <v>2024</v>
      </c>
      <c r="D1548" t="str">
        <f t="shared" si="48"/>
        <v>Apr</v>
      </c>
      <c r="E1548" t="s">
        <v>13</v>
      </c>
      <c r="F1548" t="s">
        <v>2035</v>
      </c>
      <c r="G1548" t="s">
        <v>21</v>
      </c>
      <c r="H1548" t="s">
        <v>24</v>
      </c>
      <c r="I1548">
        <v>10</v>
      </c>
      <c r="J1548" s="9">
        <v>14400</v>
      </c>
      <c r="K1548" s="7">
        <v>0.1</v>
      </c>
      <c r="L1548" s="9">
        <v>12960</v>
      </c>
      <c r="M1548" s="10">
        <f>Sales_Data3[[#This Row],[Profit]]/Sales_Data3[[#This Row],[Sales]]</f>
        <v>0.9</v>
      </c>
      <c r="N1548" t="str">
        <f t="shared" si="49"/>
        <v>High</v>
      </c>
      <c r="O1548" s="2">
        <v>45388</v>
      </c>
      <c r="P1548" s="9">
        <v>14400</v>
      </c>
    </row>
    <row r="1549" spans="1:16" x14ac:dyDescent="0.25">
      <c r="A1549" t="s">
        <v>1570</v>
      </c>
      <c r="B1549" s="2">
        <v>45389</v>
      </c>
      <c r="C1549">
        <v>2024</v>
      </c>
      <c r="D1549" t="str">
        <f t="shared" si="48"/>
        <v>Apr</v>
      </c>
      <c r="E1549" t="s">
        <v>13</v>
      </c>
      <c r="F1549" t="s">
        <v>2036</v>
      </c>
      <c r="G1549" t="s">
        <v>22</v>
      </c>
      <c r="H1549" t="s">
        <v>24</v>
      </c>
      <c r="I1549">
        <v>3</v>
      </c>
      <c r="J1549" s="9">
        <v>11400</v>
      </c>
      <c r="K1549" s="7">
        <v>0.15000000000000002</v>
      </c>
      <c r="L1549" s="9">
        <v>9690</v>
      </c>
      <c r="M1549" s="10">
        <f>Sales_Data3[[#This Row],[Profit]]/Sales_Data3[[#This Row],[Sales]]</f>
        <v>0.85</v>
      </c>
      <c r="N1549" t="str">
        <f t="shared" si="49"/>
        <v>High</v>
      </c>
      <c r="O1549" s="2">
        <v>45389</v>
      </c>
      <c r="P1549" s="9">
        <v>11400</v>
      </c>
    </row>
    <row r="1550" spans="1:16" x14ac:dyDescent="0.25">
      <c r="A1550" t="s">
        <v>1571</v>
      </c>
      <c r="B1550" s="2">
        <v>45390</v>
      </c>
      <c r="C1550">
        <v>2024</v>
      </c>
      <c r="D1550" t="str">
        <f t="shared" si="48"/>
        <v>Apr</v>
      </c>
      <c r="E1550" t="s">
        <v>13</v>
      </c>
      <c r="F1550" t="s">
        <v>2037</v>
      </c>
      <c r="G1550" t="s">
        <v>19</v>
      </c>
      <c r="H1550" t="s">
        <v>24</v>
      </c>
      <c r="I1550">
        <v>9</v>
      </c>
      <c r="J1550" s="9">
        <v>12600</v>
      </c>
      <c r="K1550" s="7">
        <v>0.2</v>
      </c>
      <c r="L1550" s="9">
        <v>10080</v>
      </c>
      <c r="M1550" s="10">
        <f>Sales_Data3[[#This Row],[Profit]]/Sales_Data3[[#This Row],[Sales]]</f>
        <v>0.8</v>
      </c>
      <c r="N1550" t="str">
        <f t="shared" si="49"/>
        <v>High</v>
      </c>
      <c r="O1550" s="2">
        <v>45390</v>
      </c>
      <c r="P1550" s="9">
        <v>12600</v>
      </c>
    </row>
    <row r="1551" spans="1:16" x14ac:dyDescent="0.25">
      <c r="A1551" t="s">
        <v>1572</v>
      </c>
      <c r="B1551" s="2">
        <v>45391</v>
      </c>
      <c r="C1551">
        <v>2024</v>
      </c>
      <c r="D1551" t="str">
        <f t="shared" si="48"/>
        <v>Apr</v>
      </c>
      <c r="E1551" t="s">
        <v>13</v>
      </c>
      <c r="F1551" t="s">
        <v>2038</v>
      </c>
      <c r="G1551" t="s">
        <v>20</v>
      </c>
      <c r="H1551" t="s">
        <v>24</v>
      </c>
      <c r="I1551">
        <v>2</v>
      </c>
      <c r="J1551" s="9">
        <v>10100</v>
      </c>
      <c r="K1551" s="7">
        <v>0.25</v>
      </c>
      <c r="L1551" s="9">
        <v>7575</v>
      </c>
      <c r="M1551" s="10">
        <f>Sales_Data3[[#This Row],[Profit]]/Sales_Data3[[#This Row],[Sales]]</f>
        <v>0.75</v>
      </c>
      <c r="N1551" t="str">
        <f t="shared" si="49"/>
        <v>High</v>
      </c>
      <c r="O1551" s="2">
        <v>45391</v>
      </c>
      <c r="P1551" s="9">
        <v>10100</v>
      </c>
    </row>
    <row r="1552" spans="1:16" x14ac:dyDescent="0.25">
      <c r="A1552" t="s">
        <v>1573</v>
      </c>
      <c r="B1552" s="2">
        <v>45392</v>
      </c>
      <c r="C1552">
        <v>2024</v>
      </c>
      <c r="D1552" t="str">
        <f t="shared" si="48"/>
        <v>Apr</v>
      </c>
      <c r="E1552" t="s">
        <v>14</v>
      </c>
      <c r="F1552" t="s">
        <v>2039</v>
      </c>
      <c r="G1552" t="s">
        <v>21</v>
      </c>
      <c r="H1552" t="s">
        <v>25</v>
      </c>
      <c r="I1552">
        <v>5</v>
      </c>
      <c r="J1552" s="9">
        <v>9900</v>
      </c>
      <c r="K1552" s="7">
        <v>0.05</v>
      </c>
      <c r="L1552" s="9">
        <v>9405</v>
      </c>
      <c r="M1552" s="10">
        <f>Sales_Data3[[#This Row],[Profit]]/Sales_Data3[[#This Row],[Sales]]</f>
        <v>0.95</v>
      </c>
      <c r="N1552" t="str">
        <f t="shared" si="49"/>
        <v>Medium</v>
      </c>
      <c r="O1552" s="2">
        <v>45392</v>
      </c>
      <c r="P1552" s="9">
        <v>9900</v>
      </c>
    </row>
    <row r="1553" spans="1:16" x14ac:dyDescent="0.25">
      <c r="A1553" t="s">
        <v>1574</v>
      </c>
      <c r="B1553" s="2">
        <v>45393</v>
      </c>
      <c r="C1553">
        <v>2024</v>
      </c>
      <c r="D1553" t="str">
        <f t="shared" si="48"/>
        <v>Apr</v>
      </c>
      <c r="E1553" t="s">
        <v>14</v>
      </c>
      <c r="F1553" t="s">
        <v>2040</v>
      </c>
      <c r="G1553" t="s">
        <v>22</v>
      </c>
      <c r="H1553" t="s">
        <v>25</v>
      </c>
      <c r="I1553">
        <v>8</v>
      </c>
      <c r="J1553" s="9">
        <v>14900</v>
      </c>
      <c r="K1553" s="7">
        <v>0.1</v>
      </c>
      <c r="L1553" s="9">
        <v>13410</v>
      </c>
      <c r="M1553" s="10">
        <f>Sales_Data3[[#This Row],[Profit]]/Sales_Data3[[#This Row],[Sales]]</f>
        <v>0.9</v>
      </c>
      <c r="N1553" t="str">
        <f t="shared" si="49"/>
        <v>High</v>
      </c>
      <c r="O1553" s="2">
        <v>45393</v>
      </c>
      <c r="P1553" s="9">
        <v>14900</v>
      </c>
    </row>
    <row r="1554" spans="1:16" x14ac:dyDescent="0.25">
      <c r="A1554" t="s">
        <v>1575</v>
      </c>
      <c r="B1554" s="2">
        <v>45394</v>
      </c>
      <c r="C1554">
        <v>2024</v>
      </c>
      <c r="D1554" t="str">
        <f t="shared" si="48"/>
        <v>Apr</v>
      </c>
      <c r="E1554" t="s">
        <v>14</v>
      </c>
      <c r="F1554" t="s">
        <v>2041</v>
      </c>
      <c r="G1554" t="s">
        <v>19</v>
      </c>
      <c r="H1554" t="s">
        <v>25</v>
      </c>
      <c r="I1554">
        <v>8</v>
      </c>
      <c r="J1554" s="9">
        <v>13700</v>
      </c>
      <c r="K1554" s="7">
        <v>0.15000000000000002</v>
      </c>
      <c r="L1554" s="9">
        <v>11645</v>
      </c>
      <c r="M1554" s="10">
        <f>Sales_Data3[[#This Row],[Profit]]/Sales_Data3[[#This Row],[Sales]]</f>
        <v>0.85</v>
      </c>
      <c r="N1554" t="str">
        <f t="shared" si="49"/>
        <v>High</v>
      </c>
      <c r="O1554" s="2">
        <v>45394</v>
      </c>
      <c r="P1554" s="9">
        <v>13700</v>
      </c>
    </row>
    <row r="1555" spans="1:16" x14ac:dyDescent="0.25">
      <c r="A1555" t="s">
        <v>1576</v>
      </c>
      <c r="B1555" s="2">
        <v>45395</v>
      </c>
      <c r="C1555">
        <v>2024</v>
      </c>
      <c r="D1555" t="str">
        <f t="shared" si="48"/>
        <v>Apr</v>
      </c>
      <c r="E1555" t="s">
        <v>14</v>
      </c>
      <c r="F1555" t="s">
        <v>2042</v>
      </c>
      <c r="G1555" t="s">
        <v>20</v>
      </c>
      <c r="H1555" t="s">
        <v>25</v>
      </c>
      <c r="I1555">
        <v>7</v>
      </c>
      <c r="J1555" s="9">
        <v>5300</v>
      </c>
      <c r="K1555" s="7">
        <v>0.2</v>
      </c>
      <c r="L1555" s="9">
        <v>4240</v>
      </c>
      <c r="M1555" s="10">
        <f>Sales_Data3[[#This Row],[Profit]]/Sales_Data3[[#This Row],[Sales]]</f>
        <v>0.8</v>
      </c>
      <c r="N1555" t="str">
        <f t="shared" si="49"/>
        <v>Medium</v>
      </c>
      <c r="O1555" s="2">
        <v>45395</v>
      </c>
      <c r="P1555" s="9">
        <v>5300</v>
      </c>
    </row>
    <row r="1556" spans="1:16" x14ac:dyDescent="0.25">
      <c r="A1556" t="s">
        <v>1577</v>
      </c>
      <c r="B1556" s="2">
        <v>45396</v>
      </c>
      <c r="C1556">
        <v>2024</v>
      </c>
      <c r="D1556" t="str">
        <f t="shared" si="48"/>
        <v>Apr</v>
      </c>
      <c r="E1556" t="s">
        <v>14</v>
      </c>
      <c r="F1556" t="s">
        <v>2043</v>
      </c>
      <c r="G1556" t="s">
        <v>21</v>
      </c>
      <c r="H1556" t="s">
        <v>25</v>
      </c>
      <c r="I1556">
        <v>4</v>
      </c>
      <c r="J1556" s="9">
        <v>12700</v>
      </c>
      <c r="K1556" s="7">
        <v>0.25</v>
      </c>
      <c r="L1556" s="9">
        <v>9525</v>
      </c>
      <c r="M1556" s="10">
        <f>Sales_Data3[[#This Row],[Profit]]/Sales_Data3[[#This Row],[Sales]]</f>
        <v>0.75</v>
      </c>
      <c r="N1556" t="str">
        <f t="shared" si="49"/>
        <v>High</v>
      </c>
      <c r="O1556" s="2">
        <v>45396</v>
      </c>
      <c r="P1556" s="9">
        <v>12700</v>
      </c>
    </row>
    <row r="1557" spans="1:16" x14ac:dyDescent="0.25">
      <c r="A1557" t="s">
        <v>1578</v>
      </c>
      <c r="B1557" s="2">
        <v>45397</v>
      </c>
      <c r="C1557">
        <v>2024</v>
      </c>
      <c r="D1557" t="str">
        <f t="shared" si="48"/>
        <v>Apr</v>
      </c>
      <c r="E1557" t="s">
        <v>14</v>
      </c>
      <c r="F1557" t="s">
        <v>2044</v>
      </c>
      <c r="G1557" t="s">
        <v>22</v>
      </c>
      <c r="H1557" t="s">
        <v>25</v>
      </c>
      <c r="I1557">
        <v>9</v>
      </c>
      <c r="J1557" s="9">
        <v>8900</v>
      </c>
      <c r="K1557" s="7">
        <v>0.05</v>
      </c>
      <c r="L1557" s="9">
        <v>8455</v>
      </c>
      <c r="M1557" s="10">
        <f>Sales_Data3[[#This Row],[Profit]]/Sales_Data3[[#This Row],[Sales]]</f>
        <v>0.95</v>
      </c>
      <c r="N1557" t="str">
        <f t="shared" si="49"/>
        <v>Medium</v>
      </c>
      <c r="O1557" s="2">
        <v>45397</v>
      </c>
      <c r="P1557" s="9">
        <v>8900</v>
      </c>
    </row>
    <row r="1558" spans="1:16" x14ac:dyDescent="0.25">
      <c r="A1558" t="s">
        <v>1579</v>
      </c>
      <c r="B1558" s="2">
        <v>45398</v>
      </c>
      <c r="C1558">
        <v>2024</v>
      </c>
      <c r="D1558" t="str">
        <f t="shared" si="48"/>
        <v>Apr</v>
      </c>
      <c r="E1558" t="s">
        <v>14</v>
      </c>
      <c r="F1558" t="s">
        <v>2045</v>
      </c>
      <c r="G1558" t="s">
        <v>19</v>
      </c>
      <c r="H1558" t="s">
        <v>25</v>
      </c>
      <c r="I1558">
        <v>3</v>
      </c>
      <c r="J1558" s="9">
        <v>4300</v>
      </c>
      <c r="K1558" s="7">
        <v>0.1</v>
      </c>
      <c r="L1558" s="9">
        <v>3870</v>
      </c>
      <c r="M1558" s="10">
        <f>Sales_Data3[[#This Row],[Profit]]/Sales_Data3[[#This Row],[Sales]]</f>
        <v>0.9</v>
      </c>
      <c r="N1558" t="str">
        <f t="shared" si="49"/>
        <v>Low</v>
      </c>
      <c r="O1558" s="2">
        <v>45398</v>
      </c>
      <c r="P1558" s="9">
        <v>4300</v>
      </c>
    </row>
    <row r="1559" spans="1:16" x14ac:dyDescent="0.25">
      <c r="A1559" t="s">
        <v>1580</v>
      </c>
      <c r="B1559" s="2">
        <v>45399</v>
      </c>
      <c r="C1559">
        <v>2024</v>
      </c>
      <c r="D1559" t="str">
        <f t="shared" si="48"/>
        <v>Apr</v>
      </c>
      <c r="E1559" t="s">
        <v>14</v>
      </c>
      <c r="F1559" t="s">
        <v>2046</v>
      </c>
      <c r="G1559" t="s">
        <v>20</v>
      </c>
      <c r="H1559" t="s">
        <v>25</v>
      </c>
      <c r="I1559">
        <v>8</v>
      </c>
      <c r="J1559" s="9">
        <v>9200</v>
      </c>
      <c r="K1559" s="7">
        <v>0.15000000000000002</v>
      </c>
      <c r="L1559" s="9">
        <v>7820</v>
      </c>
      <c r="M1559" s="10">
        <f>Sales_Data3[[#This Row],[Profit]]/Sales_Data3[[#This Row],[Sales]]</f>
        <v>0.85</v>
      </c>
      <c r="N1559" t="str">
        <f t="shared" si="49"/>
        <v>Medium</v>
      </c>
      <c r="O1559" s="2">
        <v>45399</v>
      </c>
      <c r="P1559" s="9">
        <v>9200</v>
      </c>
    </row>
    <row r="1560" spans="1:16" x14ac:dyDescent="0.25">
      <c r="A1560" t="s">
        <v>1581</v>
      </c>
      <c r="B1560" s="2">
        <v>45400</v>
      </c>
      <c r="C1560">
        <v>2024</v>
      </c>
      <c r="D1560" t="str">
        <f t="shared" si="48"/>
        <v>Apr</v>
      </c>
      <c r="E1560" t="s">
        <v>14</v>
      </c>
      <c r="F1560" t="s">
        <v>2047</v>
      </c>
      <c r="G1560" t="s">
        <v>21</v>
      </c>
      <c r="H1560" t="s">
        <v>25</v>
      </c>
      <c r="I1560">
        <v>10</v>
      </c>
      <c r="J1560" s="9">
        <v>4300</v>
      </c>
      <c r="K1560" s="7">
        <v>0.2</v>
      </c>
      <c r="L1560" s="9">
        <v>3440</v>
      </c>
      <c r="M1560" s="10">
        <f>Sales_Data3[[#This Row],[Profit]]/Sales_Data3[[#This Row],[Sales]]</f>
        <v>0.8</v>
      </c>
      <c r="N1560" t="str">
        <f t="shared" si="49"/>
        <v>Low</v>
      </c>
      <c r="O1560" s="2">
        <v>45400</v>
      </c>
      <c r="P1560" s="9">
        <v>4300</v>
      </c>
    </row>
    <row r="1561" spans="1:16" x14ac:dyDescent="0.25">
      <c r="A1561" t="s">
        <v>1582</v>
      </c>
      <c r="B1561" s="2">
        <v>45401</v>
      </c>
      <c r="C1561">
        <v>2024</v>
      </c>
      <c r="D1561" t="str">
        <f t="shared" si="48"/>
        <v>Apr</v>
      </c>
      <c r="E1561" t="s">
        <v>14</v>
      </c>
      <c r="F1561" t="s">
        <v>2048</v>
      </c>
      <c r="G1561" t="s">
        <v>22</v>
      </c>
      <c r="H1561" t="s">
        <v>25</v>
      </c>
      <c r="I1561">
        <v>6</v>
      </c>
      <c r="J1561" s="9">
        <v>8000</v>
      </c>
      <c r="K1561" s="7">
        <v>0.25</v>
      </c>
      <c r="L1561" s="9">
        <v>6000</v>
      </c>
      <c r="M1561" s="10">
        <f>Sales_Data3[[#This Row],[Profit]]/Sales_Data3[[#This Row],[Sales]]</f>
        <v>0.75</v>
      </c>
      <c r="N1561" t="str">
        <f t="shared" si="49"/>
        <v>Medium</v>
      </c>
      <c r="O1561" s="2">
        <v>45401</v>
      </c>
      <c r="P1561" s="9">
        <v>8000</v>
      </c>
    </row>
    <row r="1562" spans="1:16" x14ac:dyDescent="0.25">
      <c r="A1562" t="s">
        <v>1583</v>
      </c>
      <c r="B1562" s="2">
        <v>45402</v>
      </c>
      <c r="C1562">
        <v>2024</v>
      </c>
      <c r="D1562" t="str">
        <f t="shared" si="48"/>
        <v>Apr</v>
      </c>
      <c r="E1562" t="s">
        <v>12</v>
      </c>
      <c r="F1562" t="s">
        <v>15</v>
      </c>
      <c r="G1562" t="s">
        <v>19</v>
      </c>
      <c r="H1562" t="s">
        <v>23</v>
      </c>
      <c r="I1562">
        <v>1</v>
      </c>
      <c r="J1562" s="9">
        <v>6300</v>
      </c>
      <c r="K1562" s="7">
        <v>0.05</v>
      </c>
      <c r="L1562" s="9">
        <v>5985</v>
      </c>
      <c r="M1562" s="10">
        <f>Sales_Data3[[#This Row],[Profit]]/Sales_Data3[[#This Row],[Sales]]</f>
        <v>0.95</v>
      </c>
      <c r="N1562" t="str">
        <f t="shared" si="49"/>
        <v>Medium</v>
      </c>
      <c r="O1562" s="2">
        <v>45402</v>
      </c>
      <c r="P1562" s="9">
        <v>6300</v>
      </c>
    </row>
    <row r="1563" spans="1:16" x14ac:dyDescent="0.25">
      <c r="A1563" t="s">
        <v>1584</v>
      </c>
      <c r="B1563" s="2">
        <v>45403</v>
      </c>
      <c r="C1563">
        <v>2024</v>
      </c>
      <c r="D1563" t="str">
        <f t="shared" si="48"/>
        <v>Apr</v>
      </c>
      <c r="E1563" t="s">
        <v>12</v>
      </c>
      <c r="F1563" t="s">
        <v>17</v>
      </c>
      <c r="G1563" t="s">
        <v>20</v>
      </c>
      <c r="H1563" t="s">
        <v>23</v>
      </c>
      <c r="I1563">
        <v>8</v>
      </c>
      <c r="J1563" s="9">
        <v>8600</v>
      </c>
      <c r="K1563" s="7">
        <v>0.1</v>
      </c>
      <c r="L1563" s="9">
        <v>7740</v>
      </c>
      <c r="M1563" s="10">
        <f>Sales_Data3[[#This Row],[Profit]]/Sales_Data3[[#This Row],[Sales]]</f>
        <v>0.9</v>
      </c>
      <c r="N1563" t="str">
        <f t="shared" si="49"/>
        <v>Medium</v>
      </c>
      <c r="O1563" s="2">
        <v>45403</v>
      </c>
      <c r="P1563" s="9">
        <v>8600</v>
      </c>
    </row>
    <row r="1564" spans="1:16" x14ac:dyDescent="0.25">
      <c r="A1564" t="s">
        <v>1585</v>
      </c>
      <c r="B1564" s="2">
        <v>45404</v>
      </c>
      <c r="C1564">
        <v>2024</v>
      </c>
      <c r="D1564" t="str">
        <f t="shared" si="48"/>
        <v>Apr</v>
      </c>
      <c r="E1564" t="s">
        <v>12</v>
      </c>
      <c r="F1564" t="s">
        <v>2023</v>
      </c>
      <c r="G1564" t="s">
        <v>21</v>
      </c>
      <c r="H1564" t="s">
        <v>23</v>
      </c>
      <c r="I1564">
        <v>1</v>
      </c>
      <c r="J1564" s="9">
        <v>13100</v>
      </c>
      <c r="K1564" s="7">
        <v>0.15000000000000002</v>
      </c>
      <c r="L1564" s="9">
        <v>11135</v>
      </c>
      <c r="M1564" s="10">
        <f>Sales_Data3[[#This Row],[Profit]]/Sales_Data3[[#This Row],[Sales]]</f>
        <v>0.85</v>
      </c>
      <c r="N1564" t="str">
        <f t="shared" si="49"/>
        <v>High</v>
      </c>
      <c r="O1564" s="2">
        <v>45404</v>
      </c>
      <c r="P1564" s="9">
        <v>13100</v>
      </c>
    </row>
    <row r="1565" spans="1:16" x14ac:dyDescent="0.25">
      <c r="A1565" t="s">
        <v>1586</v>
      </c>
      <c r="B1565" s="2">
        <v>45405</v>
      </c>
      <c r="C1565">
        <v>2024</v>
      </c>
      <c r="D1565" t="str">
        <f t="shared" si="48"/>
        <v>Apr</v>
      </c>
      <c r="E1565" t="s">
        <v>12</v>
      </c>
      <c r="F1565" t="s">
        <v>18</v>
      </c>
      <c r="G1565" t="s">
        <v>22</v>
      </c>
      <c r="H1565" t="s">
        <v>23</v>
      </c>
      <c r="I1565">
        <v>9</v>
      </c>
      <c r="J1565" s="9">
        <v>10700</v>
      </c>
      <c r="K1565" s="7">
        <v>0.2</v>
      </c>
      <c r="L1565" s="9">
        <v>8560</v>
      </c>
      <c r="M1565" s="10">
        <f>Sales_Data3[[#This Row],[Profit]]/Sales_Data3[[#This Row],[Sales]]</f>
        <v>0.8</v>
      </c>
      <c r="N1565" t="str">
        <f t="shared" si="49"/>
        <v>High</v>
      </c>
      <c r="O1565" s="2">
        <v>45405</v>
      </c>
      <c r="P1565" s="9">
        <v>10700</v>
      </c>
    </row>
    <row r="1566" spans="1:16" x14ac:dyDescent="0.25">
      <c r="A1566" t="s">
        <v>1587</v>
      </c>
      <c r="B1566" s="2">
        <v>45406</v>
      </c>
      <c r="C1566">
        <v>2024</v>
      </c>
      <c r="D1566" t="str">
        <f t="shared" si="48"/>
        <v>Apr</v>
      </c>
      <c r="E1566" t="s">
        <v>12</v>
      </c>
      <c r="F1566" t="s">
        <v>2024</v>
      </c>
      <c r="G1566" t="s">
        <v>19</v>
      </c>
      <c r="H1566" t="s">
        <v>23</v>
      </c>
      <c r="I1566">
        <v>10</v>
      </c>
      <c r="J1566" s="9">
        <v>4100</v>
      </c>
      <c r="K1566" s="7">
        <v>0.25</v>
      </c>
      <c r="L1566" s="9">
        <v>3075</v>
      </c>
      <c r="M1566" s="10">
        <f>Sales_Data3[[#This Row],[Profit]]/Sales_Data3[[#This Row],[Sales]]</f>
        <v>0.75</v>
      </c>
      <c r="N1566" t="str">
        <f t="shared" si="49"/>
        <v>Low</v>
      </c>
      <c r="O1566" s="2">
        <v>45406</v>
      </c>
      <c r="P1566" s="9">
        <v>4100</v>
      </c>
    </row>
    <row r="1567" spans="1:16" x14ac:dyDescent="0.25">
      <c r="A1567" t="s">
        <v>1588</v>
      </c>
      <c r="B1567" s="2">
        <v>45407</v>
      </c>
      <c r="C1567">
        <v>2024</v>
      </c>
      <c r="D1567" t="str">
        <f t="shared" si="48"/>
        <v>Apr</v>
      </c>
      <c r="E1567" t="s">
        <v>12</v>
      </c>
      <c r="F1567" t="s">
        <v>2025</v>
      </c>
      <c r="G1567" t="s">
        <v>20</v>
      </c>
      <c r="H1567" t="s">
        <v>23</v>
      </c>
      <c r="I1567">
        <v>1</v>
      </c>
      <c r="J1567" s="9">
        <v>14800</v>
      </c>
      <c r="K1567" s="7">
        <v>0.05</v>
      </c>
      <c r="L1567" s="9">
        <v>14060</v>
      </c>
      <c r="M1567" s="10">
        <f>Sales_Data3[[#This Row],[Profit]]/Sales_Data3[[#This Row],[Sales]]</f>
        <v>0.95</v>
      </c>
      <c r="N1567" t="str">
        <f t="shared" si="49"/>
        <v>High</v>
      </c>
      <c r="O1567" s="2">
        <v>45407</v>
      </c>
      <c r="P1567" s="9">
        <v>14800</v>
      </c>
    </row>
    <row r="1568" spans="1:16" x14ac:dyDescent="0.25">
      <c r="A1568" t="s">
        <v>1589</v>
      </c>
      <c r="B1568" s="2">
        <v>45408</v>
      </c>
      <c r="C1568">
        <v>2024</v>
      </c>
      <c r="D1568" t="str">
        <f t="shared" si="48"/>
        <v>Apr</v>
      </c>
      <c r="E1568" t="s">
        <v>12</v>
      </c>
      <c r="F1568" t="s">
        <v>2026</v>
      </c>
      <c r="G1568" t="s">
        <v>21</v>
      </c>
      <c r="H1568" t="s">
        <v>23</v>
      </c>
      <c r="I1568">
        <v>2</v>
      </c>
      <c r="J1568" s="9">
        <v>12900</v>
      </c>
      <c r="K1568" s="7">
        <v>0.1</v>
      </c>
      <c r="L1568" s="9">
        <v>11610</v>
      </c>
      <c r="M1568" s="10">
        <f>Sales_Data3[[#This Row],[Profit]]/Sales_Data3[[#This Row],[Sales]]</f>
        <v>0.9</v>
      </c>
      <c r="N1568" t="str">
        <f t="shared" si="49"/>
        <v>High</v>
      </c>
      <c r="O1568" s="2">
        <v>45408</v>
      </c>
      <c r="P1568" s="9">
        <v>12900</v>
      </c>
    </row>
    <row r="1569" spans="1:16" x14ac:dyDescent="0.25">
      <c r="A1569" t="s">
        <v>1590</v>
      </c>
      <c r="B1569" s="2">
        <v>45409</v>
      </c>
      <c r="C1569">
        <v>2024</v>
      </c>
      <c r="D1569" t="str">
        <f t="shared" si="48"/>
        <v>Apr</v>
      </c>
      <c r="E1569" t="s">
        <v>12</v>
      </c>
      <c r="F1569" t="s">
        <v>2027</v>
      </c>
      <c r="G1569" t="s">
        <v>22</v>
      </c>
      <c r="H1569" t="s">
        <v>23</v>
      </c>
      <c r="I1569">
        <v>2</v>
      </c>
      <c r="J1569" s="9">
        <v>10100</v>
      </c>
      <c r="K1569" s="7">
        <v>0.15000000000000002</v>
      </c>
      <c r="L1569" s="9">
        <v>8585</v>
      </c>
      <c r="M1569" s="10">
        <f>Sales_Data3[[#This Row],[Profit]]/Sales_Data3[[#This Row],[Sales]]</f>
        <v>0.85</v>
      </c>
      <c r="N1569" t="str">
        <f t="shared" si="49"/>
        <v>High</v>
      </c>
      <c r="O1569" s="2">
        <v>45409</v>
      </c>
      <c r="P1569" s="9">
        <v>10100</v>
      </c>
    </row>
    <row r="1570" spans="1:16" x14ac:dyDescent="0.25">
      <c r="A1570" t="s">
        <v>1591</v>
      </c>
      <c r="B1570" s="2">
        <v>45410</v>
      </c>
      <c r="C1570">
        <v>2024</v>
      </c>
      <c r="D1570" t="str">
        <f t="shared" si="48"/>
        <v>Apr</v>
      </c>
      <c r="E1570" t="s">
        <v>12</v>
      </c>
      <c r="F1570" t="s">
        <v>2028</v>
      </c>
      <c r="G1570" t="s">
        <v>19</v>
      </c>
      <c r="H1570" t="s">
        <v>23</v>
      </c>
      <c r="I1570">
        <v>4</v>
      </c>
      <c r="J1570" s="9">
        <v>9500</v>
      </c>
      <c r="K1570" s="7">
        <v>0.2</v>
      </c>
      <c r="L1570" s="9">
        <v>7600</v>
      </c>
      <c r="M1570" s="10">
        <f>Sales_Data3[[#This Row],[Profit]]/Sales_Data3[[#This Row],[Sales]]</f>
        <v>0.8</v>
      </c>
      <c r="N1570" t="str">
        <f t="shared" si="49"/>
        <v>Medium</v>
      </c>
      <c r="O1570" s="2">
        <v>45410</v>
      </c>
      <c r="P1570" s="9">
        <v>9500</v>
      </c>
    </row>
    <row r="1571" spans="1:16" x14ac:dyDescent="0.25">
      <c r="A1571" t="s">
        <v>1592</v>
      </c>
      <c r="B1571" s="2">
        <v>45411</v>
      </c>
      <c r="C1571">
        <v>2024</v>
      </c>
      <c r="D1571" t="str">
        <f t="shared" si="48"/>
        <v>Apr</v>
      </c>
      <c r="E1571" t="s">
        <v>12</v>
      </c>
      <c r="F1571" t="s">
        <v>2029</v>
      </c>
      <c r="G1571" t="s">
        <v>20</v>
      </c>
      <c r="H1571" t="s">
        <v>23</v>
      </c>
      <c r="I1571">
        <v>5</v>
      </c>
      <c r="J1571" s="9">
        <v>8200</v>
      </c>
      <c r="K1571" s="7">
        <v>0.25</v>
      </c>
      <c r="L1571" s="9">
        <v>6150</v>
      </c>
      <c r="M1571" s="10">
        <f>Sales_Data3[[#This Row],[Profit]]/Sales_Data3[[#This Row],[Sales]]</f>
        <v>0.75</v>
      </c>
      <c r="N1571" t="str">
        <f t="shared" si="49"/>
        <v>Medium</v>
      </c>
      <c r="O1571" s="2">
        <v>45411</v>
      </c>
      <c r="P1571" s="9">
        <v>8200</v>
      </c>
    </row>
    <row r="1572" spans="1:16" x14ac:dyDescent="0.25">
      <c r="A1572" t="s">
        <v>1593</v>
      </c>
      <c r="B1572" s="2">
        <v>45412</v>
      </c>
      <c r="C1572">
        <v>2024</v>
      </c>
      <c r="D1572" t="str">
        <f t="shared" si="48"/>
        <v>Apr</v>
      </c>
      <c r="E1572" t="s">
        <v>13</v>
      </c>
      <c r="F1572" t="s">
        <v>16</v>
      </c>
      <c r="G1572" t="s">
        <v>21</v>
      </c>
      <c r="H1572" t="s">
        <v>24</v>
      </c>
      <c r="I1572">
        <v>2</v>
      </c>
      <c r="J1572" s="9">
        <v>6600</v>
      </c>
      <c r="K1572" s="7">
        <v>0.05</v>
      </c>
      <c r="L1572" s="9">
        <v>6270</v>
      </c>
      <c r="M1572" s="10">
        <f>Sales_Data3[[#This Row],[Profit]]/Sales_Data3[[#This Row],[Sales]]</f>
        <v>0.95</v>
      </c>
      <c r="N1572" t="str">
        <f t="shared" si="49"/>
        <v>Medium</v>
      </c>
      <c r="O1572" s="2">
        <v>45412</v>
      </c>
      <c r="P1572" s="9">
        <v>6600</v>
      </c>
    </row>
    <row r="1573" spans="1:16" x14ac:dyDescent="0.25">
      <c r="A1573" t="s">
        <v>1594</v>
      </c>
      <c r="B1573" s="2">
        <v>45413</v>
      </c>
      <c r="C1573">
        <v>2024</v>
      </c>
      <c r="D1573" t="str">
        <f t="shared" si="48"/>
        <v>May</v>
      </c>
      <c r="E1573" t="s">
        <v>13</v>
      </c>
      <c r="F1573" t="s">
        <v>2030</v>
      </c>
      <c r="G1573" t="s">
        <v>22</v>
      </c>
      <c r="H1573" t="s">
        <v>24</v>
      </c>
      <c r="I1573">
        <v>9</v>
      </c>
      <c r="J1573" s="9">
        <v>13400</v>
      </c>
      <c r="K1573" s="7">
        <v>0.1</v>
      </c>
      <c r="L1573" s="9">
        <v>12060</v>
      </c>
      <c r="M1573" s="10">
        <f>Sales_Data3[[#This Row],[Profit]]/Sales_Data3[[#This Row],[Sales]]</f>
        <v>0.9</v>
      </c>
      <c r="N1573" t="str">
        <f t="shared" si="49"/>
        <v>High</v>
      </c>
      <c r="O1573" s="2">
        <v>45413</v>
      </c>
      <c r="P1573" s="9">
        <v>13400</v>
      </c>
    </row>
    <row r="1574" spans="1:16" x14ac:dyDescent="0.25">
      <c r="A1574" t="s">
        <v>1595</v>
      </c>
      <c r="B1574" s="2">
        <v>45414</v>
      </c>
      <c r="C1574">
        <v>2024</v>
      </c>
      <c r="D1574" t="str">
        <f t="shared" si="48"/>
        <v>May</v>
      </c>
      <c r="E1574" t="s">
        <v>13</v>
      </c>
      <c r="F1574" t="s">
        <v>2031</v>
      </c>
      <c r="G1574" t="s">
        <v>19</v>
      </c>
      <c r="H1574" t="s">
        <v>24</v>
      </c>
      <c r="I1574">
        <v>5</v>
      </c>
      <c r="J1574" s="9">
        <v>7500</v>
      </c>
      <c r="K1574" s="7">
        <v>0.15000000000000002</v>
      </c>
      <c r="L1574" s="9">
        <v>6375</v>
      </c>
      <c r="M1574" s="10">
        <f>Sales_Data3[[#This Row],[Profit]]/Sales_Data3[[#This Row],[Sales]]</f>
        <v>0.85</v>
      </c>
      <c r="N1574" t="str">
        <f t="shared" si="49"/>
        <v>Medium</v>
      </c>
      <c r="O1574" s="2">
        <v>45414</v>
      </c>
      <c r="P1574" s="9">
        <v>7500</v>
      </c>
    </row>
    <row r="1575" spans="1:16" x14ac:dyDescent="0.25">
      <c r="A1575" t="s">
        <v>1596</v>
      </c>
      <c r="B1575" s="2">
        <v>45415</v>
      </c>
      <c r="C1575">
        <v>2024</v>
      </c>
      <c r="D1575" t="str">
        <f t="shared" si="48"/>
        <v>May</v>
      </c>
      <c r="E1575" t="s">
        <v>13</v>
      </c>
      <c r="F1575" t="s">
        <v>2032</v>
      </c>
      <c r="G1575" t="s">
        <v>20</v>
      </c>
      <c r="H1575" t="s">
        <v>24</v>
      </c>
      <c r="I1575">
        <v>2</v>
      </c>
      <c r="J1575" s="9">
        <v>14300</v>
      </c>
      <c r="K1575" s="7">
        <v>0.2</v>
      </c>
      <c r="L1575" s="9">
        <v>11440</v>
      </c>
      <c r="M1575" s="10">
        <f>Sales_Data3[[#This Row],[Profit]]/Sales_Data3[[#This Row],[Sales]]</f>
        <v>0.8</v>
      </c>
      <c r="N1575" t="str">
        <f t="shared" si="49"/>
        <v>High</v>
      </c>
      <c r="O1575" s="2">
        <v>45415</v>
      </c>
      <c r="P1575" s="9">
        <v>14300</v>
      </c>
    </row>
    <row r="1576" spans="1:16" x14ac:dyDescent="0.25">
      <c r="A1576" t="s">
        <v>1597</v>
      </c>
      <c r="B1576" s="2">
        <v>45416</v>
      </c>
      <c r="C1576">
        <v>2024</v>
      </c>
      <c r="D1576" t="str">
        <f t="shared" si="48"/>
        <v>May</v>
      </c>
      <c r="E1576" t="s">
        <v>13</v>
      </c>
      <c r="F1576" t="s">
        <v>2033</v>
      </c>
      <c r="G1576" t="s">
        <v>21</v>
      </c>
      <c r="H1576" t="s">
        <v>24</v>
      </c>
      <c r="I1576">
        <v>5</v>
      </c>
      <c r="J1576" s="9">
        <v>10000</v>
      </c>
      <c r="K1576" s="7">
        <v>0.25</v>
      </c>
      <c r="L1576" s="9">
        <v>7500</v>
      </c>
      <c r="M1576" s="10">
        <f>Sales_Data3[[#This Row],[Profit]]/Sales_Data3[[#This Row],[Sales]]</f>
        <v>0.75</v>
      </c>
      <c r="N1576" t="str">
        <f t="shared" si="49"/>
        <v>Medium</v>
      </c>
      <c r="O1576" s="2">
        <v>45416</v>
      </c>
      <c r="P1576" s="9">
        <v>10000</v>
      </c>
    </row>
    <row r="1577" spans="1:16" x14ac:dyDescent="0.25">
      <c r="A1577" t="s">
        <v>1598</v>
      </c>
      <c r="B1577" s="2">
        <v>45417</v>
      </c>
      <c r="C1577">
        <v>2024</v>
      </c>
      <c r="D1577" t="str">
        <f t="shared" si="48"/>
        <v>May</v>
      </c>
      <c r="E1577" t="s">
        <v>13</v>
      </c>
      <c r="F1577" t="s">
        <v>2034</v>
      </c>
      <c r="G1577" t="s">
        <v>22</v>
      </c>
      <c r="H1577" t="s">
        <v>24</v>
      </c>
      <c r="I1577">
        <v>8</v>
      </c>
      <c r="J1577" s="9">
        <v>14500</v>
      </c>
      <c r="K1577" s="7">
        <v>0.05</v>
      </c>
      <c r="L1577" s="9">
        <v>13775</v>
      </c>
      <c r="M1577" s="10">
        <f>Sales_Data3[[#This Row],[Profit]]/Sales_Data3[[#This Row],[Sales]]</f>
        <v>0.95</v>
      </c>
      <c r="N1577" t="str">
        <f t="shared" si="49"/>
        <v>High</v>
      </c>
      <c r="O1577" s="2">
        <v>45417</v>
      </c>
      <c r="P1577" s="9">
        <v>14500</v>
      </c>
    </row>
    <row r="1578" spans="1:16" x14ac:dyDescent="0.25">
      <c r="A1578" t="s">
        <v>1599</v>
      </c>
      <c r="B1578" s="2">
        <v>45418</v>
      </c>
      <c r="C1578">
        <v>2024</v>
      </c>
      <c r="D1578" t="str">
        <f t="shared" si="48"/>
        <v>May</v>
      </c>
      <c r="E1578" t="s">
        <v>13</v>
      </c>
      <c r="F1578" t="s">
        <v>2035</v>
      </c>
      <c r="G1578" t="s">
        <v>19</v>
      </c>
      <c r="H1578" t="s">
        <v>24</v>
      </c>
      <c r="I1578">
        <v>8</v>
      </c>
      <c r="J1578" s="9">
        <v>13600</v>
      </c>
      <c r="K1578" s="7">
        <v>0.1</v>
      </c>
      <c r="L1578" s="9">
        <v>12240</v>
      </c>
      <c r="M1578" s="10">
        <f>Sales_Data3[[#This Row],[Profit]]/Sales_Data3[[#This Row],[Sales]]</f>
        <v>0.9</v>
      </c>
      <c r="N1578" t="str">
        <f t="shared" si="49"/>
        <v>High</v>
      </c>
      <c r="O1578" s="2">
        <v>45418</v>
      </c>
      <c r="P1578" s="9">
        <v>13600</v>
      </c>
    </row>
    <row r="1579" spans="1:16" x14ac:dyDescent="0.25">
      <c r="A1579" t="s">
        <v>1600</v>
      </c>
      <c r="B1579" s="2">
        <v>45419</v>
      </c>
      <c r="C1579">
        <v>2024</v>
      </c>
      <c r="D1579" t="str">
        <f t="shared" si="48"/>
        <v>May</v>
      </c>
      <c r="E1579" t="s">
        <v>13</v>
      </c>
      <c r="F1579" t="s">
        <v>2036</v>
      </c>
      <c r="G1579" t="s">
        <v>20</v>
      </c>
      <c r="H1579" t="s">
        <v>24</v>
      </c>
      <c r="I1579">
        <v>9</v>
      </c>
      <c r="J1579" s="9">
        <v>5000</v>
      </c>
      <c r="K1579" s="7">
        <v>0.15000000000000002</v>
      </c>
      <c r="L1579" s="9">
        <v>4250</v>
      </c>
      <c r="M1579" s="10">
        <f>Sales_Data3[[#This Row],[Profit]]/Sales_Data3[[#This Row],[Sales]]</f>
        <v>0.85</v>
      </c>
      <c r="N1579" t="str">
        <f t="shared" si="49"/>
        <v>Low</v>
      </c>
      <c r="O1579" s="2">
        <v>45419</v>
      </c>
      <c r="P1579" s="9">
        <v>5000</v>
      </c>
    </row>
    <row r="1580" spans="1:16" x14ac:dyDescent="0.25">
      <c r="A1580" t="s">
        <v>1601</v>
      </c>
      <c r="B1580" s="2">
        <v>45420</v>
      </c>
      <c r="C1580">
        <v>2024</v>
      </c>
      <c r="D1580" t="str">
        <f t="shared" si="48"/>
        <v>May</v>
      </c>
      <c r="E1580" t="s">
        <v>13</v>
      </c>
      <c r="F1580" t="s">
        <v>2037</v>
      </c>
      <c r="G1580" t="s">
        <v>21</v>
      </c>
      <c r="H1580" t="s">
        <v>24</v>
      </c>
      <c r="I1580">
        <v>4</v>
      </c>
      <c r="J1580" s="9">
        <v>6200</v>
      </c>
      <c r="K1580" s="7">
        <v>0.2</v>
      </c>
      <c r="L1580" s="9">
        <v>4960</v>
      </c>
      <c r="M1580" s="10">
        <f>Sales_Data3[[#This Row],[Profit]]/Sales_Data3[[#This Row],[Sales]]</f>
        <v>0.8</v>
      </c>
      <c r="N1580" t="str">
        <f t="shared" si="49"/>
        <v>Medium</v>
      </c>
      <c r="O1580" s="2">
        <v>45420</v>
      </c>
      <c r="P1580" s="9">
        <v>6200</v>
      </c>
    </row>
    <row r="1581" spans="1:16" x14ac:dyDescent="0.25">
      <c r="A1581" t="s">
        <v>1602</v>
      </c>
      <c r="B1581" s="2">
        <v>45421</v>
      </c>
      <c r="C1581">
        <v>2024</v>
      </c>
      <c r="D1581" t="str">
        <f t="shared" si="48"/>
        <v>May</v>
      </c>
      <c r="E1581" t="s">
        <v>13</v>
      </c>
      <c r="F1581" t="s">
        <v>2038</v>
      </c>
      <c r="G1581" t="s">
        <v>22</v>
      </c>
      <c r="H1581" t="s">
        <v>24</v>
      </c>
      <c r="I1581">
        <v>3</v>
      </c>
      <c r="J1581" s="9">
        <v>5300</v>
      </c>
      <c r="K1581" s="7">
        <v>0.25</v>
      </c>
      <c r="L1581" s="9">
        <v>3975</v>
      </c>
      <c r="M1581" s="10">
        <f>Sales_Data3[[#This Row],[Profit]]/Sales_Data3[[#This Row],[Sales]]</f>
        <v>0.75</v>
      </c>
      <c r="N1581" t="str">
        <f t="shared" si="49"/>
        <v>Medium</v>
      </c>
      <c r="O1581" s="2">
        <v>45421</v>
      </c>
      <c r="P1581" s="9">
        <v>5300</v>
      </c>
    </row>
    <row r="1582" spans="1:16" x14ac:dyDescent="0.25">
      <c r="A1582" t="s">
        <v>1603</v>
      </c>
      <c r="B1582" s="2">
        <v>45422</v>
      </c>
      <c r="C1582">
        <v>2024</v>
      </c>
      <c r="D1582" t="str">
        <f t="shared" si="48"/>
        <v>May</v>
      </c>
      <c r="E1582" t="s">
        <v>14</v>
      </c>
      <c r="F1582" t="s">
        <v>2039</v>
      </c>
      <c r="G1582" t="s">
        <v>19</v>
      </c>
      <c r="H1582" t="s">
        <v>25</v>
      </c>
      <c r="I1582">
        <v>1</v>
      </c>
      <c r="J1582" s="9">
        <v>9600</v>
      </c>
      <c r="K1582" s="7">
        <v>0.05</v>
      </c>
      <c r="L1582" s="9">
        <v>9120</v>
      </c>
      <c r="M1582" s="10">
        <f>Sales_Data3[[#This Row],[Profit]]/Sales_Data3[[#This Row],[Sales]]</f>
        <v>0.95</v>
      </c>
      <c r="N1582" t="str">
        <f t="shared" si="49"/>
        <v>Medium</v>
      </c>
      <c r="O1582" s="2">
        <v>45422</v>
      </c>
      <c r="P1582" s="9">
        <v>9600</v>
      </c>
    </row>
    <row r="1583" spans="1:16" x14ac:dyDescent="0.25">
      <c r="A1583" t="s">
        <v>1604</v>
      </c>
      <c r="B1583" s="2">
        <v>45423</v>
      </c>
      <c r="C1583">
        <v>2024</v>
      </c>
      <c r="D1583" t="str">
        <f t="shared" si="48"/>
        <v>May</v>
      </c>
      <c r="E1583" t="s">
        <v>14</v>
      </c>
      <c r="F1583" t="s">
        <v>2040</v>
      </c>
      <c r="G1583" t="s">
        <v>20</v>
      </c>
      <c r="H1583" t="s">
        <v>25</v>
      </c>
      <c r="I1583">
        <v>4</v>
      </c>
      <c r="J1583" s="9">
        <v>10000</v>
      </c>
      <c r="K1583" s="7">
        <v>0.1</v>
      </c>
      <c r="L1583" s="9">
        <v>9000</v>
      </c>
      <c r="M1583" s="10">
        <f>Sales_Data3[[#This Row],[Profit]]/Sales_Data3[[#This Row],[Sales]]</f>
        <v>0.9</v>
      </c>
      <c r="N1583" t="str">
        <f t="shared" si="49"/>
        <v>Medium</v>
      </c>
      <c r="O1583" s="2">
        <v>45423</v>
      </c>
      <c r="P1583" s="9">
        <v>10000</v>
      </c>
    </row>
    <row r="1584" spans="1:16" x14ac:dyDescent="0.25">
      <c r="A1584" t="s">
        <v>1605</v>
      </c>
      <c r="B1584" s="2">
        <v>45424</v>
      </c>
      <c r="C1584">
        <v>2024</v>
      </c>
      <c r="D1584" t="str">
        <f t="shared" si="48"/>
        <v>May</v>
      </c>
      <c r="E1584" t="s">
        <v>14</v>
      </c>
      <c r="F1584" t="s">
        <v>2041</v>
      </c>
      <c r="G1584" t="s">
        <v>21</v>
      </c>
      <c r="H1584" t="s">
        <v>25</v>
      </c>
      <c r="I1584">
        <v>5</v>
      </c>
      <c r="J1584" s="9">
        <v>5900</v>
      </c>
      <c r="K1584" s="7">
        <v>0.15000000000000002</v>
      </c>
      <c r="L1584" s="9">
        <v>5015</v>
      </c>
      <c r="M1584" s="10">
        <f>Sales_Data3[[#This Row],[Profit]]/Sales_Data3[[#This Row],[Sales]]</f>
        <v>0.85</v>
      </c>
      <c r="N1584" t="str">
        <f t="shared" si="49"/>
        <v>Medium</v>
      </c>
      <c r="O1584" s="2">
        <v>45424</v>
      </c>
      <c r="P1584" s="9">
        <v>5900</v>
      </c>
    </row>
    <row r="1585" spans="1:16" x14ac:dyDescent="0.25">
      <c r="A1585" t="s">
        <v>1606</v>
      </c>
      <c r="B1585" s="2">
        <v>45425</v>
      </c>
      <c r="C1585">
        <v>2024</v>
      </c>
      <c r="D1585" t="str">
        <f t="shared" si="48"/>
        <v>May</v>
      </c>
      <c r="E1585" t="s">
        <v>14</v>
      </c>
      <c r="F1585" t="s">
        <v>2042</v>
      </c>
      <c r="G1585" t="s">
        <v>22</v>
      </c>
      <c r="H1585" t="s">
        <v>25</v>
      </c>
      <c r="I1585">
        <v>2</v>
      </c>
      <c r="J1585" s="9">
        <v>11900</v>
      </c>
      <c r="K1585" s="7">
        <v>0.2</v>
      </c>
      <c r="L1585" s="9">
        <v>9520</v>
      </c>
      <c r="M1585" s="10">
        <f>Sales_Data3[[#This Row],[Profit]]/Sales_Data3[[#This Row],[Sales]]</f>
        <v>0.8</v>
      </c>
      <c r="N1585" t="str">
        <f t="shared" si="49"/>
        <v>High</v>
      </c>
      <c r="O1585" s="2">
        <v>45425</v>
      </c>
      <c r="P1585" s="9">
        <v>11900</v>
      </c>
    </row>
    <row r="1586" spans="1:16" x14ac:dyDescent="0.25">
      <c r="A1586" t="s">
        <v>1607</v>
      </c>
      <c r="B1586" s="2">
        <v>45426</v>
      </c>
      <c r="C1586">
        <v>2024</v>
      </c>
      <c r="D1586" t="str">
        <f t="shared" si="48"/>
        <v>May</v>
      </c>
      <c r="E1586" t="s">
        <v>14</v>
      </c>
      <c r="F1586" t="s">
        <v>2043</v>
      </c>
      <c r="G1586" t="s">
        <v>19</v>
      </c>
      <c r="H1586" t="s">
        <v>25</v>
      </c>
      <c r="I1586">
        <v>2</v>
      </c>
      <c r="J1586" s="9">
        <v>9900</v>
      </c>
      <c r="K1586" s="7">
        <v>0.25</v>
      </c>
      <c r="L1586" s="9">
        <v>7425</v>
      </c>
      <c r="M1586" s="10">
        <f>Sales_Data3[[#This Row],[Profit]]/Sales_Data3[[#This Row],[Sales]]</f>
        <v>0.75</v>
      </c>
      <c r="N1586" t="str">
        <f t="shared" si="49"/>
        <v>Medium</v>
      </c>
      <c r="O1586" s="2">
        <v>45426</v>
      </c>
      <c r="P1586" s="9">
        <v>9900</v>
      </c>
    </row>
    <row r="1587" spans="1:16" x14ac:dyDescent="0.25">
      <c r="A1587" t="s">
        <v>1608</v>
      </c>
      <c r="B1587" s="2">
        <v>45427</v>
      </c>
      <c r="C1587">
        <v>2024</v>
      </c>
      <c r="D1587" t="str">
        <f t="shared" si="48"/>
        <v>May</v>
      </c>
      <c r="E1587" t="s">
        <v>14</v>
      </c>
      <c r="F1587" t="s">
        <v>2044</v>
      </c>
      <c r="G1587" t="s">
        <v>20</v>
      </c>
      <c r="H1587" t="s">
        <v>25</v>
      </c>
      <c r="I1587">
        <v>1</v>
      </c>
      <c r="J1587" s="9">
        <v>5500</v>
      </c>
      <c r="K1587" s="7">
        <v>0.05</v>
      </c>
      <c r="L1587" s="9">
        <v>5225</v>
      </c>
      <c r="M1587" s="10">
        <f>Sales_Data3[[#This Row],[Profit]]/Sales_Data3[[#This Row],[Sales]]</f>
        <v>0.95</v>
      </c>
      <c r="N1587" t="str">
        <f t="shared" si="49"/>
        <v>Medium</v>
      </c>
      <c r="O1587" s="2">
        <v>45427</v>
      </c>
      <c r="P1587" s="9">
        <v>5500</v>
      </c>
    </row>
    <row r="1588" spans="1:16" x14ac:dyDescent="0.25">
      <c r="A1588" t="s">
        <v>1609</v>
      </c>
      <c r="B1588" s="2">
        <v>45428</v>
      </c>
      <c r="C1588">
        <v>2024</v>
      </c>
      <c r="D1588" t="str">
        <f t="shared" si="48"/>
        <v>May</v>
      </c>
      <c r="E1588" t="s">
        <v>14</v>
      </c>
      <c r="F1588" t="s">
        <v>2045</v>
      </c>
      <c r="G1588" t="s">
        <v>21</v>
      </c>
      <c r="H1588" t="s">
        <v>25</v>
      </c>
      <c r="I1588">
        <v>3</v>
      </c>
      <c r="J1588" s="9">
        <v>11900</v>
      </c>
      <c r="K1588" s="7">
        <v>0.1</v>
      </c>
      <c r="L1588" s="9">
        <v>10710</v>
      </c>
      <c r="M1588" s="10">
        <f>Sales_Data3[[#This Row],[Profit]]/Sales_Data3[[#This Row],[Sales]]</f>
        <v>0.9</v>
      </c>
      <c r="N1588" t="str">
        <f t="shared" si="49"/>
        <v>High</v>
      </c>
      <c r="O1588" s="2">
        <v>45428</v>
      </c>
      <c r="P1588" s="9">
        <v>11900</v>
      </c>
    </row>
    <row r="1589" spans="1:16" x14ac:dyDescent="0.25">
      <c r="A1589" t="s">
        <v>1610</v>
      </c>
      <c r="B1589" s="2">
        <v>45429</v>
      </c>
      <c r="C1589">
        <v>2024</v>
      </c>
      <c r="D1589" t="str">
        <f t="shared" si="48"/>
        <v>May</v>
      </c>
      <c r="E1589" t="s">
        <v>14</v>
      </c>
      <c r="F1589" t="s">
        <v>2046</v>
      </c>
      <c r="G1589" t="s">
        <v>22</v>
      </c>
      <c r="H1589" t="s">
        <v>25</v>
      </c>
      <c r="I1589">
        <v>4</v>
      </c>
      <c r="J1589" s="9">
        <v>8100</v>
      </c>
      <c r="K1589" s="7">
        <v>0.15000000000000002</v>
      </c>
      <c r="L1589" s="9">
        <v>6885</v>
      </c>
      <c r="M1589" s="10">
        <f>Sales_Data3[[#This Row],[Profit]]/Sales_Data3[[#This Row],[Sales]]</f>
        <v>0.85</v>
      </c>
      <c r="N1589" t="str">
        <f t="shared" si="49"/>
        <v>Medium</v>
      </c>
      <c r="O1589" s="2">
        <v>45429</v>
      </c>
      <c r="P1589" s="9">
        <v>8100</v>
      </c>
    </row>
    <row r="1590" spans="1:16" x14ac:dyDescent="0.25">
      <c r="A1590" t="s">
        <v>1611</v>
      </c>
      <c r="B1590" s="2">
        <v>45430</v>
      </c>
      <c r="C1590">
        <v>2024</v>
      </c>
      <c r="D1590" t="str">
        <f t="shared" si="48"/>
        <v>May</v>
      </c>
      <c r="E1590" t="s">
        <v>14</v>
      </c>
      <c r="F1590" t="s">
        <v>2047</v>
      </c>
      <c r="G1590" t="s">
        <v>19</v>
      </c>
      <c r="H1590" t="s">
        <v>25</v>
      </c>
      <c r="I1590">
        <v>6</v>
      </c>
      <c r="J1590" s="9">
        <v>12400</v>
      </c>
      <c r="K1590" s="7">
        <v>0.2</v>
      </c>
      <c r="L1590" s="9">
        <v>9920</v>
      </c>
      <c r="M1590" s="10">
        <f>Sales_Data3[[#This Row],[Profit]]/Sales_Data3[[#This Row],[Sales]]</f>
        <v>0.8</v>
      </c>
      <c r="N1590" t="str">
        <f t="shared" si="49"/>
        <v>High</v>
      </c>
      <c r="O1590" s="2">
        <v>45430</v>
      </c>
      <c r="P1590" s="9">
        <v>12400</v>
      </c>
    </row>
    <row r="1591" spans="1:16" x14ac:dyDescent="0.25">
      <c r="A1591" t="s">
        <v>1612</v>
      </c>
      <c r="B1591" s="2">
        <v>45431</v>
      </c>
      <c r="C1591">
        <v>2024</v>
      </c>
      <c r="D1591" t="str">
        <f t="shared" si="48"/>
        <v>May</v>
      </c>
      <c r="E1591" t="s">
        <v>14</v>
      </c>
      <c r="F1591" t="s">
        <v>2048</v>
      </c>
      <c r="G1591" t="s">
        <v>20</v>
      </c>
      <c r="H1591" t="s">
        <v>25</v>
      </c>
      <c r="I1591">
        <v>10</v>
      </c>
      <c r="J1591" s="9">
        <v>10800</v>
      </c>
      <c r="K1591" s="7">
        <v>0.25</v>
      </c>
      <c r="L1591" s="9">
        <v>8100</v>
      </c>
      <c r="M1591" s="10">
        <f>Sales_Data3[[#This Row],[Profit]]/Sales_Data3[[#This Row],[Sales]]</f>
        <v>0.75</v>
      </c>
      <c r="N1591" t="str">
        <f t="shared" si="49"/>
        <v>High</v>
      </c>
      <c r="O1591" s="2">
        <v>45431</v>
      </c>
      <c r="P1591" s="9">
        <v>10800</v>
      </c>
    </row>
    <row r="1592" spans="1:16" x14ac:dyDescent="0.25">
      <c r="A1592" t="s">
        <v>1613</v>
      </c>
      <c r="B1592" s="2">
        <v>45432</v>
      </c>
      <c r="C1592">
        <v>2024</v>
      </c>
      <c r="D1592" t="str">
        <f t="shared" si="48"/>
        <v>May</v>
      </c>
      <c r="E1592" t="s">
        <v>12</v>
      </c>
      <c r="F1592" t="s">
        <v>15</v>
      </c>
      <c r="G1592" t="s">
        <v>21</v>
      </c>
      <c r="H1592" t="s">
        <v>23</v>
      </c>
      <c r="I1592">
        <v>8</v>
      </c>
      <c r="J1592" s="9">
        <v>4300</v>
      </c>
      <c r="K1592" s="7">
        <v>0.05</v>
      </c>
      <c r="L1592" s="9">
        <v>4085</v>
      </c>
      <c r="M1592" s="10">
        <f>Sales_Data3[[#This Row],[Profit]]/Sales_Data3[[#This Row],[Sales]]</f>
        <v>0.95</v>
      </c>
      <c r="N1592" t="str">
        <f t="shared" si="49"/>
        <v>Low</v>
      </c>
      <c r="O1592" s="2">
        <v>45432</v>
      </c>
      <c r="P1592" s="9">
        <v>4300</v>
      </c>
    </row>
    <row r="1593" spans="1:16" x14ac:dyDescent="0.25">
      <c r="A1593" t="s">
        <v>1614</v>
      </c>
      <c r="B1593" s="2">
        <v>45433</v>
      </c>
      <c r="C1593">
        <v>2024</v>
      </c>
      <c r="D1593" t="str">
        <f t="shared" si="48"/>
        <v>May</v>
      </c>
      <c r="E1593" t="s">
        <v>12</v>
      </c>
      <c r="F1593" t="s">
        <v>17</v>
      </c>
      <c r="G1593" t="s">
        <v>22</v>
      </c>
      <c r="H1593" t="s">
        <v>23</v>
      </c>
      <c r="I1593">
        <v>4</v>
      </c>
      <c r="J1593" s="9">
        <v>8600</v>
      </c>
      <c r="K1593" s="7">
        <v>0.1</v>
      </c>
      <c r="L1593" s="9">
        <v>7740</v>
      </c>
      <c r="M1593" s="10">
        <f>Sales_Data3[[#This Row],[Profit]]/Sales_Data3[[#This Row],[Sales]]</f>
        <v>0.9</v>
      </c>
      <c r="N1593" t="str">
        <f t="shared" si="49"/>
        <v>Medium</v>
      </c>
      <c r="O1593" s="2">
        <v>45433</v>
      </c>
      <c r="P1593" s="9">
        <v>8600</v>
      </c>
    </row>
    <row r="1594" spans="1:16" x14ac:dyDescent="0.25">
      <c r="A1594" t="s">
        <v>1615</v>
      </c>
      <c r="B1594" s="2">
        <v>45434</v>
      </c>
      <c r="C1594">
        <v>2024</v>
      </c>
      <c r="D1594" t="str">
        <f t="shared" si="48"/>
        <v>May</v>
      </c>
      <c r="E1594" t="s">
        <v>12</v>
      </c>
      <c r="F1594" t="s">
        <v>2023</v>
      </c>
      <c r="G1594" t="s">
        <v>19</v>
      </c>
      <c r="H1594" t="s">
        <v>23</v>
      </c>
      <c r="I1594">
        <v>1</v>
      </c>
      <c r="J1594" s="9">
        <v>9200</v>
      </c>
      <c r="K1594" s="7">
        <v>0.15000000000000002</v>
      </c>
      <c r="L1594" s="9">
        <v>7820</v>
      </c>
      <c r="M1594" s="10">
        <f>Sales_Data3[[#This Row],[Profit]]/Sales_Data3[[#This Row],[Sales]]</f>
        <v>0.85</v>
      </c>
      <c r="N1594" t="str">
        <f t="shared" si="49"/>
        <v>Medium</v>
      </c>
      <c r="O1594" s="2">
        <v>45434</v>
      </c>
      <c r="P1594" s="9">
        <v>9200</v>
      </c>
    </row>
    <row r="1595" spans="1:16" x14ac:dyDescent="0.25">
      <c r="A1595" t="s">
        <v>1616</v>
      </c>
      <c r="B1595" s="2">
        <v>45435</v>
      </c>
      <c r="C1595">
        <v>2024</v>
      </c>
      <c r="D1595" t="str">
        <f t="shared" si="48"/>
        <v>May</v>
      </c>
      <c r="E1595" t="s">
        <v>12</v>
      </c>
      <c r="F1595" t="s">
        <v>18</v>
      </c>
      <c r="G1595" t="s">
        <v>20</v>
      </c>
      <c r="H1595" t="s">
        <v>23</v>
      </c>
      <c r="I1595">
        <v>1</v>
      </c>
      <c r="J1595" s="9">
        <v>9500</v>
      </c>
      <c r="K1595" s="7">
        <v>0.2</v>
      </c>
      <c r="L1595" s="9">
        <v>7600</v>
      </c>
      <c r="M1595" s="10">
        <f>Sales_Data3[[#This Row],[Profit]]/Sales_Data3[[#This Row],[Sales]]</f>
        <v>0.8</v>
      </c>
      <c r="N1595" t="str">
        <f t="shared" si="49"/>
        <v>Medium</v>
      </c>
      <c r="O1595" s="2">
        <v>45435</v>
      </c>
      <c r="P1595" s="9">
        <v>9500</v>
      </c>
    </row>
    <row r="1596" spans="1:16" x14ac:dyDescent="0.25">
      <c r="A1596" t="s">
        <v>1617</v>
      </c>
      <c r="B1596" s="2">
        <v>45436</v>
      </c>
      <c r="C1596">
        <v>2024</v>
      </c>
      <c r="D1596" t="str">
        <f t="shared" si="48"/>
        <v>May</v>
      </c>
      <c r="E1596" t="s">
        <v>12</v>
      </c>
      <c r="F1596" t="s">
        <v>2024</v>
      </c>
      <c r="G1596" t="s">
        <v>21</v>
      </c>
      <c r="H1596" t="s">
        <v>23</v>
      </c>
      <c r="I1596">
        <v>6</v>
      </c>
      <c r="J1596" s="9">
        <v>14400</v>
      </c>
      <c r="K1596" s="7">
        <v>0.25</v>
      </c>
      <c r="L1596" s="9">
        <v>10800</v>
      </c>
      <c r="M1596" s="10">
        <f>Sales_Data3[[#This Row],[Profit]]/Sales_Data3[[#This Row],[Sales]]</f>
        <v>0.75</v>
      </c>
      <c r="N1596" t="str">
        <f t="shared" si="49"/>
        <v>High</v>
      </c>
      <c r="O1596" s="2">
        <v>45436</v>
      </c>
      <c r="P1596" s="9">
        <v>14400</v>
      </c>
    </row>
    <row r="1597" spans="1:16" x14ac:dyDescent="0.25">
      <c r="A1597" t="s">
        <v>1618</v>
      </c>
      <c r="B1597" s="2">
        <v>45437</v>
      </c>
      <c r="C1597">
        <v>2024</v>
      </c>
      <c r="D1597" t="str">
        <f t="shared" si="48"/>
        <v>May</v>
      </c>
      <c r="E1597" t="s">
        <v>12</v>
      </c>
      <c r="F1597" t="s">
        <v>2025</v>
      </c>
      <c r="G1597" t="s">
        <v>22</v>
      </c>
      <c r="H1597" t="s">
        <v>23</v>
      </c>
      <c r="I1597">
        <v>5</v>
      </c>
      <c r="J1597" s="9">
        <v>13700</v>
      </c>
      <c r="K1597" s="7">
        <v>0.05</v>
      </c>
      <c r="L1597" s="9">
        <v>13015</v>
      </c>
      <c r="M1597" s="10">
        <f>Sales_Data3[[#This Row],[Profit]]/Sales_Data3[[#This Row],[Sales]]</f>
        <v>0.95</v>
      </c>
      <c r="N1597" t="str">
        <f t="shared" si="49"/>
        <v>High</v>
      </c>
      <c r="O1597" s="2">
        <v>45437</v>
      </c>
      <c r="P1597" s="9">
        <v>13700</v>
      </c>
    </row>
    <row r="1598" spans="1:16" x14ac:dyDescent="0.25">
      <c r="A1598" t="s">
        <v>1619</v>
      </c>
      <c r="B1598" s="2">
        <v>45438</v>
      </c>
      <c r="C1598">
        <v>2024</v>
      </c>
      <c r="D1598" t="str">
        <f t="shared" si="48"/>
        <v>May</v>
      </c>
      <c r="E1598" t="s">
        <v>12</v>
      </c>
      <c r="F1598" t="s">
        <v>2026</v>
      </c>
      <c r="G1598" t="s">
        <v>19</v>
      </c>
      <c r="H1598" t="s">
        <v>23</v>
      </c>
      <c r="I1598">
        <v>2</v>
      </c>
      <c r="J1598" s="9">
        <v>5500</v>
      </c>
      <c r="K1598" s="7">
        <v>0.1</v>
      </c>
      <c r="L1598" s="9">
        <v>4950</v>
      </c>
      <c r="M1598" s="10">
        <f>Sales_Data3[[#This Row],[Profit]]/Sales_Data3[[#This Row],[Sales]]</f>
        <v>0.9</v>
      </c>
      <c r="N1598" t="str">
        <f t="shared" si="49"/>
        <v>Medium</v>
      </c>
      <c r="O1598" s="2">
        <v>45438</v>
      </c>
      <c r="P1598" s="9">
        <v>5500</v>
      </c>
    </row>
    <row r="1599" spans="1:16" x14ac:dyDescent="0.25">
      <c r="A1599" t="s">
        <v>1620</v>
      </c>
      <c r="B1599" s="2">
        <v>45439</v>
      </c>
      <c r="C1599">
        <v>2024</v>
      </c>
      <c r="D1599" t="str">
        <f t="shared" si="48"/>
        <v>May</v>
      </c>
      <c r="E1599" t="s">
        <v>12</v>
      </c>
      <c r="F1599" t="s">
        <v>2027</v>
      </c>
      <c r="G1599" t="s">
        <v>20</v>
      </c>
      <c r="H1599" t="s">
        <v>23</v>
      </c>
      <c r="I1599">
        <v>4</v>
      </c>
      <c r="J1599" s="9">
        <v>10400</v>
      </c>
      <c r="K1599" s="7">
        <v>0.15000000000000002</v>
      </c>
      <c r="L1599" s="9">
        <v>8840</v>
      </c>
      <c r="M1599" s="10">
        <f>Sales_Data3[[#This Row],[Profit]]/Sales_Data3[[#This Row],[Sales]]</f>
        <v>0.85</v>
      </c>
      <c r="N1599" t="str">
        <f t="shared" si="49"/>
        <v>High</v>
      </c>
      <c r="O1599" s="2">
        <v>45439</v>
      </c>
      <c r="P1599" s="9">
        <v>10400</v>
      </c>
    </row>
    <row r="1600" spans="1:16" x14ac:dyDescent="0.25">
      <c r="A1600" t="s">
        <v>1621</v>
      </c>
      <c r="B1600" s="2">
        <v>45440</v>
      </c>
      <c r="C1600">
        <v>2024</v>
      </c>
      <c r="D1600" t="str">
        <f t="shared" si="48"/>
        <v>May</v>
      </c>
      <c r="E1600" t="s">
        <v>12</v>
      </c>
      <c r="F1600" t="s">
        <v>2028</v>
      </c>
      <c r="G1600" t="s">
        <v>21</v>
      </c>
      <c r="H1600" t="s">
        <v>23</v>
      </c>
      <c r="I1600">
        <v>9</v>
      </c>
      <c r="J1600" s="9">
        <v>11100</v>
      </c>
      <c r="K1600" s="7">
        <v>0.2</v>
      </c>
      <c r="L1600" s="9">
        <v>8880</v>
      </c>
      <c r="M1600" s="10">
        <f>Sales_Data3[[#This Row],[Profit]]/Sales_Data3[[#This Row],[Sales]]</f>
        <v>0.8</v>
      </c>
      <c r="N1600" t="str">
        <f t="shared" si="49"/>
        <v>High</v>
      </c>
      <c r="O1600" s="2">
        <v>45440</v>
      </c>
      <c r="P1600" s="9">
        <v>11100</v>
      </c>
    </row>
    <row r="1601" spans="1:16" x14ac:dyDescent="0.25">
      <c r="A1601" t="s">
        <v>1622</v>
      </c>
      <c r="B1601" s="2">
        <v>45441</v>
      </c>
      <c r="C1601">
        <v>2024</v>
      </c>
      <c r="D1601" t="str">
        <f t="shared" si="48"/>
        <v>May</v>
      </c>
      <c r="E1601" t="s">
        <v>12</v>
      </c>
      <c r="F1601" t="s">
        <v>2029</v>
      </c>
      <c r="G1601" t="s">
        <v>22</v>
      </c>
      <c r="H1601" t="s">
        <v>23</v>
      </c>
      <c r="I1601">
        <v>2</v>
      </c>
      <c r="J1601" s="9">
        <v>9400</v>
      </c>
      <c r="K1601" s="7">
        <v>0.25</v>
      </c>
      <c r="L1601" s="9">
        <v>7050</v>
      </c>
      <c r="M1601" s="10">
        <f>Sales_Data3[[#This Row],[Profit]]/Sales_Data3[[#This Row],[Sales]]</f>
        <v>0.75</v>
      </c>
      <c r="N1601" t="str">
        <f t="shared" si="49"/>
        <v>Medium</v>
      </c>
      <c r="O1601" s="2">
        <v>45441</v>
      </c>
      <c r="P1601" s="9">
        <v>9400</v>
      </c>
    </row>
    <row r="1602" spans="1:16" x14ac:dyDescent="0.25">
      <c r="A1602" t="s">
        <v>1623</v>
      </c>
      <c r="B1602" s="2">
        <v>45442</v>
      </c>
      <c r="C1602">
        <v>2024</v>
      </c>
      <c r="D1602" t="str">
        <f t="shared" ref="D1602:D1665" si="50">TEXT(B1602,"MMM")</f>
        <v>May</v>
      </c>
      <c r="E1602" t="s">
        <v>13</v>
      </c>
      <c r="F1602" t="s">
        <v>16</v>
      </c>
      <c r="G1602" t="s">
        <v>19</v>
      </c>
      <c r="H1602" t="s">
        <v>24</v>
      </c>
      <c r="I1602">
        <v>6</v>
      </c>
      <c r="J1602" s="9">
        <v>11300</v>
      </c>
      <c r="K1602" s="7">
        <v>0.05</v>
      </c>
      <c r="L1602" s="9">
        <v>10735</v>
      </c>
      <c r="M1602" s="10">
        <f>Sales_Data3[[#This Row],[Profit]]/Sales_Data3[[#This Row],[Sales]]</f>
        <v>0.95</v>
      </c>
      <c r="N1602" t="str">
        <f t="shared" ref="N1602:N1665" si="51">IF(J1602&gt;10000,"High",IF(J1602&gt;5000,"Medium","Low"))</f>
        <v>High</v>
      </c>
      <c r="O1602" s="2">
        <v>45442</v>
      </c>
      <c r="P1602" s="9">
        <v>11300</v>
      </c>
    </row>
    <row r="1603" spans="1:16" x14ac:dyDescent="0.25">
      <c r="A1603" t="s">
        <v>1624</v>
      </c>
      <c r="B1603" s="2">
        <v>45443</v>
      </c>
      <c r="C1603">
        <v>2024</v>
      </c>
      <c r="D1603" t="str">
        <f t="shared" si="50"/>
        <v>May</v>
      </c>
      <c r="E1603" t="s">
        <v>13</v>
      </c>
      <c r="F1603" t="s">
        <v>2030</v>
      </c>
      <c r="G1603" t="s">
        <v>20</v>
      </c>
      <c r="H1603" t="s">
        <v>24</v>
      </c>
      <c r="I1603">
        <v>4</v>
      </c>
      <c r="J1603" s="9">
        <v>11900</v>
      </c>
      <c r="K1603" s="7">
        <v>0.1</v>
      </c>
      <c r="L1603" s="9">
        <v>10710</v>
      </c>
      <c r="M1603" s="10">
        <f>Sales_Data3[[#This Row],[Profit]]/Sales_Data3[[#This Row],[Sales]]</f>
        <v>0.9</v>
      </c>
      <c r="N1603" t="str">
        <f t="shared" si="51"/>
        <v>High</v>
      </c>
      <c r="O1603" s="2">
        <v>45443</v>
      </c>
      <c r="P1603" s="9">
        <v>11900</v>
      </c>
    </row>
    <row r="1604" spans="1:16" x14ac:dyDescent="0.25">
      <c r="A1604" t="s">
        <v>1625</v>
      </c>
      <c r="B1604" s="2">
        <v>45444</v>
      </c>
      <c r="C1604">
        <v>2024</v>
      </c>
      <c r="D1604" t="str">
        <f t="shared" si="50"/>
        <v>Jun</v>
      </c>
      <c r="E1604" t="s">
        <v>13</v>
      </c>
      <c r="F1604" t="s">
        <v>2031</v>
      </c>
      <c r="G1604" t="s">
        <v>21</v>
      </c>
      <c r="H1604" t="s">
        <v>24</v>
      </c>
      <c r="I1604">
        <v>8</v>
      </c>
      <c r="J1604" s="9">
        <v>14400</v>
      </c>
      <c r="K1604" s="7">
        <v>0.15000000000000002</v>
      </c>
      <c r="L1604" s="9">
        <v>12240</v>
      </c>
      <c r="M1604" s="10">
        <f>Sales_Data3[[#This Row],[Profit]]/Sales_Data3[[#This Row],[Sales]]</f>
        <v>0.85</v>
      </c>
      <c r="N1604" t="str">
        <f t="shared" si="51"/>
        <v>High</v>
      </c>
      <c r="O1604" s="2">
        <v>45444</v>
      </c>
      <c r="P1604" s="9">
        <v>14400</v>
      </c>
    </row>
    <row r="1605" spans="1:16" x14ac:dyDescent="0.25">
      <c r="A1605" t="s">
        <v>1626</v>
      </c>
      <c r="B1605" s="2">
        <v>45445</v>
      </c>
      <c r="C1605">
        <v>2024</v>
      </c>
      <c r="D1605" t="str">
        <f t="shared" si="50"/>
        <v>Jun</v>
      </c>
      <c r="E1605" t="s">
        <v>13</v>
      </c>
      <c r="F1605" t="s">
        <v>2032</v>
      </c>
      <c r="G1605" t="s">
        <v>22</v>
      </c>
      <c r="H1605" t="s">
        <v>24</v>
      </c>
      <c r="I1605">
        <v>7</v>
      </c>
      <c r="J1605" s="9">
        <v>8000</v>
      </c>
      <c r="K1605" s="7">
        <v>0.2</v>
      </c>
      <c r="L1605" s="9">
        <v>6400</v>
      </c>
      <c r="M1605" s="10">
        <f>Sales_Data3[[#This Row],[Profit]]/Sales_Data3[[#This Row],[Sales]]</f>
        <v>0.8</v>
      </c>
      <c r="N1605" t="str">
        <f t="shared" si="51"/>
        <v>Medium</v>
      </c>
      <c r="O1605" s="2">
        <v>45445</v>
      </c>
      <c r="P1605" s="9">
        <v>8000</v>
      </c>
    </row>
    <row r="1606" spans="1:16" x14ac:dyDescent="0.25">
      <c r="A1606" t="s">
        <v>1627</v>
      </c>
      <c r="B1606" s="2">
        <v>45446</v>
      </c>
      <c r="C1606">
        <v>2024</v>
      </c>
      <c r="D1606" t="str">
        <f t="shared" si="50"/>
        <v>Jun</v>
      </c>
      <c r="E1606" t="s">
        <v>13</v>
      </c>
      <c r="F1606" t="s">
        <v>2033</v>
      </c>
      <c r="G1606" t="s">
        <v>19</v>
      </c>
      <c r="H1606" t="s">
        <v>24</v>
      </c>
      <c r="I1606">
        <v>5</v>
      </c>
      <c r="J1606" s="9">
        <v>13300</v>
      </c>
      <c r="K1606" s="7">
        <v>0.25</v>
      </c>
      <c r="L1606" s="9">
        <v>9975</v>
      </c>
      <c r="M1606" s="10">
        <f>Sales_Data3[[#This Row],[Profit]]/Sales_Data3[[#This Row],[Sales]]</f>
        <v>0.75</v>
      </c>
      <c r="N1606" t="str">
        <f t="shared" si="51"/>
        <v>High</v>
      </c>
      <c r="O1606" s="2">
        <v>45446</v>
      </c>
      <c r="P1606" s="9">
        <v>13300</v>
      </c>
    </row>
    <row r="1607" spans="1:16" x14ac:dyDescent="0.25">
      <c r="A1607" t="s">
        <v>1628</v>
      </c>
      <c r="B1607" s="2">
        <v>45447</v>
      </c>
      <c r="C1607">
        <v>2024</v>
      </c>
      <c r="D1607" t="str">
        <f t="shared" si="50"/>
        <v>Jun</v>
      </c>
      <c r="E1607" t="s">
        <v>13</v>
      </c>
      <c r="F1607" t="s">
        <v>2034</v>
      </c>
      <c r="G1607" t="s">
        <v>20</v>
      </c>
      <c r="H1607" t="s">
        <v>24</v>
      </c>
      <c r="I1607">
        <v>8</v>
      </c>
      <c r="J1607" s="9">
        <v>6400</v>
      </c>
      <c r="K1607" s="7">
        <v>0.05</v>
      </c>
      <c r="L1607" s="9">
        <v>6080</v>
      </c>
      <c r="M1607" s="10">
        <f>Sales_Data3[[#This Row],[Profit]]/Sales_Data3[[#This Row],[Sales]]</f>
        <v>0.95</v>
      </c>
      <c r="N1607" t="str">
        <f t="shared" si="51"/>
        <v>Medium</v>
      </c>
      <c r="O1607" s="2">
        <v>45447</v>
      </c>
      <c r="P1607" s="9">
        <v>6400</v>
      </c>
    </row>
    <row r="1608" spans="1:16" x14ac:dyDescent="0.25">
      <c r="A1608" t="s">
        <v>1629</v>
      </c>
      <c r="B1608" s="2">
        <v>45448</v>
      </c>
      <c r="C1608">
        <v>2024</v>
      </c>
      <c r="D1608" t="str">
        <f t="shared" si="50"/>
        <v>Jun</v>
      </c>
      <c r="E1608" t="s">
        <v>13</v>
      </c>
      <c r="F1608" t="s">
        <v>2035</v>
      </c>
      <c r="G1608" t="s">
        <v>21</v>
      </c>
      <c r="H1608" t="s">
        <v>24</v>
      </c>
      <c r="I1608">
        <v>9</v>
      </c>
      <c r="J1608" s="9">
        <v>10400</v>
      </c>
      <c r="K1608" s="7">
        <v>0.1</v>
      </c>
      <c r="L1608" s="9">
        <v>9360</v>
      </c>
      <c r="M1608" s="10">
        <f>Sales_Data3[[#This Row],[Profit]]/Sales_Data3[[#This Row],[Sales]]</f>
        <v>0.9</v>
      </c>
      <c r="N1608" t="str">
        <f t="shared" si="51"/>
        <v>High</v>
      </c>
      <c r="O1608" s="2">
        <v>45448</v>
      </c>
      <c r="P1608" s="9">
        <v>10400</v>
      </c>
    </row>
    <row r="1609" spans="1:16" x14ac:dyDescent="0.25">
      <c r="A1609" t="s">
        <v>1630</v>
      </c>
      <c r="B1609" s="2">
        <v>45449</v>
      </c>
      <c r="C1609">
        <v>2024</v>
      </c>
      <c r="D1609" t="str">
        <f t="shared" si="50"/>
        <v>Jun</v>
      </c>
      <c r="E1609" t="s">
        <v>13</v>
      </c>
      <c r="F1609" t="s">
        <v>2036</v>
      </c>
      <c r="G1609" t="s">
        <v>22</v>
      </c>
      <c r="H1609" t="s">
        <v>24</v>
      </c>
      <c r="I1609">
        <v>6</v>
      </c>
      <c r="J1609" s="9">
        <v>8200</v>
      </c>
      <c r="K1609" s="7">
        <v>0.15000000000000002</v>
      </c>
      <c r="L1609" s="9">
        <v>6970</v>
      </c>
      <c r="M1609" s="10">
        <f>Sales_Data3[[#This Row],[Profit]]/Sales_Data3[[#This Row],[Sales]]</f>
        <v>0.85</v>
      </c>
      <c r="N1609" t="str">
        <f t="shared" si="51"/>
        <v>Medium</v>
      </c>
      <c r="O1609" s="2">
        <v>45449</v>
      </c>
      <c r="P1609" s="9">
        <v>8200</v>
      </c>
    </row>
    <row r="1610" spans="1:16" x14ac:dyDescent="0.25">
      <c r="A1610" t="s">
        <v>1631</v>
      </c>
      <c r="B1610" s="2">
        <v>45450</v>
      </c>
      <c r="C1610">
        <v>2024</v>
      </c>
      <c r="D1610" t="str">
        <f t="shared" si="50"/>
        <v>Jun</v>
      </c>
      <c r="E1610" t="s">
        <v>13</v>
      </c>
      <c r="F1610" t="s">
        <v>2037</v>
      </c>
      <c r="G1610" t="s">
        <v>19</v>
      </c>
      <c r="H1610" t="s">
        <v>24</v>
      </c>
      <c r="I1610">
        <v>9</v>
      </c>
      <c r="J1610" s="9">
        <v>4900</v>
      </c>
      <c r="K1610" s="7">
        <v>0.2</v>
      </c>
      <c r="L1610" s="9">
        <v>3920</v>
      </c>
      <c r="M1610" s="10">
        <f>Sales_Data3[[#This Row],[Profit]]/Sales_Data3[[#This Row],[Sales]]</f>
        <v>0.8</v>
      </c>
      <c r="N1610" t="str">
        <f t="shared" si="51"/>
        <v>Low</v>
      </c>
      <c r="O1610" s="2">
        <v>45450</v>
      </c>
      <c r="P1610" s="9">
        <v>4900</v>
      </c>
    </row>
    <row r="1611" spans="1:16" x14ac:dyDescent="0.25">
      <c r="A1611" t="s">
        <v>1632</v>
      </c>
      <c r="B1611" s="2">
        <v>45451</v>
      </c>
      <c r="C1611">
        <v>2024</v>
      </c>
      <c r="D1611" t="str">
        <f t="shared" si="50"/>
        <v>Jun</v>
      </c>
      <c r="E1611" t="s">
        <v>13</v>
      </c>
      <c r="F1611" t="s">
        <v>2038</v>
      </c>
      <c r="G1611" t="s">
        <v>20</v>
      </c>
      <c r="H1611" t="s">
        <v>24</v>
      </c>
      <c r="I1611">
        <v>9</v>
      </c>
      <c r="J1611" s="9">
        <v>14300</v>
      </c>
      <c r="K1611" s="7">
        <v>0.25</v>
      </c>
      <c r="L1611" s="9">
        <v>10725</v>
      </c>
      <c r="M1611" s="10">
        <f>Sales_Data3[[#This Row],[Profit]]/Sales_Data3[[#This Row],[Sales]]</f>
        <v>0.75</v>
      </c>
      <c r="N1611" t="str">
        <f t="shared" si="51"/>
        <v>High</v>
      </c>
      <c r="O1611" s="2">
        <v>45451</v>
      </c>
      <c r="P1611" s="9">
        <v>14300</v>
      </c>
    </row>
    <row r="1612" spans="1:16" x14ac:dyDescent="0.25">
      <c r="A1612" t="s">
        <v>1633</v>
      </c>
      <c r="B1612" s="2">
        <v>45452</v>
      </c>
      <c r="C1612">
        <v>2024</v>
      </c>
      <c r="D1612" t="str">
        <f t="shared" si="50"/>
        <v>Jun</v>
      </c>
      <c r="E1612" t="s">
        <v>14</v>
      </c>
      <c r="F1612" t="s">
        <v>2039</v>
      </c>
      <c r="G1612" t="s">
        <v>21</v>
      </c>
      <c r="H1612" t="s">
        <v>25</v>
      </c>
      <c r="I1612">
        <v>10</v>
      </c>
      <c r="J1612" s="9">
        <v>5900</v>
      </c>
      <c r="K1612" s="7">
        <v>0.05</v>
      </c>
      <c r="L1612" s="9">
        <v>5605</v>
      </c>
      <c r="M1612" s="10">
        <f>Sales_Data3[[#This Row],[Profit]]/Sales_Data3[[#This Row],[Sales]]</f>
        <v>0.95</v>
      </c>
      <c r="N1612" t="str">
        <f t="shared" si="51"/>
        <v>Medium</v>
      </c>
      <c r="O1612" s="2">
        <v>45452</v>
      </c>
      <c r="P1612" s="9">
        <v>5900</v>
      </c>
    </row>
    <row r="1613" spans="1:16" x14ac:dyDescent="0.25">
      <c r="A1613" t="s">
        <v>1634</v>
      </c>
      <c r="B1613" s="2">
        <v>45453</v>
      </c>
      <c r="C1613">
        <v>2024</v>
      </c>
      <c r="D1613" t="str">
        <f t="shared" si="50"/>
        <v>Jun</v>
      </c>
      <c r="E1613" t="s">
        <v>14</v>
      </c>
      <c r="F1613" t="s">
        <v>2040</v>
      </c>
      <c r="G1613" t="s">
        <v>22</v>
      </c>
      <c r="H1613" t="s">
        <v>25</v>
      </c>
      <c r="I1613">
        <v>9</v>
      </c>
      <c r="J1613" s="9">
        <v>9000</v>
      </c>
      <c r="K1613" s="7">
        <v>0.1</v>
      </c>
      <c r="L1613" s="9">
        <v>8100</v>
      </c>
      <c r="M1613" s="10">
        <f>Sales_Data3[[#This Row],[Profit]]/Sales_Data3[[#This Row],[Sales]]</f>
        <v>0.9</v>
      </c>
      <c r="N1613" t="str">
        <f t="shared" si="51"/>
        <v>Medium</v>
      </c>
      <c r="O1613" s="2">
        <v>45453</v>
      </c>
      <c r="P1613" s="9">
        <v>9000</v>
      </c>
    </row>
    <row r="1614" spans="1:16" x14ac:dyDescent="0.25">
      <c r="A1614" t="s">
        <v>1635</v>
      </c>
      <c r="B1614" s="2">
        <v>45454</v>
      </c>
      <c r="C1614">
        <v>2024</v>
      </c>
      <c r="D1614" t="str">
        <f t="shared" si="50"/>
        <v>Jun</v>
      </c>
      <c r="E1614" t="s">
        <v>14</v>
      </c>
      <c r="F1614" t="s">
        <v>2041</v>
      </c>
      <c r="G1614" t="s">
        <v>19</v>
      </c>
      <c r="H1614" t="s">
        <v>25</v>
      </c>
      <c r="I1614">
        <v>10</v>
      </c>
      <c r="J1614" s="9">
        <v>6400</v>
      </c>
      <c r="K1614" s="7">
        <v>0.15000000000000002</v>
      </c>
      <c r="L1614" s="9">
        <v>5440</v>
      </c>
      <c r="M1614" s="10">
        <f>Sales_Data3[[#This Row],[Profit]]/Sales_Data3[[#This Row],[Sales]]</f>
        <v>0.85</v>
      </c>
      <c r="N1614" t="str">
        <f t="shared" si="51"/>
        <v>Medium</v>
      </c>
      <c r="O1614" s="2">
        <v>45454</v>
      </c>
      <c r="P1614" s="9">
        <v>6400</v>
      </c>
    </row>
    <row r="1615" spans="1:16" x14ac:dyDescent="0.25">
      <c r="A1615" t="s">
        <v>1636</v>
      </c>
      <c r="B1615" s="2">
        <v>45455</v>
      </c>
      <c r="C1615">
        <v>2024</v>
      </c>
      <c r="D1615" t="str">
        <f t="shared" si="50"/>
        <v>Jun</v>
      </c>
      <c r="E1615" t="s">
        <v>14</v>
      </c>
      <c r="F1615" t="s">
        <v>2042</v>
      </c>
      <c r="G1615" t="s">
        <v>20</v>
      </c>
      <c r="H1615" t="s">
        <v>25</v>
      </c>
      <c r="I1615">
        <v>7</v>
      </c>
      <c r="J1615" s="9">
        <v>14400</v>
      </c>
      <c r="K1615" s="7">
        <v>0.2</v>
      </c>
      <c r="L1615" s="9">
        <v>11520</v>
      </c>
      <c r="M1615" s="10">
        <f>Sales_Data3[[#This Row],[Profit]]/Sales_Data3[[#This Row],[Sales]]</f>
        <v>0.8</v>
      </c>
      <c r="N1615" t="str">
        <f t="shared" si="51"/>
        <v>High</v>
      </c>
      <c r="O1615" s="2">
        <v>45455</v>
      </c>
      <c r="P1615" s="9">
        <v>14400</v>
      </c>
    </row>
    <row r="1616" spans="1:16" x14ac:dyDescent="0.25">
      <c r="A1616" t="s">
        <v>1637</v>
      </c>
      <c r="B1616" s="2">
        <v>45456</v>
      </c>
      <c r="C1616">
        <v>2024</v>
      </c>
      <c r="D1616" t="str">
        <f t="shared" si="50"/>
        <v>Jun</v>
      </c>
      <c r="E1616" t="s">
        <v>14</v>
      </c>
      <c r="F1616" t="s">
        <v>2043</v>
      </c>
      <c r="G1616" t="s">
        <v>21</v>
      </c>
      <c r="H1616" t="s">
        <v>25</v>
      </c>
      <c r="I1616">
        <v>4</v>
      </c>
      <c r="J1616" s="9">
        <v>7200</v>
      </c>
      <c r="K1616" s="7">
        <v>0.25</v>
      </c>
      <c r="L1616" s="9">
        <v>5400</v>
      </c>
      <c r="M1616" s="10">
        <f>Sales_Data3[[#This Row],[Profit]]/Sales_Data3[[#This Row],[Sales]]</f>
        <v>0.75</v>
      </c>
      <c r="N1616" t="str">
        <f t="shared" si="51"/>
        <v>Medium</v>
      </c>
      <c r="O1616" s="2">
        <v>45456</v>
      </c>
      <c r="P1616" s="9">
        <v>7200</v>
      </c>
    </row>
    <row r="1617" spans="1:16" x14ac:dyDescent="0.25">
      <c r="A1617" t="s">
        <v>1638</v>
      </c>
      <c r="B1617" s="2">
        <v>45457</v>
      </c>
      <c r="C1617">
        <v>2024</v>
      </c>
      <c r="D1617" t="str">
        <f t="shared" si="50"/>
        <v>Jun</v>
      </c>
      <c r="E1617" t="s">
        <v>14</v>
      </c>
      <c r="F1617" t="s">
        <v>2044</v>
      </c>
      <c r="G1617" t="s">
        <v>22</v>
      </c>
      <c r="H1617" t="s">
        <v>25</v>
      </c>
      <c r="I1617">
        <v>4</v>
      </c>
      <c r="J1617" s="9">
        <v>11800</v>
      </c>
      <c r="K1617" s="7">
        <v>0.05</v>
      </c>
      <c r="L1617" s="9">
        <v>11210</v>
      </c>
      <c r="M1617" s="10">
        <f>Sales_Data3[[#This Row],[Profit]]/Sales_Data3[[#This Row],[Sales]]</f>
        <v>0.95</v>
      </c>
      <c r="N1617" t="str">
        <f t="shared" si="51"/>
        <v>High</v>
      </c>
      <c r="O1617" s="2">
        <v>45457</v>
      </c>
      <c r="P1617" s="9">
        <v>11800</v>
      </c>
    </row>
    <row r="1618" spans="1:16" x14ac:dyDescent="0.25">
      <c r="A1618" t="s">
        <v>1639</v>
      </c>
      <c r="B1618" s="2">
        <v>45458</v>
      </c>
      <c r="C1618">
        <v>2024</v>
      </c>
      <c r="D1618" t="str">
        <f t="shared" si="50"/>
        <v>Jun</v>
      </c>
      <c r="E1618" t="s">
        <v>14</v>
      </c>
      <c r="F1618" t="s">
        <v>2045</v>
      </c>
      <c r="G1618" t="s">
        <v>19</v>
      </c>
      <c r="H1618" t="s">
        <v>25</v>
      </c>
      <c r="I1618">
        <v>6</v>
      </c>
      <c r="J1618" s="9">
        <v>14500</v>
      </c>
      <c r="K1618" s="7">
        <v>0.1</v>
      </c>
      <c r="L1618" s="9">
        <v>13050</v>
      </c>
      <c r="M1618" s="10">
        <f>Sales_Data3[[#This Row],[Profit]]/Sales_Data3[[#This Row],[Sales]]</f>
        <v>0.9</v>
      </c>
      <c r="N1618" t="str">
        <f t="shared" si="51"/>
        <v>High</v>
      </c>
      <c r="O1618" s="2">
        <v>45458</v>
      </c>
      <c r="P1618" s="9">
        <v>14500</v>
      </c>
    </row>
    <row r="1619" spans="1:16" x14ac:dyDescent="0.25">
      <c r="A1619" t="s">
        <v>1640</v>
      </c>
      <c r="B1619" s="2">
        <v>45459</v>
      </c>
      <c r="C1619">
        <v>2024</v>
      </c>
      <c r="D1619" t="str">
        <f t="shared" si="50"/>
        <v>Jun</v>
      </c>
      <c r="E1619" t="s">
        <v>14</v>
      </c>
      <c r="F1619" t="s">
        <v>2046</v>
      </c>
      <c r="G1619" t="s">
        <v>20</v>
      </c>
      <c r="H1619" t="s">
        <v>25</v>
      </c>
      <c r="I1619">
        <v>7</v>
      </c>
      <c r="J1619" s="9">
        <v>5600</v>
      </c>
      <c r="K1619" s="7">
        <v>0.15000000000000002</v>
      </c>
      <c r="L1619" s="9">
        <v>4760</v>
      </c>
      <c r="M1619" s="10">
        <f>Sales_Data3[[#This Row],[Profit]]/Sales_Data3[[#This Row],[Sales]]</f>
        <v>0.85</v>
      </c>
      <c r="N1619" t="str">
        <f t="shared" si="51"/>
        <v>Medium</v>
      </c>
      <c r="O1619" s="2">
        <v>45459</v>
      </c>
      <c r="P1619" s="9">
        <v>5600</v>
      </c>
    </row>
    <row r="1620" spans="1:16" x14ac:dyDescent="0.25">
      <c r="A1620" t="s">
        <v>1641</v>
      </c>
      <c r="B1620" s="2">
        <v>45460</v>
      </c>
      <c r="C1620">
        <v>2024</v>
      </c>
      <c r="D1620" t="str">
        <f t="shared" si="50"/>
        <v>Jun</v>
      </c>
      <c r="E1620" t="s">
        <v>14</v>
      </c>
      <c r="F1620" t="s">
        <v>2047</v>
      </c>
      <c r="G1620" t="s">
        <v>21</v>
      </c>
      <c r="H1620" t="s">
        <v>25</v>
      </c>
      <c r="I1620">
        <v>7</v>
      </c>
      <c r="J1620" s="9">
        <v>13100</v>
      </c>
      <c r="K1620" s="7">
        <v>0.2</v>
      </c>
      <c r="L1620" s="9">
        <v>10480</v>
      </c>
      <c r="M1620" s="10">
        <f>Sales_Data3[[#This Row],[Profit]]/Sales_Data3[[#This Row],[Sales]]</f>
        <v>0.8</v>
      </c>
      <c r="N1620" t="str">
        <f t="shared" si="51"/>
        <v>High</v>
      </c>
      <c r="O1620" s="2">
        <v>45460</v>
      </c>
      <c r="P1620" s="9">
        <v>13100</v>
      </c>
    </row>
    <row r="1621" spans="1:16" x14ac:dyDescent="0.25">
      <c r="A1621" t="s">
        <v>1642</v>
      </c>
      <c r="B1621" s="2">
        <v>45461</v>
      </c>
      <c r="C1621">
        <v>2024</v>
      </c>
      <c r="D1621" t="str">
        <f t="shared" si="50"/>
        <v>Jun</v>
      </c>
      <c r="E1621" t="s">
        <v>14</v>
      </c>
      <c r="F1621" t="s">
        <v>2048</v>
      </c>
      <c r="G1621" t="s">
        <v>22</v>
      </c>
      <c r="H1621" t="s">
        <v>25</v>
      </c>
      <c r="I1621">
        <v>5</v>
      </c>
      <c r="J1621" s="9">
        <v>9400</v>
      </c>
      <c r="K1621" s="7">
        <v>0.25</v>
      </c>
      <c r="L1621" s="9">
        <v>7050</v>
      </c>
      <c r="M1621" s="10">
        <f>Sales_Data3[[#This Row],[Profit]]/Sales_Data3[[#This Row],[Sales]]</f>
        <v>0.75</v>
      </c>
      <c r="N1621" t="str">
        <f t="shared" si="51"/>
        <v>Medium</v>
      </c>
      <c r="O1621" s="2">
        <v>45461</v>
      </c>
      <c r="P1621" s="9">
        <v>9400</v>
      </c>
    </row>
    <row r="1622" spans="1:16" x14ac:dyDescent="0.25">
      <c r="A1622" t="s">
        <v>1643</v>
      </c>
      <c r="B1622" s="2">
        <v>45462</v>
      </c>
      <c r="C1622">
        <v>2024</v>
      </c>
      <c r="D1622" t="str">
        <f t="shared" si="50"/>
        <v>Jun</v>
      </c>
      <c r="E1622" t="s">
        <v>12</v>
      </c>
      <c r="F1622" t="s">
        <v>15</v>
      </c>
      <c r="G1622" t="s">
        <v>19</v>
      </c>
      <c r="H1622" t="s">
        <v>23</v>
      </c>
      <c r="I1622">
        <v>9</v>
      </c>
      <c r="J1622" s="9">
        <v>7700</v>
      </c>
      <c r="K1622" s="7">
        <v>0.05</v>
      </c>
      <c r="L1622" s="9">
        <v>7315</v>
      </c>
      <c r="M1622" s="10">
        <f>Sales_Data3[[#This Row],[Profit]]/Sales_Data3[[#This Row],[Sales]]</f>
        <v>0.95</v>
      </c>
      <c r="N1622" t="str">
        <f t="shared" si="51"/>
        <v>Medium</v>
      </c>
      <c r="O1622" s="2">
        <v>45462</v>
      </c>
      <c r="P1622" s="9">
        <v>7700</v>
      </c>
    </row>
    <row r="1623" spans="1:16" x14ac:dyDescent="0.25">
      <c r="A1623" t="s">
        <v>1644</v>
      </c>
      <c r="B1623" s="2">
        <v>45463</v>
      </c>
      <c r="C1623">
        <v>2024</v>
      </c>
      <c r="D1623" t="str">
        <f t="shared" si="50"/>
        <v>Jun</v>
      </c>
      <c r="E1623" t="s">
        <v>12</v>
      </c>
      <c r="F1623" t="s">
        <v>17</v>
      </c>
      <c r="G1623" t="s">
        <v>20</v>
      </c>
      <c r="H1623" t="s">
        <v>23</v>
      </c>
      <c r="I1623">
        <v>8</v>
      </c>
      <c r="J1623" s="9">
        <v>6400</v>
      </c>
      <c r="K1623" s="7">
        <v>0.1</v>
      </c>
      <c r="L1623" s="9">
        <v>5760</v>
      </c>
      <c r="M1623" s="10">
        <f>Sales_Data3[[#This Row],[Profit]]/Sales_Data3[[#This Row],[Sales]]</f>
        <v>0.9</v>
      </c>
      <c r="N1623" t="str">
        <f t="shared" si="51"/>
        <v>Medium</v>
      </c>
      <c r="O1623" s="2">
        <v>45463</v>
      </c>
      <c r="P1623" s="9">
        <v>6400</v>
      </c>
    </row>
    <row r="1624" spans="1:16" x14ac:dyDescent="0.25">
      <c r="A1624" t="s">
        <v>1645</v>
      </c>
      <c r="B1624" s="2">
        <v>45464</v>
      </c>
      <c r="C1624">
        <v>2024</v>
      </c>
      <c r="D1624" t="str">
        <f t="shared" si="50"/>
        <v>Jun</v>
      </c>
      <c r="E1624" t="s">
        <v>12</v>
      </c>
      <c r="F1624" t="s">
        <v>2023</v>
      </c>
      <c r="G1624" t="s">
        <v>21</v>
      </c>
      <c r="H1624" t="s">
        <v>23</v>
      </c>
      <c r="I1624">
        <v>7</v>
      </c>
      <c r="J1624" s="9">
        <v>10900</v>
      </c>
      <c r="K1624" s="7">
        <v>0.15000000000000002</v>
      </c>
      <c r="L1624" s="9">
        <v>9265</v>
      </c>
      <c r="M1624" s="10">
        <f>Sales_Data3[[#This Row],[Profit]]/Sales_Data3[[#This Row],[Sales]]</f>
        <v>0.85</v>
      </c>
      <c r="N1624" t="str">
        <f t="shared" si="51"/>
        <v>High</v>
      </c>
      <c r="O1624" s="2">
        <v>45464</v>
      </c>
      <c r="P1624" s="9">
        <v>10900</v>
      </c>
    </row>
    <row r="1625" spans="1:16" x14ac:dyDescent="0.25">
      <c r="A1625" t="s">
        <v>1646</v>
      </c>
      <c r="B1625" s="2">
        <v>45465</v>
      </c>
      <c r="C1625">
        <v>2024</v>
      </c>
      <c r="D1625" t="str">
        <f t="shared" si="50"/>
        <v>Jun</v>
      </c>
      <c r="E1625" t="s">
        <v>12</v>
      </c>
      <c r="F1625" t="s">
        <v>18</v>
      </c>
      <c r="G1625" t="s">
        <v>22</v>
      </c>
      <c r="H1625" t="s">
        <v>23</v>
      </c>
      <c r="I1625">
        <v>3</v>
      </c>
      <c r="J1625" s="9">
        <v>9600</v>
      </c>
      <c r="K1625" s="7">
        <v>0.2</v>
      </c>
      <c r="L1625" s="9">
        <v>7680</v>
      </c>
      <c r="M1625" s="10">
        <f>Sales_Data3[[#This Row],[Profit]]/Sales_Data3[[#This Row],[Sales]]</f>
        <v>0.8</v>
      </c>
      <c r="N1625" t="str">
        <f t="shared" si="51"/>
        <v>Medium</v>
      </c>
      <c r="O1625" s="2">
        <v>45465</v>
      </c>
      <c r="P1625" s="9">
        <v>9600</v>
      </c>
    </row>
    <row r="1626" spans="1:16" x14ac:dyDescent="0.25">
      <c r="A1626" t="s">
        <v>1647</v>
      </c>
      <c r="B1626" s="2">
        <v>45466</v>
      </c>
      <c r="C1626">
        <v>2024</v>
      </c>
      <c r="D1626" t="str">
        <f t="shared" si="50"/>
        <v>Jun</v>
      </c>
      <c r="E1626" t="s">
        <v>12</v>
      </c>
      <c r="F1626" t="s">
        <v>2024</v>
      </c>
      <c r="G1626" t="s">
        <v>19</v>
      </c>
      <c r="H1626" t="s">
        <v>23</v>
      </c>
      <c r="I1626">
        <v>8</v>
      </c>
      <c r="J1626" s="9">
        <v>13300</v>
      </c>
      <c r="K1626" s="7">
        <v>0.25</v>
      </c>
      <c r="L1626" s="9">
        <v>9975</v>
      </c>
      <c r="M1626" s="10">
        <f>Sales_Data3[[#This Row],[Profit]]/Sales_Data3[[#This Row],[Sales]]</f>
        <v>0.75</v>
      </c>
      <c r="N1626" t="str">
        <f t="shared" si="51"/>
        <v>High</v>
      </c>
      <c r="O1626" s="2">
        <v>45466</v>
      </c>
      <c r="P1626" s="9">
        <v>13300</v>
      </c>
    </row>
    <row r="1627" spans="1:16" x14ac:dyDescent="0.25">
      <c r="A1627" t="s">
        <v>1648</v>
      </c>
      <c r="B1627" s="2">
        <v>45467</v>
      </c>
      <c r="C1627">
        <v>2024</v>
      </c>
      <c r="D1627" t="str">
        <f t="shared" si="50"/>
        <v>Jun</v>
      </c>
      <c r="E1627" t="s">
        <v>12</v>
      </c>
      <c r="F1627" t="s">
        <v>2025</v>
      </c>
      <c r="G1627" t="s">
        <v>20</v>
      </c>
      <c r="H1627" t="s">
        <v>23</v>
      </c>
      <c r="I1627">
        <v>6</v>
      </c>
      <c r="J1627" s="9">
        <v>5800</v>
      </c>
      <c r="K1627" s="7">
        <v>0.05</v>
      </c>
      <c r="L1627" s="9">
        <v>5510</v>
      </c>
      <c r="M1627" s="10">
        <f>Sales_Data3[[#This Row],[Profit]]/Sales_Data3[[#This Row],[Sales]]</f>
        <v>0.95</v>
      </c>
      <c r="N1627" t="str">
        <f t="shared" si="51"/>
        <v>Medium</v>
      </c>
      <c r="O1627" s="2">
        <v>45467</v>
      </c>
      <c r="P1627" s="9">
        <v>5800</v>
      </c>
    </row>
    <row r="1628" spans="1:16" x14ac:dyDescent="0.25">
      <c r="A1628" t="s">
        <v>1649</v>
      </c>
      <c r="B1628" s="2">
        <v>45468</v>
      </c>
      <c r="C1628">
        <v>2024</v>
      </c>
      <c r="D1628" t="str">
        <f t="shared" si="50"/>
        <v>Jun</v>
      </c>
      <c r="E1628" t="s">
        <v>12</v>
      </c>
      <c r="F1628" t="s">
        <v>2026</v>
      </c>
      <c r="G1628" t="s">
        <v>21</v>
      </c>
      <c r="H1628" t="s">
        <v>23</v>
      </c>
      <c r="I1628">
        <v>10</v>
      </c>
      <c r="J1628" s="9">
        <v>13100</v>
      </c>
      <c r="K1628" s="7">
        <v>0.1</v>
      </c>
      <c r="L1628" s="9">
        <v>11790</v>
      </c>
      <c r="M1628" s="10">
        <f>Sales_Data3[[#This Row],[Profit]]/Sales_Data3[[#This Row],[Sales]]</f>
        <v>0.9</v>
      </c>
      <c r="N1628" t="str">
        <f t="shared" si="51"/>
        <v>High</v>
      </c>
      <c r="O1628" s="2">
        <v>45468</v>
      </c>
      <c r="P1628" s="9">
        <v>13100</v>
      </c>
    </row>
    <row r="1629" spans="1:16" x14ac:dyDescent="0.25">
      <c r="A1629" t="s">
        <v>1650</v>
      </c>
      <c r="B1629" s="2">
        <v>45469</v>
      </c>
      <c r="C1629">
        <v>2024</v>
      </c>
      <c r="D1629" t="str">
        <f t="shared" si="50"/>
        <v>Jun</v>
      </c>
      <c r="E1629" t="s">
        <v>12</v>
      </c>
      <c r="F1629" t="s">
        <v>2027</v>
      </c>
      <c r="G1629" t="s">
        <v>22</v>
      </c>
      <c r="H1629" t="s">
        <v>23</v>
      </c>
      <c r="I1629">
        <v>5</v>
      </c>
      <c r="J1629" s="9">
        <v>6700</v>
      </c>
      <c r="K1629" s="7">
        <v>0.15000000000000002</v>
      </c>
      <c r="L1629" s="9">
        <v>5695</v>
      </c>
      <c r="M1629" s="10">
        <f>Sales_Data3[[#This Row],[Profit]]/Sales_Data3[[#This Row],[Sales]]</f>
        <v>0.85</v>
      </c>
      <c r="N1629" t="str">
        <f t="shared" si="51"/>
        <v>Medium</v>
      </c>
      <c r="O1629" s="2">
        <v>45469</v>
      </c>
      <c r="P1629" s="9">
        <v>6700</v>
      </c>
    </row>
    <row r="1630" spans="1:16" x14ac:dyDescent="0.25">
      <c r="A1630" t="s">
        <v>1651</v>
      </c>
      <c r="B1630" s="2">
        <v>45470</v>
      </c>
      <c r="C1630">
        <v>2024</v>
      </c>
      <c r="D1630" t="str">
        <f t="shared" si="50"/>
        <v>Jun</v>
      </c>
      <c r="E1630" t="s">
        <v>12</v>
      </c>
      <c r="F1630" t="s">
        <v>2028</v>
      </c>
      <c r="G1630" t="s">
        <v>19</v>
      </c>
      <c r="H1630" t="s">
        <v>23</v>
      </c>
      <c r="I1630">
        <v>8</v>
      </c>
      <c r="J1630" s="9">
        <v>8200</v>
      </c>
      <c r="K1630" s="7">
        <v>0.2</v>
      </c>
      <c r="L1630" s="9">
        <v>6560</v>
      </c>
      <c r="M1630" s="10">
        <f>Sales_Data3[[#This Row],[Profit]]/Sales_Data3[[#This Row],[Sales]]</f>
        <v>0.8</v>
      </c>
      <c r="N1630" t="str">
        <f t="shared" si="51"/>
        <v>Medium</v>
      </c>
      <c r="O1630" s="2">
        <v>45470</v>
      </c>
      <c r="P1630" s="9">
        <v>8200</v>
      </c>
    </row>
    <row r="1631" spans="1:16" x14ac:dyDescent="0.25">
      <c r="A1631" t="s">
        <v>1652</v>
      </c>
      <c r="B1631" s="2">
        <v>45471</v>
      </c>
      <c r="C1631">
        <v>2024</v>
      </c>
      <c r="D1631" t="str">
        <f t="shared" si="50"/>
        <v>Jun</v>
      </c>
      <c r="E1631" t="s">
        <v>12</v>
      </c>
      <c r="F1631" t="s">
        <v>2029</v>
      </c>
      <c r="G1631" t="s">
        <v>20</v>
      </c>
      <c r="H1631" t="s">
        <v>23</v>
      </c>
      <c r="I1631">
        <v>9</v>
      </c>
      <c r="J1631" s="9">
        <v>10700</v>
      </c>
      <c r="K1631" s="7">
        <v>0.25</v>
      </c>
      <c r="L1631" s="9">
        <v>8025</v>
      </c>
      <c r="M1631" s="10">
        <f>Sales_Data3[[#This Row],[Profit]]/Sales_Data3[[#This Row],[Sales]]</f>
        <v>0.75</v>
      </c>
      <c r="N1631" t="str">
        <f t="shared" si="51"/>
        <v>High</v>
      </c>
      <c r="O1631" s="2">
        <v>45471</v>
      </c>
      <c r="P1631" s="9">
        <v>10700</v>
      </c>
    </row>
    <row r="1632" spans="1:16" x14ac:dyDescent="0.25">
      <c r="A1632" t="s">
        <v>1653</v>
      </c>
      <c r="B1632" s="2">
        <v>45472</v>
      </c>
      <c r="C1632">
        <v>2024</v>
      </c>
      <c r="D1632" t="str">
        <f t="shared" si="50"/>
        <v>Jun</v>
      </c>
      <c r="E1632" t="s">
        <v>13</v>
      </c>
      <c r="F1632" t="s">
        <v>16</v>
      </c>
      <c r="G1632" t="s">
        <v>21</v>
      </c>
      <c r="H1632" t="s">
        <v>24</v>
      </c>
      <c r="I1632">
        <v>3</v>
      </c>
      <c r="J1632" s="9">
        <v>6300</v>
      </c>
      <c r="K1632" s="7">
        <v>0.05</v>
      </c>
      <c r="L1632" s="9">
        <v>5985</v>
      </c>
      <c r="M1632" s="10">
        <f>Sales_Data3[[#This Row],[Profit]]/Sales_Data3[[#This Row],[Sales]]</f>
        <v>0.95</v>
      </c>
      <c r="N1632" t="str">
        <f t="shared" si="51"/>
        <v>Medium</v>
      </c>
      <c r="O1632" s="2">
        <v>45472</v>
      </c>
      <c r="P1632" s="9">
        <v>6300</v>
      </c>
    </row>
    <row r="1633" spans="1:16" x14ac:dyDescent="0.25">
      <c r="A1633" t="s">
        <v>1654</v>
      </c>
      <c r="B1633" s="2">
        <v>45473</v>
      </c>
      <c r="C1633">
        <v>2024</v>
      </c>
      <c r="D1633" t="str">
        <f t="shared" si="50"/>
        <v>Jun</v>
      </c>
      <c r="E1633" t="s">
        <v>13</v>
      </c>
      <c r="F1633" t="s">
        <v>2030</v>
      </c>
      <c r="G1633" t="s">
        <v>22</v>
      </c>
      <c r="H1633" t="s">
        <v>24</v>
      </c>
      <c r="I1633">
        <v>2</v>
      </c>
      <c r="J1633" s="9">
        <v>14600</v>
      </c>
      <c r="K1633" s="7">
        <v>0.1</v>
      </c>
      <c r="L1633" s="9">
        <v>13140</v>
      </c>
      <c r="M1633" s="10">
        <f>Sales_Data3[[#This Row],[Profit]]/Sales_Data3[[#This Row],[Sales]]</f>
        <v>0.9</v>
      </c>
      <c r="N1633" t="str">
        <f t="shared" si="51"/>
        <v>High</v>
      </c>
      <c r="O1633" s="2">
        <v>45473</v>
      </c>
      <c r="P1633" s="9">
        <v>14600</v>
      </c>
    </row>
    <row r="1634" spans="1:16" x14ac:dyDescent="0.25">
      <c r="A1634" t="s">
        <v>1655</v>
      </c>
      <c r="B1634" s="2">
        <v>45474</v>
      </c>
      <c r="C1634">
        <v>2024</v>
      </c>
      <c r="D1634" t="str">
        <f t="shared" si="50"/>
        <v>Jul</v>
      </c>
      <c r="E1634" t="s">
        <v>13</v>
      </c>
      <c r="F1634" t="s">
        <v>2031</v>
      </c>
      <c r="G1634" t="s">
        <v>19</v>
      </c>
      <c r="H1634" t="s">
        <v>24</v>
      </c>
      <c r="I1634">
        <v>4</v>
      </c>
      <c r="J1634" s="9">
        <v>14800</v>
      </c>
      <c r="K1634" s="7">
        <v>0.15000000000000002</v>
      </c>
      <c r="L1634" s="9">
        <v>12580</v>
      </c>
      <c r="M1634" s="10">
        <f>Sales_Data3[[#This Row],[Profit]]/Sales_Data3[[#This Row],[Sales]]</f>
        <v>0.85</v>
      </c>
      <c r="N1634" t="str">
        <f t="shared" si="51"/>
        <v>High</v>
      </c>
      <c r="O1634" s="2">
        <v>45474</v>
      </c>
      <c r="P1634" s="9">
        <v>14800</v>
      </c>
    </row>
    <row r="1635" spans="1:16" x14ac:dyDescent="0.25">
      <c r="A1635" t="s">
        <v>1656</v>
      </c>
      <c r="B1635" s="2">
        <v>45475</v>
      </c>
      <c r="C1635">
        <v>2024</v>
      </c>
      <c r="D1635" t="str">
        <f t="shared" si="50"/>
        <v>Jul</v>
      </c>
      <c r="E1635" t="s">
        <v>13</v>
      </c>
      <c r="F1635" t="s">
        <v>2032</v>
      </c>
      <c r="G1635" t="s">
        <v>20</v>
      </c>
      <c r="H1635" t="s">
        <v>24</v>
      </c>
      <c r="I1635">
        <v>2</v>
      </c>
      <c r="J1635" s="9">
        <v>11700</v>
      </c>
      <c r="K1635" s="7">
        <v>0.2</v>
      </c>
      <c r="L1635" s="9">
        <v>9360</v>
      </c>
      <c r="M1635" s="10">
        <f>Sales_Data3[[#This Row],[Profit]]/Sales_Data3[[#This Row],[Sales]]</f>
        <v>0.8</v>
      </c>
      <c r="N1635" t="str">
        <f t="shared" si="51"/>
        <v>High</v>
      </c>
      <c r="O1635" s="2">
        <v>45475</v>
      </c>
      <c r="P1635" s="9">
        <v>11700</v>
      </c>
    </row>
    <row r="1636" spans="1:16" x14ac:dyDescent="0.25">
      <c r="A1636" t="s">
        <v>1657</v>
      </c>
      <c r="B1636" s="2">
        <v>45476</v>
      </c>
      <c r="C1636">
        <v>2024</v>
      </c>
      <c r="D1636" t="str">
        <f t="shared" si="50"/>
        <v>Jul</v>
      </c>
      <c r="E1636" t="s">
        <v>13</v>
      </c>
      <c r="F1636" t="s">
        <v>2033</v>
      </c>
      <c r="G1636" t="s">
        <v>21</v>
      </c>
      <c r="H1636" t="s">
        <v>24</v>
      </c>
      <c r="I1636">
        <v>7</v>
      </c>
      <c r="J1636" s="9">
        <v>8300</v>
      </c>
      <c r="K1636" s="7">
        <v>0.25</v>
      </c>
      <c r="L1636" s="9">
        <v>6225</v>
      </c>
      <c r="M1636" s="10">
        <f>Sales_Data3[[#This Row],[Profit]]/Sales_Data3[[#This Row],[Sales]]</f>
        <v>0.75</v>
      </c>
      <c r="N1636" t="str">
        <f t="shared" si="51"/>
        <v>Medium</v>
      </c>
      <c r="O1636" s="2">
        <v>45476</v>
      </c>
      <c r="P1636" s="9">
        <v>8300</v>
      </c>
    </row>
    <row r="1637" spans="1:16" x14ac:dyDescent="0.25">
      <c r="A1637" t="s">
        <v>1658</v>
      </c>
      <c r="B1637" s="2">
        <v>45477</v>
      </c>
      <c r="C1637">
        <v>2024</v>
      </c>
      <c r="D1637" t="str">
        <f t="shared" si="50"/>
        <v>Jul</v>
      </c>
      <c r="E1637" t="s">
        <v>13</v>
      </c>
      <c r="F1637" t="s">
        <v>2034</v>
      </c>
      <c r="G1637" t="s">
        <v>22</v>
      </c>
      <c r="H1637" t="s">
        <v>24</v>
      </c>
      <c r="I1637">
        <v>9</v>
      </c>
      <c r="J1637" s="9">
        <v>7600</v>
      </c>
      <c r="K1637" s="7">
        <v>0.05</v>
      </c>
      <c r="L1637" s="9">
        <v>7220</v>
      </c>
      <c r="M1637" s="10">
        <f>Sales_Data3[[#This Row],[Profit]]/Sales_Data3[[#This Row],[Sales]]</f>
        <v>0.95</v>
      </c>
      <c r="N1637" t="str">
        <f t="shared" si="51"/>
        <v>Medium</v>
      </c>
      <c r="O1637" s="2">
        <v>45477</v>
      </c>
      <c r="P1637" s="9">
        <v>7600</v>
      </c>
    </row>
    <row r="1638" spans="1:16" x14ac:dyDescent="0.25">
      <c r="A1638" t="s">
        <v>1659</v>
      </c>
      <c r="B1638" s="2">
        <v>45478</v>
      </c>
      <c r="C1638">
        <v>2024</v>
      </c>
      <c r="D1638" t="str">
        <f t="shared" si="50"/>
        <v>Jul</v>
      </c>
      <c r="E1638" t="s">
        <v>13</v>
      </c>
      <c r="F1638" t="s">
        <v>2035</v>
      </c>
      <c r="G1638" t="s">
        <v>19</v>
      </c>
      <c r="H1638" t="s">
        <v>24</v>
      </c>
      <c r="I1638">
        <v>4</v>
      </c>
      <c r="J1638" s="9">
        <v>6200</v>
      </c>
      <c r="K1638" s="7">
        <v>0.1</v>
      </c>
      <c r="L1638" s="9">
        <v>5580</v>
      </c>
      <c r="M1638" s="10">
        <f>Sales_Data3[[#This Row],[Profit]]/Sales_Data3[[#This Row],[Sales]]</f>
        <v>0.9</v>
      </c>
      <c r="N1638" t="str">
        <f t="shared" si="51"/>
        <v>Medium</v>
      </c>
      <c r="O1638" s="2">
        <v>45478</v>
      </c>
      <c r="P1638" s="9">
        <v>6200</v>
      </c>
    </row>
    <row r="1639" spans="1:16" x14ac:dyDescent="0.25">
      <c r="A1639" t="s">
        <v>1660</v>
      </c>
      <c r="B1639" s="2">
        <v>45479</v>
      </c>
      <c r="C1639">
        <v>2024</v>
      </c>
      <c r="D1639" t="str">
        <f t="shared" si="50"/>
        <v>Jul</v>
      </c>
      <c r="E1639" t="s">
        <v>13</v>
      </c>
      <c r="F1639" t="s">
        <v>2036</v>
      </c>
      <c r="G1639" t="s">
        <v>20</v>
      </c>
      <c r="H1639" t="s">
        <v>24</v>
      </c>
      <c r="I1639">
        <v>10</v>
      </c>
      <c r="J1639" s="9">
        <v>14100</v>
      </c>
      <c r="K1639" s="7">
        <v>0.15000000000000002</v>
      </c>
      <c r="L1639" s="9">
        <v>11985</v>
      </c>
      <c r="M1639" s="10">
        <f>Sales_Data3[[#This Row],[Profit]]/Sales_Data3[[#This Row],[Sales]]</f>
        <v>0.85</v>
      </c>
      <c r="N1639" t="str">
        <f t="shared" si="51"/>
        <v>High</v>
      </c>
      <c r="O1639" s="2">
        <v>45479</v>
      </c>
      <c r="P1639" s="9">
        <v>14100</v>
      </c>
    </row>
    <row r="1640" spans="1:16" x14ac:dyDescent="0.25">
      <c r="A1640" t="s">
        <v>1661</v>
      </c>
      <c r="B1640" s="2">
        <v>45480</v>
      </c>
      <c r="C1640">
        <v>2024</v>
      </c>
      <c r="D1640" t="str">
        <f t="shared" si="50"/>
        <v>Jul</v>
      </c>
      <c r="E1640" t="s">
        <v>13</v>
      </c>
      <c r="F1640" t="s">
        <v>2037</v>
      </c>
      <c r="G1640" t="s">
        <v>21</v>
      </c>
      <c r="H1640" t="s">
        <v>24</v>
      </c>
      <c r="I1640">
        <v>2</v>
      </c>
      <c r="J1640" s="9">
        <v>4100</v>
      </c>
      <c r="K1640" s="7">
        <v>0.2</v>
      </c>
      <c r="L1640" s="9">
        <v>3280</v>
      </c>
      <c r="M1640" s="10">
        <f>Sales_Data3[[#This Row],[Profit]]/Sales_Data3[[#This Row],[Sales]]</f>
        <v>0.8</v>
      </c>
      <c r="N1640" t="str">
        <f t="shared" si="51"/>
        <v>Low</v>
      </c>
      <c r="O1640" s="2">
        <v>45480</v>
      </c>
      <c r="P1640" s="9">
        <v>4100</v>
      </c>
    </row>
    <row r="1641" spans="1:16" x14ac:dyDescent="0.25">
      <c r="A1641" t="s">
        <v>1662</v>
      </c>
      <c r="B1641" s="2">
        <v>45481</v>
      </c>
      <c r="C1641">
        <v>2024</v>
      </c>
      <c r="D1641" t="str">
        <f t="shared" si="50"/>
        <v>Jul</v>
      </c>
      <c r="E1641" t="s">
        <v>13</v>
      </c>
      <c r="F1641" t="s">
        <v>2038</v>
      </c>
      <c r="G1641" t="s">
        <v>22</v>
      </c>
      <c r="H1641" t="s">
        <v>24</v>
      </c>
      <c r="I1641">
        <v>5</v>
      </c>
      <c r="J1641" s="9">
        <v>10500</v>
      </c>
      <c r="K1641" s="7">
        <v>0.25</v>
      </c>
      <c r="L1641" s="9">
        <v>7875</v>
      </c>
      <c r="M1641" s="10">
        <f>Sales_Data3[[#This Row],[Profit]]/Sales_Data3[[#This Row],[Sales]]</f>
        <v>0.75</v>
      </c>
      <c r="N1641" t="str">
        <f t="shared" si="51"/>
        <v>High</v>
      </c>
      <c r="O1641" s="2">
        <v>45481</v>
      </c>
      <c r="P1641" s="9">
        <v>10500</v>
      </c>
    </row>
    <row r="1642" spans="1:16" x14ac:dyDescent="0.25">
      <c r="A1642" t="s">
        <v>1663</v>
      </c>
      <c r="B1642" s="2">
        <v>45482</v>
      </c>
      <c r="C1642">
        <v>2024</v>
      </c>
      <c r="D1642" t="str">
        <f t="shared" si="50"/>
        <v>Jul</v>
      </c>
      <c r="E1642" t="s">
        <v>14</v>
      </c>
      <c r="F1642" t="s">
        <v>2039</v>
      </c>
      <c r="G1642" t="s">
        <v>19</v>
      </c>
      <c r="H1642" t="s">
        <v>25</v>
      </c>
      <c r="I1642">
        <v>3</v>
      </c>
      <c r="J1642" s="9">
        <v>9300</v>
      </c>
      <c r="K1642" s="7">
        <v>0.05</v>
      </c>
      <c r="L1642" s="9">
        <v>8835</v>
      </c>
      <c r="M1642" s="10">
        <f>Sales_Data3[[#This Row],[Profit]]/Sales_Data3[[#This Row],[Sales]]</f>
        <v>0.95</v>
      </c>
      <c r="N1642" t="str">
        <f t="shared" si="51"/>
        <v>Medium</v>
      </c>
      <c r="O1642" s="2">
        <v>45482</v>
      </c>
      <c r="P1642" s="9">
        <v>9300</v>
      </c>
    </row>
    <row r="1643" spans="1:16" x14ac:dyDescent="0.25">
      <c r="A1643" t="s">
        <v>1664</v>
      </c>
      <c r="B1643" s="2">
        <v>45483</v>
      </c>
      <c r="C1643">
        <v>2024</v>
      </c>
      <c r="D1643" t="str">
        <f t="shared" si="50"/>
        <v>Jul</v>
      </c>
      <c r="E1643" t="s">
        <v>14</v>
      </c>
      <c r="F1643" t="s">
        <v>2040</v>
      </c>
      <c r="G1643" t="s">
        <v>20</v>
      </c>
      <c r="H1643" t="s">
        <v>25</v>
      </c>
      <c r="I1643">
        <v>1</v>
      </c>
      <c r="J1643" s="9">
        <v>7400</v>
      </c>
      <c r="K1643" s="7">
        <v>0.1</v>
      </c>
      <c r="L1643" s="9">
        <v>6660</v>
      </c>
      <c r="M1643" s="10">
        <f>Sales_Data3[[#This Row],[Profit]]/Sales_Data3[[#This Row],[Sales]]</f>
        <v>0.9</v>
      </c>
      <c r="N1643" t="str">
        <f t="shared" si="51"/>
        <v>Medium</v>
      </c>
      <c r="O1643" s="2">
        <v>45483</v>
      </c>
      <c r="P1643" s="9">
        <v>7400</v>
      </c>
    </row>
    <row r="1644" spans="1:16" x14ac:dyDescent="0.25">
      <c r="A1644" t="s">
        <v>1665</v>
      </c>
      <c r="B1644" s="2">
        <v>45484</v>
      </c>
      <c r="C1644">
        <v>2024</v>
      </c>
      <c r="D1644" t="str">
        <f t="shared" si="50"/>
        <v>Jul</v>
      </c>
      <c r="E1644" t="s">
        <v>14</v>
      </c>
      <c r="F1644" t="s">
        <v>2041</v>
      </c>
      <c r="G1644" t="s">
        <v>21</v>
      </c>
      <c r="H1644" t="s">
        <v>25</v>
      </c>
      <c r="I1644">
        <v>4</v>
      </c>
      <c r="J1644" s="9">
        <v>5900</v>
      </c>
      <c r="K1644" s="7">
        <v>0.15000000000000002</v>
      </c>
      <c r="L1644" s="9">
        <v>5015</v>
      </c>
      <c r="M1644" s="10">
        <f>Sales_Data3[[#This Row],[Profit]]/Sales_Data3[[#This Row],[Sales]]</f>
        <v>0.85</v>
      </c>
      <c r="N1644" t="str">
        <f t="shared" si="51"/>
        <v>Medium</v>
      </c>
      <c r="O1644" s="2">
        <v>45484</v>
      </c>
      <c r="P1644" s="9">
        <v>5900</v>
      </c>
    </row>
    <row r="1645" spans="1:16" x14ac:dyDescent="0.25">
      <c r="A1645" t="s">
        <v>1666</v>
      </c>
      <c r="B1645" s="2">
        <v>45485</v>
      </c>
      <c r="C1645">
        <v>2024</v>
      </c>
      <c r="D1645" t="str">
        <f t="shared" si="50"/>
        <v>Jul</v>
      </c>
      <c r="E1645" t="s">
        <v>14</v>
      </c>
      <c r="F1645" t="s">
        <v>2042</v>
      </c>
      <c r="G1645" t="s">
        <v>22</v>
      </c>
      <c r="H1645" t="s">
        <v>25</v>
      </c>
      <c r="I1645">
        <v>4</v>
      </c>
      <c r="J1645" s="9">
        <v>13900</v>
      </c>
      <c r="K1645" s="7">
        <v>0.2</v>
      </c>
      <c r="L1645" s="9">
        <v>11120</v>
      </c>
      <c r="M1645" s="10">
        <f>Sales_Data3[[#This Row],[Profit]]/Sales_Data3[[#This Row],[Sales]]</f>
        <v>0.8</v>
      </c>
      <c r="N1645" t="str">
        <f t="shared" si="51"/>
        <v>High</v>
      </c>
      <c r="O1645" s="2">
        <v>45485</v>
      </c>
      <c r="P1645" s="9">
        <v>13900</v>
      </c>
    </row>
    <row r="1646" spans="1:16" x14ac:dyDescent="0.25">
      <c r="A1646" t="s">
        <v>1667</v>
      </c>
      <c r="B1646" s="2">
        <v>45486</v>
      </c>
      <c r="C1646">
        <v>2024</v>
      </c>
      <c r="D1646" t="str">
        <f t="shared" si="50"/>
        <v>Jul</v>
      </c>
      <c r="E1646" t="s">
        <v>14</v>
      </c>
      <c r="F1646" t="s">
        <v>2043</v>
      </c>
      <c r="G1646" t="s">
        <v>19</v>
      </c>
      <c r="H1646" t="s">
        <v>25</v>
      </c>
      <c r="I1646">
        <v>1</v>
      </c>
      <c r="J1646" s="9">
        <v>9400</v>
      </c>
      <c r="K1646" s="7">
        <v>0.25</v>
      </c>
      <c r="L1646" s="9">
        <v>7050</v>
      </c>
      <c r="M1646" s="10">
        <f>Sales_Data3[[#This Row],[Profit]]/Sales_Data3[[#This Row],[Sales]]</f>
        <v>0.75</v>
      </c>
      <c r="N1646" t="str">
        <f t="shared" si="51"/>
        <v>Medium</v>
      </c>
      <c r="O1646" s="2">
        <v>45486</v>
      </c>
      <c r="P1646" s="9">
        <v>9400</v>
      </c>
    </row>
    <row r="1647" spans="1:16" x14ac:dyDescent="0.25">
      <c r="A1647" t="s">
        <v>1668</v>
      </c>
      <c r="B1647" s="2">
        <v>45487</v>
      </c>
      <c r="C1647">
        <v>2024</v>
      </c>
      <c r="D1647" t="str">
        <f t="shared" si="50"/>
        <v>Jul</v>
      </c>
      <c r="E1647" t="s">
        <v>14</v>
      </c>
      <c r="F1647" t="s">
        <v>2044</v>
      </c>
      <c r="G1647" t="s">
        <v>20</v>
      </c>
      <c r="H1647" t="s">
        <v>25</v>
      </c>
      <c r="I1647">
        <v>7</v>
      </c>
      <c r="J1647" s="9">
        <v>8100</v>
      </c>
      <c r="K1647" s="7">
        <v>0.05</v>
      </c>
      <c r="L1647" s="9">
        <v>7695</v>
      </c>
      <c r="M1647" s="10">
        <f>Sales_Data3[[#This Row],[Profit]]/Sales_Data3[[#This Row],[Sales]]</f>
        <v>0.95</v>
      </c>
      <c r="N1647" t="str">
        <f t="shared" si="51"/>
        <v>Medium</v>
      </c>
      <c r="O1647" s="2">
        <v>45487</v>
      </c>
      <c r="P1647" s="9">
        <v>8100</v>
      </c>
    </row>
    <row r="1648" spans="1:16" x14ac:dyDescent="0.25">
      <c r="A1648" t="s">
        <v>1669</v>
      </c>
      <c r="B1648" s="2">
        <v>45488</v>
      </c>
      <c r="C1648">
        <v>2024</v>
      </c>
      <c r="D1648" t="str">
        <f t="shared" si="50"/>
        <v>Jul</v>
      </c>
      <c r="E1648" t="s">
        <v>14</v>
      </c>
      <c r="F1648" t="s">
        <v>2045</v>
      </c>
      <c r="G1648" t="s">
        <v>21</v>
      </c>
      <c r="H1648" t="s">
        <v>25</v>
      </c>
      <c r="I1648">
        <v>8</v>
      </c>
      <c r="J1648" s="9">
        <v>10200</v>
      </c>
      <c r="K1648" s="7">
        <v>0.1</v>
      </c>
      <c r="L1648" s="9">
        <v>9180</v>
      </c>
      <c r="M1648" s="10">
        <f>Sales_Data3[[#This Row],[Profit]]/Sales_Data3[[#This Row],[Sales]]</f>
        <v>0.9</v>
      </c>
      <c r="N1648" t="str">
        <f t="shared" si="51"/>
        <v>High</v>
      </c>
      <c r="O1648" s="2">
        <v>45488</v>
      </c>
      <c r="P1648" s="9">
        <v>10200</v>
      </c>
    </row>
    <row r="1649" spans="1:16" x14ac:dyDescent="0.25">
      <c r="A1649" t="s">
        <v>1670</v>
      </c>
      <c r="B1649" s="2">
        <v>45489</v>
      </c>
      <c r="C1649">
        <v>2024</v>
      </c>
      <c r="D1649" t="str">
        <f t="shared" si="50"/>
        <v>Jul</v>
      </c>
      <c r="E1649" t="s">
        <v>14</v>
      </c>
      <c r="F1649" t="s">
        <v>2046</v>
      </c>
      <c r="G1649" t="s">
        <v>22</v>
      </c>
      <c r="H1649" t="s">
        <v>25</v>
      </c>
      <c r="I1649">
        <v>3</v>
      </c>
      <c r="J1649" s="9">
        <v>12700</v>
      </c>
      <c r="K1649" s="7">
        <v>0.15000000000000002</v>
      </c>
      <c r="L1649" s="9">
        <v>10795</v>
      </c>
      <c r="M1649" s="10">
        <f>Sales_Data3[[#This Row],[Profit]]/Sales_Data3[[#This Row],[Sales]]</f>
        <v>0.85</v>
      </c>
      <c r="N1649" t="str">
        <f t="shared" si="51"/>
        <v>High</v>
      </c>
      <c r="O1649" s="2">
        <v>45489</v>
      </c>
      <c r="P1649" s="9">
        <v>12700</v>
      </c>
    </row>
    <row r="1650" spans="1:16" x14ac:dyDescent="0.25">
      <c r="A1650" t="s">
        <v>1671</v>
      </c>
      <c r="B1650" s="2">
        <v>45490</v>
      </c>
      <c r="C1650">
        <v>2024</v>
      </c>
      <c r="D1650" t="str">
        <f t="shared" si="50"/>
        <v>Jul</v>
      </c>
      <c r="E1650" t="s">
        <v>14</v>
      </c>
      <c r="F1650" t="s">
        <v>2047</v>
      </c>
      <c r="G1650" t="s">
        <v>19</v>
      </c>
      <c r="H1650" t="s">
        <v>25</v>
      </c>
      <c r="I1650">
        <v>5</v>
      </c>
      <c r="J1650" s="9">
        <v>9900</v>
      </c>
      <c r="K1650" s="7">
        <v>0.2</v>
      </c>
      <c r="L1650" s="9">
        <v>7920</v>
      </c>
      <c r="M1650" s="10">
        <f>Sales_Data3[[#This Row],[Profit]]/Sales_Data3[[#This Row],[Sales]]</f>
        <v>0.8</v>
      </c>
      <c r="N1650" t="str">
        <f t="shared" si="51"/>
        <v>Medium</v>
      </c>
      <c r="O1650" s="2">
        <v>45490</v>
      </c>
      <c r="P1650" s="9">
        <v>9900</v>
      </c>
    </row>
    <row r="1651" spans="1:16" x14ac:dyDescent="0.25">
      <c r="A1651" t="s">
        <v>1672</v>
      </c>
      <c r="B1651" s="2">
        <v>45491</v>
      </c>
      <c r="C1651">
        <v>2024</v>
      </c>
      <c r="D1651" t="str">
        <f t="shared" si="50"/>
        <v>Jul</v>
      </c>
      <c r="E1651" t="s">
        <v>14</v>
      </c>
      <c r="F1651" t="s">
        <v>2048</v>
      </c>
      <c r="G1651" t="s">
        <v>20</v>
      </c>
      <c r="H1651" t="s">
        <v>25</v>
      </c>
      <c r="I1651">
        <v>10</v>
      </c>
      <c r="J1651" s="9">
        <v>9800</v>
      </c>
      <c r="K1651" s="7">
        <v>0.25</v>
      </c>
      <c r="L1651" s="9">
        <v>7350</v>
      </c>
      <c r="M1651" s="10">
        <f>Sales_Data3[[#This Row],[Profit]]/Sales_Data3[[#This Row],[Sales]]</f>
        <v>0.75</v>
      </c>
      <c r="N1651" t="str">
        <f t="shared" si="51"/>
        <v>Medium</v>
      </c>
      <c r="O1651" s="2">
        <v>45491</v>
      </c>
      <c r="P1651" s="9">
        <v>9800</v>
      </c>
    </row>
    <row r="1652" spans="1:16" x14ac:dyDescent="0.25">
      <c r="A1652" t="s">
        <v>1673</v>
      </c>
      <c r="B1652" s="2">
        <v>45492</v>
      </c>
      <c r="C1652">
        <v>2024</v>
      </c>
      <c r="D1652" t="str">
        <f t="shared" si="50"/>
        <v>Jul</v>
      </c>
      <c r="E1652" t="s">
        <v>12</v>
      </c>
      <c r="F1652" t="s">
        <v>15</v>
      </c>
      <c r="G1652" t="s">
        <v>21</v>
      </c>
      <c r="H1652" t="s">
        <v>23</v>
      </c>
      <c r="I1652">
        <v>8</v>
      </c>
      <c r="J1652" s="9">
        <v>6900</v>
      </c>
      <c r="K1652" s="7">
        <v>0.05</v>
      </c>
      <c r="L1652" s="9">
        <v>6555</v>
      </c>
      <c r="M1652" s="10">
        <f>Sales_Data3[[#This Row],[Profit]]/Sales_Data3[[#This Row],[Sales]]</f>
        <v>0.95</v>
      </c>
      <c r="N1652" t="str">
        <f t="shared" si="51"/>
        <v>Medium</v>
      </c>
      <c r="O1652" s="2">
        <v>45492</v>
      </c>
      <c r="P1652" s="9">
        <v>6900</v>
      </c>
    </row>
    <row r="1653" spans="1:16" x14ac:dyDescent="0.25">
      <c r="A1653" t="s">
        <v>1674</v>
      </c>
      <c r="B1653" s="2">
        <v>45493</v>
      </c>
      <c r="C1653">
        <v>2024</v>
      </c>
      <c r="D1653" t="str">
        <f t="shared" si="50"/>
        <v>Jul</v>
      </c>
      <c r="E1653" t="s">
        <v>12</v>
      </c>
      <c r="F1653" t="s">
        <v>17</v>
      </c>
      <c r="G1653" t="s">
        <v>22</v>
      </c>
      <c r="H1653" t="s">
        <v>23</v>
      </c>
      <c r="I1653">
        <v>6</v>
      </c>
      <c r="J1653" s="9">
        <v>4700</v>
      </c>
      <c r="K1653" s="7">
        <v>0.1</v>
      </c>
      <c r="L1653" s="9">
        <v>4230</v>
      </c>
      <c r="M1653" s="10">
        <f>Sales_Data3[[#This Row],[Profit]]/Sales_Data3[[#This Row],[Sales]]</f>
        <v>0.9</v>
      </c>
      <c r="N1653" t="str">
        <f t="shared" si="51"/>
        <v>Low</v>
      </c>
      <c r="O1653" s="2">
        <v>45493</v>
      </c>
      <c r="P1653" s="9">
        <v>4700</v>
      </c>
    </row>
    <row r="1654" spans="1:16" x14ac:dyDescent="0.25">
      <c r="A1654" t="s">
        <v>1675</v>
      </c>
      <c r="B1654" s="2">
        <v>45494</v>
      </c>
      <c r="C1654">
        <v>2024</v>
      </c>
      <c r="D1654" t="str">
        <f t="shared" si="50"/>
        <v>Jul</v>
      </c>
      <c r="E1654" t="s">
        <v>12</v>
      </c>
      <c r="F1654" t="s">
        <v>2023</v>
      </c>
      <c r="G1654" t="s">
        <v>19</v>
      </c>
      <c r="H1654" t="s">
        <v>23</v>
      </c>
      <c r="I1654">
        <v>2</v>
      </c>
      <c r="J1654" s="9">
        <v>7400</v>
      </c>
      <c r="K1654" s="7">
        <v>0.15000000000000002</v>
      </c>
      <c r="L1654" s="9">
        <v>6290</v>
      </c>
      <c r="M1654" s="10">
        <f>Sales_Data3[[#This Row],[Profit]]/Sales_Data3[[#This Row],[Sales]]</f>
        <v>0.85</v>
      </c>
      <c r="N1654" t="str">
        <f t="shared" si="51"/>
        <v>Medium</v>
      </c>
      <c r="O1654" s="2">
        <v>45494</v>
      </c>
      <c r="P1654" s="9">
        <v>7400</v>
      </c>
    </row>
    <row r="1655" spans="1:16" x14ac:dyDescent="0.25">
      <c r="A1655" t="s">
        <v>1676</v>
      </c>
      <c r="B1655" s="2">
        <v>45495</v>
      </c>
      <c r="C1655">
        <v>2024</v>
      </c>
      <c r="D1655" t="str">
        <f t="shared" si="50"/>
        <v>Jul</v>
      </c>
      <c r="E1655" t="s">
        <v>12</v>
      </c>
      <c r="F1655" t="s">
        <v>18</v>
      </c>
      <c r="G1655" t="s">
        <v>20</v>
      </c>
      <c r="H1655" t="s">
        <v>23</v>
      </c>
      <c r="I1655">
        <v>8</v>
      </c>
      <c r="J1655" s="9">
        <v>11700</v>
      </c>
      <c r="K1655" s="7">
        <v>0.2</v>
      </c>
      <c r="L1655" s="9">
        <v>9360</v>
      </c>
      <c r="M1655" s="10">
        <f>Sales_Data3[[#This Row],[Profit]]/Sales_Data3[[#This Row],[Sales]]</f>
        <v>0.8</v>
      </c>
      <c r="N1655" t="str">
        <f t="shared" si="51"/>
        <v>High</v>
      </c>
      <c r="O1655" s="2">
        <v>45495</v>
      </c>
      <c r="P1655" s="9">
        <v>11700</v>
      </c>
    </row>
    <row r="1656" spans="1:16" x14ac:dyDescent="0.25">
      <c r="A1656" t="s">
        <v>1677</v>
      </c>
      <c r="B1656" s="2">
        <v>45496</v>
      </c>
      <c r="C1656">
        <v>2024</v>
      </c>
      <c r="D1656" t="str">
        <f t="shared" si="50"/>
        <v>Jul</v>
      </c>
      <c r="E1656" t="s">
        <v>12</v>
      </c>
      <c r="F1656" t="s">
        <v>2024</v>
      </c>
      <c r="G1656" t="s">
        <v>21</v>
      </c>
      <c r="H1656" t="s">
        <v>23</v>
      </c>
      <c r="I1656">
        <v>10</v>
      </c>
      <c r="J1656" s="9">
        <v>14000</v>
      </c>
      <c r="K1656" s="7">
        <v>0.25</v>
      </c>
      <c r="L1656" s="9">
        <v>10500</v>
      </c>
      <c r="M1656" s="10">
        <f>Sales_Data3[[#This Row],[Profit]]/Sales_Data3[[#This Row],[Sales]]</f>
        <v>0.75</v>
      </c>
      <c r="N1656" t="str">
        <f t="shared" si="51"/>
        <v>High</v>
      </c>
      <c r="O1656" s="2">
        <v>45496</v>
      </c>
      <c r="P1656" s="9">
        <v>14000</v>
      </c>
    </row>
    <row r="1657" spans="1:16" x14ac:dyDescent="0.25">
      <c r="A1657" t="s">
        <v>1678</v>
      </c>
      <c r="B1657" s="2">
        <v>45497</v>
      </c>
      <c r="C1657">
        <v>2024</v>
      </c>
      <c r="D1657" t="str">
        <f t="shared" si="50"/>
        <v>Jul</v>
      </c>
      <c r="E1657" t="s">
        <v>12</v>
      </c>
      <c r="F1657" t="s">
        <v>2025</v>
      </c>
      <c r="G1657" t="s">
        <v>22</v>
      </c>
      <c r="H1657" t="s">
        <v>23</v>
      </c>
      <c r="I1657">
        <v>10</v>
      </c>
      <c r="J1657" s="9">
        <v>7200</v>
      </c>
      <c r="K1657" s="7">
        <v>0.05</v>
      </c>
      <c r="L1657" s="9">
        <v>6840</v>
      </c>
      <c r="M1657" s="10">
        <f>Sales_Data3[[#This Row],[Profit]]/Sales_Data3[[#This Row],[Sales]]</f>
        <v>0.95</v>
      </c>
      <c r="N1657" t="str">
        <f t="shared" si="51"/>
        <v>Medium</v>
      </c>
      <c r="O1657" s="2">
        <v>45497</v>
      </c>
      <c r="P1657" s="9">
        <v>7200</v>
      </c>
    </row>
    <row r="1658" spans="1:16" x14ac:dyDescent="0.25">
      <c r="A1658" t="s">
        <v>1679</v>
      </c>
      <c r="B1658" s="2">
        <v>45498</v>
      </c>
      <c r="C1658">
        <v>2024</v>
      </c>
      <c r="D1658" t="str">
        <f t="shared" si="50"/>
        <v>Jul</v>
      </c>
      <c r="E1658" t="s">
        <v>12</v>
      </c>
      <c r="F1658" t="s">
        <v>2026</v>
      </c>
      <c r="G1658" t="s">
        <v>19</v>
      </c>
      <c r="H1658" t="s">
        <v>23</v>
      </c>
      <c r="I1658">
        <v>7</v>
      </c>
      <c r="J1658" s="9">
        <v>7600</v>
      </c>
      <c r="K1658" s="7">
        <v>0.1</v>
      </c>
      <c r="L1658" s="9">
        <v>6840</v>
      </c>
      <c r="M1658" s="10">
        <f>Sales_Data3[[#This Row],[Profit]]/Sales_Data3[[#This Row],[Sales]]</f>
        <v>0.9</v>
      </c>
      <c r="N1658" t="str">
        <f t="shared" si="51"/>
        <v>Medium</v>
      </c>
      <c r="O1658" s="2">
        <v>45498</v>
      </c>
      <c r="P1658" s="9">
        <v>7600</v>
      </c>
    </row>
    <row r="1659" spans="1:16" x14ac:dyDescent="0.25">
      <c r="A1659" t="s">
        <v>1680</v>
      </c>
      <c r="B1659" s="2">
        <v>45499</v>
      </c>
      <c r="C1659">
        <v>2024</v>
      </c>
      <c r="D1659" t="str">
        <f t="shared" si="50"/>
        <v>Jul</v>
      </c>
      <c r="E1659" t="s">
        <v>12</v>
      </c>
      <c r="F1659" t="s">
        <v>2027</v>
      </c>
      <c r="G1659" t="s">
        <v>20</v>
      </c>
      <c r="H1659" t="s">
        <v>23</v>
      </c>
      <c r="I1659">
        <v>9</v>
      </c>
      <c r="J1659" s="9">
        <v>5500</v>
      </c>
      <c r="K1659" s="7">
        <v>0.15000000000000002</v>
      </c>
      <c r="L1659" s="9">
        <v>4675</v>
      </c>
      <c r="M1659" s="10">
        <f>Sales_Data3[[#This Row],[Profit]]/Sales_Data3[[#This Row],[Sales]]</f>
        <v>0.85</v>
      </c>
      <c r="N1659" t="str">
        <f t="shared" si="51"/>
        <v>Medium</v>
      </c>
      <c r="O1659" s="2">
        <v>45499</v>
      </c>
      <c r="P1659" s="9">
        <v>5500</v>
      </c>
    </row>
    <row r="1660" spans="1:16" x14ac:dyDescent="0.25">
      <c r="A1660" t="s">
        <v>1681</v>
      </c>
      <c r="B1660" s="2">
        <v>45500</v>
      </c>
      <c r="C1660">
        <v>2024</v>
      </c>
      <c r="D1660" t="str">
        <f t="shared" si="50"/>
        <v>Jul</v>
      </c>
      <c r="E1660" t="s">
        <v>12</v>
      </c>
      <c r="F1660" t="s">
        <v>2028</v>
      </c>
      <c r="G1660" t="s">
        <v>21</v>
      </c>
      <c r="H1660" t="s">
        <v>23</v>
      </c>
      <c r="I1660">
        <v>2</v>
      </c>
      <c r="J1660" s="9">
        <v>14100</v>
      </c>
      <c r="K1660" s="7">
        <v>0.2</v>
      </c>
      <c r="L1660" s="9">
        <v>11280</v>
      </c>
      <c r="M1660" s="10">
        <f>Sales_Data3[[#This Row],[Profit]]/Sales_Data3[[#This Row],[Sales]]</f>
        <v>0.8</v>
      </c>
      <c r="N1660" t="str">
        <f t="shared" si="51"/>
        <v>High</v>
      </c>
      <c r="O1660" s="2">
        <v>45500</v>
      </c>
      <c r="P1660" s="9">
        <v>14100</v>
      </c>
    </row>
    <row r="1661" spans="1:16" x14ac:dyDescent="0.25">
      <c r="A1661" t="s">
        <v>1682</v>
      </c>
      <c r="B1661" s="2">
        <v>45501</v>
      </c>
      <c r="C1661">
        <v>2024</v>
      </c>
      <c r="D1661" t="str">
        <f t="shared" si="50"/>
        <v>Jul</v>
      </c>
      <c r="E1661" t="s">
        <v>12</v>
      </c>
      <c r="F1661" t="s">
        <v>2029</v>
      </c>
      <c r="G1661" t="s">
        <v>22</v>
      </c>
      <c r="H1661" t="s">
        <v>23</v>
      </c>
      <c r="I1661">
        <v>10</v>
      </c>
      <c r="J1661" s="9">
        <v>13800</v>
      </c>
      <c r="K1661" s="7">
        <v>0.25</v>
      </c>
      <c r="L1661" s="9">
        <v>10350</v>
      </c>
      <c r="M1661" s="10">
        <f>Sales_Data3[[#This Row],[Profit]]/Sales_Data3[[#This Row],[Sales]]</f>
        <v>0.75</v>
      </c>
      <c r="N1661" t="str">
        <f t="shared" si="51"/>
        <v>High</v>
      </c>
      <c r="O1661" s="2">
        <v>45501</v>
      </c>
      <c r="P1661" s="9">
        <v>13800</v>
      </c>
    </row>
    <row r="1662" spans="1:16" x14ac:dyDescent="0.25">
      <c r="A1662" t="s">
        <v>1683</v>
      </c>
      <c r="B1662" s="2">
        <v>45502</v>
      </c>
      <c r="C1662">
        <v>2024</v>
      </c>
      <c r="D1662" t="str">
        <f t="shared" si="50"/>
        <v>Jul</v>
      </c>
      <c r="E1662" t="s">
        <v>13</v>
      </c>
      <c r="F1662" t="s">
        <v>16</v>
      </c>
      <c r="G1662" t="s">
        <v>19</v>
      </c>
      <c r="H1662" t="s">
        <v>24</v>
      </c>
      <c r="I1662">
        <v>8</v>
      </c>
      <c r="J1662" s="9">
        <v>5300</v>
      </c>
      <c r="K1662" s="7">
        <v>0.05</v>
      </c>
      <c r="L1662" s="9">
        <v>5035</v>
      </c>
      <c r="M1662" s="10">
        <f>Sales_Data3[[#This Row],[Profit]]/Sales_Data3[[#This Row],[Sales]]</f>
        <v>0.95</v>
      </c>
      <c r="N1662" t="str">
        <f t="shared" si="51"/>
        <v>Medium</v>
      </c>
      <c r="O1662" s="2">
        <v>45502</v>
      </c>
      <c r="P1662" s="9">
        <v>5300</v>
      </c>
    </row>
    <row r="1663" spans="1:16" x14ac:dyDescent="0.25">
      <c r="A1663" t="s">
        <v>1684</v>
      </c>
      <c r="B1663" s="2">
        <v>45503</v>
      </c>
      <c r="C1663">
        <v>2024</v>
      </c>
      <c r="D1663" t="str">
        <f t="shared" si="50"/>
        <v>Jul</v>
      </c>
      <c r="E1663" t="s">
        <v>13</v>
      </c>
      <c r="F1663" t="s">
        <v>2030</v>
      </c>
      <c r="G1663" t="s">
        <v>20</v>
      </c>
      <c r="H1663" t="s">
        <v>24</v>
      </c>
      <c r="I1663">
        <v>1</v>
      </c>
      <c r="J1663" s="9">
        <v>12400</v>
      </c>
      <c r="K1663" s="7">
        <v>0.1</v>
      </c>
      <c r="L1663" s="9">
        <v>11160</v>
      </c>
      <c r="M1663" s="10">
        <f>Sales_Data3[[#This Row],[Profit]]/Sales_Data3[[#This Row],[Sales]]</f>
        <v>0.9</v>
      </c>
      <c r="N1663" t="str">
        <f t="shared" si="51"/>
        <v>High</v>
      </c>
      <c r="O1663" s="2">
        <v>45503</v>
      </c>
      <c r="P1663" s="9">
        <v>12400</v>
      </c>
    </row>
    <row r="1664" spans="1:16" x14ac:dyDescent="0.25">
      <c r="A1664" t="s">
        <v>1685</v>
      </c>
      <c r="B1664" s="2">
        <v>45504</v>
      </c>
      <c r="C1664">
        <v>2024</v>
      </c>
      <c r="D1664" t="str">
        <f t="shared" si="50"/>
        <v>Jul</v>
      </c>
      <c r="E1664" t="s">
        <v>13</v>
      </c>
      <c r="F1664" t="s">
        <v>2031</v>
      </c>
      <c r="G1664" t="s">
        <v>21</v>
      </c>
      <c r="H1664" t="s">
        <v>24</v>
      </c>
      <c r="I1664">
        <v>4</v>
      </c>
      <c r="J1664" s="9">
        <v>11100</v>
      </c>
      <c r="K1664" s="7">
        <v>0.15000000000000002</v>
      </c>
      <c r="L1664" s="9">
        <v>9435</v>
      </c>
      <c r="M1664" s="10">
        <f>Sales_Data3[[#This Row],[Profit]]/Sales_Data3[[#This Row],[Sales]]</f>
        <v>0.85</v>
      </c>
      <c r="N1664" t="str">
        <f t="shared" si="51"/>
        <v>High</v>
      </c>
      <c r="O1664" s="2">
        <v>45504</v>
      </c>
      <c r="P1664" s="9">
        <v>11100</v>
      </c>
    </row>
    <row r="1665" spans="1:16" x14ac:dyDescent="0.25">
      <c r="A1665" t="s">
        <v>1686</v>
      </c>
      <c r="B1665" s="2">
        <v>45505</v>
      </c>
      <c r="C1665">
        <v>2024</v>
      </c>
      <c r="D1665" t="str">
        <f t="shared" si="50"/>
        <v>Aug</v>
      </c>
      <c r="E1665" t="s">
        <v>13</v>
      </c>
      <c r="F1665" t="s">
        <v>2032</v>
      </c>
      <c r="G1665" t="s">
        <v>22</v>
      </c>
      <c r="H1665" t="s">
        <v>24</v>
      </c>
      <c r="I1665">
        <v>8</v>
      </c>
      <c r="J1665" s="9">
        <v>10100</v>
      </c>
      <c r="K1665" s="7">
        <v>0.2</v>
      </c>
      <c r="L1665" s="9">
        <v>8080</v>
      </c>
      <c r="M1665" s="10">
        <f>Sales_Data3[[#This Row],[Profit]]/Sales_Data3[[#This Row],[Sales]]</f>
        <v>0.8</v>
      </c>
      <c r="N1665" t="str">
        <f t="shared" si="51"/>
        <v>High</v>
      </c>
      <c r="O1665" s="2">
        <v>45505</v>
      </c>
      <c r="P1665" s="9">
        <v>10100</v>
      </c>
    </row>
    <row r="1666" spans="1:16" x14ac:dyDescent="0.25">
      <c r="A1666" t="s">
        <v>1687</v>
      </c>
      <c r="B1666" s="2">
        <v>45506</v>
      </c>
      <c r="C1666">
        <v>2024</v>
      </c>
      <c r="D1666" t="str">
        <f t="shared" ref="D1666:D1729" si="52">TEXT(B1666,"MMM")</f>
        <v>Aug</v>
      </c>
      <c r="E1666" t="s">
        <v>13</v>
      </c>
      <c r="F1666" t="s">
        <v>2033</v>
      </c>
      <c r="G1666" t="s">
        <v>19</v>
      </c>
      <c r="H1666" t="s">
        <v>24</v>
      </c>
      <c r="I1666">
        <v>5</v>
      </c>
      <c r="J1666" s="9">
        <v>7900</v>
      </c>
      <c r="K1666" s="7">
        <v>0.25</v>
      </c>
      <c r="L1666" s="9">
        <v>5925</v>
      </c>
      <c r="M1666" s="10">
        <f>Sales_Data3[[#This Row],[Profit]]/Sales_Data3[[#This Row],[Sales]]</f>
        <v>0.75</v>
      </c>
      <c r="N1666" t="str">
        <f t="shared" ref="N1666:N1729" si="53">IF(J1666&gt;10000,"High",IF(J1666&gt;5000,"Medium","Low"))</f>
        <v>Medium</v>
      </c>
      <c r="O1666" s="2">
        <v>45506</v>
      </c>
      <c r="P1666" s="9">
        <v>7900</v>
      </c>
    </row>
    <row r="1667" spans="1:16" x14ac:dyDescent="0.25">
      <c r="A1667" t="s">
        <v>1688</v>
      </c>
      <c r="B1667" s="2">
        <v>45507</v>
      </c>
      <c r="C1667">
        <v>2024</v>
      </c>
      <c r="D1667" t="str">
        <f t="shared" si="52"/>
        <v>Aug</v>
      </c>
      <c r="E1667" t="s">
        <v>13</v>
      </c>
      <c r="F1667" t="s">
        <v>2034</v>
      </c>
      <c r="G1667" t="s">
        <v>20</v>
      </c>
      <c r="H1667" t="s">
        <v>24</v>
      </c>
      <c r="I1667">
        <v>5</v>
      </c>
      <c r="J1667" s="9">
        <v>10300</v>
      </c>
      <c r="K1667" s="7">
        <v>0.05</v>
      </c>
      <c r="L1667" s="9">
        <v>9785</v>
      </c>
      <c r="M1667" s="10">
        <f>Sales_Data3[[#This Row],[Profit]]/Sales_Data3[[#This Row],[Sales]]</f>
        <v>0.95</v>
      </c>
      <c r="N1667" t="str">
        <f t="shared" si="53"/>
        <v>High</v>
      </c>
      <c r="O1667" s="2">
        <v>45507</v>
      </c>
      <c r="P1667" s="9">
        <v>10300</v>
      </c>
    </row>
    <row r="1668" spans="1:16" x14ac:dyDescent="0.25">
      <c r="A1668" t="s">
        <v>1689</v>
      </c>
      <c r="B1668" s="2">
        <v>45508</v>
      </c>
      <c r="C1668">
        <v>2024</v>
      </c>
      <c r="D1668" t="str">
        <f t="shared" si="52"/>
        <v>Aug</v>
      </c>
      <c r="E1668" t="s">
        <v>13</v>
      </c>
      <c r="F1668" t="s">
        <v>2035</v>
      </c>
      <c r="G1668" t="s">
        <v>21</v>
      </c>
      <c r="H1668" t="s">
        <v>24</v>
      </c>
      <c r="I1668">
        <v>1</v>
      </c>
      <c r="J1668" s="9">
        <v>11100</v>
      </c>
      <c r="K1668" s="7">
        <v>0.1</v>
      </c>
      <c r="L1668" s="9">
        <v>9990</v>
      </c>
      <c r="M1668" s="10">
        <f>Sales_Data3[[#This Row],[Profit]]/Sales_Data3[[#This Row],[Sales]]</f>
        <v>0.9</v>
      </c>
      <c r="N1668" t="str">
        <f t="shared" si="53"/>
        <v>High</v>
      </c>
      <c r="O1668" s="2">
        <v>45508</v>
      </c>
      <c r="P1668" s="9">
        <v>11100</v>
      </c>
    </row>
    <row r="1669" spans="1:16" x14ac:dyDescent="0.25">
      <c r="A1669" t="s">
        <v>1690</v>
      </c>
      <c r="B1669" s="2">
        <v>45509</v>
      </c>
      <c r="C1669">
        <v>2024</v>
      </c>
      <c r="D1669" t="str">
        <f t="shared" si="52"/>
        <v>Aug</v>
      </c>
      <c r="E1669" t="s">
        <v>13</v>
      </c>
      <c r="F1669" t="s">
        <v>2036</v>
      </c>
      <c r="G1669" t="s">
        <v>22</v>
      </c>
      <c r="H1669" t="s">
        <v>24</v>
      </c>
      <c r="I1669">
        <v>7</v>
      </c>
      <c r="J1669" s="9">
        <v>4500</v>
      </c>
      <c r="K1669" s="7">
        <v>0.15000000000000002</v>
      </c>
      <c r="L1669" s="9">
        <v>3825</v>
      </c>
      <c r="M1669" s="10">
        <f>Sales_Data3[[#This Row],[Profit]]/Sales_Data3[[#This Row],[Sales]]</f>
        <v>0.85</v>
      </c>
      <c r="N1669" t="str">
        <f t="shared" si="53"/>
        <v>Low</v>
      </c>
      <c r="O1669" s="2">
        <v>45509</v>
      </c>
      <c r="P1669" s="9">
        <v>4500</v>
      </c>
    </row>
    <row r="1670" spans="1:16" x14ac:dyDescent="0.25">
      <c r="A1670" t="s">
        <v>1691</v>
      </c>
      <c r="B1670" s="2">
        <v>45510</v>
      </c>
      <c r="C1670">
        <v>2024</v>
      </c>
      <c r="D1670" t="str">
        <f t="shared" si="52"/>
        <v>Aug</v>
      </c>
      <c r="E1670" t="s">
        <v>13</v>
      </c>
      <c r="F1670" t="s">
        <v>2037</v>
      </c>
      <c r="G1670" t="s">
        <v>19</v>
      </c>
      <c r="H1670" t="s">
        <v>24</v>
      </c>
      <c r="I1670">
        <v>5</v>
      </c>
      <c r="J1670" s="9">
        <v>11900</v>
      </c>
      <c r="K1670" s="7">
        <v>0.2</v>
      </c>
      <c r="L1670" s="9">
        <v>9520</v>
      </c>
      <c r="M1670" s="10">
        <f>Sales_Data3[[#This Row],[Profit]]/Sales_Data3[[#This Row],[Sales]]</f>
        <v>0.8</v>
      </c>
      <c r="N1670" t="str">
        <f t="shared" si="53"/>
        <v>High</v>
      </c>
      <c r="O1670" s="2">
        <v>45510</v>
      </c>
      <c r="P1670" s="9">
        <v>11900</v>
      </c>
    </row>
    <row r="1671" spans="1:16" x14ac:dyDescent="0.25">
      <c r="A1671" t="s">
        <v>1692</v>
      </c>
      <c r="B1671" s="2">
        <v>45511</v>
      </c>
      <c r="C1671">
        <v>2024</v>
      </c>
      <c r="D1671" t="str">
        <f t="shared" si="52"/>
        <v>Aug</v>
      </c>
      <c r="E1671" t="s">
        <v>13</v>
      </c>
      <c r="F1671" t="s">
        <v>2038</v>
      </c>
      <c r="G1671" t="s">
        <v>20</v>
      </c>
      <c r="H1671" t="s">
        <v>24</v>
      </c>
      <c r="I1671">
        <v>4</v>
      </c>
      <c r="J1671" s="9">
        <v>7600</v>
      </c>
      <c r="K1671" s="7">
        <v>0.25</v>
      </c>
      <c r="L1671" s="9">
        <v>5700</v>
      </c>
      <c r="M1671" s="10">
        <f>Sales_Data3[[#This Row],[Profit]]/Sales_Data3[[#This Row],[Sales]]</f>
        <v>0.75</v>
      </c>
      <c r="N1671" t="str">
        <f t="shared" si="53"/>
        <v>Medium</v>
      </c>
      <c r="O1671" s="2">
        <v>45511</v>
      </c>
      <c r="P1671" s="9">
        <v>7600</v>
      </c>
    </row>
    <row r="1672" spans="1:16" x14ac:dyDescent="0.25">
      <c r="A1672" t="s">
        <v>1693</v>
      </c>
      <c r="B1672" s="2">
        <v>45512</v>
      </c>
      <c r="C1672">
        <v>2024</v>
      </c>
      <c r="D1672" t="str">
        <f t="shared" si="52"/>
        <v>Aug</v>
      </c>
      <c r="E1672" t="s">
        <v>14</v>
      </c>
      <c r="F1672" t="s">
        <v>2039</v>
      </c>
      <c r="G1672" t="s">
        <v>21</v>
      </c>
      <c r="H1672" t="s">
        <v>25</v>
      </c>
      <c r="I1672">
        <v>1</v>
      </c>
      <c r="J1672" s="9">
        <v>4400</v>
      </c>
      <c r="K1672" s="7">
        <v>0.05</v>
      </c>
      <c r="L1672" s="9">
        <v>4180</v>
      </c>
      <c r="M1672" s="10">
        <f>Sales_Data3[[#This Row],[Profit]]/Sales_Data3[[#This Row],[Sales]]</f>
        <v>0.95</v>
      </c>
      <c r="N1672" t="str">
        <f t="shared" si="53"/>
        <v>Low</v>
      </c>
      <c r="O1672" s="2">
        <v>45512</v>
      </c>
      <c r="P1672" s="9">
        <v>4400</v>
      </c>
    </row>
    <row r="1673" spans="1:16" x14ac:dyDescent="0.25">
      <c r="A1673" t="s">
        <v>1694</v>
      </c>
      <c r="B1673" s="2">
        <v>45513</v>
      </c>
      <c r="C1673">
        <v>2024</v>
      </c>
      <c r="D1673" t="str">
        <f t="shared" si="52"/>
        <v>Aug</v>
      </c>
      <c r="E1673" t="s">
        <v>14</v>
      </c>
      <c r="F1673" t="s">
        <v>2040</v>
      </c>
      <c r="G1673" t="s">
        <v>22</v>
      </c>
      <c r="H1673" t="s">
        <v>25</v>
      </c>
      <c r="I1673">
        <v>8</v>
      </c>
      <c r="J1673" s="9">
        <v>11800</v>
      </c>
      <c r="K1673" s="7">
        <v>0.1</v>
      </c>
      <c r="L1673" s="9">
        <v>10620</v>
      </c>
      <c r="M1673" s="10">
        <f>Sales_Data3[[#This Row],[Profit]]/Sales_Data3[[#This Row],[Sales]]</f>
        <v>0.9</v>
      </c>
      <c r="N1673" t="str">
        <f t="shared" si="53"/>
        <v>High</v>
      </c>
      <c r="O1673" s="2">
        <v>45513</v>
      </c>
      <c r="P1673" s="9">
        <v>11800</v>
      </c>
    </row>
    <row r="1674" spans="1:16" x14ac:dyDescent="0.25">
      <c r="A1674" t="s">
        <v>1695</v>
      </c>
      <c r="B1674" s="2">
        <v>45514</v>
      </c>
      <c r="C1674">
        <v>2024</v>
      </c>
      <c r="D1674" t="str">
        <f t="shared" si="52"/>
        <v>Aug</v>
      </c>
      <c r="E1674" t="s">
        <v>14</v>
      </c>
      <c r="F1674" t="s">
        <v>2041</v>
      </c>
      <c r="G1674" t="s">
        <v>19</v>
      </c>
      <c r="H1674" t="s">
        <v>25</v>
      </c>
      <c r="I1674">
        <v>9</v>
      </c>
      <c r="J1674" s="9">
        <v>10700</v>
      </c>
      <c r="K1674" s="7">
        <v>0.15000000000000002</v>
      </c>
      <c r="L1674" s="9">
        <v>9095</v>
      </c>
      <c r="M1674" s="10">
        <f>Sales_Data3[[#This Row],[Profit]]/Sales_Data3[[#This Row],[Sales]]</f>
        <v>0.85</v>
      </c>
      <c r="N1674" t="str">
        <f t="shared" si="53"/>
        <v>High</v>
      </c>
      <c r="O1674" s="2">
        <v>45514</v>
      </c>
      <c r="P1674" s="9">
        <v>10700</v>
      </c>
    </row>
    <row r="1675" spans="1:16" x14ac:dyDescent="0.25">
      <c r="A1675" t="s">
        <v>1696</v>
      </c>
      <c r="B1675" s="2">
        <v>45515</v>
      </c>
      <c r="C1675">
        <v>2024</v>
      </c>
      <c r="D1675" t="str">
        <f t="shared" si="52"/>
        <v>Aug</v>
      </c>
      <c r="E1675" t="s">
        <v>14</v>
      </c>
      <c r="F1675" t="s">
        <v>2042</v>
      </c>
      <c r="G1675" t="s">
        <v>20</v>
      </c>
      <c r="H1675" t="s">
        <v>25</v>
      </c>
      <c r="I1675">
        <v>2</v>
      </c>
      <c r="J1675" s="9">
        <v>12800</v>
      </c>
      <c r="K1675" s="7">
        <v>0.2</v>
      </c>
      <c r="L1675" s="9">
        <v>10240</v>
      </c>
      <c r="M1675" s="10">
        <f>Sales_Data3[[#This Row],[Profit]]/Sales_Data3[[#This Row],[Sales]]</f>
        <v>0.8</v>
      </c>
      <c r="N1675" t="str">
        <f t="shared" si="53"/>
        <v>High</v>
      </c>
      <c r="O1675" s="2">
        <v>45515</v>
      </c>
      <c r="P1675" s="9">
        <v>12800</v>
      </c>
    </row>
    <row r="1676" spans="1:16" x14ac:dyDescent="0.25">
      <c r="A1676" t="s">
        <v>1697</v>
      </c>
      <c r="B1676" s="2">
        <v>45516</v>
      </c>
      <c r="C1676">
        <v>2024</v>
      </c>
      <c r="D1676" t="str">
        <f t="shared" si="52"/>
        <v>Aug</v>
      </c>
      <c r="E1676" t="s">
        <v>14</v>
      </c>
      <c r="F1676" t="s">
        <v>2043</v>
      </c>
      <c r="G1676" t="s">
        <v>21</v>
      </c>
      <c r="H1676" t="s">
        <v>25</v>
      </c>
      <c r="I1676">
        <v>5</v>
      </c>
      <c r="J1676" s="9">
        <v>9400</v>
      </c>
      <c r="K1676" s="7">
        <v>0.25</v>
      </c>
      <c r="L1676" s="9">
        <v>7050</v>
      </c>
      <c r="M1676" s="10">
        <f>Sales_Data3[[#This Row],[Profit]]/Sales_Data3[[#This Row],[Sales]]</f>
        <v>0.75</v>
      </c>
      <c r="N1676" t="str">
        <f t="shared" si="53"/>
        <v>Medium</v>
      </c>
      <c r="O1676" s="2">
        <v>45516</v>
      </c>
      <c r="P1676" s="9">
        <v>9400</v>
      </c>
    </row>
    <row r="1677" spans="1:16" x14ac:dyDescent="0.25">
      <c r="A1677" t="s">
        <v>1698</v>
      </c>
      <c r="B1677" s="2">
        <v>45517</v>
      </c>
      <c r="C1677">
        <v>2024</v>
      </c>
      <c r="D1677" t="str">
        <f t="shared" si="52"/>
        <v>Aug</v>
      </c>
      <c r="E1677" t="s">
        <v>14</v>
      </c>
      <c r="F1677" t="s">
        <v>2044</v>
      </c>
      <c r="G1677" t="s">
        <v>22</v>
      </c>
      <c r="H1677" t="s">
        <v>25</v>
      </c>
      <c r="I1677">
        <v>2</v>
      </c>
      <c r="J1677" s="9">
        <v>8300</v>
      </c>
      <c r="K1677" s="7">
        <v>0.05</v>
      </c>
      <c r="L1677" s="9">
        <v>7885</v>
      </c>
      <c r="M1677" s="10">
        <f>Sales_Data3[[#This Row],[Profit]]/Sales_Data3[[#This Row],[Sales]]</f>
        <v>0.95</v>
      </c>
      <c r="N1677" t="str">
        <f t="shared" si="53"/>
        <v>Medium</v>
      </c>
      <c r="O1677" s="2">
        <v>45517</v>
      </c>
      <c r="P1677" s="9">
        <v>8300</v>
      </c>
    </row>
    <row r="1678" spans="1:16" x14ac:dyDescent="0.25">
      <c r="A1678" t="s">
        <v>1699</v>
      </c>
      <c r="B1678" s="2">
        <v>45518</v>
      </c>
      <c r="C1678">
        <v>2024</v>
      </c>
      <c r="D1678" t="str">
        <f t="shared" si="52"/>
        <v>Aug</v>
      </c>
      <c r="E1678" t="s">
        <v>14</v>
      </c>
      <c r="F1678" t="s">
        <v>2045</v>
      </c>
      <c r="G1678" t="s">
        <v>19</v>
      </c>
      <c r="H1678" t="s">
        <v>25</v>
      </c>
      <c r="I1678">
        <v>9</v>
      </c>
      <c r="J1678" s="9">
        <v>5400</v>
      </c>
      <c r="K1678" s="7">
        <v>0.1</v>
      </c>
      <c r="L1678" s="9">
        <v>4860</v>
      </c>
      <c r="M1678" s="10">
        <f>Sales_Data3[[#This Row],[Profit]]/Sales_Data3[[#This Row],[Sales]]</f>
        <v>0.9</v>
      </c>
      <c r="N1678" t="str">
        <f t="shared" si="53"/>
        <v>Medium</v>
      </c>
      <c r="O1678" s="2">
        <v>45518</v>
      </c>
      <c r="P1678" s="9">
        <v>5400</v>
      </c>
    </row>
    <row r="1679" spans="1:16" x14ac:dyDescent="0.25">
      <c r="A1679" t="s">
        <v>1700</v>
      </c>
      <c r="B1679" s="2">
        <v>45519</v>
      </c>
      <c r="C1679">
        <v>2024</v>
      </c>
      <c r="D1679" t="str">
        <f t="shared" si="52"/>
        <v>Aug</v>
      </c>
      <c r="E1679" t="s">
        <v>14</v>
      </c>
      <c r="F1679" t="s">
        <v>2046</v>
      </c>
      <c r="G1679" t="s">
        <v>20</v>
      </c>
      <c r="H1679" t="s">
        <v>25</v>
      </c>
      <c r="I1679">
        <v>8</v>
      </c>
      <c r="J1679" s="9">
        <v>5800</v>
      </c>
      <c r="K1679" s="7">
        <v>0.15000000000000002</v>
      </c>
      <c r="L1679" s="9">
        <v>4930</v>
      </c>
      <c r="M1679" s="10">
        <f>Sales_Data3[[#This Row],[Profit]]/Sales_Data3[[#This Row],[Sales]]</f>
        <v>0.85</v>
      </c>
      <c r="N1679" t="str">
        <f t="shared" si="53"/>
        <v>Medium</v>
      </c>
      <c r="O1679" s="2">
        <v>45519</v>
      </c>
      <c r="P1679" s="9">
        <v>5800</v>
      </c>
    </row>
    <row r="1680" spans="1:16" x14ac:dyDescent="0.25">
      <c r="A1680" t="s">
        <v>1701</v>
      </c>
      <c r="B1680" s="2">
        <v>45520</v>
      </c>
      <c r="C1680">
        <v>2024</v>
      </c>
      <c r="D1680" t="str">
        <f t="shared" si="52"/>
        <v>Aug</v>
      </c>
      <c r="E1680" t="s">
        <v>14</v>
      </c>
      <c r="F1680" t="s">
        <v>2047</v>
      </c>
      <c r="G1680" t="s">
        <v>21</v>
      </c>
      <c r="H1680" t="s">
        <v>25</v>
      </c>
      <c r="I1680">
        <v>10</v>
      </c>
      <c r="J1680" s="9">
        <v>9800</v>
      </c>
      <c r="K1680" s="7">
        <v>0.2</v>
      </c>
      <c r="L1680" s="9">
        <v>7840</v>
      </c>
      <c r="M1680" s="10">
        <f>Sales_Data3[[#This Row],[Profit]]/Sales_Data3[[#This Row],[Sales]]</f>
        <v>0.8</v>
      </c>
      <c r="N1680" t="str">
        <f t="shared" si="53"/>
        <v>Medium</v>
      </c>
      <c r="O1680" s="2">
        <v>45520</v>
      </c>
      <c r="P1680" s="9">
        <v>9800</v>
      </c>
    </row>
    <row r="1681" spans="1:16" x14ac:dyDescent="0.25">
      <c r="A1681" t="s">
        <v>1702</v>
      </c>
      <c r="B1681" s="2">
        <v>45521</v>
      </c>
      <c r="C1681">
        <v>2024</v>
      </c>
      <c r="D1681" t="str">
        <f t="shared" si="52"/>
        <v>Aug</v>
      </c>
      <c r="E1681" t="s">
        <v>14</v>
      </c>
      <c r="F1681" t="s">
        <v>2048</v>
      </c>
      <c r="G1681" t="s">
        <v>22</v>
      </c>
      <c r="H1681" t="s">
        <v>25</v>
      </c>
      <c r="I1681">
        <v>1</v>
      </c>
      <c r="J1681" s="9">
        <v>9800</v>
      </c>
      <c r="K1681" s="7">
        <v>0.25</v>
      </c>
      <c r="L1681" s="9">
        <v>7350</v>
      </c>
      <c r="M1681" s="10">
        <f>Sales_Data3[[#This Row],[Profit]]/Sales_Data3[[#This Row],[Sales]]</f>
        <v>0.75</v>
      </c>
      <c r="N1681" t="str">
        <f t="shared" si="53"/>
        <v>Medium</v>
      </c>
      <c r="O1681" s="2">
        <v>45521</v>
      </c>
      <c r="P1681" s="9">
        <v>9800</v>
      </c>
    </row>
    <row r="1682" spans="1:16" x14ac:dyDescent="0.25">
      <c r="A1682" t="s">
        <v>1703</v>
      </c>
      <c r="B1682" s="2">
        <v>45522</v>
      </c>
      <c r="C1682">
        <v>2024</v>
      </c>
      <c r="D1682" t="str">
        <f t="shared" si="52"/>
        <v>Aug</v>
      </c>
      <c r="E1682" t="s">
        <v>12</v>
      </c>
      <c r="F1682" t="s">
        <v>15</v>
      </c>
      <c r="G1682" t="s">
        <v>19</v>
      </c>
      <c r="H1682" t="s">
        <v>23</v>
      </c>
      <c r="I1682">
        <v>10</v>
      </c>
      <c r="J1682" s="9">
        <v>9500</v>
      </c>
      <c r="K1682" s="7">
        <v>0.05</v>
      </c>
      <c r="L1682" s="9">
        <v>9025</v>
      </c>
      <c r="M1682" s="10">
        <f>Sales_Data3[[#This Row],[Profit]]/Sales_Data3[[#This Row],[Sales]]</f>
        <v>0.95</v>
      </c>
      <c r="N1682" t="str">
        <f t="shared" si="53"/>
        <v>Medium</v>
      </c>
      <c r="O1682" s="2">
        <v>45522</v>
      </c>
      <c r="P1682" s="9">
        <v>9500</v>
      </c>
    </row>
    <row r="1683" spans="1:16" x14ac:dyDescent="0.25">
      <c r="A1683" t="s">
        <v>1704</v>
      </c>
      <c r="B1683" s="2">
        <v>45523</v>
      </c>
      <c r="C1683">
        <v>2024</v>
      </c>
      <c r="D1683" t="str">
        <f t="shared" si="52"/>
        <v>Aug</v>
      </c>
      <c r="E1683" t="s">
        <v>12</v>
      </c>
      <c r="F1683" t="s">
        <v>17</v>
      </c>
      <c r="G1683" t="s">
        <v>20</v>
      </c>
      <c r="H1683" t="s">
        <v>23</v>
      </c>
      <c r="I1683">
        <v>4</v>
      </c>
      <c r="J1683" s="9">
        <v>7400</v>
      </c>
      <c r="K1683" s="7">
        <v>0.1</v>
      </c>
      <c r="L1683" s="9">
        <v>6660</v>
      </c>
      <c r="M1683" s="10">
        <f>Sales_Data3[[#This Row],[Profit]]/Sales_Data3[[#This Row],[Sales]]</f>
        <v>0.9</v>
      </c>
      <c r="N1683" t="str">
        <f t="shared" si="53"/>
        <v>Medium</v>
      </c>
      <c r="O1683" s="2">
        <v>45523</v>
      </c>
      <c r="P1683" s="9">
        <v>7400</v>
      </c>
    </row>
    <row r="1684" spans="1:16" x14ac:dyDescent="0.25">
      <c r="A1684" t="s">
        <v>1705</v>
      </c>
      <c r="B1684" s="2">
        <v>45524</v>
      </c>
      <c r="C1684">
        <v>2024</v>
      </c>
      <c r="D1684" t="str">
        <f t="shared" si="52"/>
        <v>Aug</v>
      </c>
      <c r="E1684" t="s">
        <v>12</v>
      </c>
      <c r="F1684" t="s">
        <v>2023</v>
      </c>
      <c r="G1684" t="s">
        <v>21</v>
      </c>
      <c r="H1684" t="s">
        <v>23</v>
      </c>
      <c r="I1684">
        <v>10</v>
      </c>
      <c r="J1684" s="9">
        <v>14000</v>
      </c>
      <c r="K1684" s="7">
        <v>0.15000000000000002</v>
      </c>
      <c r="L1684" s="9">
        <v>11900</v>
      </c>
      <c r="M1684" s="10">
        <f>Sales_Data3[[#This Row],[Profit]]/Sales_Data3[[#This Row],[Sales]]</f>
        <v>0.85</v>
      </c>
      <c r="N1684" t="str">
        <f t="shared" si="53"/>
        <v>High</v>
      </c>
      <c r="O1684" s="2">
        <v>45524</v>
      </c>
      <c r="P1684" s="9">
        <v>14000</v>
      </c>
    </row>
    <row r="1685" spans="1:16" x14ac:dyDescent="0.25">
      <c r="A1685" t="s">
        <v>1706</v>
      </c>
      <c r="B1685" s="2">
        <v>45525</v>
      </c>
      <c r="C1685">
        <v>2024</v>
      </c>
      <c r="D1685" t="str">
        <f t="shared" si="52"/>
        <v>Aug</v>
      </c>
      <c r="E1685" t="s">
        <v>12</v>
      </c>
      <c r="F1685" t="s">
        <v>18</v>
      </c>
      <c r="G1685" t="s">
        <v>22</v>
      </c>
      <c r="H1685" t="s">
        <v>23</v>
      </c>
      <c r="I1685">
        <v>2</v>
      </c>
      <c r="J1685" s="9">
        <v>14000</v>
      </c>
      <c r="K1685" s="7">
        <v>0.2</v>
      </c>
      <c r="L1685" s="9">
        <v>11200</v>
      </c>
      <c r="M1685" s="10">
        <f>Sales_Data3[[#This Row],[Profit]]/Sales_Data3[[#This Row],[Sales]]</f>
        <v>0.8</v>
      </c>
      <c r="N1685" t="str">
        <f t="shared" si="53"/>
        <v>High</v>
      </c>
      <c r="O1685" s="2">
        <v>45525</v>
      </c>
      <c r="P1685" s="9">
        <v>14000</v>
      </c>
    </row>
    <row r="1686" spans="1:16" x14ac:dyDescent="0.25">
      <c r="A1686" t="s">
        <v>1707</v>
      </c>
      <c r="B1686" s="2">
        <v>45526</v>
      </c>
      <c r="C1686">
        <v>2024</v>
      </c>
      <c r="D1686" t="str">
        <f t="shared" si="52"/>
        <v>Aug</v>
      </c>
      <c r="E1686" t="s">
        <v>12</v>
      </c>
      <c r="F1686" t="s">
        <v>2024</v>
      </c>
      <c r="G1686" t="s">
        <v>19</v>
      </c>
      <c r="H1686" t="s">
        <v>23</v>
      </c>
      <c r="I1686">
        <v>2</v>
      </c>
      <c r="J1686" s="9">
        <v>12000</v>
      </c>
      <c r="K1686" s="7">
        <v>0.25</v>
      </c>
      <c r="L1686" s="9">
        <v>9000</v>
      </c>
      <c r="M1686" s="10">
        <f>Sales_Data3[[#This Row],[Profit]]/Sales_Data3[[#This Row],[Sales]]</f>
        <v>0.75</v>
      </c>
      <c r="N1686" t="str">
        <f t="shared" si="53"/>
        <v>High</v>
      </c>
      <c r="O1686" s="2">
        <v>45526</v>
      </c>
      <c r="P1686" s="9">
        <v>12000</v>
      </c>
    </row>
    <row r="1687" spans="1:16" x14ac:dyDescent="0.25">
      <c r="A1687" t="s">
        <v>1708</v>
      </c>
      <c r="B1687" s="2">
        <v>45527</v>
      </c>
      <c r="C1687">
        <v>2024</v>
      </c>
      <c r="D1687" t="str">
        <f t="shared" si="52"/>
        <v>Aug</v>
      </c>
      <c r="E1687" t="s">
        <v>12</v>
      </c>
      <c r="F1687" t="s">
        <v>2025</v>
      </c>
      <c r="G1687" t="s">
        <v>20</v>
      </c>
      <c r="H1687" t="s">
        <v>23</v>
      </c>
      <c r="I1687">
        <v>8</v>
      </c>
      <c r="J1687" s="9">
        <v>4500</v>
      </c>
      <c r="K1687" s="7">
        <v>0.05</v>
      </c>
      <c r="L1687" s="9">
        <v>4275</v>
      </c>
      <c r="M1687" s="10">
        <f>Sales_Data3[[#This Row],[Profit]]/Sales_Data3[[#This Row],[Sales]]</f>
        <v>0.95</v>
      </c>
      <c r="N1687" t="str">
        <f t="shared" si="53"/>
        <v>Low</v>
      </c>
      <c r="O1687" s="2">
        <v>45527</v>
      </c>
      <c r="P1687" s="9">
        <v>4500</v>
      </c>
    </row>
    <row r="1688" spans="1:16" x14ac:dyDescent="0.25">
      <c r="A1688" t="s">
        <v>1709</v>
      </c>
      <c r="B1688" s="2">
        <v>45528</v>
      </c>
      <c r="C1688">
        <v>2024</v>
      </c>
      <c r="D1688" t="str">
        <f t="shared" si="52"/>
        <v>Aug</v>
      </c>
      <c r="E1688" t="s">
        <v>12</v>
      </c>
      <c r="F1688" t="s">
        <v>2026</v>
      </c>
      <c r="G1688" t="s">
        <v>21</v>
      </c>
      <c r="H1688" t="s">
        <v>23</v>
      </c>
      <c r="I1688">
        <v>3</v>
      </c>
      <c r="J1688" s="9">
        <v>8600</v>
      </c>
      <c r="K1688" s="7">
        <v>0.1</v>
      </c>
      <c r="L1688" s="9">
        <v>7740</v>
      </c>
      <c r="M1688" s="10">
        <f>Sales_Data3[[#This Row],[Profit]]/Sales_Data3[[#This Row],[Sales]]</f>
        <v>0.9</v>
      </c>
      <c r="N1688" t="str">
        <f t="shared" si="53"/>
        <v>Medium</v>
      </c>
      <c r="O1688" s="2">
        <v>45528</v>
      </c>
      <c r="P1688" s="9">
        <v>8600</v>
      </c>
    </row>
    <row r="1689" spans="1:16" x14ac:dyDescent="0.25">
      <c r="A1689" t="s">
        <v>1710</v>
      </c>
      <c r="B1689" s="2">
        <v>45529</v>
      </c>
      <c r="C1689">
        <v>2024</v>
      </c>
      <c r="D1689" t="str">
        <f t="shared" si="52"/>
        <v>Aug</v>
      </c>
      <c r="E1689" t="s">
        <v>12</v>
      </c>
      <c r="F1689" t="s">
        <v>2027</v>
      </c>
      <c r="G1689" t="s">
        <v>22</v>
      </c>
      <c r="H1689" t="s">
        <v>23</v>
      </c>
      <c r="I1689">
        <v>7</v>
      </c>
      <c r="J1689" s="9">
        <v>8900</v>
      </c>
      <c r="K1689" s="7">
        <v>0.15000000000000002</v>
      </c>
      <c r="L1689" s="9">
        <v>7565</v>
      </c>
      <c r="M1689" s="10">
        <f>Sales_Data3[[#This Row],[Profit]]/Sales_Data3[[#This Row],[Sales]]</f>
        <v>0.85</v>
      </c>
      <c r="N1689" t="str">
        <f t="shared" si="53"/>
        <v>Medium</v>
      </c>
      <c r="O1689" s="2">
        <v>45529</v>
      </c>
      <c r="P1689" s="9">
        <v>8900</v>
      </c>
    </row>
    <row r="1690" spans="1:16" x14ac:dyDescent="0.25">
      <c r="A1690" t="s">
        <v>1711</v>
      </c>
      <c r="B1690" s="2">
        <v>45530</v>
      </c>
      <c r="C1690">
        <v>2024</v>
      </c>
      <c r="D1690" t="str">
        <f t="shared" si="52"/>
        <v>Aug</v>
      </c>
      <c r="E1690" t="s">
        <v>12</v>
      </c>
      <c r="F1690" t="s">
        <v>2028</v>
      </c>
      <c r="G1690" t="s">
        <v>19</v>
      </c>
      <c r="H1690" t="s">
        <v>23</v>
      </c>
      <c r="I1690">
        <v>10</v>
      </c>
      <c r="J1690" s="9">
        <v>10700</v>
      </c>
      <c r="K1690" s="7">
        <v>0.2</v>
      </c>
      <c r="L1690" s="9">
        <v>8560</v>
      </c>
      <c r="M1690" s="10">
        <f>Sales_Data3[[#This Row],[Profit]]/Sales_Data3[[#This Row],[Sales]]</f>
        <v>0.8</v>
      </c>
      <c r="N1690" t="str">
        <f t="shared" si="53"/>
        <v>High</v>
      </c>
      <c r="O1690" s="2">
        <v>45530</v>
      </c>
      <c r="P1690" s="9">
        <v>10700</v>
      </c>
    </row>
    <row r="1691" spans="1:16" x14ac:dyDescent="0.25">
      <c r="A1691" t="s">
        <v>1712</v>
      </c>
      <c r="B1691" s="2">
        <v>45531</v>
      </c>
      <c r="C1691">
        <v>2024</v>
      </c>
      <c r="D1691" t="str">
        <f t="shared" si="52"/>
        <v>Aug</v>
      </c>
      <c r="E1691" t="s">
        <v>12</v>
      </c>
      <c r="F1691" t="s">
        <v>2029</v>
      </c>
      <c r="G1691" t="s">
        <v>20</v>
      </c>
      <c r="H1691" t="s">
        <v>23</v>
      </c>
      <c r="I1691">
        <v>5</v>
      </c>
      <c r="J1691" s="9">
        <v>11400</v>
      </c>
      <c r="K1691" s="7">
        <v>0.25</v>
      </c>
      <c r="L1691" s="9">
        <v>8550</v>
      </c>
      <c r="M1691" s="10">
        <f>Sales_Data3[[#This Row],[Profit]]/Sales_Data3[[#This Row],[Sales]]</f>
        <v>0.75</v>
      </c>
      <c r="N1691" t="str">
        <f t="shared" si="53"/>
        <v>High</v>
      </c>
      <c r="O1691" s="2">
        <v>45531</v>
      </c>
      <c r="P1691" s="9">
        <v>11400</v>
      </c>
    </row>
    <row r="1692" spans="1:16" x14ac:dyDescent="0.25">
      <c r="A1692" t="s">
        <v>1713</v>
      </c>
      <c r="B1692" s="2">
        <v>45532</v>
      </c>
      <c r="C1692">
        <v>2024</v>
      </c>
      <c r="D1692" t="str">
        <f t="shared" si="52"/>
        <v>Aug</v>
      </c>
      <c r="E1692" t="s">
        <v>13</v>
      </c>
      <c r="F1692" t="s">
        <v>16</v>
      </c>
      <c r="G1692" t="s">
        <v>21</v>
      </c>
      <c r="H1692" t="s">
        <v>24</v>
      </c>
      <c r="I1692">
        <v>2</v>
      </c>
      <c r="J1692" s="9">
        <v>13900</v>
      </c>
      <c r="K1692" s="7">
        <v>0.05</v>
      </c>
      <c r="L1692" s="9">
        <v>13205</v>
      </c>
      <c r="M1692" s="10">
        <f>Sales_Data3[[#This Row],[Profit]]/Sales_Data3[[#This Row],[Sales]]</f>
        <v>0.95</v>
      </c>
      <c r="N1692" t="str">
        <f t="shared" si="53"/>
        <v>High</v>
      </c>
      <c r="O1692" s="2">
        <v>45532</v>
      </c>
      <c r="P1692" s="9">
        <v>13900</v>
      </c>
    </row>
    <row r="1693" spans="1:16" x14ac:dyDescent="0.25">
      <c r="A1693" t="s">
        <v>1714</v>
      </c>
      <c r="B1693" s="2">
        <v>45533</v>
      </c>
      <c r="C1693">
        <v>2024</v>
      </c>
      <c r="D1693" t="str">
        <f t="shared" si="52"/>
        <v>Aug</v>
      </c>
      <c r="E1693" t="s">
        <v>13</v>
      </c>
      <c r="F1693" t="s">
        <v>2030</v>
      </c>
      <c r="G1693" t="s">
        <v>22</v>
      </c>
      <c r="H1693" t="s">
        <v>24</v>
      </c>
      <c r="I1693">
        <v>7</v>
      </c>
      <c r="J1693" s="9">
        <v>5900</v>
      </c>
      <c r="K1693" s="7">
        <v>0.1</v>
      </c>
      <c r="L1693" s="9">
        <v>5310</v>
      </c>
      <c r="M1693" s="10">
        <f>Sales_Data3[[#This Row],[Profit]]/Sales_Data3[[#This Row],[Sales]]</f>
        <v>0.9</v>
      </c>
      <c r="N1693" t="str">
        <f t="shared" si="53"/>
        <v>Medium</v>
      </c>
      <c r="O1693" s="2">
        <v>45533</v>
      </c>
      <c r="P1693" s="9">
        <v>5900</v>
      </c>
    </row>
    <row r="1694" spans="1:16" x14ac:dyDescent="0.25">
      <c r="A1694" t="s">
        <v>1715</v>
      </c>
      <c r="B1694" s="2">
        <v>45534</v>
      </c>
      <c r="C1694">
        <v>2024</v>
      </c>
      <c r="D1694" t="str">
        <f t="shared" si="52"/>
        <v>Aug</v>
      </c>
      <c r="E1694" t="s">
        <v>13</v>
      </c>
      <c r="F1694" t="s">
        <v>2031</v>
      </c>
      <c r="G1694" t="s">
        <v>19</v>
      </c>
      <c r="H1694" t="s">
        <v>24</v>
      </c>
      <c r="I1694">
        <v>3</v>
      </c>
      <c r="J1694" s="9">
        <v>12000</v>
      </c>
      <c r="K1694" s="7">
        <v>0.15000000000000002</v>
      </c>
      <c r="L1694" s="9">
        <v>10200</v>
      </c>
      <c r="M1694" s="10">
        <f>Sales_Data3[[#This Row],[Profit]]/Sales_Data3[[#This Row],[Sales]]</f>
        <v>0.85</v>
      </c>
      <c r="N1694" t="str">
        <f t="shared" si="53"/>
        <v>High</v>
      </c>
      <c r="O1694" s="2">
        <v>45534</v>
      </c>
      <c r="P1694" s="9">
        <v>12000</v>
      </c>
    </row>
    <row r="1695" spans="1:16" x14ac:dyDescent="0.25">
      <c r="A1695" t="s">
        <v>1716</v>
      </c>
      <c r="B1695" s="2">
        <v>45535</v>
      </c>
      <c r="C1695">
        <v>2024</v>
      </c>
      <c r="D1695" t="str">
        <f t="shared" si="52"/>
        <v>Aug</v>
      </c>
      <c r="E1695" t="s">
        <v>13</v>
      </c>
      <c r="F1695" t="s">
        <v>2032</v>
      </c>
      <c r="G1695" t="s">
        <v>20</v>
      </c>
      <c r="H1695" t="s">
        <v>24</v>
      </c>
      <c r="I1695">
        <v>4</v>
      </c>
      <c r="J1695" s="9">
        <v>14100</v>
      </c>
      <c r="K1695" s="7">
        <v>0.2</v>
      </c>
      <c r="L1695" s="9">
        <v>11280</v>
      </c>
      <c r="M1695" s="10">
        <f>Sales_Data3[[#This Row],[Profit]]/Sales_Data3[[#This Row],[Sales]]</f>
        <v>0.8</v>
      </c>
      <c r="N1695" t="str">
        <f t="shared" si="53"/>
        <v>High</v>
      </c>
      <c r="O1695" s="2">
        <v>45535</v>
      </c>
      <c r="P1695" s="9">
        <v>14100</v>
      </c>
    </row>
    <row r="1696" spans="1:16" x14ac:dyDescent="0.25">
      <c r="A1696" t="s">
        <v>1717</v>
      </c>
      <c r="B1696" s="2">
        <v>45536</v>
      </c>
      <c r="C1696">
        <v>2024</v>
      </c>
      <c r="D1696" t="str">
        <f t="shared" si="52"/>
        <v>Sep</v>
      </c>
      <c r="E1696" t="s">
        <v>13</v>
      </c>
      <c r="F1696" t="s">
        <v>2033</v>
      </c>
      <c r="G1696" t="s">
        <v>21</v>
      </c>
      <c r="H1696" t="s">
        <v>24</v>
      </c>
      <c r="I1696">
        <v>7</v>
      </c>
      <c r="J1696" s="9">
        <v>11800</v>
      </c>
      <c r="K1696" s="7">
        <v>0.25</v>
      </c>
      <c r="L1696" s="9">
        <v>8850</v>
      </c>
      <c r="M1696" s="10">
        <f>Sales_Data3[[#This Row],[Profit]]/Sales_Data3[[#This Row],[Sales]]</f>
        <v>0.75</v>
      </c>
      <c r="N1696" t="str">
        <f t="shared" si="53"/>
        <v>High</v>
      </c>
      <c r="O1696" s="2">
        <v>45536</v>
      </c>
      <c r="P1696" s="9">
        <v>11800</v>
      </c>
    </row>
    <row r="1697" spans="1:16" x14ac:dyDescent="0.25">
      <c r="A1697" t="s">
        <v>1718</v>
      </c>
      <c r="B1697" s="2">
        <v>45537</v>
      </c>
      <c r="C1697">
        <v>2024</v>
      </c>
      <c r="D1697" t="str">
        <f t="shared" si="52"/>
        <v>Sep</v>
      </c>
      <c r="E1697" t="s">
        <v>13</v>
      </c>
      <c r="F1697" t="s">
        <v>2034</v>
      </c>
      <c r="G1697" t="s">
        <v>22</v>
      </c>
      <c r="H1697" t="s">
        <v>24</v>
      </c>
      <c r="I1697">
        <v>5</v>
      </c>
      <c r="J1697" s="9">
        <v>9800</v>
      </c>
      <c r="K1697" s="7">
        <v>0.05</v>
      </c>
      <c r="L1697" s="9">
        <v>9310</v>
      </c>
      <c r="M1697" s="10">
        <f>Sales_Data3[[#This Row],[Profit]]/Sales_Data3[[#This Row],[Sales]]</f>
        <v>0.95</v>
      </c>
      <c r="N1697" t="str">
        <f t="shared" si="53"/>
        <v>Medium</v>
      </c>
      <c r="O1697" s="2">
        <v>45537</v>
      </c>
      <c r="P1697" s="9">
        <v>9800</v>
      </c>
    </row>
    <row r="1698" spans="1:16" x14ac:dyDescent="0.25">
      <c r="A1698" t="s">
        <v>1719</v>
      </c>
      <c r="B1698" s="2">
        <v>45538</v>
      </c>
      <c r="C1698">
        <v>2024</v>
      </c>
      <c r="D1698" t="str">
        <f t="shared" si="52"/>
        <v>Sep</v>
      </c>
      <c r="E1698" t="s">
        <v>13</v>
      </c>
      <c r="F1698" t="s">
        <v>2035</v>
      </c>
      <c r="G1698" t="s">
        <v>19</v>
      </c>
      <c r="H1698" t="s">
        <v>24</v>
      </c>
      <c r="I1698">
        <v>6</v>
      </c>
      <c r="J1698" s="9">
        <v>4500</v>
      </c>
      <c r="K1698" s="7">
        <v>0.1</v>
      </c>
      <c r="L1698" s="9">
        <v>4050</v>
      </c>
      <c r="M1698" s="10">
        <f>Sales_Data3[[#This Row],[Profit]]/Sales_Data3[[#This Row],[Sales]]</f>
        <v>0.9</v>
      </c>
      <c r="N1698" t="str">
        <f t="shared" si="53"/>
        <v>Low</v>
      </c>
      <c r="O1698" s="2">
        <v>45538</v>
      </c>
      <c r="P1698" s="9">
        <v>4500</v>
      </c>
    </row>
    <row r="1699" spans="1:16" x14ac:dyDescent="0.25">
      <c r="A1699" t="s">
        <v>1720</v>
      </c>
      <c r="B1699" s="2">
        <v>45539</v>
      </c>
      <c r="C1699">
        <v>2024</v>
      </c>
      <c r="D1699" t="str">
        <f t="shared" si="52"/>
        <v>Sep</v>
      </c>
      <c r="E1699" t="s">
        <v>13</v>
      </c>
      <c r="F1699" t="s">
        <v>2036</v>
      </c>
      <c r="G1699" t="s">
        <v>20</v>
      </c>
      <c r="H1699" t="s">
        <v>24</v>
      </c>
      <c r="I1699">
        <v>6</v>
      </c>
      <c r="J1699" s="9">
        <v>10200</v>
      </c>
      <c r="K1699" s="7">
        <v>0.15000000000000002</v>
      </c>
      <c r="L1699" s="9">
        <v>8670</v>
      </c>
      <c r="M1699" s="10">
        <f>Sales_Data3[[#This Row],[Profit]]/Sales_Data3[[#This Row],[Sales]]</f>
        <v>0.85</v>
      </c>
      <c r="N1699" t="str">
        <f t="shared" si="53"/>
        <v>High</v>
      </c>
      <c r="O1699" s="2">
        <v>45539</v>
      </c>
      <c r="P1699" s="9">
        <v>10200</v>
      </c>
    </row>
    <row r="1700" spans="1:16" x14ac:dyDescent="0.25">
      <c r="A1700" t="s">
        <v>1721</v>
      </c>
      <c r="B1700" s="2">
        <v>45540</v>
      </c>
      <c r="C1700">
        <v>2024</v>
      </c>
      <c r="D1700" t="str">
        <f t="shared" si="52"/>
        <v>Sep</v>
      </c>
      <c r="E1700" t="s">
        <v>13</v>
      </c>
      <c r="F1700" t="s">
        <v>2037</v>
      </c>
      <c r="G1700" t="s">
        <v>21</v>
      </c>
      <c r="H1700" t="s">
        <v>24</v>
      </c>
      <c r="I1700">
        <v>5</v>
      </c>
      <c r="J1700" s="9">
        <v>14500</v>
      </c>
      <c r="K1700" s="7">
        <v>0.2</v>
      </c>
      <c r="L1700" s="9">
        <v>11600</v>
      </c>
      <c r="M1700" s="10">
        <f>Sales_Data3[[#This Row],[Profit]]/Sales_Data3[[#This Row],[Sales]]</f>
        <v>0.8</v>
      </c>
      <c r="N1700" t="str">
        <f t="shared" si="53"/>
        <v>High</v>
      </c>
      <c r="O1700" s="2">
        <v>45540</v>
      </c>
      <c r="P1700" s="9">
        <v>14500</v>
      </c>
    </row>
    <row r="1701" spans="1:16" x14ac:dyDescent="0.25">
      <c r="A1701" t="s">
        <v>1722</v>
      </c>
      <c r="B1701" s="2">
        <v>45541</v>
      </c>
      <c r="C1701">
        <v>2024</v>
      </c>
      <c r="D1701" t="str">
        <f t="shared" si="52"/>
        <v>Sep</v>
      </c>
      <c r="E1701" t="s">
        <v>13</v>
      </c>
      <c r="F1701" t="s">
        <v>2038</v>
      </c>
      <c r="G1701" t="s">
        <v>22</v>
      </c>
      <c r="H1701" t="s">
        <v>24</v>
      </c>
      <c r="I1701">
        <v>1</v>
      </c>
      <c r="J1701" s="9">
        <v>14400</v>
      </c>
      <c r="K1701" s="7">
        <v>0.25</v>
      </c>
      <c r="L1701" s="9">
        <v>10800</v>
      </c>
      <c r="M1701" s="10">
        <f>Sales_Data3[[#This Row],[Profit]]/Sales_Data3[[#This Row],[Sales]]</f>
        <v>0.75</v>
      </c>
      <c r="N1701" t="str">
        <f t="shared" si="53"/>
        <v>High</v>
      </c>
      <c r="O1701" s="2">
        <v>45541</v>
      </c>
      <c r="P1701" s="9">
        <v>14400</v>
      </c>
    </row>
    <row r="1702" spans="1:16" x14ac:dyDescent="0.25">
      <c r="A1702" t="s">
        <v>1723</v>
      </c>
      <c r="B1702" s="2">
        <v>45542</v>
      </c>
      <c r="C1702">
        <v>2024</v>
      </c>
      <c r="D1702" t="str">
        <f t="shared" si="52"/>
        <v>Sep</v>
      </c>
      <c r="E1702" t="s">
        <v>14</v>
      </c>
      <c r="F1702" t="s">
        <v>2039</v>
      </c>
      <c r="G1702" t="s">
        <v>19</v>
      </c>
      <c r="H1702" t="s">
        <v>25</v>
      </c>
      <c r="I1702">
        <v>1</v>
      </c>
      <c r="J1702" s="9">
        <v>6600</v>
      </c>
      <c r="K1702" s="7">
        <v>0.05</v>
      </c>
      <c r="L1702" s="9">
        <v>6270</v>
      </c>
      <c r="M1702" s="10">
        <f>Sales_Data3[[#This Row],[Profit]]/Sales_Data3[[#This Row],[Sales]]</f>
        <v>0.95</v>
      </c>
      <c r="N1702" t="str">
        <f t="shared" si="53"/>
        <v>Medium</v>
      </c>
      <c r="O1702" s="2">
        <v>45542</v>
      </c>
      <c r="P1702" s="9">
        <v>6600</v>
      </c>
    </row>
    <row r="1703" spans="1:16" x14ac:dyDescent="0.25">
      <c r="A1703" t="s">
        <v>1724</v>
      </c>
      <c r="B1703" s="2">
        <v>45543</v>
      </c>
      <c r="C1703">
        <v>2024</v>
      </c>
      <c r="D1703" t="str">
        <f t="shared" si="52"/>
        <v>Sep</v>
      </c>
      <c r="E1703" t="s">
        <v>14</v>
      </c>
      <c r="F1703" t="s">
        <v>2040</v>
      </c>
      <c r="G1703" t="s">
        <v>20</v>
      </c>
      <c r="H1703" t="s">
        <v>25</v>
      </c>
      <c r="I1703">
        <v>10</v>
      </c>
      <c r="J1703" s="9">
        <v>14500</v>
      </c>
      <c r="K1703" s="7">
        <v>0.1</v>
      </c>
      <c r="L1703" s="9">
        <v>13050</v>
      </c>
      <c r="M1703" s="10">
        <f>Sales_Data3[[#This Row],[Profit]]/Sales_Data3[[#This Row],[Sales]]</f>
        <v>0.9</v>
      </c>
      <c r="N1703" t="str">
        <f t="shared" si="53"/>
        <v>High</v>
      </c>
      <c r="O1703" s="2">
        <v>45543</v>
      </c>
      <c r="P1703" s="9">
        <v>14500</v>
      </c>
    </row>
    <row r="1704" spans="1:16" x14ac:dyDescent="0.25">
      <c r="A1704" t="s">
        <v>1725</v>
      </c>
      <c r="B1704" s="2">
        <v>45544</v>
      </c>
      <c r="C1704">
        <v>2024</v>
      </c>
      <c r="D1704" t="str">
        <f t="shared" si="52"/>
        <v>Sep</v>
      </c>
      <c r="E1704" t="s">
        <v>14</v>
      </c>
      <c r="F1704" t="s">
        <v>2041</v>
      </c>
      <c r="G1704" t="s">
        <v>21</v>
      </c>
      <c r="H1704" t="s">
        <v>25</v>
      </c>
      <c r="I1704">
        <v>10</v>
      </c>
      <c r="J1704" s="9">
        <v>5300</v>
      </c>
      <c r="K1704" s="7">
        <v>0.15000000000000002</v>
      </c>
      <c r="L1704" s="9">
        <v>4505</v>
      </c>
      <c r="M1704" s="10">
        <f>Sales_Data3[[#This Row],[Profit]]/Sales_Data3[[#This Row],[Sales]]</f>
        <v>0.85</v>
      </c>
      <c r="N1704" t="str">
        <f t="shared" si="53"/>
        <v>Medium</v>
      </c>
      <c r="O1704" s="2">
        <v>45544</v>
      </c>
      <c r="P1704" s="9">
        <v>5300</v>
      </c>
    </row>
    <row r="1705" spans="1:16" x14ac:dyDescent="0.25">
      <c r="A1705" t="s">
        <v>1726</v>
      </c>
      <c r="B1705" s="2">
        <v>45545</v>
      </c>
      <c r="C1705">
        <v>2024</v>
      </c>
      <c r="D1705" t="str">
        <f t="shared" si="52"/>
        <v>Sep</v>
      </c>
      <c r="E1705" t="s">
        <v>14</v>
      </c>
      <c r="F1705" t="s">
        <v>2042</v>
      </c>
      <c r="G1705" t="s">
        <v>22</v>
      </c>
      <c r="H1705" t="s">
        <v>25</v>
      </c>
      <c r="I1705">
        <v>1</v>
      </c>
      <c r="J1705" s="9">
        <v>14800</v>
      </c>
      <c r="K1705" s="7">
        <v>0.2</v>
      </c>
      <c r="L1705" s="9">
        <v>11840</v>
      </c>
      <c r="M1705" s="10">
        <f>Sales_Data3[[#This Row],[Profit]]/Sales_Data3[[#This Row],[Sales]]</f>
        <v>0.8</v>
      </c>
      <c r="N1705" t="str">
        <f t="shared" si="53"/>
        <v>High</v>
      </c>
      <c r="O1705" s="2">
        <v>45545</v>
      </c>
      <c r="P1705" s="9">
        <v>14800</v>
      </c>
    </row>
    <row r="1706" spans="1:16" x14ac:dyDescent="0.25">
      <c r="A1706" t="s">
        <v>1727</v>
      </c>
      <c r="B1706" s="2">
        <v>45546</v>
      </c>
      <c r="C1706">
        <v>2024</v>
      </c>
      <c r="D1706" t="str">
        <f t="shared" si="52"/>
        <v>Sep</v>
      </c>
      <c r="E1706" t="s">
        <v>14</v>
      </c>
      <c r="F1706" t="s">
        <v>2043</v>
      </c>
      <c r="G1706" t="s">
        <v>19</v>
      </c>
      <c r="H1706" t="s">
        <v>25</v>
      </c>
      <c r="I1706">
        <v>7</v>
      </c>
      <c r="J1706" s="9">
        <v>11600</v>
      </c>
      <c r="K1706" s="7">
        <v>0.25</v>
      </c>
      <c r="L1706" s="9">
        <v>8700</v>
      </c>
      <c r="M1706" s="10">
        <f>Sales_Data3[[#This Row],[Profit]]/Sales_Data3[[#This Row],[Sales]]</f>
        <v>0.75</v>
      </c>
      <c r="N1706" t="str">
        <f t="shared" si="53"/>
        <v>High</v>
      </c>
      <c r="O1706" s="2">
        <v>45546</v>
      </c>
      <c r="P1706" s="9">
        <v>11600</v>
      </c>
    </row>
    <row r="1707" spans="1:16" x14ac:dyDescent="0.25">
      <c r="A1707" t="s">
        <v>1728</v>
      </c>
      <c r="B1707" s="2">
        <v>45547</v>
      </c>
      <c r="C1707">
        <v>2024</v>
      </c>
      <c r="D1707" t="str">
        <f t="shared" si="52"/>
        <v>Sep</v>
      </c>
      <c r="E1707" t="s">
        <v>14</v>
      </c>
      <c r="F1707" t="s">
        <v>2044</v>
      </c>
      <c r="G1707" t="s">
        <v>20</v>
      </c>
      <c r="H1707" t="s">
        <v>25</v>
      </c>
      <c r="I1707">
        <v>6</v>
      </c>
      <c r="J1707" s="9">
        <v>4200</v>
      </c>
      <c r="K1707" s="7">
        <v>0.05</v>
      </c>
      <c r="L1707" s="9">
        <v>3990</v>
      </c>
      <c r="M1707" s="10">
        <f>Sales_Data3[[#This Row],[Profit]]/Sales_Data3[[#This Row],[Sales]]</f>
        <v>0.95</v>
      </c>
      <c r="N1707" t="str">
        <f t="shared" si="53"/>
        <v>Low</v>
      </c>
      <c r="O1707" s="2">
        <v>45547</v>
      </c>
      <c r="P1707" s="9">
        <v>4200</v>
      </c>
    </row>
    <row r="1708" spans="1:16" x14ac:dyDescent="0.25">
      <c r="A1708" t="s">
        <v>1729</v>
      </c>
      <c r="B1708" s="2">
        <v>45548</v>
      </c>
      <c r="C1708">
        <v>2024</v>
      </c>
      <c r="D1708" t="str">
        <f t="shared" si="52"/>
        <v>Sep</v>
      </c>
      <c r="E1708" t="s">
        <v>14</v>
      </c>
      <c r="F1708" t="s">
        <v>2045</v>
      </c>
      <c r="G1708" t="s">
        <v>21</v>
      </c>
      <c r="H1708" t="s">
        <v>25</v>
      </c>
      <c r="I1708">
        <v>8</v>
      </c>
      <c r="J1708" s="9">
        <v>13100</v>
      </c>
      <c r="K1708" s="7">
        <v>0.1</v>
      </c>
      <c r="L1708" s="9">
        <v>11790</v>
      </c>
      <c r="M1708" s="10">
        <f>Sales_Data3[[#This Row],[Profit]]/Sales_Data3[[#This Row],[Sales]]</f>
        <v>0.9</v>
      </c>
      <c r="N1708" t="str">
        <f t="shared" si="53"/>
        <v>High</v>
      </c>
      <c r="O1708" s="2">
        <v>45548</v>
      </c>
      <c r="P1708" s="9">
        <v>13100</v>
      </c>
    </row>
    <row r="1709" spans="1:16" x14ac:dyDescent="0.25">
      <c r="A1709" t="s">
        <v>1730</v>
      </c>
      <c r="B1709" s="2">
        <v>45549</v>
      </c>
      <c r="C1709">
        <v>2024</v>
      </c>
      <c r="D1709" t="str">
        <f t="shared" si="52"/>
        <v>Sep</v>
      </c>
      <c r="E1709" t="s">
        <v>14</v>
      </c>
      <c r="F1709" t="s">
        <v>2046</v>
      </c>
      <c r="G1709" t="s">
        <v>22</v>
      </c>
      <c r="H1709" t="s">
        <v>25</v>
      </c>
      <c r="I1709">
        <v>9</v>
      </c>
      <c r="J1709" s="9">
        <v>8200</v>
      </c>
      <c r="K1709" s="7">
        <v>0.15000000000000002</v>
      </c>
      <c r="L1709" s="9">
        <v>6970</v>
      </c>
      <c r="M1709" s="10">
        <f>Sales_Data3[[#This Row],[Profit]]/Sales_Data3[[#This Row],[Sales]]</f>
        <v>0.85</v>
      </c>
      <c r="N1709" t="str">
        <f t="shared" si="53"/>
        <v>Medium</v>
      </c>
      <c r="O1709" s="2">
        <v>45549</v>
      </c>
      <c r="P1709" s="9">
        <v>8200</v>
      </c>
    </row>
    <row r="1710" spans="1:16" x14ac:dyDescent="0.25">
      <c r="A1710" t="s">
        <v>1731</v>
      </c>
      <c r="B1710" s="2">
        <v>45550</v>
      </c>
      <c r="C1710">
        <v>2024</v>
      </c>
      <c r="D1710" t="str">
        <f t="shared" si="52"/>
        <v>Sep</v>
      </c>
      <c r="E1710" t="s">
        <v>14</v>
      </c>
      <c r="F1710" t="s">
        <v>2047</v>
      </c>
      <c r="G1710" t="s">
        <v>19</v>
      </c>
      <c r="H1710" t="s">
        <v>25</v>
      </c>
      <c r="I1710">
        <v>4</v>
      </c>
      <c r="J1710" s="9">
        <v>6000</v>
      </c>
      <c r="K1710" s="7">
        <v>0.2</v>
      </c>
      <c r="L1710" s="9">
        <v>4800</v>
      </c>
      <c r="M1710" s="10">
        <f>Sales_Data3[[#This Row],[Profit]]/Sales_Data3[[#This Row],[Sales]]</f>
        <v>0.8</v>
      </c>
      <c r="N1710" t="str">
        <f t="shared" si="53"/>
        <v>Medium</v>
      </c>
      <c r="O1710" s="2">
        <v>45550</v>
      </c>
      <c r="P1710" s="9">
        <v>6000</v>
      </c>
    </row>
    <row r="1711" spans="1:16" x14ac:dyDescent="0.25">
      <c r="A1711" t="s">
        <v>1732</v>
      </c>
      <c r="B1711" s="2">
        <v>45551</v>
      </c>
      <c r="C1711">
        <v>2024</v>
      </c>
      <c r="D1711" t="str">
        <f t="shared" si="52"/>
        <v>Sep</v>
      </c>
      <c r="E1711" t="s">
        <v>14</v>
      </c>
      <c r="F1711" t="s">
        <v>2048</v>
      </c>
      <c r="G1711" t="s">
        <v>20</v>
      </c>
      <c r="H1711" t="s">
        <v>25</v>
      </c>
      <c r="I1711">
        <v>5</v>
      </c>
      <c r="J1711" s="9">
        <v>9000</v>
      </c>
      <c r="K1711" s="7">
        <v>0.25</v>
      </c>
      <c r="L1711" s="9">
        <v>6750</v>
      </c>
      <c r="M1711" s="10">
        <f>Sales_Data3[[#This Row],[Profit]]/Sales_Data3[[#This Row],[Sales]]</f>
        <v>0.75</v>
      </c>
      <c r="N1711" t="str">
        <f t="shared" si="53"/>
        <v>Medium</v>
      </c>
      <c r="O1711" s="2">
        <v>45551</v>
      </c>
      <c r="P1711" s="9">
        <v>9000</v>
      </c>
    </row>
    <row r="1712" spans="1:16" x14ac:dyDescent="0.25">
      <c r="A1712" t="s">
        <v>1733</v>
      </c>
      <c r="B1712" s="2">
        <v>45552</v>
      </c>
      <c r="C1712">
        <v>2024</v>
      </c>
      <c r="D1712" t="str">
        <f t="shared" si="52"/>
        <v>Sep</v>
      </c>
      <c r="E1712" t="s">
        <v>12</v>
      </c>
      <c r="F1712" t="s">
        <v>15</v>
      </c>
      <c r="G1712" t="s">
        <v>21</v>
      </c>
      <c r="H1712" t="s">
        <v>23</v>
      </c>
      <c r="I1712">
        <v>10</v>
      </c>
      <c r="J1712" s="9">
        <v>12700</v>
      </c>
      <c r="K1712" s="7">
        <v>0.05</v>
      </c>
      <c r="L1712" s="9">
        <v>12065</v>
      </c>
      <c r="M1712" s="10">
        <f>Sales_Data3[[#This Row],[Profit]]/Sales_Data3[[#This Row],[Sales]]</f>
        <v>0.95</v>
      </c>
      <c r="N1712" t="str">
        <f t="shared" si="53"/>
        <v>High</v>
      </c>
      <c r="O1712" s="2">
        <v>45552</v>
      </c>
      <c r="P1712" s="9">
        <v>12700</v>
      </c>
    </row>
    <row r="1713" spans="1:16" x14ac:dyDescent="0.25">
      <c r="A1713" t="s">
        <v>1734</v>
      </c>
      <c r="B1713" s="2">
        <v>45553</v>
      </c>
      <c r="C1713">
        <v>2024</v>
      </c>
      <c r="D1713" t="str">
        <f t="shared" si="52"/>
        <v>Sep</v>
      </c>
      <c r="E1713" t="s">
        <v>12</v>
      </c>
      <c r="F1713" t="s">
        <v>17</v>
      </c>
      <c r="G1713" t="s">
        <v>22</v>
      </c>
      <c r="H1713" t="s">
        <v>23</v>
      </c>
      <c r="I1713">
        <v>3</v>
      </c>
      <c r="J1713" s="9">
        <v>9500</v>
      </c>
      <c r="K1713" s="7">
        <v>0.1</v>
      </c>
      <c r="L1713" s="9">
        <v>8550</v>
      </c>
      <c r="M1713" s="10">
        <f>Sales_Data3[[#This Row],[Profit]]/Sales_Data3[[#This Row],[Sales]]</f>
        <v>0.9</v>
      </c>
      <c r="N1713" t="str">
        <f t="shared" si="53"/>
        <v>Medium</v>
      </c>
      <c r="O1713" s="2">
        <v>45553</v>
      </c>
      <c r="P1713" s="9">
        <v>9500</v>
      </c>
    </row>
    <row r="1714" spans="1:16" x14ac:dyDescent="0.25">
      <c r="A1714" t="s">
        <v>1735</v>
      </c>
      <c r="B1714" s="2">
        <v>45554</v>
      </c>
      <c r="C1714">
        <v>2024</v>
      </c>
      <c r="D1714" t="str">
        <f t="shared" si="52"/>
        <v>Sep</v>
      </c>
      <c r="E1714" t="s">
        <v>12</v>
      </c>
      <c r="F1714" t="s">
        <v>2023</v>
      </c>
      <c r="G1714" t="s">
        <v>19</v>
      </c>
      <c r="H1714" t="s">
        <v>23</v>
      </c>
      <c r="I1714">
        <v>4</v>
      </c>
      <c r="J1714" s="9">
        <v>14500</v>
      </c>
      <c r="K1714" s="7">
        <v>0.15000000000000002</v>
      </c>
      <c r="L1714" s="9">
        <v>12325</v>
      </c>
      <c r="M1714" s="10">
        <f>Sales_Data3[[#This Row],[Profit]]/Sales_Data3[[#This Row],[Sales]]</f>
        <v>0.85</v>
      </c>
      <c r="N1714" t="str">
        <f t="shared" si="53"/>
        <v>High</v>
      </c>
      <c r="O1714" s="2">
        <v>45554</v>
      </c>
      <c r="P1714" s="9">
        <v>14500</v>
      </c>
    </row>
    <row r="1715" spans="1:16" x14ac:dyDescent="0.25">
      <c r="A1715" t="s">
        <v>1736</v>
      </c>
      <c r="B1715" s="2">
        <v>45555</v>
      </c>
      <c r="C1715">
        <v>2024</v>
      </c>
      <c r="D1715" t="str">
        <f t="shared" si="52"/>
        <v>Sep</v>
      </c>
      <c r="E1715" t="s">
        <v>12</v>
      </c>
      <c r="F1715" t="s">
        <v>18</v>
      </c>
      <c r="G1715" t="s">
        <v>20</v>
      </c>
      <c r="H1715" t="s">
        <v>23</v>
      </c>
      <c r="I1715">
        <v>1</v>
      </c>
      <c r="J1715" s="9">
        <v>8200</v>
      </c>
      <c r="K1715" s="7">
        <v>0.2</v>
      </c>
      <c r="L1715" s="9">
        <v>6560</v>
      </c>
      <c r="M1715" s="10">
        <f>Sales_Data3[[#This Row],[Profit]]/Sales_Data3[[#This Row],[Sales]]</f>
        <v>0.8</v>
      </c>
      <c r="N1715" t="str">
        <f t="shared" si="53"/>
        <v>Medium</v>
      </c>
      <c r="O1715" s="2">
        <v>45555</v>
      </c>
      <c r="P1715" s="9">
        <v>8200</v>
      </c>
    </row>
    <row r="1716" spans="1:16" x14ac:dyDescent="0.25">
      <c r="A1716" t="s">
        <v>1737</v>
      </c>
      <c r="B1716" s="2">
        <v>45556</v>
      </c>
      <c r="C1716">
        <v>2024</v>
      </c>
      <c r="D1716" t="str">
        <f t="shared" si="52"/>
        <v>Sep</v>
      </c>
      <c r="E1716" t="s">
        <v>12</v>
      </c>
      <c r="F1716" t="s">
        <v>2024</v>
      </c>
      <c r="G1716" t="s">
        <v>21</v>
      </c>
      <c r="H1716" t="s">
        <v>23</v>
      </c>
      <c r="I1716">
        <v>8</v>
      </c>
      <c r="J1716" s="9">
        <v>13400</v>
      </c>
      <c r="K1716" s="7">
        <v>0.25</v>
      </c>
      <c r="L1716" s="9">
        <v>10050</v>
      </c>
      <c r="M1716" s="10">
        <f>Sales_Data3[[#This Row],[Profit]]/Sales_Data3[[#This Row],[Sales]]</f>
        <v>0.75</v>
      </c>
      <c r="N1716" t="str">
        <f t="shared" si="53"/>
        <v>High</v>
      </c>
      <c r="O1716" s="2">
        <v>45556</v>
      </c>
      <c r="P1716" s="9">
        <v>13400</v>
      </c>
    </row>
    <row r="1717" spans="1:16" x14ac:dyDescent="0.25">
      <c r="A1717" t="s">
        <v>1738</v>
      </c>
      <c r="B1717" s="2">
        <v>45557</v>
      </c>
      <c r="C1717">
        <v>2024</v>
      </c>
      <c r="D1717" t="str">
        <f t="shared" si="52"/>
        <v>Sep</v>
      </c>
      <c r="E1717" t="s">
        <v>12</v>
      </c>
      <c r="F1717" t="s">
        <v>2025</v>
      </c>
      <c r="G1717" t="s">
        <v>22</v>
      </c>
      <c r="H1717" t="s">
        <v>23</v>
      </c>
      <c r="I1717">
        <v>5</v>
      </c>
      <c r="J1717" s="9">
        <v>11900</v>
      </c>
      <c r="K1717" s="7">
        <v>0.05</v>
      </c>
      <c r="L1717" s="9">
        <v>11305</v>
      </c>
      <c r="M1717" s="10">
        <f>Sales_Data3[[#This Row],[Profit]]/Sales_Data3[[#This Row],[Sales]]</f>
        <v>0.95</v>
      </c>
      <c r="N1717" t="str">
        <f t="shared" si="53"/>
        <v>High</v>
      </c>
      <c r="O1717" s="2">
        <v>45557</v>
      </c>
      <c r="P1717" s="9">
        <v>11900</v>
      </c>
    </row>
    <row r="1718" spans="1:16" x14ac:dyDescent="0.25">
      <c r="A1718" t="s">
        <v>1739</v>
      </c>
      <c r="B1718" s="2">
        <v>45558</v>
      </c>
      <c r="C1718">
        <v>2024</v>
      </c>
      <c r="D1718" t="str">
        <f t="shared" si="52"/>
        <v>Sep</v>
      </c>
      <c r="E1718" t="s">
        <v>12</v>
      </c>
      <c r="F1718" t="s">
        <v>2026</v>
      </c>
      <c r="G1718" t="s">
        <v>19</v>
      </c>
      <c r="H1718" t="s">
        <v>23</v>
      </c>
      <c r="I1718">
        <v>6</v>
      </c>
      <c r="J1718" s="9">
        <v>10300</v>
      </c>
      <c r="K1718" s="7">
        <v>0.1</v>
      </c>
      <c r="L1718" s="9">
        <v>9270</v>
      </c>
      <c r="M1718" s="10">
        <f>Sales_Data3[[#This Row],[Profit]]/Sales_Data3[[#This Row],[Sales]]</f>
        <v>0.9</v>
      </c>
      <c r="N1718" t="str">
        <f t="shared" si="53"/>
        <v>High</v>
      </c>
      <c r="O1718" s="2">
        <v>45558</v>
      </c>
      <c r="P1718" s="9">
        <v>10300</v>
      </c>
    </row>
    <row r="1719" spans="1:16" x14ac:dyDescent="0.25">
      <c r="A1719" t="s">
        <v>1740</v>
      </c>
      <c r="B1719" s="2">
        <v>45559</v>
      </c>
      <c r="C1719">
        <v>2024</v>
      </c>
      <c r="D1719" t="str">
        <f t="shared" si="52"/>
        <v>Sep</v>
      </c>
      <c r="E1719" t="s">
        <v>12</v>
      </c>
      <c r="F1719" t="s">
        <v>2027</v>
      </c>
      <c r="G1719" t="s">
        <v>20</v>
      </c>
      <c r="H1719" t="s">
        <v>23</v>
      </c>
      <c r="I1719">
        <v>1</v>
      </c>
      <c r="J1719" s="9">
        <v>4500</v>
      </c>
      <c r="K1719" s="7">
        <v>0.15000000000000002</v>
      </c>
      <c r="L1719" s="9">
        <v>3825</v>
      </c>
      <c r="M1719" s="10">
        <f>Sales_Data3[[#This Row],[Profit]]/Sales_Data3[[#This Row],[Sales]]</f>
        <v>0.85</v>
      </c>
      <c r="N1719" t="str">
        <f t="shared" si="53"/>
        <v>Low</v>
      </c>
      <c r="O1719" s="2">
        <v>45559</v>
      </c>
      <c r="P1719" s="9">
        <v>4500</v>
      </c>
    </row>
    <row r="1720" spans="1:16" x14ac:dyDescent="0.25">
      <c r="A1720" t="s">
        <v>1741</v>
      </c>
      <c r="B1720" s="2">
        <v>45560</v>
      </c>
      <c r="C1720">
        <v>2024</v>
      </c>
      <c r="D1720" t="str">
        <f t="shared" si="52"/>
        <v>Sep</v>
      </c>
      <c r="E1720" t="s">
        <v>12</v>
      </c>
      <c r="F1720" t="s">
        <v>2028</v>
      </c>
      <c r="G1720" t="s">
        <v>21</v>
      </c>
      <c r="H1720" t="s">
        <v>23</v>
      </c>
      <c r="I1720">
        <v>2</v>
      </c>
      <c r="J1720" s="9">
        <v>6800</v>
      </c>
      <c r="K1720" s="7">
        <v>0.2</v>
      </c>
      <c r="L1720" s="9">
        <v>5440</v>
      </c>
      <c r="M1720" s="10">
        <f>Sales_Data3[[#This Row],[Profit]]/Sales_Data3[[#This Row],[Sales]]</f>
        <v>0.8</v>
      </c>
      <c r="N1720" t="str">
        <f t="shared" si="53"/>
        <v>Medium</v>
      </c>
      <c r="O1720" s="2">
        <v>45560</v>
      </c>
      <c r="P1720" s="9">
        <v>6800</v>
      </c>
    </row>
    <row r="1721" spans="1:16" x14ac:dyDescent="0.25">
      <c r="A1721" t="s">
        <v>1742</v>
      </c>
      <c r="B1721" s="2">
        <v>45561</v>
      </c>
      <c r="C1721">
        <v>2024</v>
      </c>
      <c r="D1721" t="str">
        <f t="shared" si="52"/>
        <v>Sep</v>
      </c>
      <c r="E1721" t="s">
        <v>12</v>
      </c>
      <c r="F1721" t="s">
        <v>2029</v>
      </c>
      <c r="G1721" t="s">
        <v>22</v>
      </c>
      <c r="H1721" t="s">
        <v>23</v>
      </c>
      <c r="I1721">
        <v>2</v>
      </c>
      <c r="J1721" s="9">
        <v>9800</v>
      </c>
      <c r="K1721" s="7">
        <v>0.25</v>
      </c>
      <c r="L1721" s="9">
        <v>7350</v>
      </c>
      <c r="M1721" s="10">
        <f>Sales_Data3[[#This Row],[Profit]]/Sales_Data3[[#This Row],[Sales]]</f>
        <v>0.75</v>
      </c>
      <c r="N1721" t="str">
        <f t="shared" si="53"/>
        <v>Medium</v>
      </c>
      <c r="O1721" s="2">
        <v>45561</v>
      </c>
      <c r="P1721" s="9">
        <v>9800</v>
      </c>
    </row>
    <row r="1722" spans="1:16" x14ac:dyDescent="0.25">
      <c r="A1722" t="s">
        <v>1743</v>
      </c>
      <c r="B1722" s="2">
        <v>45562</v>
      </c>
      <c r="C1722">
        <v>2024</v>
      </c>
      <c r="D1722" t="str">
        <f t="shared" si="52"/>
        <v>Sep</v>
      </c>
      <c r="E1722" t="s">
        <v>13</v>
      </c>
      <c r="F1722" t="s">
        <v>16</v>
      </c>
      <c r="G1722" t="s">
        <v>19</v>
      </c>
      <c r="H1722" t="s">
        <v>24</v>
      </c>
      <c r="I1722">
        <v>6</v>
      </c>
      <c r="J1722" s="9">
        <v>7300</v>
      </c>
      <c r="K1722" s="7">
        <v>0.05</v>
      </c>
      <c r="L1722" s="9">
        <v>6935</v>
      </c>
      <c r="M1722" s="10">
        <f>Sales_Data3[[#This Row],[Profit]]/Sales_Data3[[#This Row],[Sales]]</f>
        <v>0.95</v>
      </c>
      <c r="N1722" t="str">
        <f t="shared" si="53"/>
        <v>Medium</v>
      </c>
      <c r="O1722" s="2">
        <v>45562</v>
      </c>
      <c r="P1722" s="9">
        <v>7300</v>
      </c>
    </row>
    <row r="1723" spans="1:16" x14ac:dyDescent="0.25">
      <c r="A1723" t="s">
        <v>1744</v>
      </c>
      <c r="B1723" s="2">
        <v>45563</v>
      </c>
      <c r="C1723">
        <v>2024</v>
      </c>
      <c r="D1723" t="str">
        <f t="shared" si="52"/>
        <v>Sep</v>
      </c>
      <c r="E1723" t="s">
        <v>13</v>
      </c>
      <c r="F1723" t="s">
        <v>2030</v>
      </c>
      <c r="G1723" t="s">
        <v>20</v>
      </c>
      <c r="H1723" t="s">
        <v>24</v>
      </c>
      <c r="I1723">
        <v>1</v>
      </c>
      <c r="J1723" s="9">
        <v>14800</v>
      </c>
      <c r="K1723" s="7">
        <v>0.1</v>
      </c>
      <c r="L1723" s="9">
        <v>13320</v>
      </c>
      <c r="M1723" s="10">
        <f>Sales_Data3[[#This Row],[Profit]]/Sales_Data3[[#This Row],[Sales]]</f>
        <v>0.9</v>
      </c>
      <c r="N1723" t="str">
        <f t="shared" si="53"/>
        <v>High</v>
      </c>
      <c r="O1723" s="2">
        <v>45563</v>
      </c>
      <c r="P1723" s="9">
        <v>14800</v>
      </c>
    </row>
    <row r="1724" spans="1:16" x14ac:dyDescent="0.25">
      <c r="A1724" t="s">
        <v>1745</v>
      </c>
      <c r="B1724" s="2">
        <v>45564</v>
      </c>
      <c r="C1724">
        <v>2024</v>
      </c>
      <c r="D1724" t="str">
        <f t="shared" si="52"/>
        <v>Sep</v>
      </c>
      <c r="E1724" t="s">
        <v>13</v>
      </c>
      <c r="F1724" t="s">
        <v>2031</v>
      </c>
      <c r="G1724" t="s">
        <v>21</v>
      </c>
      <c r="H1724" t="s">
        <v>24</v>
      </c>
      <c r="I1724">
        <v>3</v>
      </c>
      <c r="J1724" s="9">
        <v>7600</v>
      </c>
      <c r="K1724" s="7">
        <v>0.15000000000000002</v>
      </c>
      <c r="L1724" s="9">
        <v>6460</v>
      </c>
      <c r="M1724" s="10">
        <f>Sales_Data3[[#This Row],[Profit]]/Sales_Data3[[#This Row],[Sales]]</f>
        <v>0.85</v>
      </c>
      <c r="N1724" t="str">
        <f t="shared" si="53"/>
        <v>Medium</v>
      </c>
      <c r="O1724" s="2">
        <v>45564</v>
      </c>
      <c r="P1724" s="9">
        <v>7600</v>
      </c>
    </row>
    <row r="1725" spans="1:16" x14ac:dyDescent="0.25">
      <c r="A1725" t="s">
        <v>1746</v>
      </c>
      <c r="B1725" s="2">
        <v>45565</v>
      </c>
      <c r="C1725">
        <v>2024</v>
      </c>
      <c r="D1725" t="str">
        <f t="shared" si="52"/>
        <v>Sep</v>
      </c>
      <c r="E1725" t="s">
        <v>13</v>
      </c>
      <c r="F1725" t="s">
        <v>2032</v>
      </c>
      <c r="G1725" t="s">
        <v>22</v>
      </c>
      <c r="H1725" t="s">
        <v>24</v>
      </c>
      <c r="I1725">
        <v>1</v>
      </c>
      <c r="J1725" s="9">
        <v>14000</v>
      </c>
      <c r="K1725" s="7">
        <v>0.2</v>
      </c>
      <c r="L1725" s="9">
        <v>11200</v>
      </c>
      <c r="M1725" s="10">
        <f>Sales_Data3[[#This Row],[Profit]]/Sales_Data3[[#This Row],[Sales]]</f>
        <v>0.8</v>
      </c>
      <c r="N1725" t="str">
        <f t="shared" si="53"/>
        <v>High</v>
      </c>
      <c r="O1725" s="2">
        <v>45565</v>
      </c>
      <c r="P1725" s="9">
        <v>14000</v>
      </c>
    </row>
    <row r="1726" spans="1:16" x14ac:dyDescent="0.25">
      <c r="A1726" t="s">
        <v>1747</v>
      </c>
      <c r="B1726" s="2">
        <v>45566</v>
      </c>
      <c r="C1726">
        <v>2024</v>
      </c>
      <c r="D1726" t="str">
        <f t="shared" si="52"/>
        <v>Oct</v>
      </c>
      <c r="E1726" t="s">
        <v>13</v>
      </c>
      <c r="F1726" t="s">
        <v>2033</v>
      </c>
      <c r="G1726" t="s">
        <v>19</v>
      </c>
      <c r="H1726" t="s">
        <v>24</v>
      </c>
      <c r="I1726">
        <v>4</v>
      </c>
      <c r="J1726" s="9">
        <v>7000</v>
      </c>
      <c r="K1726" s="7">
        <v>0.25</v>
      </c>
      <c r="L1726" s="9">
        <v>5250</v>
      </c>
      <c r="M1726" s="10">
        <f>Sales_Data3[[#This Row],[Profit]]/Sales_Data3[[#This Row],[Sales]]</f>
        <v>0.75</v>
      </c>
      <c r="N1726" t="str">
        <f t="shared" si="53"/>
        <v>Medium</v>
      </c>
      <c r="O1726" s="2">
        <v>45566</v>
      </c>
      <c r="P1726" s="9">
        <v>7000</v>
      </c>
    </row>
    <row r="1727" spans="1:16" x14ac:dyDescent="0.25">
      <c r="A1727" t="s">
        <v>1748</v>
      </c>
      <c r="B1727" s="2">
        <v>45567</v>
      </c>
      <c r="C1727">
        <v>2024</v>
      </c>
      <c r="D1727" t="str">
        <f t="shared" si="52"/>
        <v>Oct</v>
      </c>
      <c r="E1727" t="s">
        <v>13</v>
      </c>
      <c r="F1727" t="s">
        <v>2034</v>
      </c>
      <c r="G1727" t="s">
        <v>20</v>
      </c>
      <c r="H1727" t="s">
        <v>24</v>
      </c>
      <c r="I1727">
        <v>3</v>
      </c>
      <c r="J1727" s="9">
        <v>5600</v>
      </c>
      <c r="K1727" s="7">
        <v>0.05</v>
      </c>
      <c r="L1727" s="9">
        <v>5320</v>
      </c>
      <c r="M1727" s="10">
        <f>Sales_Data3[[#This Row],[Profit]]/Sales_Data3[[#This Row],[Sales]]</f>
        <v>0.95</v>
      </c>
      <c r="N1727" t="str">
        <f t="shared" si="53"/>
        <v>Medium</v>
      </c>
      <c r="O1727" s="2">
        <v>45567</v>
      </c>
      <c r="P1727" s="9">
        <v>5600</v>
      </c>
    </row>
    <row r="1728" spans="1:16" x14ac:dyDescent="0.25">
      <c r="A1728" t="s">
        <v>1749</v>
      </c>
      <c r="B1728" s="2">
        <v>45568</v>
      </c>
      <c r="C1728">
        <v>2024</v>
      </c>
      <c r="D1728" t="str">
        <f t="shared" si="52"/>
        <v>Oct</v>
      </c>
      <c r="E1728" t="s">
        <v>13</v>
      </c>
      <c r="F1728" t="s">
        <v>2035</v>
      </c>
      <c r="G1728" t="s">
        <v>21</v>
      </c>
      <c r="H1728" t="s">
        <v>24</v>
      </c>
      <c r="I1728">
        <v>1</v>
      </c>
      <c r="J1728" s="9">
        <v>14100</v>
      </c>
      <c r="K1728" s="7">
        <v>0.1</v>
      </c>
      <c r="L1728" s="9">
        <v>12690</v>
      </c>
      <c r="M1728" s="10">
        <f>Sales_Data3[[#This Row],[Profit]]/Sales_Data3[[#This Row],[Sales]]</f>
        <v>0.9</v>
      </c>
      <c r="N1728" t="str">
        <f t="shared" si="53"/>
        <v>High</v>
      </c>
      <c r="O1728" s="2">
        <v>45568</v>
      </c>
      <c r="P1728" s="9">
        <v>14100</v>
      </c>
    </row>
    <row r="1729" spans="1:16" x14ac:dyDescent="0.25">
      <c r="A1729" t="s">
        <v>1750</v>
      </c>
      <c r="B1729" s="2">
        <v>45569</v>
      </c>
      <c r="C1729">
        <v>2024</v>
      </c>
      <c r="D1729" t="str">
        <f t="shared" si="52"/>
        <v>Oct</v>
      </c>
      <c r="E1729" t="s">
        <v>13</v>
      </c>
      <c r="F1729" t="s">
        <v>2036</v>
      </c>
      <c r="G1729" t="s">
        <v>22</v>
      </c>
      <c r="H1729" t="s">
        <v>24</v>
      </c>
      <c r="I1729">
        <v>6</v>
      </c>
      <c r="J1729" s="9">
        <v>11100</v>
      </c>
      <c r="K1729" s="7">
        <v>0.15000000000000002</v>
      </c>
      <c r="L1729" s="9">
        <v>9435</v>
      </c>
      <c r="M1729" s="10">
        <f>Sales_Data3[[#This Row],[Profit]]/Sales_Data3[[#This Row],[Sales]]</f>
        <v>0.85</v>
      </c>
      <c r="N1729" t="str">
        <f t="shared" si="53"/>
        <v>High</v>
      </c>
      <c r="O1729" s="2">
        <v>45569</v>
      </c>
      <c r="P1729" s="9">
        <v>11100</v>
      </c>
    </row>
    <row r="1730" spans="1:16" x14ac:dyDescent="0.25">
      <c r="A1730" t="s">
        <v>1751</v>
      </c>
      <c r="B1730" s="2">
        <v>45570</v>
      </c>
      <c r="C1730">
        <v>2024</v>
      </c>
      <c r="D1730" t="str">
        <f t="shared" ref="D1730:D1793" si="54">TEXT(B1730,"MMM")</f>
        <v>Oct</v>
      </c>
      <c r="E1730" t="s">
        <v>13</v>
      </c>
      <c r="F1730" t="s">
        <v>2037</v>
      </c>
      <c r="G1730" t="s">
        <v>19</v>
      </c>
      <c r="H1730" t="s">
        <v>24</v>
      </c>
      <c r="I1730">
        <v>6</v>
      </c>
      <c r="J1730" s="9">
        <v>7900</v>
      </c>
      <c r="K1730" s="7">
        <v>0.2</v>
      </c>
      <c r="L1730" s="9">
        <v>6320</v>
      </c>
      <c r="M1730" s="10">
        <f>Sales_Data3[[#This Row],[Profit]]/Sales_Data3[[#This Row],[Sales]]</f>
        <v>0.8</v>
      </c>
      <c r="N1730" t="str">
        <f t="shared" ref="N1730:N1793" si="55">IF(J1730&gt;10000,"High",IF(J1730&gt;5000,"Medium","Low"))</f>
        <v>Medium</v>
      </c>
      <c r="O1730" s="2">
        <v>45570</v>
      </c>
      <c r="P1730" s="9">
        <v>7900</v>
      </c>
    </row>
    <row r="1731" spans="1:16" x14ac:dyDescent="0.25">
      <c r="A1731" t="s">
        <v>1752</v>
      </c>
      <c r="B1731" s="2">
        <v>45571</v>
      </c>
      <c r="C1731">
        <v>2024</v>
      </c>
      <c r="D1731" t="str">
        <f t="shared" si="54"/>
        <v>Oct</v>
      </c>
      <c r="E1731" t="s">
        <v>13</v>
      </c>
      <c r="F1731" t="s">
        <v>2038</v>
      </c>
      <c r="G1731" t="s">
        <v>20</v>
      </c>
      <c r="H1731" t="s">
        <v>24</v>
      </c>
      <c r="I1731">
        <v>10</v>
      </c>
      <c r="J1731" s="9">
        <v>7400</v>
      </c>
      <c r="K1731" s="7">
        <v>0.25</v>
      </c>
      <c r="L1731" s="9">
        <v>5550</v>
      </c>
      <c r="M1731" s="10">
        <f>Sales_Data3[[#This Row],[Profit]]/Sales_Data3[[#This Row],[Sales]]</f>
        <v>0.75</v>
      </c>
      <c r="N1731" t="str">
        <f t="shared" si="55"/>
        <v>Medium</v>
      </c>
      <c r="O1731" s="2">
        <v>45571</v>
      </c>
      <c r="P1731" s="9">
        <v>7400</v>
      </c>
    </row>
    <row r="1732" spans="1:16" x14ac:dyDescent="0.25">
      <c r="A1732" t="s">
        <v>1753</v>
      </c>
      <c r="B1732" s="2">
        <v>45572</v>
      </c>
      <c r="C1732">
        <v>2024</v>
      </c>
      <c r="D1732" t="str">
        <f t="shared" si="54"/>
        <v>Oct</v>
      </c>
      <c r="E1732" t="s">
        <v>14</v>
      </c>
      <c r="F1732" t="s">
        <v>2039</v>
      </c>
      <c r="G1732" t="s">
        <v>21</v>
      </c>
      <c r="H1732" t="s">
        <v>25</v>
      </c>
      <c r="I1732">
        <v>7</v>
      </c>
      <c r="J1732" s="9">
        <v>8200</v>
      </c>
      <c r="K1732" s="7">
        <v>0.05</v>
      </c>
      <c r="L1732" s="9">
        <v>7790</v>
      </c>
      <c r="M1732" s="10">
        <f>Sales_Data3[[#This Row],[Profit]]/Sales_Data3[[#This Row],[Sales]]</f>
        <v>0.95</v>
      </c>
      <c r="N1732" t="str">
        <f t="shared" si="55"/>
        <v>Medium</v>
      </c>
      <c r="O1732" s="2">
        <v>45572</v>
      </c>
      <c r="P1732" s="9">
        <v>8200</v>
      </c>
    </row>
    <row r="1733" spans="1:16" x14ac:dyDescent="0.25">
      <c r="A1733" t="s">
        <v>1754</v>
      </c>
      <c r="B1733" s="2">
        <v>45573</v>
      </c>
      <c r="C1733">
        <v>2024</v>
      </c>
      <c r="D1733" t="str">
        <f t="shared" si="54"/>
        <v>Oct</v>
      </c>
      <c r="E1733" t="s">
        <v>14</v>
      </c>
      <c r="F1733" t="s">
        <v>2040</v>
      </c>
      <c r="G1733" t="s">
        <v>22</v>
      </c>
      <c r="H1733" t="s">
        <v>25</v>
      </c>
      <c r="I1733">
        <v>10</v>
      </c>
      <c r="J1733" s="9">
        <v>9400</v>
      </c>
      <c r="K1733" s="7">
        <v>0.1</v>
      </c>
      <c r="L1733" s="9">
        <v>8460</v>
      </c>
      <c r="M1733" s="10">
        <f>Sales_Data3[[#This Row],[Profit]]/Sales_Data3[[#This Row],[Sales]]</f>
        <v>0.9</v>
      </c>
      <c r="N1733" t="str">
        <f t="shared" si="55"/>
        <v>Medium</v>
      </c>
      <c r="O1733" s="2">
        <v>45573</v>
      </c>
      <c r="P1733" s="9">
        <v>9400</v>
      </c>
    </row>
    <row r="1734" spans="1:16" x14ac:dyDescent="0.25">
      <c r="A1734" t="s">
        <v>1755</v>
      </c>
      <c r="B1734" s="2">
        <v>45574</v>
      </c>
      <c r="C1734">
        <v>2024</v>
      </c>
      <c r="D1734" t="str">
        <f t="shared" si="54"/>
        <v>Oct</v>
      </c>
      <c r="E1734" t="s">
        <v>14</v>
      </c>
      <c r="F1734" t="s">
        <v>2041</v>
      </c>
      <c r="G1734" t="s">
        <v>19</v>
      </c>
      <c r="H1734" t="s">
        <v>25</v>
      </c>
      <c r="I1734">
        <v>8</v>
      </c>
      <c r="J1734" s="9">
        <v>10900</v>
      </c>
      <c r="K1734" s="7">
        <v>0.15000000000000002</v>
      </c>
      <c r="L1734" s="9">
        <v>9265</v>
      </c>
      <c r="M1734" s="10">
        <f>Sales_Data3[[#This Row],[Profit]]/Sales_Data3[[#This Row],[Sales]]</f>
        <v>0.85</v>
      </c>
      <c r="N1734" t="str">
        <f t="shared" si="55"/>
        <v>High</v>
      </c>
      <c r="O1734" s="2">
        <v>45574</v>
      </c>
      <c r="P1734" s="9">
        <v>10900</v>
      </c>
    </row>
    <row r="1735" spans="1:16" x14ac:dyDescent="0.25">
      <c r="A1735" t="s">
        <v>1756</v>
      </c>
      <c r="B1735" s="2">
        <v>45575</v>
      </c>
      <c r="C1735">
        <v>2024</v>
      </c>
      <c r="D1735" t="str">
        <f t="shared" si="54"/>
        <v>Oct</v>
      </c>
      <c r="E1735" t="s">
        <v>14</v>
      </c>
      <c r="F1735" t="s">
        <v>2042</v>
      </c>
      <c r="G1735" t="s">
        <v>20</v>
      </c>
      <c r="H1735" t="s">
        <v>25</v>
      </c>
      <c r="I1735">
        <v>2</v>
      </c>
      <c r="J1735" s="9">
        <v>13700</v>
      </c>
      <c r="K1735" s="7">
        <v>0.2</v>
      </c>
      <c r="L1735" s="9">
        <v>10960</v>
      </c>
      <c r="M1735" s="10">
        <f>Sales_Data3[[#This Row],[Profit]]/Sales_Data3[[#This Row],[Sales]]</f>
        <v>0.8</v>
      </c>
      <c r="N1735" t="str">
        <f t="shared" si="55"/>
        <v>High</v>
      </c>
      <c r="O1735" s="2">
        <v>45575</v>
      </c>
      <c r="P1735" s="9">
        <v>13700</v>
      </c>
    </row>
    <row r="1736" spans="1:16" x14ac:dyDescent="0.25">
      <c r="A1736" t="s">
        <v>1757</v>
      </c>
      <c r="B1736" s="2">
        <v>45576</v>
      </c>
      <c r="C1736">
        <v>2024</v>
      </c>
      <c r="D1736" t="str">
        <f t="shared" si="54"/>
        <v>Oct</v>
      </c>
      <c r="E1736" t="s">
        <v>14</v>
      </c>
      <c r="F1736" t="s">
        <v>2043</v>
      </c>
      <c r="G1736" t="s">
        <v>21</v>
      </c>
      <c r="H1736" t="s">
        <v>25</v>
      </c>
      <c r="I1736">
        <v>3</v>
      </c>
      <c r="J1736" s="9">
        <v>8100</v>
      </c>
      <c r="K1736" s="7">
        <v>0.25</v>
      </c>
      <c r="L1736" s="9">
        <v>6075</v>
      </c>
      <c r="M1736" s="10">
        <f>Sales_Data3[[#This Row],[Profit]]/Sales_Data3[[#This Row],[Sales]]</f>
        <v>0.75</v>
      </c>
      <c r="N1736" t="str">
        <f t="shared" si="55"/>
        <v>Medium</v>
      </c>
      <c r="O1736" s="2">
        <v>45576</v>
      </c>
      <c r="P1736" s="9">
        <v>8100</v>
      </c>
    </row>
    <row r="1737" spans="1:16" x14ac:dyDescent="0.25">
      <c r="A1737" t="s">
        <v>1758</v>
      </c>
      <c r="B1737" s="2">
        <v>45577</v>
      </c>
      <c r="C1737">
        <v>2024</v>
      </c>
      <c r="D1737" t="str">
        <f t="shared" si="54"/>
        <v>Oct</v>
      </c>
      <c r="E1737" t="s">
        <v>14</v>
      </c>
      <c r="F1737" t="s">
        <v>2044</v>
      </c>
      <c r="G1737" t="s">
        <v>22</v>
      </c>
      <c r="H1737" t="s">
        <v>25</v>
      </c>
      <c r="I1737">
        <v>9</v>
      </c>
      <c r="J1737" s="9">
        <v>10600</v>
      </c>
      <c r="K1737" s="7">
        <v>0.05</v>
      </c>
      <c r="L1737" s="9">
        <v>10070</v>
      </c>
      <c r="M1737" s="10">
        <f>Sales_Data3[[#This Row],[Profit]]/Sales_Data3[[#This Row],[Sales]]</f>
        <v>0.95</v>
      </c>
      <c r="N1737" t="str">
        <f t="shared" si="55"/>
        <v>High</v>
      </c>
      <c r="O1737" s="2">
        <v>45577</v>
      </c>
      <c r="P1737" s="9">
        <v>10600</v>
      </c>
    </row>
    <row r="1738" spans="1:16" x14ac:dyDescent="0.25">
      <c r="A1738" t="s">
        <v>1759</v>
      </c>
      <c r="B1738" s="2">
        <v>45578</v>
      </c>
      <c r="C1738">
        <v>2024</v>
      </c>
      <c r="D1738" t="str">
        <f t="shared" si="54"/>
        <v>Oct</v>
      </c>
      <c r="E1738" t="s">
        <v>14</v>
      </c>
      <c r="F1738" t="s">
        <v>2045</v>
      </c>
      <c r="G1738" t="s">
        <v>19</v>
      </c>
      <c r="H1738" t="s">
        <v>25</v>
      </c>
      <c r="I1738">
        <v>8</v>
      </c>
      <c r="J1738" s="9">
        <v>8300</v>
      </c>
      <c r="K1738" s="7">
        <v>0.1</v>
      </c>
      <c r="L1738" s="9">
        <v>7470</v>
      </c>
      <c r="M1738" s="10">
        <f>Sales_Data3[[#This Row],[Profit]]/Sales_Data3[[#This Row],[Sales]]</f>
        <v>0.9</v>
      </c>
      <c r="N1738" t="str">
        <f t="shared" si="55"/>
        <v>Medium</v>
      </c>
      <c r="O1738" s="2">
        <v>45578</v>
      </c>
      <c r="P1738" s="9">
        <v>8300</v>
      </c>
    </row>
    <row r="1739" spans="1:16" x14ac:dyDescent="0.25">
      <c r="A1739" t="s">
        <v>1760</v>
      </c>
      <c r="B1739" s="2">
        <v>45579</v>
      </c>
      <c r="C1739">
        <v>2024</v>
      </c>
      <c r="D1739" t="str">
        <f t="shared" si="54"/>
        <v>Oct</v>
      </c>
      <c r="E1739" t="s">
        <v>14</v>
      </c>
      <c r="F1739" t="s">
        <v>2046</v>
      </c>
      <c r="G1739" t="s">
        <v>20</v>
      </c>
      <c r="H1739" t="s">
        <v>25</v>
      </c>
      <c r="I1739">
        <v>5</v>
      </c>
      <c r="J1739" s="9">
        <v>7400</v>
      </c>
      <c r="K1739" s="7">
        <v>0.15000000000000002</v>
      </c>
      <c r="L1739" s="9">
        <v>6290</v>
      </c>
      <c r="M1739" s="10">
        <f>Sales_Data3[[#This Row],[Profit]]/Sales_Data3[[#This Row],[Sales]]</f>
        <v>0.85</v>
      </c>
      <c r="N1739" t="str">
        <f t="shared" si="55"/>
        <v>Medium</v>
      </c>
      <c r="O1739" s="2">
        <v>45579</v>
      </c>
      <c r="P1739" s="9">
        <v>7400</v>
      </c>
    </row>
    <row r="1740" spans="1:16" x14ac:dyDescent="0.25">
      <c r="A1740" t="s">
        <v>1761</v>
      </c>
      <c r="B1740" s="2">
        <v>45580</v>
      </c>
      <c r="C1740">
        <v>2024</v>
      </c>
      <c r="D1740" t="str">
        <f t="shared" si="54"/>
        <v>Oct</v>
      </c>
      <c r="E1740" t="s">
        <v>14</v>
      </c>
      <c r="F1740" t="s">
        <v>2047</v>
      </c>
      <c r="G1740" t="s">
        <v>21</v>
      </c>
      <c r="H1740" t="s">
        <v>25</v>
      </c>
      <c r="I1740">
        <v>3</v>
      </c>
      <c r="J1740" s="9">
        <v>6500</v>
      </c>
      <c r="K1740" s="7">
        <v>0.2</v>
      </c>
      <c r="L1740" s="9">
        <v>5200</v>
      </c>
      <c r="M1740" s="10">
        <f>Sales_Data3[[#This Row],[Profit]]/Sales_Data3[[#This Row],[Sales]]</f>
        <v>0.8</v>
      </c>
      <c r="N1740" t="str">
        <f t="shared" si="55"/>
        <v>Medium</v>
      </c>
      <c r="O1740" s="2">
        <v>45580</v>
      </c>
      <c r="P1740" s="9">
        <v>6500</v>
      </c>
    </row>
    <row r="1741" spans="1:16" x14ac:dyDescent="0.25">
      <c r="A1741" t="s">
        <v>1762</v>
      </c>
      <c r="B1741" s="2">
        <v>45581</v>
      </c>
      <c r="C1741">
        <v>2024</v>
      </c>
      <c r="D1741" t="str">
        <f t="shared" si="54"/>
        <v>Oct</v>
      </c>
      <c r="E1741" t="s">
        <v>14</v>
      </c>
      <c r="F1741" t="s">
        <v>2048</v>
      </c>
      <c r="G1741" t="s">
        <v>22</v>
      </c>
      <c r="H1741" t="s">
        <v>25</v>
      </c>
      <c r="I1741">
        <v>1</v>
      </c>
      <c r="J1741" s="9">
        <v>6500</v>
      </c>
      <c r="K1741" s="7">
        <v>0.25</v>
      </c>
      <c r="L1741" s="9">
        <v>4875</v>
      </c>
      <c r="M1741" s="10">
        <f>Sales_Data3[[#This Row],[Profit]]/Sales_Data3[[#This Row],[Sales]]</f>
        <v>0.75</v>
      </c>
      <c r="N1741" t="str">
        <f t="shared" si="55"/>
        <v>Medium</v>
      </c>
      <c r="O1741" s="2">
        <v>45581</v>
      </c>
      <c r="P1741" s="9">
        <v>6500</v>
      </c>
    </row>
    <row r="1742" spans="1:16" x14ac:dyDescent="0.25">
      <c r="A1742" t="s">
        <v>1763</v>
      </c>
      <c r="B1742" s="2">
        <v>45582</v>
      </c>
      <c r="C1742">
        <v>2024</v>
      </c>
      <c r="D1742" t="str">
        <f t="shared" si="54"/>
        <v>Oct</v>
      </c>
      <c r="E1742" t="s">
        <v>12</v>
      </c>
      <c r="F1742" t="s">
        <v>15</v>
      </c>
      <c r="G1742" t="s">
        <v>19</v>
      </c>
      <c r="H1742" t="s">
        <v>23</v>
      </c>
      <c r="I1742">
        <v>10</v>
      </c>
      <c r="J1742" s="9">
        <v>5000</v>
      </c>
      <c r="K1742" s="7">
        <v>0.05</v>
      </c>
      <c r="L1742" s="9">
        <v>4750</v>
      </c>
      <c r="M1742" s="10">
        <f>Sales_Data3[[#This Row],[Profit]]/Sales_Data3[[#This Row],[Sales]]</f>
        <v>0.95</v>
      </c>
      <c r="N1742" t="str">
        <f t="shared" si="55"/>
        <v>Low</v>
      </c>
      <c r="O1742" s="2">
        <v>45582</v>
      </c>
      <c r="P1742" s="9">
        <v>5000</v>
      </c>
    </row>
    <row r="1743" spans="1:16" x14ac:dyDescent="0.25">
      <c r="A1743" t="s">
        <v>1764</v>
      </c>
      <c r="B1743" s="2">
        <v>45583</v>
      </c>
      <c r="C1743">
        <v>2024</v>
      </c>
      <c r="D1743" t="str">
        <f t="shared" si="54"/>
        <v>Oct</v>
      </c>
      <c r="E1743" t="s">
        <v>12</v>
      </c>
      <c r="F1743" t="s">
        <v>17</v>
      </c>
      <c r="G1743" t="s">
        <v>20</v>
      </c>
      <c r="H1743" t="s">
        <v>23</v>
      </c>
      <c r="I1743">
        <v>3</v>
      </c>
      <c r="J1743" s="9">
        <v>6300</v>
      </c>
      <c r="K1743" s="7">
        <v>0.1</v>
      </c>
      <c r="L1743" s="9">
        <v>5670</v>
      </c>
      <c r="M1743" s="10">
        <f>Sales_Data3[[#This Row],[Profit]]/Sales_Data3[[#This Row],[Sales]]</f>
        <v>0.9</v>
      </c>
      <c r="N1743" t="str">
        <f t="shared" si="55"/>
        <v>Medium</v>
      </c>
      <c r="O1743" s="2">
        <v>45583</v>
      </c>
      <c r="P1743" s="9">
        <v>6300</v>
      </c>
    </row>
    <row r="1744" spans="1:16" x14ac:dyDescent="0.25">
      <c r="A1744" t="s">
        <v>1765</v>
      </c>
      <c r="B1744" s="2">
        <v>45584</v>
      </c>
      <c r="C1744">
        <v>2024</v>
      </c>
      <c r="D1744" t="str">
        <f t="shared" si="54"/>
        <v>Oct</v>
      </c>
      <c r="E1744" t="s">
        <v>12</v>
      </c>
      <c r="F1744" t="s">
        <v>2023</v>
      </c>
      <c r="G1744" t="s">
        <v>21</v>
      </c>
      <c r="H1744" t="s">
        <v>23</v>
      </c>
      <c r="I1744">
        <v>4</v>
      </c>
      <c r="J1744" s="9">
        <v>8000</v>
      </c>
      <c r="K1744" s="7">
        <v>0.15000000000000002</v>
      </c>
      <c r="L1744" s="9">
        <v>6800</v>
      </c>
      <c r="M1744" s="10">
        <f>Sales_Data3[[#This Row],[Profit]]/Sales_Data3[[#This Row],[Sales]]</f>
        <v>0.85</v>
      </c>
      <c r="N1744" t="str">
        <f t="shared" si="55"/>
        <v>Medium</v>
      </c>
      <c r="O1744" s="2">
        <v>45584</v>
      </c>
      <c r="P1744" s="9">
        <v>8000</v>
      </c>
    </row>
    <row r="1745" spans="1:16" x14ac:dyDescent="0.25">
      <c r="A1745" t="s">
        <v>1766</v>
      </c>
      <c r="B1745" s="2">
        <v>45585</v>
      </c>
      <c r="C1745">
        <v>2024</v>
      </c>
      <c r="D1745" t="str">
        <f t="shared" si="54"/>
        <v>Oct</v>
      </c>
      <c r="E1745" t="s">
        <v>12</v>
      </c>
      <c r="F1745" t="s">
        <v>18</v>
      </c>
      <c r="G1745" t="s">
        <v>22</v>
      </c>
      <c r="H1745" t="s">
        <v>23</v>
      </c>
      <c r="I1745">
        <v>3</v>
      </c>
      <c r="J1745" s="9">
        <v>9300</v>
      </c>
      <c r="K1745" s="7">
        <v>0.2</v>
      </c>
      <c r="L1745" s="9">
        <v>7440</v>
      </c>
      <c r="M1745" s="10">
        <f>Sales_Data3[[#This Row],[Profit]]/Sales_Data3[[#This Row],[Sales]]</f>
        <v>0.8</v>
      </c>
      <c r="N1745" t="str">
        <f t="shared" si="55"/>
        <v>Medium</v>
      </c>
      <c r="O1745" s="2">
        <v>45585</v>
      </c>
      <c r="P1745" s="9">
        <v>9300</v>
      </c>
    </row>
    <row r="1746" spans="1:16" x14ac:dyDescent="0.25">
      <c r="A1746" t="s">
        <v>1767</v>
      </c>
      <c r="B1746" s="2">
        <v>45586</v>
      </c>
      <c r="C1746">
        <v>2024</v>
      </c>
      <c r="D1746" t="str">
        <f t="shared" si="54"/>
        <v>Oct</v>
      </c>
      <c r="E1746" t="s">
        <v>12</v>
      </c>
      <c r="F1746" t="s">
        <v>2024</v>
      </c>
      <c r="G1746" t="s">
        <v>19</v>
      </c>
      <c r="H1746" t="s">
        <v>23</v>
      </c>
      <c r="I1746">
        <v>4</v>
      </c>
      <c r="J1746" s="9">
        <v>14600</v>
      </c>
      <c r="K1746" s="7">
        <v>0.25</v>
      </c>
      <c r="L1746" s="9">
        <v>10950</v>
      </c>
      <c r="M1746" s="10">
        <f>Sales_Data3[[#This Row],[Profit]]/Sales_Data3[[#This Row],[Sales]]</f>
        <v>0.75</v>
      </c>
      <c r="N1746" t="str">
        <f t="shared" si="55"/>
        <v>High</v>
      </c>
      <c r="O1746" s="2">
        <v>45586</v>
      </c>
      <c r="P1746" s="9">
        <v>14600</v>
      </c>
    </row>
    <row r="1747" spans="1:16" x14ac:dyDescent="0.25">
      <c r="A1747" t="s">
        <v>1768</v>
      </c>
      <c r="B1747" s="2">
        <v>45587</v>
      </c>
      <c r="C1747">
        <v>2024</v>
      </c>
      <c r="D1747" t="str">
        <f t="shared" si="54"/>
        <v>Oct</v>
      </c>
      <c r="E1747" t="s">
        <v>12</v>
      </c>
      <c r="F1747" t="s">
        <v>2025</v>
      </c>
      <c r="G1747" t="s">
        <v>20</v>
      </c>
      <c r="H1747" t="s">
        <v>23</v>
      </c>
      <c r="I1747">
        <v>7</v>
      </c>
      <c r="J1747" s="9">
        <v>7600</v>
      </c>
      <c r="K1747" s="7">
        <v>0.05</v>
      </c>
      <c r="L1747" s="9">
        <v>7220</v>
      </c>
      <c r="M1747" s="10">
        <f>Sales_Data3[[#This Row],[Profit]]/Sales_Data3[[#This Row],[Sales]]</f>
        <v>0.95</v>
      </c>
      <c r="N1747" t="str">
        <f t="shared" si="55"/>
        <v>Medium</v>
      </c>
      <c r="O1747" s="2">
        <v>45587</v>
      </c>
      <c r="P1747" s="9">
        <v>7600</v>
      </c>
    </row>
    <row r="1748" spans="1:16" x14ac:dyDescent="0.25">
      <c r="A1748" t="s">
        <v>1769</v>
      </c>
      <c r="B1748" s="2">
        <v>45588</v>
      </c>
      <c r="C1748">
        <v>2024</v>
      </c>
      <c r="D1748" t="str">
        <f t="shared" si="54"/>
        <v>Oct</v>
      </c>
      <c r="E1748" t="s">
        <v>12</v>
      </c>
      <c r="F1748" t="s">
        <v>2026</v>
      </c>
      <c r="G1748" t="s">
        <v>21</v>
      </c>
      <c r="H1748" t="s">
        <v>23</v>
      </c>
      <c r="I1748">
        <v>1</v>
      </c>
      <c r="J1748" s="9">
        <v>12300</v>
      </c>
      <c r="K1748" s="7">
        <v>0.1</v>
      </c>
      <c r="L1748" s="9">
        <v>11070</v>
      </c>
      <c r="M1748" s="10">
        <f>Sales_Data3[[#This Row],[Profit]]/Sales_Data3[[#This Row],[Sales]]</f>
        <v>0.9</v>
      </c>
      <c r="N1748" t="str">
        <f t="shared" si="55"/>
        <v>High</v>
      </c>
      <c r="O1748" s="2">
        <v>45588</v>
      </c>
      <c r="P1748" s="9">
        <v>12300</v>
      </c>
    </row>
    <row r="1749" spans="1:16" x14ac:dyDescent="0.25">
      <c r="A1749" t="s">
        <v>1770</v>
      </c>
      <c r="B1749" s="2">
        <v>45589</v>
      </c>
      <c r="C1749">
        <v>2024</v>
      </c>
      <c r="D1749" t="str">
        <f t="shared" si="54"/>
        <v>Oct</v>
      </c>
      <c r="E1749" t="s">
        <v>12</v>
      </c>
      <c r="F1749" t="s">
        <v>2027</v>
      </c>
      <c r="G1749" t="s">
        <v>22</v>
      </c>
      <c r="H1749" t="s">
        <v>23</v>
      </c>
      <c r="I1749">
        <v>2</v>
      </c>
      <c r="J1749" s="9">
        <v>11300</v>
      </c>
      <c r="K1749" s="7">
        <v>0.15000000000000002</v>
      </c>
      <c r="L1749" s="9">
        <v>9605</v>
      </c>
      <c r="M1749" s="10">
        <f>Sales_Data3[[#This Row],[Profit]]/Sales_Data3[[#This Row],[Sales]]</f>
        <v>0.85</v>
      </c>
      <c r="N1749" t="str">
        <f t="shared" si="55"/>
        <v>High</v>
      </c>
      <c r="O1749" s="2">
        <v>45589</v>
      </c>
      <c r="P1749" s="9">
        <v>11300</v>
      </c>
    </row>
    <row r="1750" spans="1:16" x14ac:dyDescent="0.25">
      <c r="A1750" t="s">
        <v>1771</v>
      </c>
      <c r="B1750" s="2">
        <v>45590</v>
      </c>
      <c r="C1750">
        <v>2024</v>
      </c>
      <c r="D1750" t="str">
        <f t="shared" si="54"/>
        <v>Oct</v>
      </c>
      <c r="E1750" t="s">
        <v>12</v>
      </c>
      <c r="F1750" t="s">
        <v>2028</v>
      </c>
      <c r="G1750" t="s">
        <v>19</v>
      </c>
      <c r="H1750" t="s">
        <v>23</v>
      </c>
      <c r="I1750">
        <v>7</v>
      </c>
      <c r="J1750" s="9">
        <v>11800</v>
      </c>
      <c r="K1750" s="7">
        <v>0.2</v>
      </c>
      <c r="L1750" s="9">
        <v>9440</v>
      </c>
      <c r="M1750" s="10">
        <f>Sales_Data3[[#This Row],[Profit]]/Sales_Data3[[#This Row],[Sales]]</f>
        <v>0.8</v>
      </c>
      <c r="N1750" t="str">
        <f t="shared" si="55"/>
        <v>High</v>
      </c>
      <c r="O1750" s="2">
        <v>45590</v>
      </c>
      <c r="P1750" s="9">
        <v>11800</v>
      </c>
    </row>
    <row r="1751" spans="1:16" x14ac:dyDescent="0.25">
      <c r="A1751" t="s">
        <v>1772</v>
      </c>
      <c r="B1751" s="2">
        <v>45591</v>
      </c>
      <c r="C1751">
        <v>2024</v>
      </c>
      <c r="D1751" t="str">
        <f t="shared" si="54"/>
        <v>Oct</v>
      </c>
      <c r="E1751" t="s">
        <v>12</v>
      </c>
      <c r="F1751" t="s">
        <v>2029</v>
      </c>
      <c r="G1751" t="s">
        <v>20</v>
      </c>
      <c r="H1751" t="s">
        <v>23</v>
      </c>
      <c r="I1751">
        <v>4</v>
      </c>
      <c r="J1751" s="9">
        <v>9000</v>
      </c>
      <c r="K1751" s="7">
        <v>0.25</v>
      </c>
      <c r="L1751" s="9">
        <v>6750</v>
      </c>
      <c r="M1751" s="10">
        <f>Sales_Data3[[#This Row],[Profit]]/Sales_Data3[[#This Row],[Sales]]</f>
        <v>0.75</v>
      </c>
      <c r="N1751" t="str">
        <f t="shared" si="55"/>
        <v>Medium</v>
      </c>
      <c r="O1751" s="2">
        <v>45591</v>
      </c>
      <c r="P1751" s="9">
        <v>9000</v>
      </c>
    </row>
    <row r="1752" spans="1:16" x14ac:dyDescent="0.25">
      <c r="A1752" t="s">
        <v>1773</v>
      </c>
      <c r="B1752" s="2">
        <v>45592</v>
      </c>
      <c r="C1752">
        <v>2024</v>
      </c>
      <c r="D1752" t="str">
        <f t="shared" si="54"/>
        <v>Oct</v>
      </c>
      <c r="E1752" t="s">
        <v>13</v>
      </c>
      <c r="F1752" t="s">
        <v>16</v>
      </c>
      <c r="G1752" t="s">
        <v>21</v>
      </c>
      <c r="H1752" t="s">
        <v>24</v>
      </c>
      <c r="I1752">
        <v>1</v>
      </c>
      <c r="J1752" s="9">
        <v>8700</v>
      </c>
      <c r="K1752" s="7">
        <v>0.05</v>
      </c>
      <c r="L1752" s="9">
        <v>8265</v>
      </c>
      <c r="M1752" s="10">
        <f>Sales_Data3[[#This Row],[Profit]]/Sales_Data3[[#This Row],[Sales]]</f>
        <v>0.95</v>
      </c>
      <c r="N1752" t="str">
        <f t="shared" si="55"/>
        <v>Medium</v>
      </c>
      <c r="O1752" s="2">
        <v>45592</v>
      </c>
      <c r="P1752" s="9">
        <v>8700</v>
      </c>
    </row>
    <row r="1753" spans="1:16" x14ac:dyDescent="0.25">
      <c r="A1753" t="s">
        <v>1774</v>
      </c>
      <c r="B1753" s="2">
        <v>45593</v>
      </c>
      <c r="C1753">
        <v>2024</v>
      </c>
      <c r="D1753" t="str">
        <f t="shared" si="54"/>
        <v>Oct</v>
      </c>
      <c r="E1753" t="s">
        <v>13</v>
      </c>
      <c r="F1753" t="s">
        <v>2030</v>
      </c>
      <c r="G1753" t="s">
        <v>22</v>
      </c>
      <c r="H1753" t="s">
        <v>24</v>
      </c>
      <c r="I1753">
        <v>10</v>
      </c>
      <c r="J1753" s="9">
        <v>8100</v>
      </c>
      <c r="K1753" s="7">
        <v>0.1</v>
      </c>
      <c r="L1753" s="9">
        <v>7290</v>
      </c>
      <c r="M1753" s="10">
        <f>Sales_Data3[[#This Row],[Profit]]/Sales_Data3[[#This Row],[Sales]]</f>
        <v>0.9</v>
      </c>
      <c r="N1753" t="str">
        <f t="shared" si="55"/>
        <v>Medium</v>
      </c>
      <c r="O1753" s="2">
        <v>45593</v>
      </c>
      <c r="P1753" s="9">
        <v>8100</v>
      </c>
    </row>
    <row r="1754" spans="1:16" x14ac:dyDescent="0.25">
      <c r="A1754" t="s">
        <v>1775</v>
      </c>
      <c r="B1754" s="2">
        <v>45594</v>
      </c>
      <c r="C1754">
        <v>2024</v>
      </c>
      <c r="D1754" t="str">
        <f t="shared" si="54"/>
        <v>Oct</v>
      </c>
      <c r="E1754" t="s">
        <v>13</v>
      </c>
      <c r="F1754" t="s">
        <v>2031</v>
      </c>
      <c r="G1754" t="s">
        <v>19</v>
      </c>
      <c r="H1754" t="s">
        <v>24</v>
      </c>
      <c r="I1754">
        <v>1</v>
      </c>
      <c r="J1754" s="9">
        <v>4500</v>
      </c>
      <c r="K1754" s="7">
        <v>0.15000000000000002</v>
      </c>
      <c r="L1754" s="9">
        <v>3825</v>
      </c>
      <c r="M1754" s="10">
        <f>Sales_Data3[[#This Row],[Profit]]/Sales_Data3[[#This Row],[Sales]]</f>
        <v>0.85</v>
      </c>
      <c r="N1754" t="str">
        <f t="shared" si="55"/>
        <v>Low</v>
      </c>
      <c r="O1754" s="2">
        <v>45594</v>
      </c>
      <c r="P1754" s="9">
        <v>4500</v>
      </c>
    </row>
    <row r="1755" spans="1:16" x14ac:dyDescent="0.25">
      <c r="A1755" t="s">
        <v>1776</v>
      </c>
      <c r="B1755" s="2">
        <v>45595</v>
      </c>
      <c r="C1755">
        <v>2024</v>
      </c>
      <c r="D1755" t="str">
        <f t="shared" si="54"/>
        <v>Oct</v>
      </c>
      <c r="E1755" t="s">
        <v>13</v>
      </c>
      <c r="F1755" t="s">
        <v>2032</v>
      </c>
      <c r="G1755" t="s">
        <v>20</v>
      </c>
      <c r="H1755" t="s">
        <v>24</v>
      </c>
      <c r="I1755">
        <v>4</v>
      </c>
      <c r="J1755" s="9">
        <v>4000</v>
      </c>
      <c r="K1755" s="7">
        <v>0.2</v>
      </c>
      <c r="L1755" s="9">
        <v>3200</v>
      </c>
      <c r="M1755" s="10">
        <f>Sales_Data3[[#This Row],[Profit]]/Sales_Data3[[#This Row],[Sales]]</f>
        <v>0.8</v>
      </c>
      <c r="N1755" t="str">
        <f t="shared" si="55"/>
        <v>Low</v>
      </c>
      <c r="O1755" s="2">
        <v>45595</v>
      </c>
      <c r="P1755" s="9">
        <v>4000</v>
      </c>
    </row>
    <row r="1756" spans="1:16" x14ac:dyDescent="0.25">
      <c r="A1756" t="s">
        <v>1777</v>
      </c>
      <c r="B1756" s="2">
        <v>45596</v>
      </c>
      <c r="C1756">
        <v>2024</v>
      </c>
      <c r="D1756" t="str">
        <f t="shared" si="54"/>
        <v>Oct</v>
      </c>
      <c r="E1756" t="s">
        <v>13</v>
      </c>
      <c r="F1756" t="s">
        <v>2033</v>
      </c>
      <c r="G1756" t="s">
        <v>21</v>
      </c>
      <c r="H1756" t="s">
        <v>24</v>
      </c>
      <c r="I1756">
        <v>4</v>
      </c>
      <c r="J1756" s="9">
        <v>6100</v>
      </c>
      <c r="K1756" s="7">
        <v>0.25</v>
      </c>
      <c r="L1756" s="9">
        <v>4575</v>
      </c>
      <c r="M1756" s="10">
        <f>Sales_Data3[[#This Row],[Profit]]/Sales_Data3[[#This Row],[Sales]]</f>
        <v>0.75</v>
      </c>
      <c r="N1756" t="str">
        <f t="shared" si="55"/>
        <v>Medium</v>
      </c>
      <c r="O1756" s="2">
        <v>45596</v>
      </c>
      <c r="P1756" s="9">
        <v>6100</v>
      </c>
    </row>
    <row r="1757" spans="1:16" x14ac:dyDescent="0.25">
      <c r="A1757" t="s">
        <v>1778</v>
      </c>
      <c r="B1757" s="2">
        <v>45597</v>
      </c>
      <c r="C1757">
        <v>2024</v>
      </c>
      <c r="D1757" t="str">
        <f t="shared" si="54"/>
        <v>Nov</v>
      </c>
      <c r="E1757" t="s">
        <v>13</v>
      </c>
      <c r="F1757" t="s">
        <v>2034</v>
      </c>
      <c r="G1757" t="s">
        <v>22</v>
      </c>
      <c r="H1757" t="s">
        <v>24</v>
      </c>
      <c r="I1757">
        <v>1</v>
      </c>
      <c r="J1757" s="9">
        <v>13700</v>
      </c>
      <c r="K1757" s="7">
        <v>0.05</v>
      </c>
      <c r="L1757" s="9">
        <v>13015</v>
      </c>
      <c r="M1757" s="10">
        <f>Sales_Data3[[#This Row],[Profit]]/Sales_Data3[[#This Row],[Sales]]</f>
        <v>0.95</v>
      </c>
      <c r="N1757" t="str">
        <f t="shared" si="55"/>
        <v>High</v>
      </c>
      <c r="O1757" s="2">
        <v>45597</v>
      </c>
      <c r="P1757" s="9">
        <v>13700</v>
      </c>
    </row>
    <row r="1758" spans="1:16" x14ac:dyDescent="0.25">
      <c r="A1758" t="s">
        <v>1779</v>
      </c>
      <c r="B1758" s="2">
        <v>45598</v>
      </c>
      <c r="C1758">
        <v>2024</v>
      </c>
      <c r="D1758" t="str">
        <f t="shared" si="54"/>
        <v>Nov</v>
      </c>
      <c r="E1758" t="s">
        <v>13</v>
      </c>
      <c r="F1758" t="s">
        <v>2035</v>
      </c>
      <c r="G1758" t="s">
        <v>19</v>
      </c>
      <c r="H1758" t="s">
        <v>24</v>
      </c>
      <c r="I1758">
        <v>10</v>
      </c>
      <c r="J1758" s="9">
        <v>9500</v>
      </c>
      <c r="K1758" s="7">
        <v>0.1</v>
      </c>
      <c r="L1758" s="9">
        <v>8550</v>
      </c>
      <c r="M1758" s="10">
        <f>Sales_Data3[[#This Row],[Profit]]/Sales_Data3[[#This Row],[Sales]]</f>
        <v>0.9</v>
      </c>
      <c r="N1758" t="str">
        <f t="shared" si="55"/>
        <v>Medium</v>
      </c>
      <c r="O1758" s="2">
        <v>45598</v>
      </c>
      <c r="P1758" s="9">
        <v>9500</v>
      </c>
    </row>
    <row r="1759" spans="1:16" x14ac:dyDescent="0.25">
      <c r="A1759" t="s">
        <v>1780</v>
      </c>
      <c r="B1759" s="2">
        <v>45599</v>
      </c>
      <c r="C1759">
        <v>2024</v>
      </c>
      <c r="D1759" t="str">
        <f t="shared" si="54"/>
        <v>Nov</v>
      </c>
      <c r="E1759" t="s">
        <v>13</v>
      </c>
      <c r="F1759" t="s">
        <v>2036</v>
      </c>
      <c r="G1759" t="s">
        <v>20</v>
      </c>
      <c r="H1759" t="s">
        <v>24</v>
      </c>
      <c r="I1759">
        <v>7</v>
      </c>
      <c r="J1759" s="9">
        <v>5100</v>
      </c>
      <c r="K1759" s="7">
        <v>0.15000000000000002</v>
      </c>
      <c r="L1759" s="9">
        <v>4335</v>
      </c>
      <c r="M1759" s="10">
        <f>Sales_Data3[[#This Row],[Profit]]/Sales_Data3[[#This Row],[Sales]]</f>
        <v>0.85</v>
      </c>
      <c r="N1759" t="str">
        <f t="shared" si="55"/>
        <v>Medium</v>
      </c>
      <c r="O1759" s="2">
        <v>45599</v>
      </c>
      <c r="P1759" s="9">
        <v>5100</v>
      </c>
    </row>
    <row r="1760" spans="1:16" x14ac:dyDescent="0.25">
      <c r="A1760" t="s">
        <v>1781</v>
      </c>
      <c r="B1760" s="2">
        <v>45600</v>
      </c>
      <c r="C1760">
        <v>2024</v>
      </c>
      <c r="D1760" t="str">
        <f t="shared" si="54"/>
        <v>Nov</v>
      </c>
      <c r="E1760" t="s">
        <v>13</v>
      </c>
      <c r="F1760" t="s">
        <v>2037</v>
      </c>
      <c r="G1760" t="s">
        <v>21</v>
      </c>
      <c r="H1760" t="s">
        <v>24</v>
      </c>
      <c r="I1760">
        <v>8</v>
      </c>
      <c r="J1760" s="9">
        <v>8700</v>
      </c>
      <c r="K1760" s="7">
        <v>0.2</v>
      </c>
      <c r="L1760" s="9">
        <v>6960</v>
      </c>
      <c r="M1760" s="10">
        <f>Sales_Data3[[#This Row],[Profit]]/Sales_Data3[[#This Row],[Sales]]</f>
        <v>0.8</v>
      </c>
      <c r="N1760" t="str">
        <f t="shared" si="55"/>
        <v>Medium</v>
      </c>
      <c r="O1760" s="2">
        <v>45600</v>
      </c>
      <c r="P1760" s="9">
        <v>8700</v>
      </c>
    </row>
    <row r="1761" spans="1:16" x14ac:dyDescent="0.25">
      <c r="A1761" t="s">
        <v>1782</v>
      </c>
      <c r="B1761" s="2">
        <v>45601</v>
      </c>
      <c r="C1761">
        <v>2024</v>
      </c>
      <c r="D1761" t="str">
        <f t="shared" si="54"/>
        <v>Nov</v>
      </c>
      <c r="E1761" t="s">
        <v>13</v>
      </c>
      <c r="F1761" t="s">
        <v>2038</v>
      </c>
      <c r="G1761" t="s">
        <v>22</v>
      </c>
      <c r="H1761" t="s">
        <v>24</v>
      </c>
      <c r="I1761">
        <v>5</v>
      </c>
      <c r="J1761" s="9">
        <v>13900</v>
      </c>
      <c r="K1761" s="7">
        <v>0.25</v>
      </c>
      <c r="L1761" s="9">
        <v>10425</v>
      </c>
      <c r="M1761" s="10">
        <f>Sales_Data3[[#This Row],[Profit]]/Sales_Data3[[#This Row],[Sales]]</f>
        <v>0.75</v>
      </c>
      <c r="N1761" t="str">
        <f t="shared" si="55"/>
        <v>High</v>
      </c>
      <c r="O1761" s="2">
        <v>45601</v>
      </c>
      <c r="P1761" s="9">
        <v>13900</v>
      </c>
    </row>
    <row r="1762" spans="1:16" x14ac:dyDescent="0.25">
      <c r="A1762" t="s">
        <v>1783</v>
      </c>
      <c r="B1762" s="2">
        <v>45602</v>
      </c>
      <c r="C1762">
        <v>2024</v>
      </c>
      <c r="D1762" t="str">
        <f t="shared" si="54"/>
        <v>Nov</v>
      </c>
      <c r="E1762" t="s">
        <v>14</v>
      </c>
      <c r="F1762" t="s">
        <v>2039</v>
      </c>
      <c r="G1762" t="s">
        <v>19</v>
      </c>
      <c r="H1762" t="s">
        <v>25</v>
      </c>
      <c r="I1762">
        <v>3</v>
      </c>
      <c r="J1762" s="9">
        <v>12700</v>
      </c>
      <c r="K1762" s="7">
        <v>0.05</v>
      </c>
      <c r="L1762" s="9">
        <v>12065</v>
      </c>
      <c r="M1762" s="10">
        <f>Sales_Data3[[#This Row],[Profit]]/Sales_Data3[[#This Row],[Sales]]</f>
        <v>0.95</v>
      </c>
      <c r="N1762" t="str">
        <f t="shared" si="55"/>
        <v>High</v>
      </c>
      <c r="O1762" s="2">
        <v>45602</v>
      </c>
      <c r="P1762" s="9">
        <v>12700</v>
      </c>
    </row>
    <row r="1763" spans="1:16" x14ac:dyDescent="0.25">
      <c r="A1763" t="s">
        <v>1784</v>
      </c>
      <c r="B1763" s="2">
        <v>45603</v>
      </c>
      <c r="C1763">
        <v>2024</v>
      </c>
      <c r="D1763" t="str">
        <f t="shared" si="54"/>
        <v>Nov</v>
      </c>
      <c r="E1763" t="s">
        <v>14</v>
      </c>
      <c r="F1763" t="s">
        <v>2040</v>
      </c>
      <c r="G1763" t="s">
        <v>20</v>
      </c>
      <c r="H1763" t="s">
        <v>25</v>
      </c>
      <c r="I1763">
        <v>2</v>
      </c>
      <c r="J1763" s="9">
        <v>10600</v>
      </c>
      <c r="K1763" s="7">
        <v>0.1</v>
      </c>
      <c r="L1763" s="9">
        <v>9540</v>
      </c>
      <c r="M1763" s="10">
        <f>Sales_Data3[[#This Row],[Profit]]/Sales_Data3[[#This Row],[Sales]]</f>
        <v>0.9</v>
      </c>
      <c r="N1763" t="str">
        <f t="shared" si="55"/>
        <v>High</v>
      </c>
      <c r="O1763" s="2">
        <v>45603</v>
      </c>
      <c r="P1763" s="9">
        <v>10600</v>
      </c>
    </row>
    <row r="1764" spans="1:16" x14ac:dyDescent="0.25">
      <c r="A1764" t="s">
        <v>1785</v>
      </c>
      <c r="B1764" s="2">
        <v>45604</v>
      </c>
      <c r="C1764">
        <v>2024</v>
      </c>
      <c r="D1764" t="str">
        <f t="shared" si="54"/>
        <v>Nov</v>
      </c>
      <c r="E1764" t="s">
        <v>14</v>
      </c>
      <c r="F1764" t="s">
        <v>2041</v>
      </c>
      <c r="G1764" t="s">
        <v>21</v>
      </c>
      <c r="H1764" t="s">
        <v>25</v>
      </c>
      <c r="I1764">
        <v>8</v>
      </c>
      <c r="J1764" s="9">
        <v>6700</v>
      </c>
      <c r="K1764" s="7">
        <v>0.15000000000000002</v>
      </c>
      <c r="L1764" s="9">
        <v>5695</v>
      </c>
      <c r="M1764" s="10">
        <f>Sales_Data3[[#This Row],[Profit]]/Sales_Data3[[#This Row],[Sales]]</f>
        <v>0.85</v>
      </c>
      <c r="N1764" t="str">
        <f t="shared" si="55"/>
        <v>Medium</v>
      </c>
      <c r="O1764" s="2">
        <v>45604</v>
      </c>
      <c r="P1764" s="9">
        <v>6700</v>
      </c>
    </row>
    <row r="1765" spans="1:16" x14ac:dyDescent="0.25">
      <c r="A1765" t="s">
        <v>1786</v>
      </c>
      <c r="B1765" s="2">
        <v>45605</v>
      </c>
      <c r="C1765">
        <v>2024</v>
      </c>
      <c r="D1765" t="str">
        <f t="shared" si="54"/>
        <v>Nov</v>
      </c>
      <c r="E1765" t="s">
        <v>14</v>
      </c>
      <c r="F1765" t="s">
        <v>2042</v>
      </c>
      <c r="G1765" t="s">
        <v>22</v>
      </c>
      <c r="H1765" t="s">
        <v>25</v>
      </c>
      <c r="I1765">
        <v>7</v>
      </c>
      <c r="J1765" s="9">
        <v>5300</v>
      </c>
      <c r="K1765" s="7">
        <v>0.2</v>
      </c>
      <c r="L1765" s="9">
        <v>4240</v>
      </c>
      <c r="M1765" s="10">
        <f>Sales_Data3[[#This Row],[Profit]]/Sales_Data3[[#This Row],[Sales]]</f>
        <v>0.8</v>
      </c>
      <c r="N1765" t="str">
        <f t="shared" si="55"/>
        <v>Medium</v>
      </c>
      <c r="O1765" s="2">
        <v>45605</v>
      </c>
      <c r="P1765" s="9">
        <v>5300</v>
      </c>
    </row>
    <row r="1766" spans="1:16" x14ac:dyDescent="0.25">
      <c r="A1766" t="s">
        <v>1787</v>
      </c>
      <c r="B1766" s="2">
        <v>45606</v>
      </c>
      <c r="C1766">
        <v>2024</v>
      </c>
      <c r="D1766" t="str">
        <f t="shared" si="54"/>
        <v>Nov</v>
      </c>
      <c r="E1766" t="s">
        <v>14</v>
      </c>
      <c r="F1766" t="s">
        <v>2043</v>
      </c>
      <c r="G1766" t="s">
        <v>19</v>
      </c>
      <c r="H1766" t="s">
        <v>25</v>
      </c>
      <c r="I1766">
        <v>7</v>
      </c>
      <c r="J1766" s="9">
        <v>10100</v>
      </c>
      <c r="K1766" s="7">
        <v>0.25</v>
      </c>
      <c r="L1766" s="9">
        <v>7575</v>
      </c>
      <c r="M1766" s="10">
        <f>Sales_Data3[[#This Row],[Profit]]/Sales_Data3[[#This Row],[Sales]]</f>
        <v>0.75</v>
      </c>
      <c r="N1766" t="str">
        <f t="shared" si="55"/>
        <v>High</v>
      </c>
      <c r="O1766" s="2">
        <v>45606</v>
      </c>
      <c r="P1766" s="9">
        <v>10100</v>
      </c>
    </row>
    <row r="1767" spans="1:16" x14ac:dyDescent="0.25">
      <c r="A1767" t="s">
        <v>1788</v>
      </c>
      <c r="B1767" s="2">
        <v>45607</v>
      </c>
      <c r="C1767">
        <v>2024</v>
      </c>
      <c r="D1767" t="str">
        <f t="shared" si="54"/>
        <v>Nov</v>
      </c>
      <c r="E1767" t="s">
        <v>14</v>
      </c>
      <c r="F1767" t="s">
        <v>2044</v>
      </c>
      <c r="G1767" t="s">
        <v>20</v>
      </c>
      <c r="H1767" t="s">
        <v>25</v>
      </c>
      <c r="I1767">
        <v>6</v>
      </c>
      <c r="J1767" s="9">
        <v>9400</v>
      </c>
      <c r="K1767" s="7">
        <v>0.05</v>
      </c>
      <c r="L1767" s="9">
        <v>8930</v>
      </c>
      <c r="M1767" s="10">
        <f>Sales_Data3[[#This Row],[Profit]]/Sales_Data3[[#This Row],[Sales]]</f>
        <v>0.95</v>
      </c>
      <c r="N1767" t="str">
        <f t="shared" si="55"/>
        <v>Medium</v>
      </c>
      <c r="O1767" s="2">
        <v>45607</v>
      </c>
      <c r="P1767" s="9">
        <v>9400</v>
      </c>
    </row>
    <row r="1768" spans="1:16" x14ac:dyDescent="0.25">
      <c r="A1768" t="s">
        <v>1789</v>
      </c>
      <c r="B1768" s="2">
        <v>45608</v>
      </c>
      <c r="C1768">
        <v>2024</v>
      </c>
      <c r="D1768" t="str">
        <f t="shared" si="54"/>
        <v>Nov</v>
      </c>
      <c r="E1768" t="s">
        <v>14</v>
      </c>
      <c r="F1768" t="s">
        <v>2045</v>
      </c>
      <c r="G1768" t="s">
        <v>21</v>
      </c>
      <c r="H1768" t="s">
        <v>25</v>
      </c>
      <c r="I1768">
        <v>8</v>
      </c>
      <c r="J1768" s="9">
        <v>6400</v>
      </c>
      <c r="K1768" s="7">
        <v>0.1</v>
      </c>
      <c r="L1768" s="9">
        <v>5760</v>
      </c>
      <c r="M1768" s="10">
        <f>Sales_Data3[[#This Row],[Profit]]/Sales_Data3[[#This Row],[Sales]]</f>
        <v>0.9</v>
      </c>
      <c r="N1768" t="str">
        <f t="shared" si="55"/>
        <v>Medium</v>
      </c>
      <c r="O1768" s="2">
        <v>45608</v>
      </c>
      <c r="P1768" s="9">
        <v>6400</v>
      </c>
    </row>
    <row r="1769" spans="1:16" x14ac:dyDescent="0.25">
      <c r="A1769" t="s">
        <v>1790</v>
      </c>
      <c r="B1769" s="2">
        <v>45609</v>
      </c>
      <c r="C1769">
        <v>2024</v>
      </c>
      <c r="D1769" t="str">
        <f t="shared" si="54"/>
        <v>Nov</v>
      </c>
      <c r="E1769" t="s">
        <v>14</v>
      </c>
      <c r="F1769" t="s">
        <v>2046</v>
      </c>
      <c r="G1769" t="s">
        <v>22</v>
      </c>
      <c r="H1769" t="s">
        <v>25</v>
      </c>
      <c r="I1769">
        <v>5</v>
      </c>
      <c r="J1769" s="9">
        <v>7100</v>
      </c>
      <c r="K1769" s="7">
        <v>0.15000000000000002</v>
      </c>
      <c r="L1769" s="9">
        <v>6035</v>
      </c>
      <c r="M1769" s="10">
        <f>Sales_Data3[[#This Row],[Profit]]/Sales_Data3[[#This Row],[Sales]]</f>
        <v>0.85</v>
      </c>
      <c r="N1769" t="str">
        <f t="shared" si="55"/>
        <v>Medium</v>
      </c>
      <c r="O1769" s="2">
        <v>45609</v>
      </c>
      <c r="P1769" s="9">
        <v>7100</v>
      </c>
    </row>
    <row r="1770" spans="1:16" x14ac:dyDescent="0.25">
      <c r="A1770" t="s">
        <v>1791</v>
      </c>
      <c r="B1770" s="2">
        <v>45610</v>
      </c>
      <c r="C1770">
        <v>2024</v>
      </c>
      <c r="D1770" t="str">
        <f t="shared" si="54"/>
        <v>Nov</v>
      </c>
      <c r="E1770" t="s">
        <v>14</v>
      </c>
      <c r="F1770" t="s">
        <v>2047</v>
      </c>
      <c r="G1770" t="s">
        <v>19</v>
      </c>
      <c r="H1770" t="s">
        <v>25</v>
      </c>
      <c r="I1770">
        <v>9</v>
      </c>
      <c r="J1770" s="9">
        <v>8500</v>
      </c>
      <c r="K1770" s="7">
        <v>0.2</v>
      </c>
      <c r="L1770" s="9">
        <v>6800</v>
      </c>
      <c r="M1770" s="10">
        <f>Sales_Data3[[#This Row],[Profit]]/Sales_Data3[[#This Row],[Sales]]</f>
        <v>0.8</v>
      </c>
      <c r="N1770" t="str">
        <f t="shared" si="55"/>
        <v>Medium</v>
      </c>
      <c r="O1770" s="2">
        <v>45610</v>
      </c>
      <c r="P1770" s="9">
        <v>8500</v>
      </c>
    </row>
    <row r="1771" spans="1:16" x14ac:dyDescent="0.25">
      <c r="A1771" t="s">
        <v>1792</v>
      </c>
      <c r="B1771" s="2">
        <v>45611</v>
      </c>
      <c r="C1771">
        <v>2024</v>
      </c>
      <c r="D1771" t="str">
        <f t="shared" si="54"/>
        <v>Nov</v>
      </c>
      <c r="E1771" t="s">
        <v>14</v>
      </c>
      <c r="F1771" t="s">
        <v>2048</v>
      </c>
      <c r="G1771" t="s">
        <v>20</v>
      </c>
      <c r="H1771" t="s">
        <v>25</v>
      </c>
      <c r="I1771">
        <v>1</v>
      </c>
      <c r="J1771" s="9">
        <v>14600</v>
      </c>
      <c r="K1771" s="7">
        <v>0.25</v>
      </c>
      <c r="L1771" s="9">
        <v>10950</v>
      </c>
      <c r="M1771" s="10">
        <f>Sales_Data3[[#This Row],[Profit]]/Sales_Data3[[#This Row],[Sales]]</f>
        <v>0.75</v>
      </c>
      <c r="N1771" t="str">
        <f t="shared" si="55"/>
        <v>High</v>
      </c>
      <c r="O1771" s="2">
        <v>45611</v>
      </c>
      <c r="P1771" s="9">
        <v>14600</v>
      </c>
    </row>
    <row r="1772" spans="1:16" x14ac:dyDescent="0.25">
      <c r="A1772" t="s">
        <v>1793</v>
      </c>
      <c r="B1772" s="2">
        <v>45612</v>
      </c>
      <c r="C1772">
        <v>2024</v>
      </c>
      <c r="D1772" t="str">
        <f t="shared" si="54"/>
        <v>Nov</v>
      </c>
      <c r="E1772" t="s">
        <v>12</v>
      </c>
      <c r="F1772" t="s">
        <v>15</v>
      </c>
      <c r="G1772" t="s">
        <v>21</v>
      </c>
      <c r="H1772" t="s">
        <v>23</v>
      </c>
      <c r="I1772">
        <v>4</v>
      </c>
      <c r="J1772" s="9">
        <v>5800</v>
      </c>
      <c r="K1772" s="7">
        <v>0.05</v>
      </c>
      <c r="L1772" s="9">
        <v>5510</v>
      </c>
      <c r="M1772" s="10">
        <f>Sales_Data3[[#This Row],[Profit]]/Sales_Data3[[#This Row],[Sales]]</f>
        <v>0.95</v>
      </c>
      <c r="N1772" t="str">
        <f t="shared" si="55"/>
        <v>Medium</v>
      </c>
      <c r="O1772" s="2">
        <v>45612</v>
      </c>
      <c r="P1772" s="9">
        <v>5800</v>
      </c>
    </row>
    <row r="1773" spans="1:16" x14ac:dyDescent="0.25">
      <c r="A1773" t="s">
        <v>1794</v>
      </c>
      <c r="B1773" s="2">
        <v>45613</v>
      </c>
      <c r="C1773">
        <v>2024</v>
      </c>
      <c r="D1773" t="str">
        <f t="shared" si="54"/>
        <v>Nov</v>
      </c>
      <c r="E1773" t="s">
        <v>12</v>
      </c>
      <c r="F1773" t="s">
        <v>17</v>
      </c>
      <c r="G1773" t="s">
        <v>22</v>
      </c>
      <c r="H1773" t="s">
        <v>23</v>
      </c>
      <c r="I1773">
        <v>3</v>
      </c>
      <c r="J1773" s="9">
        <v>6100</v>
      </c>
      <c r="K1773" s="7">
        <v>0.1</v>
      </c>
      <c r="L1773" s="9">
        <v>5490</v>
      </c>
      <c r="M1773" s="10">
        <f>Sales_Data3[[#This Row],[Profit]]/Sales_Data3[[#This Row],[Sales]]</f>
        <v>0.9</v>
      </c>
      <c r="N1773" t="str">
        <f t="shared" si="55"/>
        <v>Medium</v>
      </c>
      <c r="O1773" s="2">
        <v>45613</v>
      </c>
      <c r="P1773" s="9">
        <v>6100</v>
      </c>
    </row>
    <row r="1774" spans="1:16" x14ac:dyDescent="0.25">
      <c r="A1774" t="s">
        <v>1795</v>
      </c>
      <c r="B1774" s="2">
        <v>45614</v>
      </c>
      <c r="C1774">
        <v>2024</v>
      </c>
      <c r="D1774" t="str">
        <f t="shared" si="54"/>
        <v>Nov</v>
      </c>
      <c r="E1774" t="s">
        <v>12</v>
      </c>
      <c r="F1774" t="s">
        <v>2023</v>
      </c>
      <c r="G1774" t="s">
        <v>19</v>
      </c>
      <c r="H1774" t="s">
        <v>23</v>
      </c>
      <c r="I1774">
        <v>1</v>
      </c>
      <c r="J1774" s="9">
        <v>7600</v>
      </c>
      <c r="K1774" s="7">
        <v>0.15000000000000002</v>
      </c>
      <c r="L1774" s="9">
        <v>6460</v>
      </c>
      <c r="M1774" s="10">
        <f>Sales_Data3[[#This Row],[Profit]]/Sales_Data3[[#This Row],[Sales]]</f>
        <v>0.85</v>
      </c>
      <c r="N1774" t="str">
        <f t="shared" si="55"/>
        <v>Medium</v>
      </c>
      <c r="O1774" s="2">
        <v>45614</v>
      </c>
      <c r="P1774" s="9">
        <v>7600</v>
      </c>
    </row>
    <row r="1775" spans="1:16" x14ac:dyDescent="0.25">
      <c r="A1775" t="s">
        <v>1796</v>
      </c>
      <c r="B1775" s="2">
        <v>45615</v>
      </c>
      <c r="C1775">
        <v>2024</v>
      </c>
      <c r="D1775" t="str">
        <f t="shared" si="54"/>
        <v>Nov</v>
      </c>
      <c r="E1775" t="s">
        <v>12</v>
      </c>
      <c r="F1775" t="s">
        <v>18</v>
      </c>
      <c r="G1775" t="s">
        <v>20</v>
      </c>
      <c r="H1775" t="s">
        <v>23</v>
      </c>
      <c r="I1775">
        <v>2</v>
      </c>
      <c r="J1775" s="9">
        <v>8700</v>
      </c>
      <c r="K1775" s="7">
        <v>0.2</v>
      </c>
      <c r="L1775" s="9">
        <v>6960</v>
      </c>
      <c r="M1775" s="10">
        <f>Sales_Data3[[#This Row],[Profit]]/Sales_Data3[[#This Row],[Sales]]</f>
        <v>0.8</v>
      </c>
      <c r="N1775" t="str">
        <f t="shared" si="55"/>
        <v>Medium</v>
      </c>
      <c r="O1775" s="2">
        <v>45615</v>
      </c>
      <c r="P1775" s="9">
        <v>8700</v>
      </c>
    </row>
    <row r="1776" spans="1:16" x14ac:dyDescent="0.25">
      <c r="A1776" t="s">
        <v>1797</v>
      </c>
      <c r="B1776" s="2">
        <v>45616</v>
      </c>
      <c r="C1776">
        <v>2024</v>
      </c>
      <c r="D1776" t="str">
        <f t="shared" si="54"/>
        <v>Nov</v>
      </c>
      <c r="E1776" t="s">
        <v>12</v>
      </c>
      <c r="F1776" t="s">
        <v>2024</v>
      </c>
      <c r="G1776" t="s">
        <v>21</v>
      </c>
      <c r="H1776" t="s">
        <v>23</v>
      </c>
      <c r="I1776">
        <v>2</v>
      </c>
      <c r="J1776" s="9">
        <v>6000</v>
      </c>
      <c r="K1776" s="7">
        <v>0.25</v>
      </c>
      <c r="L1776" s="9">
        <v>4500</v>
      </c>
      <c r="M1776" s="10">
        <f>Sales_Data3[[#This Row],[Profit]]/Sales_Data3[[#This Row],[Sales]]</f>
        <v>0.75</v>
      </c>
      <c r="N1776" t="str">
        <f t="shared" si="55"/>
        <v>Medium</v>
      </c>
      <c r="O1776" s="2">
        <v>45616</v>
      </c>
      <c r="P1776" s="9">
        <v>6000</v>
      </c>
    </row>
    <row r="1777" spans="1:16" x14ac:dyDescent="0.25">
      <c r="A1777" t="s">
        <v>1798</v>
      </c>
      <c r="B1777" s="2">
        <v>45617</v>
      </c>
      <c r="C1777">
        <v>2024</v>
      </c>
      <c r="D1777" t="str">
        <f t="shared" si="54"/>
        <v>Nov</v>
      </c>
      <c r="E1777" t="s">
        <v>12</v>
      </c>
      <c r="F1777" t="s">
        <v>2025</v>
      </c>
      <c r="G1777" t="s">
        <v>22</v>
      </c>
      <c r="H1777" t="s">
        <v>23</v>
      </c>
      <c r="I1777">
        <v>9</v>
      </c>
      <c r="J1777" s="9">
        <v>8300</v>
      </c>
      <c r="K1777" s="7">
        <v>0.05</v>
      </c>
      <c r="L1777" s="9">
        <v>7885</v>
      </c>
      <c r="M1777" s="10">
        <f>Sales_Data3[[#This Row],[Profit]]/Sales_Data3[[#This Row],[Sales]]</f>
        <v>0.95</v>
      </c>
      <c r="N1777" t="str">
        <f t="shared" si="55"/>
        <v>Medium</v>
      </c>
      <c r="O1777" s="2">
        <v>45617</v>
      </c>
      <c r="P1777" s="9">
        <v>8300</v>
      </c>
    </row>
    <row r="1778" spans="1:16" x14ac:dyDescent="0.25">
      <c r="A1778" t="s">
        <v>1799</v>
      </c>
      <c r="B1778" s="2">
        <v>45618</v>
      </c>
      <c r="C1778">
        <v>2024</v>
      </c>
      <c r="D1778" t="str">
        <f t="shared" si="54"/>
        <v>Nov</v>
      </c>
      <c r="E1778" t="s">
        <v>12</v>
      </c>
      <c r="F1778" t="s">
        <v>2026</v>
      </c>
      <c r="G1778" t="s">
        <v>19</v>
      </c>
      <c r="H1778" t="s">
        <v>23</v>
      </c>
      <c r="I1778">
        <v>4</v>
      </c>
      <c r="J1778" s="9">
        <v>10100</v>
      </c>
      <c r="K1778" s="7">
        <v>0.1</v>
      </c>
      <c r="L1778" s="9">
        <v>9090</v>
      </c>
      <c r="M1778" s="10">
        <f>Sales_Data3[[#This Row],[Profit]]/Sales_Data3[[#This Row],[Sales]]</f>
        <v>0.9</v>
      </c>
      <c r="N1778" t="str">
        <f t="shared" si="55"/>
        <v>High</v>
      </c>
      <c r="O1778" s="2">
        <v>45618</v>
      </c>
      <c r="P1778" s="9">
        <v>10100</v>
      </c>
    </row>
    <row r="1779" spans="1:16" x14ac:dyDescent="0.25">
      <c r="A1779" t="s">
        <v>1800</v>
      </c>
      <c r="B1779" s="2">
        <v>45619</v>
      </c>
      <c r="C1779">
        <v>2024</v>
      </c>
      <c r="D1779" t="str">
        <f t="shared" si="54"/>
        <v>Nov</v>
      </c>
      <c r="E1779" t="s">
        <v>12</v>
      </c>
      <c r="F1779" t="s">
        <v>2027</v>
      </c>
      <c r="G1779" t="s">
        <v>20</v>
      </c>
      <c r="H1779" t="s">
        <v>23</v>
      </c>
      <c r="I1779">
        <v>2</v>
      </c>
      <c r="J1779" s="9">
        <v>11400</v>
      </c>
      <c r="K1779" s="7">
        <v>0.15000000000000002</v>
      </c>
      <c r="L1779" s="9">
        <v>9690</v>
      </c>
      <c r="M1779" s="10">
        <f>Sales_Data3[[#This Row],[Profit]]/Sales_Data3[[#This Row],[Sales]]</f>
        <v>0.85</v>
      </c>
      <c r="N1779" t="str">
        <f t="shared" si="55"/>
        <v>High</v>
      </c>
      <c r="O1779" s="2">
        <v>45619</v>
      </c>
      <c r="P1779" s="9">
        <v>11400</v>
      </c>
    </row>
    <row r="1780" spans="1:16" x14ac:dyDescent="0.25">
      <c r="A1780" t="s">
        <v>1801</v>
      </c>
      <c r="B1780" s="2">
        <v>45620</v>
      </c>
      <c r="C1780">
        <v>2024</v>
      </c>
      <c r="D1780" t="str">
        <f t="shared" si="54"/>
        <v>Nov</v>
      </c>
      <c r="E1780" t="s">
        <v>12</v>
      </c>
      <c r="F1780" t="s">
        <v>2028</v>
      </c>
      <c r="G1780" t="s">
        <v>21</v>
      </c>
      <c r="H1780" t="s">
        <v>23</v>
      </c>
      <c r="I1780">
        <v>7</v>
      </c>
      <c r="J1780" s="9">
        <v>4500</v>
      </c>
      <c r="K1780" s="7">
        <v>0.2</v>
      </c>
      <c r="L1780" s="9">
        <v>3600</v>
      </c>
      <c r="M1780" s="10">
        <f>Sales_Data3[[#This Row],[Profit]]/Sales_Data3[[#This Row],[Sales]]</f>
        <v>0.8</v>
      </c>
      <c r="N1780" t="str">
        <f t="shared" si="55"/>
        <v>Low</v>
      </c>
      <c r="O1780" s="2">
        <v>45620</v>
      </c>
      <c r="P1780" s="9">
        <v>4500</v>
      </c>
    </row>
    <row r="1781" spans="1:16" x14ac:dyDescent="0.25">
      <c r="A1781" t="s">
        <v>1802</v>
      </c>
      <c r="B1781" s="2">
        <v>45621</v>
      </c>
      <c r="C1781">
        <v>2024</v>
      </c>
      <c r="D1781" t="str">
        <f t="shared" si="54"/>
        <v>Nov</v>
      </c>
      <c r="E1781" t="s">
        <v>12</v>
      </c>
      <c r="F1781" t="s">
        <v>2029</v>
      </c>
      <c r="G1781" t="s">
        <v>22</v>
      </c>
      <c r="H1781" t="s">
        <v>23</v>
      </c>
      <c r="I1781">
        <v>1</v>
      </c>
      <c r="J1781" s="9">
        <v>9100</v>
      </c>
      <c r="K1781" s="7">
        <v>0.25</v>
      </c>
      <c r="L1781" s="9">
        <v>6825</v>
      </c>
      <c r="M1781" s="10">
        <f>Sales_Data3[[#This Row],[Profit]]/Sales_Data3[[#This Row],[Sales]]</f>
        <v>0.75</v>
      </c>
      <c r="N1781" t="str">
        <f t="shared" si="55"/>
        <v>Medium</v>
      </c>
      <c r="O1781" s="2">
        <v>45621</v>
      </c>
      <c r="P1781" s="9">
        <v>9100</v>
      </c>
    </row>
    <row r="1782" spans="1:16" x14ac:dyDescent="0.25">
      <c r="A1782" t="s">
        <v>1803</v>
      </c>
      <c r="B1782" s="2">
        <v>45622</v>
      </c>
      <c r="C1782">
        <v>2024</v>
      </c>
      <c r="D1782" t="str">
        <f t="shared" si="54"/>
        <v>Nov</v>
      </c>
      <c r="E1782" t="s">
        <v>13</v>
      </c>
      <c r="F1782" t="s">
        <v>16</v>
      </c>
      <c r="G1782" t="s">
        <v>19</v>
      </c>
      <c r="H1782" t="s">
        <v>24</v>
      </c>
      <c r="I1782">
        <v>5</v>
      </c>
      <c r="J1782" s="9">
        <v>13400</v>
      </c>
      <c r="K1782" s="7">
        <v>0.05</v>
      </c>
      <c r="L1782" s="9">
        <v>12730</v>
      </c>
      <c r="M1782" s="10">
        <f>Sales_Data3[[#This Row],[Profit]]/Sales_Data3[[#This Row],[Sales]]</f>
        <v>0.95</v>
      </c>
      <c r="N1782" t="str">
        <f t="shared" si="55"/>
        <v>High</v>
      </c>
      <c r="O1782" s="2">
        <v>45622</v>
      </c>
      <c r="P1782" s="9">
        <v>13400</v>
      </c>
    </row>
    <row r="1783" spans="1:16" x14ac:dyDescent="0.25">
      <c r="A1783" t="s">
        <v>1804</v>
      </c>
      <c r="B1783" s="2">
        <v>45623</v>
      </c>
      <c r="C1783">
        <v>2024</v>
      </c>
      <c r="D1783" t="str">
        <f t="shared" si="54"/>
        <v>Nov</v>
      </c>
      <c r="E1783" t="s">
        <v>13</v>
      </c>
      <c r="F1783" t="s">
        <v>2030</v>
      </c>
      <c r="G1783" t="s">
        <v>20</v>
      </c>
      <c r="H1783" t="s">
        <v>24</v>
      </c>
      <c r="I1783">
        <v>1</v>
      </c>
      <c r="J1783" s="9">
        <v>13700</v>
      </c>
      <c r="K1783" s="7">
        <v>0.1</v>
      </c>
      <c r="L1783" s="9">
        <v>12330</v>
      </c>
      <c r="M1783" s="10">
        <f>Sales_Data3[[#This Row],[Profit]]/Sales_Data3[[#This Row],[Sales]]</f>
        <v>0.9</v>
      </c>
      <c r="N1783" t="str">
        <f t="shared" si="55"/>
        <v>High</v>
      </c>
      <c r="O1783" s="2">
        <v>45623</v>
      </c>
      <c r="P1783" s="9">
        <v>13700</v>
      </c>
    </row>
    <row r="1784" spans="1:16" x14ac:dyDescent="0.25">
      <c r="A1784" t="s">
        <v>1805</v>
      </c>
      <c r="B1784" s="2">
        <v>45624</v>
      </c>
      <c r="C1784">
        <v>2024</v>
      </c>
      <c r="D1784" t="str">
        <f t="shared" si="54"/>
        <v>Nov</v>
      </c>
      <c r="E1784" t="s">
        <v>13</v>
      </c>
      <c r="F1784" t="s">
        <v>2031</v>
      </c>
      <c r="G1784" t="s">
        <v>21</v>
      </c>
      <c r="H1784" t="s">
        <v>24</v>
      </c>
      <c r="I1784">
        <v>2</v>
      </c>
      <c r="J1784" s="9">
        <v>7400</v>
      </c>
      <c r="K1784" s="7">
        <v>0.15000000000000002</v>
      </c>
      <c r="L1784" s="9">
        <v>6290</v>
      </c>
      <c r="M1784" s="10">
        <f>Sales_Data3[[#This Row],[Profit]]/Sales_Data3[[#This Row],[Sales]]</f>
        <v>0.85</v>
      </c>
      <c r="N1784" t="str">
        <f t="shared" si="55"/>
        <v>Medium</v>
      </c>
      <c r="O1784" s="2">
        <v>45624</v>
      </c>
      <c r="P1784" s="9">
        <v>7400</v>
      </c>
    </row>
    <row r="1785" spans="1:16" x14ac:dyDescent="0.25">
      <c r="A1785" t="s">
        <v>1806</v>
      </c>
      <c r="B1785" s="2">
        <v>45625</v>
      </c>
      <c r="C1785">
        <v>2024</v>
      </c>
      <c r="D1785" t="str">
        <f t="shared" si="54"/>
        <v>Nov</v>
      </c>
      <c r="E1785" t="s">
        <v>13</v>
      </c>
      <c r="F1785" t="s">
        <v>2032</v>
      </c>
      <c r="G1785" t="s">
        <v>22</v>
      </c>
      <c r="H1785" t="s">
        <v>24</v>
      </c>
      <c r="I1785">
        <v>6</v>
      </c>
      <c r="J1785" s="9">
        <v>12000</v>
      </c>
      <c r="K1785" s="7">
        <v>0.2</v>
      </c>
      <c r="L1785" s="9">
        <v>9600</v>
      </c>
      <c r="M1785" s="10">
        <f>Sales_Data3[[#This Row],[Profit]]/Sales_Data3[[#This Row],[Sales]]</f>
        <v>0.8</v>
      </c>
      <c r="N1785" t="str">
        <f t="shared" si="55"/>
        <v>High</v>
      </c>
      <c r="O1785" s="2">
        <v>45625</v>
      </c>
      <c r="P1785" s="9">
        <v>12000</v>
      </c>
    </row>
    <row r="1786" spans="1:16" x14ac:dyDescent="0.25">
      <c r="A1786" t="s">
        <v>1807</v>
      </c>
      <c r="B1786" s="2">
        <v>45626</v>
      </c>
      <c r="C1786">
        <v>2024</v>
      </c>
      <c r="D1786" t="str">
        <f t="shared" si="54"/>
        <v>Nov</v>
      </c>
      <c r="E1786" t="s">
        <v>13</v>
      </c>
      <c r="F1786" t="s">
        <v>2033</v>
      </c>
      <c r="G1786" t="s">
        <v>19</v>
      </c>
      <c r="H1786" t="s">
        <v>24</v>
      </c>
      <c r="I1786">
        <v>4</v>
      </c>
      <c r="J1786" s="9">
        <v>6300</v>
      </c>
      <c r="K1786" s="7">
        <v>0.25</v>
      </c>
      <c r="L1786" s="9">
        <v>4725</v>
      </c>
      <c r="M1786" s="10">
        <f>Sales_Data3[[#This Row],[Profit]]/Sales_Data3[[#This Row],[Sales]]</f>
        <v>0.75</v>
      </c>
      <c r="N1786" t="str">
        <f t="shared" si="55"/>
        <v>Medium</v>
      </c>
      <c r="O1786" s="2">
        <v>45626</v>
      </c>
      <c r="P1786" s="9">
        <v>6300</v>
      </c>
    </row>
    <row r="1787" spans="1:16" x14ac:dyDescent="0.25">
      <c r="A1787" t="s">
        <v>1808</v>
      </c>
      <c r="B1787" s="2">
        <v>45627</v>
      </c>
      <c r="C1787">
        <v>2024</v>
      </c>
      <c r="D1787" t="str">
        <f t="shared" si="54"/>
        <v>Dec</v>
      </c>
      <c r="E1787" t="s">
        <v>13</v>
      </c>
      <c r="F1787" t="s">
        <v>2034</v>
      </c>
      <c r="G1787" t="s">
        <v>20</v>
      </c>
      <c r="H1787" t="s">
        <v>24</v>
      </c>
      <c r="I1787">
        <v>5</v>
      </c>
      <c r="J1787" s="9">
        <v>4100</v>
      </c>
      <c r="K1787" s="7">
        <v>0.05</v>
      </c>
      <c r="L1787" s="9">
        <v>3895</v>
      </c>
      <c r="M1787" s="10">
        <f>Sales_Data3[[#This Row],[Profit]]/Sales_Data3[[#This Row],[Sales]]</f>
        <v>0.95</v>
      </c>
      <c r="N1787" t="str">
        <f t="shared" si="55"/>
        <v>Low</v>
      </c>
      <c r="O1787" s="2">
        <v>45627</v>
      </c>
      <c r="P1787" s="9">
        <v>4100</v>
      </c>
    </row>
    <row r="1788" spans="1:16" x14ac:dyDescent="0.25">
      <c r="A1788" t="s">
        <v>1809</v>
      </c>
      <c r="B1788" s="2">
        <v>45628</v>
      </c>
      <c r="C1788">
        <v>2024</v>
      </c>
      <c r="D1788" t="str">
        <f t="shared" si="54"/>
        <v>Dec</v>
      </c>
      <c r="E1788" t="s">
        <v>13</v>
      </c>
      <c r="F1788" t="s">
        <v>2035</v>
      </c>
      <c r="G1788" t="s">
        <v>21</v>
      </c>
      <c r="H1788" t="s">
        <v>24</v>
      </c>
      <c r="I1788">
        <v>4</v>
      </c>
      <c r="J1788" s="9">
        <v>5800</v>
      </c>
      <c r="K1788" s="7">
        <v>0.1</v>
      </c>
      <c r="L1788" s="9">
        <v>5220</v>
      </c>
      <c r="M1788" s="10">
        <f>Sales_Data3[[#This Row],[Profit]]/Sales_Data3[[#This Row],[Sales]]</f>
        <v>0.9</v>
      </c>
      <c r="N1788" t="str">
        <f t="shared" si="55"/>
        <v>Medium</v>
      </c>
      <c r="O1788" s="2">
        <v>45628</v>
      </c>
      <c r="P1788" s="9">
        <v>5800</v>
      </c>
    </row>
    <row r="1789" spans="1:16" x14ac:dyDescent="0.25">
      <c r="A1789" t="s">
        <v>1810</v>
      </c>
      <c r="B1789" s="2">
        <v>45629</v>
      </c>
      <c r="C1789">
        <v>2024</v>
      </c>
      <c r="D1789" t="str">
        <f t="shared" si="54"/>
        <v>Dec</v>
      </c>
      <c r="E1789" t="s">
        <v>13</v>
      </c>
      <c r="F1789" t="s">
        <v>2036</v>
      </c>
      <c r="G1789" t="s">
        <v>22</v>
      </c>
      <c r="H1789" t="s">
        <v>24</v>
      </c>
      <c r="I1789">
        <v>4</v>
      </c>
      <c r="J1789" s="9">
        <v>8500</v>
      </c>
      <c r="K1789" s="7">
        <v>0.15000000000000002</v>
      </c>
      <c r="L1789" s="9">
        <v>7225</v>
      </c>
      <c r="M1789" s="10">
        <f>Sales_Data3[[#This Row],[Profit]]/Sales_Data3[[#This Row],[Sales]]</f>
        <v>0.85</v>
      </c>
      <c r="N1789" t="str">
        <f t="shared" si="55"/>
        <v>Medium</v>
      </c>
      <c r="O1789" s="2">
        <v>45629</v>
      </c>
      <c r="P1789" s="9">
        <v>8500</v>
      </c>
    </row>
    <row r="1790" spans="1:16" x14ac:dyDescent="0.25">
      <c r="A1790" t="s">
        <v>1811</v>
      </c>
      <c r="B1790" s="2">
        <v>45630</v>
      </c>
      <c r="C1790">
        <v>2024</v>
      </c>
      <c r="D1790" t="str">
        <f t="shared" si="54"/>
        <v>Dec</v>
      </c>
      <c r="E1790" t="s">
        <v>13</v>
      </c>
      <c r="F1790" t="s">
        <v>2037</v>
      </c>
      <c r="G1790" t="s">
        <v>19</v>
      </c>
      <c r="H1790" t="s">
        <v>24</v>
      </c>
      <c r="I1790">
        <v>8</v>
      </c>
      <c r="J1790" s="9">
        <v>11200</v>
      </c>
      <c r="K1790" s="7">
        <v>0.2</v>
      </c>
      <c r="L1790" s="9">
        <v>8960</v>
      </c>
      <c r="M1790" s="10">
        <f>Sales_Data3[[#This Row],[Profit]]/Sales_Data3[[#This Row],[Sales]]</f>
        <v>0.8</v>
      </c>
      <c r="N1790" t="str">
        <f t="shared" si="55"/>
        <v>High</v>
      </c>
      <c r="O1790" s="2">
        <v>45630</v>
      </c>
      <c r="P1790" s="9">
        <v>11200</v>
      </c>
    </row>
    <row r="1791" spans="1:16" x14ac:dyDescent="0.25">
      <c r="A1791" t="s">
        <v>1812</v>
      </c>
      <c r="B1791" s="2">
        <v>45631</v>
      </c>
      <c r="C1791">
        <v>2024</v>
      </c>
      <c r="D1791" t="str">
        <f t="shared" si="54"/>
        <v>Dec</v>
      </c>
      <c r="E1791" t="s">
        <v>13</v>
      </c>
      <c r="F1791" t="s">
        <v>2038</v>
      </c>
      <c r="G1791" t="s">
        <v>20</v>
      </c>
      <c r="H1791" t="s">
        <v>24</v>
      </c>
      <c r="I1791">
        <v>3</v>
      </c>
      <c r="J1791" s="9">
        <v>14700</v>
      </c>
      <c r="K1791" s="7">
        <v>0.25</v>
      </c>
      <c r="L1791" s="9">
        <v>11025</v>
      </c>
      <c r="M1791" s="10">
        <f>Sales_Data3[[#This Row],[Profit]]/Sales_Data3[[#This Row],[Sales]]</f>
        <v>0.75</v>
      </c>
      <c r="N1791" t="str">
        <f t="shared" si="55"/>
        <v>High</v>
      </c>
      <c r="O1791" s="2">
        <v>45631</v>
      </c>
      <c r="P1791" s="9">
        <v>14700</v>
      </c>
    </row>
    <row r="1792" spans="1:16" x14ac:dyDescent="0.25">
      <c r="A1792" t="s">
        <v>1813</v>
      </c>
      <c r="B1792" s="2">
        <v>45632</v>
      </c>
      <c r="C1792">
        <v>2024</v>
      </c>
      <c r="D1792" t="str">
        <f t="shared" si="54"/>
        <v>Dec</v>
      </c>
      <c r="E1792" t="s">
        <v>14</v>
      </c>
      <c r="F1792" t="s">
        <v>2039</v>
      </c>
      <c r="G1792" t="s">
        <v>21</v>
      </c>
      <c r="H1792" t="s">
        <v>25</v>
      </c>
      <c r="I1792">
        <v>9</v>
      </c>
      <c r="J1792" s="9">
        <v>14200</v>
      </c>
      <c r="K1792" s="7">
        <v>0.05</v>
      </c>
      <c r="L1792" s="9">
        <v>13490</v>
      </c>
      <c r="M1792" s="10">
        <f>Sales_Data3[[#This Row],[Profit]]/Sales_Data3[[#This Row],[Sales]]</f>
        <v>0.95</v>
      </c>
      <c r="N1792" t="str">
        <f t="shared" si="55"/>
        <v>High</v>
      </c>
      <c r="O1792" s="2">
        <v>45632</v>
      </c>
      <c r="P1792" s="9">
        <v>14200</v>
      </c>
    </row>
    <row r="1793" spans="1:16" x14ac:dyDescent="0.25">
      <c r="A1793" t="s">
        <v>1814</v>
      </c>
      <c r="B1793" s="2">
        <v>45633</v>
      </c>
      <c r="C1793">
        <v>2024</v>
      </c>
      <c r="D1793" t="str">
        <f t="shared" si="54"/>
        <v>Dec</v>
      </c>
      <c r="E1793" t="s">
        <v>14</v>
      </c>
      <c r="F1793" t="s">
        <v>2040</v>
      </c>
      <c r="G1793" t="s">
        <v>22</v>
      </c>
      <c r="H1793" t="s">
        <v>25</v>
      </c>
      <c r="I1793">
        <v>6</v>
      </c>
      <c r="J1793" s="9">
        <v>14500</v>
      </c>
      <c r="K1793" s="7">
        <v>0.1</v>
      </c>
      <c r="L1793" s="9">
        <v>13050</v>
      </c>
      <c r="M1793" s="10">
        <f>Sales_Data3[[#This Row],[Profit]]/Sales_Data3[[#This Row],[Sales]]</f>
        <v>0.9</v>
      </c>
      <c r="N1793" t="str">
        <f t="shared" si="55"/>
        <v>High</v>
      </c>
      <c r="O1793" s="2">
        <v>45633</v>
      </c>
      <c r="P1793" s="9">
        <v>14500</v>
      </c>
    </row>
    <row r="1794" spans="1:16" x14ac:dyDescent="0.25">
      <c r="A1794" t="s">
        <v>1815</v>
      </c>
      <c r="B1794" s="2">
        <v>45634</v>
      </c>
      <c r="C1794">
        <v>2024</v>
      </c>
      <c r="D1794" t="str">
        <f t="shared" ref="D1794:D1857" si="56">TEXT(B1794,"MMM")</f>
        <v>Dec</v>
      </c>
      <c r="E1794" t="s">
        <v>14</v>
      </c>
      <c r="F1794" t="s">
        <v>2041</v>
      </c>
      <c r="G1794" t="s">
        <v>19</v>
      </c>
      <c r="H1794" t="s">
        <v>25</v>
      </c>
      <c r="I1794">
        <v>10</v>
      </c>
      <c r="J1794" s="9">
        <v>11300</v>
      </c>
      <c r="K1794" s="7">
        <v>0.15000000000000002</v>
      </c>
      <c r="L1794" s="9">
        <v>9605</v>
      </c>
      <c r="M1794" s="10">
        <f>Sales_Data3[[#This Row],[Profit]]/Sales_Data3[[#This Row],[Sales]]</f>
        <v>0.85</v>
      </c>
      <c r="N1794" t="str">
        <f t="shared" ref="N1794:N1857" si="57">IF(J1794&gt;10000,"High",IF(J1794&gt;5000,"Medium","Low"))</f>
        <v>High</v>
      </c>
      <c r="O1794" s="2">
        <v>45634</v>
      </c>
      <c r="P1794" s="9">
        <v>11300</v>
      </c>
    </row>
    <row r="1795" spans="1:16" x14ac:dyDescent="0.25">
      <c r="A1795" t="s">
        <v>1816</v>
      </c>
      <c r="B1795" s="2">
        <v>45635</v>
      </c>
      <c r="C1795">
        <v>2024</v>
      </c>
      <c r="D1795" t="str">
        <f t="shared" si="56"/>
        <v>Dec</v>
      </c>
      <c r="E1795" t="s">
        <v>14</v>
      </c>
      <c r="F1795" t="s">
        <v>2042</v>
      </c>
      <c r="G1795" t="s">
        <v>20</v>
      </c>
      <c r="H1795" t="s">
        <v>25</v>
      </c>
      <c r="I1795">
        <v>4</v>
      </c>
      <c r="J1795" s="9">
        <v>7800</v>
      </c>
      <c r="K1795" s="7">
        <v>0.2</v>
      </c>
      <c r="L1795" s="9">
        <v>6240</v>
      </c>
      <c r="M1795" s="10">
        <f>Sales_Data3[[#This Row],[Profit]]/Sales_Data3[[#This Row],[Sales]]</f>
        <v>0.8</v>
      </c>
      <c r="N1795" t="str">
        <f t="shared" si="57"/>
        <v>Medium</v>
      </c>
      <c r="O1795" s="2">
        <v>45635</v>
      </c>
      <c r="P1795" s="9">
        <v>7800</v>
      </c>
    </row>
    <row r="1796" spans="1:16" x14ac:dyDescent="0.25">
      <c r="A1796" t="s">
        <v>1817</v>
      </c>
      <c r="B1796" s="2">
        <v>45636</v>
      </c>
      <c r="C1796">
        <v>2024</v>
      </c>
      <c r="D1796" t="str">
        <f t="shared" si="56"/>
        <v>Dec</v>
      </c>
      <c r="E1796" t="s">
        <v>14</v>
      </c>
      <c r="F1796" t="s">
        <v>2043</v>
      </c>
      <c r="G1796" t="s">
        <v>21</v>
      </c>
      <c r="H1796" t="s">
        <v>25</v>
      </c>
      <c r="I1796">
        <v>4</v>
      </c>
      <c r="J1796" s="9">
        <v>6600</v>
      </c>
      <c r="K1796" s="7">
        <v>0.25</v>
      </c>
      <c r="L1796" s="9">
        <v>4950</v>
      </c>
      <c r="M1796" s="10">
        <f>Sales_Data3[[#This Row],[Profit]]/Sales_Data3[[#This Row],[Sales]]</f>
        <v>0.75</v>
      </c>
      <c r="N1796" t="str">
        <f t="shared" si="57"/>
        <v>Medium</v>
      </c>
      <c r="O1796" s="2">
        <v>45636</v>
      </c>
      <c r="P1796" s="9">
        <v>6600</v>
      </c>
    </row>
    <row r="1797" spans="1:16" x14ac:dyDescent="0.25">
      <c r="A1797" t="s">
        <v>1818</v>
      </c>
      <c r="B1797" s="2">
        <v>45637</v>
      </c>
      <c r="C1797">
        <v>2024</v>
      </c>
      <c r="D1797" t="str">
        <f t="shared" si="56"/>
        <v>Dec</v>
      </c>
      <c r="E1797" t="s">
        <v>14</v>
      </c>
      <c r="F1797" t="s">
        <v>2044</v>
      </c>
      <c r="G1797" t="s">
        <v>22</v>
      </c>
      <c r="H1797" t="s">
        <v>25</v>
      </c>
      <c r="I1797">
        <v>10</v>
      </c>
      <c r="J1797" s="9">
        <v>12300</v>
      </c>
      <c r="K1797" s="7">
        <v>0.05</v>
      </c>
      <c r="L1797" s="9">
        <v>11685</v>
      </c>
      <c r="M1797" s="10">
        <f>Sales_Data3[[#This Row],[Profit]]/Sales_Data3[[#This Row],[Sales]]</f>
        <v>0.95</v>
      </c>
      <c r="N1797" t="str">
        <f t="shared" si="57"/>
        <v>High</v>
      </c>
      <c r="O1797" s="2">
        <v>45637</v>
      </c>
      <c r="P1797" s="9">
        <v>12300</v>
      </c>
    </row>
    <row r="1798" spans="1:16" x14ac:dyDescent="0.25">
      <c r="A1798" t="s">
        <v>1819</v>
      </c>
      <c r="B1798" s="2">
        <v>45638</v>
      </c>
      <c r="C1798">
        <v>2024</v>
      </c>
      <c r="D1798" t="str">
        <f t="shared" si="56"/>
        <v>Dec</v>
      </c>
      <c r="E1798" t="s">
        <v>14</v>
      </c>
      <c r="F1798" t="s">
        <v>2045</v>
      </c>
      <c r="G1798" t="s">
        <v>19</v>
      </c>
      <c r="H1798" t="s">
        <v>25</v>
      </c>
      <c r="I1798">
        <v>10</v>
      </c>
      <c r="J1798" s="9">
        <v>4000</v>
      </c>
      <c r="K1798" s="7">
        <v>0.1</v>
      </c>
      <c r="L1798" s="9">
        <v>3600</v>
      </c>
      <c r="M1798" s="10">
        <f>Sales_Data3[[#This Row],[Profit]]/Sales_Data3[[#This Row],[Sales]]</f>
        <v>0.9</v>
      </c>
      <c r="N1798" t="str">
        <f t="shared" si="57"/>
        <v>Low</v>
      </c>
      <c r="O1798" s="2">
        <v>45638</v>
      </c>
      <c r="P1798" s="9">
        <v>4000</v>
      </c>
    </row>
    <row r="1799" spans="1:16" x14ac:dyDescent="0.25">
      <c r="A1799" t="s">
        <v>1820</v>
      </c>
      <c r="B1799" s="2">
        <v>45639</v>
      </c>
      <c r="C1799">
        <v>2024</v>
      </c>
      <c r="D1799" t="str">
        <f t="shared" si="56"/>
        <v>Dec</v>
      </c>
      <c r="E1799" t="s">
        <v>14</v>
      </c>
      <c r="F1799" t="s">
        <v>2046</v>
      </c>
      <c r="G1799" t="s">
        <v>20</v>
      </c>
      <c r="H1799" t="s">
        <v>25</v>
      </c>
      <c r="I1799">
        <v>1</v>
      </c>
      <c r="J1799" s="9">
        <v>12100</v>
      </c>
      <c r="K1799" s="7">
        <v>0.15000000000000002</v>
      </c>
      <c r="L1799" s="9">
        <v>10285</v>
      </c>
      <c r="M1799" s="10">
        <f>Sales_Data3[[#This Row],[Profit]]/Sales_Data3[[#This Row],[Sales]]</f>
        <v>0.85</v>
      </c>
      <c r="N1799" t="str">
        <f t="shared" si="57"/>
        <v>High</v>
      </c>
      <c r="O1799" s="2">
        <v>45639</v>
      </c>
      <c r="P1799" s="9">
        <v>12100</v>
      </c>
    </row>
    <row r="1800" spans="1:16" x14ac:dyDescent="0.25">
      <c r="A1800" t="s">
        <v>1821</v>
      </c>
      <c r="B1800" s="2">
        <v>45640</v>
      </c>
      <c r="C1800">
        <v>2024</v>
      </c>
      <c r="D1800" t="str">
        <f t="shared" si="56"/>
        <v>Dec</v>
      </c>
      <c r="E1800" t="s">
        <v>14</v>
      </c>
      <c r="F1800" t="s">
        <v>2047</v>
      </c>
      <c r="G1800" t="s">
        <v>21</v>
      </c>
      <c r="H1800" t="s">
        <v>25</v>
      </c>
      <c r="I1800">
        <v>3</v>
      </c>
      <c r="J1800" s="9">
        <v>14700</v>
      </c>
      <c r="K1800" s="7">
        <v>0.2</v>
      </c>
      <c r="L1800" s="9">
        <v>11760</v>
      </c>
      <c r="M1800" s="10">
        <f>Sales_Data3[[#This Row],[Profit]]/Sales_Data3[[#This Row],[Sales]]</f>
        <v>0.8</v>
      </c>
      <c r="N1800" t="str">
        <f t="shared" si="57"/>
        <v>High</v>
      </c>
      <c r="O1800" s="2">
        <v>45640</v>
      </c>
      <c r="P1800" s="9">
        <v>14700</v>
      </c>
    </row>
    <row r="1801" spans="1:16" x14ac:dyDescent="0.25">
      <c r="A1801" t="s">
        <v>1822</v>
      </c>
      <c r="B1801" s="2">
        <v>45641</v>
      </c>
      <c r="C1801">
        <v>2024</v>
      </c>
      <c r="D1801" t="str">
        <f t="shared" si="56"/>
        <v>Dec</v>
      </c>
      <c r="E1801" t="s">
        <v>14</v>
      </c>
      <c r="F1801" t="s">
        <v>2048</v>
      </c>
      <c r="G1801" t="s">
        <v>22</v>
      </c>
      <c r="H1801" t="s">
        <v>25</v>
      </c>
      <c r="I1801">
        <v>8</v>
      </c>
      <c r="J1801" s="9">
        <v>8400</v>
      </c>
      <c r="K1801" s="7">
        <v>0.25</v>
      </c>
      <c r="L1801" s="9">
        <v>6300</v>
      </c>
      <c r="M1801" s="10">
        <f>Sales_Data3[[#This Row],[Profit]]/Sales_Data3[[#This Row],[Sales]]</f>
        <v>0.75</v>
      </c>
      <c r="N1801" t="str">
        <f t="shared" si="57"/>
        <v>Medium</v>
      </c>
      <c r="O1801" s="2">
        <v>45641</v>
      </c>
      <c r="P1801" s="9">
        <v>8400</v>
      </c>
    </row>
    <row r="1802" spans="1:16" x14ac:dyDescent="0.25">
      <c r="A1802" t="s">
        <v>1823</v>
      </c>
      <c r="B1802" s="2">
        <v>45642</v>
      </c>
      <c r="C1802">
        <v>2024</v>
      </c>
      <c r="D1802" t="str">
        <f t="shared" si="56"/>
        <v>Dec</v>
      </c>
      <c r="E1802" t="s">
        <v>12</v>
      </c>
      <c r="F1802" t="s">
        <v>15</v>
      </c>
      <c r="G1802" t="s">
        <v>19</v>
      </c>
      <c r="H1802" t="s">
        <v>23</v>
      </c>
      <c r="I1802">
        <v>10</v>
      </c>
      <c r="J1802" s="9">
        <v>4700</v>
      </c>
      <c r="K1802" s="7">
        <v>0.05</v>
      </c>
      <c r="L1802" s="9">
        <v>4465</v>
      </c>
      <c r="M1802" s="10">
        <f>Sales_Data3[[#This Row],[Profit]]/Sales_Data3[[#This Row],[Sales]]</f>
        <v>0.95</v>
      </c>
      <c r="N1802" t="str">
        <f t="shared" si="57"/>
        <v>Low</v>
      </c>
      <c r="O1802" s="2">
        <v>45642</v>
      </c>
      <c r="P1802" s="9">
        <v>4700</v>
      </c>
    </row>
    <row r="1803" spans="1:16" x14ac:dyDescent="0.25">
      <c r="A1803" t="s">
        <v>1824</v>
      </c>
      <c r="B1803" s="2">
        <v>45643</v>
      </c>
      <c r="C1803">
        <v>2024</v>
      </c>
      <c r="D1803" t="str">
        <f t="shared" si="56"/>
        <v>Dec</v>
      </c>
      <c r="E1803" t="s">
        <v>12</v>
      </c>
      <c r="F1803" t="s">
        <v>17</v>
      </c>
      <c r="G1803" t="s">
        <v>20</v>
      </c>
      <c r="H1803" t="s">
        <v>23</v>
      </c>
      <c r="I1803">
        <v>5</v>
      </c>
      <c r="J1803" s="9">
        <v>7000</v>
      </c>
      <c r="K1803" s="7">
        <v>0.1</v>
      </c>
      <c r="L1803" s="9">
        <v>6300</v>
      </c>
      <c r="M1803" s="10">
        <f>Sales_Data3[[#This Row],[Profit]]/Sales_Data3[[#This Row],[Sales]]</f>
        <v>0.9</v>
      </c>
      <c r="N1803" t="str">
        <f t="shared" si="57"/>
        <v>Medium</v>
      </c>
      <c r="O1803" s="2">
        <v>45643</v>
      </c>
      <c r="P1803" s="9">
        <v>7000</v>
      </c>
    </row>
    <row r="1804" spans="1:16" x14ac:dyDescent="0.25">
      <c r="A1804" t="s">
        <v>1825</v>
      </c>
      <c r="B1804" s="2">
        <v>45644</v>
      </c>
      <c r="C1804">
        <v>2024</v>
      </c>
      <c r="D1804" t="str">
        <f t="shared" si="56"/>
        <v>Dec</v>
      </c>
      <c r="E1804" t="s">
        <v>12</v>
      </c>
      <c r="F1804" t="s">
        <v>2023</v>
      </c>
      <c r="G1804" t="s">
        <v>21</v>
      </c>
      <c r="H1804" t="s">
        <v>23</v>
      </c>
      <c r="I1804">
        <v>8</v>
      </c>
      <c r="J1804" s="9">
        <v>7900</v>
      </c>
      <c r="K1804" s="7">
        <v>0.15000000000000002</v>
      </c>
      <c r="L1804" s="9">
        <v>6715</v>
      </c>
      <c r="M1804" s="10">
        <f>Sales_Data3[[#This Row],[Profit]]/Sales_Data3[[#This Row],[Sales]]</f>
        <v>0.85</v>
      </c>
      <c r="N1804" t="str">
        <f t="shared" si="57"/>
        <v>Medium</v>
      </c>
      <c r="O1804" s="2">
        <v>45644</v>
      </c>
      <c r="P1804" s="9">
        <v>7900</v>
      </c>
    </row>
    <row r="1805" spans="1:16" x14ac:dyDescent="0.25">
      <c r="A1805" t="s">
        <v>1826</v>
      </c>
      <c r="B1805" s="2">
        <v>45645</v>
      </c>
      <c r="C1805">
        <v>2024</v>
      </c>
      <c r="D1805" t="str">
        <f t="shared" si="56"/>
        <v>Dec</v>
      </c>
      <c r="E1805" t="s">
        <v>12</v>
      </c>
      <c r="F1805" t="s">
        <v>18</v>
      </c>
      <c r="G1805" t="s">
        <v>22</v>
      </c>
      <c r="H1805" t="s">
        <v>23</v>
      </c>
      <c r="I1805">
        <v>6</v>
      </c>
      <c r="J1805" s="9">
        <v>12100</v>
      </c>
      <c r="K1805" s="7">
        <v>0.2</v>
      </c>
      <c r="L1805" s="9">
        <v>9680</v>
      </c>
      <c r="M1805" s="10">
        <f>Sales_Data3[[#This Row],[Profit]]/Sales_Data3[[#This Row],[Sales]]</f>
        <v>0.8</v>
      </c>
      <c r="N1805" t="str">
        <f t="shared" si="57"/>
        <v>High</v>
      </c>
      <c r="O1805" s="2">
        <v>45645</v>
      </c>
      <c r="P1805" s="9">
        <v>12100</v>
      </c>
    </row>
    <row r="1806" spans="1:16" x14ac:dyDescent="0.25">
      <c r="A1806" t="s">
        <v>1827</v>
      </c>
      <c r="B1806" s="2">
        <v>45646</v>
      </c>
      <c r="C1806">
        <v>2024</v>
      </c>
      <c r="D1806" t="str">
        <f t="shared" si="56"/>
        <v>Dec</v>
      </c>
      <c r="E1806" t="s">
        <v>12</v>
      </c>
      <c r="F1806" t="s">
        <v>2024</v>
      </c>
      <c r="G1806" t="s">
        <v>19</v>
      </c>
      <c r="H1806" t="s">
        <v>23</v>
      </c>
      <c r="I1806">
        <v>5</v>
      </c>
      <c r="J1806" s="9">
        <v>9200</v>
      </c>
      <c r="K1806" s="7">
        <v>0.25</v>
      </c>
      <c r="L1806" s="9">
        <v>6900</v>
      </c>
      <c r="M1806" s="10">
        <f>Sales_Data3[[#This Row],[Profit]]/Sales_Data3[[#This Row],[Sales]]</f>
        <v>0.75</v>
      </c>
      <c r="N1806" t="str">
        <f t="shared" si="57"/>
        <v>Medium</v>
      </c>
      <c r="O1806" s="2">
        <v>45646</v>
      </c>
      <c r="P1806" s="9">
        <v>9200</v>
      </c>
    </row>
    <row r="1807" spans="1:16" x14ac:dyDescent="0.25">
      <c r="A1807" t="s">
        <v>1828</v>
      </c>
      <c r="B1807" s="2">
        <v>45647</v>
      </c>
      <c r="C1807">
        <v>2024</v>
      </c>
      <c r="D1807" t="str">
        <f t="shared" si="56"/>
        <v>Dec</v>
      </c>
      <c r="E1807" t="s">
        <v>12</v>
      </c>
      <c r="F1807" t="s">
        <v>2025</v>
      </c>
      <c r="G1807" t="s">
        <v>20</v>
      </c>
      <c r="H1807" t="s">
        <v>23</v>
      </c>
      <c r="I1807">
        <v>2</v>
      </c>
      <c r="J1807" s="9">
        <v>9700</v>
      </c>
      <c r="K1807" s="7">
        <v>0.05</v>
      </c>
      <c r="L1807" s="9">
        <v>9215</v>
      </c>
      <c r="M1807" s="10">
        <f>Sales_Data3[[#This Row],[Profit]]/Sales_Data3[[#This Row],[Sales]]</f>
        <v>0.95</v>
      </c>
      <c r="N1807" t="str">
        <f t="shared" si="57"/>
        <v>Medium</v>
      </c>
      <c r="O1807" s="2">
        <v>45647</v>
      </c>
      <c r="P1807" s="9">
        <v>9700</v>
      </c>
    </row>
    <row r="1808" spans="1:16" x14ac:dyDescent="0.25">
      <c r="A1808" t="s">
        <v>1829</v>
      </c>
      <c r="B1808" s="2">
        <v>45648</v>
      </c>
      <c r="C1808">
        <v>2024</v>
      </c>
      <c r="D1808" t="str">
        <f t="shared" si="56"/>
        <v>Dec</v>
      </c>
      <c r="E1808" t="s">
        <v>12</v>
      </c>
      <c r="F1808" t="s">
        <v>2026</v>
      </c>
      <c r="G1808" t="s">
        <v>21</v>
      </c>
      <c r="H1808" t="s">
        <v>23</v>
      </c>
      <c r="I1808">
        <v>1</v>
      </c>
      <c r="J1808" s="9">
        <v>14600</v>
      </c>
      <c r="K1808" s="7">
        <v>0.1</v>
      </c>
      <c r="L1808" s="9">
        <v>13140</v>
      </c>
      <c r="M1808" s="10">
        <f>Sales_Data3[[#This Row],[Profit]]/Sales_Data3[[#This Row],[Sales]]</f>
        <v>0.9</v>
      </c>
      <c r="N1808" t="str">
        <f t="shared" si="57"/>
        <v>High</v>
      </c>
      <c r="O1808" s="2">
        <v>45648</v>
      </c>
      <c r="P1808" s="9">
        <v>14600</v>
      </c>
    </row>
    <row r="1809" spans="1:16" x14ac:dyDescent="0.25">
      <c r="A1809" t="s">
        <v>1830</v>
      </c>
      <c r="B1809" s="2">
        <v>45649</v>
      </c>
      <c r="C1809">
        <v>2024</v>
      </c>
      <c r="D1809" t="str">
        <f t="shared" si="56"/>
        <v>Dec</v>
      </c>
      <c r="E1809" t="s">
        <v>12</v>
      </c>
      <c r="F1809" t="s">
        <v>2027</v>
      </c>
      <c r="G1809" t="s">
        <v>22</v>
      </c>
      <c r="H1809" t="s">
        <v>23</v>
      </c>
      <c r="I1809">
        <v>5</v>
      </c>
      <c r="J1809" s="9">
        <v>13700</v>
      </c>
      <c r="K1809" s="7">
        <v>0.15000000000000002</v>
      </c>
      <c r="L1809" s="9">
        <v>11645</v>
      </c>
      <c r="M1809" s="10">
        <f>Sales_Data3[[#This Row],[Profit]]/Sales_Data3[[#This Row],[Sales]]</f>
        <v>0.85</v>
      </c>
      <c r="N1809" t="str">
        <f t="shared" si="57"/>
        <v>High</v>
      </c>
      <c r="O1809" s="2">
        <v>45649</v>
      </c>
      <c r="P1809" s="9">
        <v>13700</v>
      </c>
    </row>
    <row r="1810" spans="1:16" x14ac:dyDescent="0.25">
      <c r="A1810" t="s">
        <v>1831</v>
      </c>
      <c r="B1810" s="2">
        <v>45650</v>
      </c>
      <c r="C1810">
        <v>2024</v>
      </c>
      <c r="D1810" t="str">
        <f t="shared" si="56"/>
        <v>Dec</v>
      </c>
      <c r="E1810" t="s">
        <v>12</v>
      </c>
      <c r="F1810" t="s">
        <v>2028</v>
      </c>
      <c r="G1810" t="s">
        <v>19</v>
      </c>
      <c r="H1810" t="s">
        <v>23</v>
      </c>
      <c r="I1810">
        <v>5</v>
      </c>
      <c r="J1810" s="9">
        <v>14800</v>
      </c>
      <c r="K1810" s="7">
        <v>0.2</v>
      </c>
      <c r="L1810" s="9">
        <v>11840</v>
      </c>
      <c r="M1810" s="10">
        <f>Sales_Data3[[#This Row],[Profit]]/Sales_Data3[[#This Row],[Sales]]</f>
        <v>0.8</v>
      </c>
      <c r="N1810" t="str">
        <f t="shared" si="57"/>
        <v>High</v>
      </c>
      <c r="O1810" s="2">
        <v>45650</v>
      </c>
      <c r="P1810" s="9">
        <v>14800</v>
      </c>
    </row>
    <row r="1811" spans="1:16" x14ac:dyDescent="0.25">
      <c r="A1811" t="s">
        <v>1832</v>
      </c>
      <c r="B1811" s="2">
        <v>45651</v>
      </c>
      <c r="C1811">
        <v>2024</v>
      </c>
      <c r="D1811" t="str">
        <f t="shared" si="56"/>
        <v>Dec</v>
      </c>
      <c r="E1811" t="s">
        <v>12</v>
      </c>
      <c r="F1811" t="s">
        <v>2029</v>
      </c>
      <c r="G1811" t="s">
        <v>20</v>
      </c>
      <c r="H1811" t="s">
        <v>23</v>
      </c>
      <c r="I1811">
        <v>5</v>
      </c>
      <c r="J1811" s="9">
        <v>9000</v>
      </c>
      <c r="K1811" s="7">
        <v>0.25</v>
      </c>
      <c r="L1811" s="9">
        <v>6750</v>
      </c>
      <c r="M1811" s="10">
        <f>Sales_Data3[[#This Row],[Profit]]/Sales_Data3[[#This Row],[Sales]]</f>
        <v>0.75</v>
      </c>
      <c r="N1811" t="str">
        <f t="shared" si="57"/>
        <v>Medium</v>
      </c>
      <c r="O1811" s="2">
        <v>45651</v>
      </c>
      <c r="P1811" s="9">
        <v>9000</v>
      </c>
    </row>
    <row r="1812" spans="1:16" x14ac:dyDescent="0.25">
      <c r="A1812" t="s">
        <v>1833</v>
      </c>
      <c r="B1812" s="2">
        <v>45652</v>
      </c>
      <c r="C1812">
        <v>2024</v>
      </c>
      <c r="D1812" t="str">
        <f t="shared" si="56"/>
        <v>Dec</v>
      </c>
      <c r="E1812" t="s">
        <v>13</v>
      </c>
      <c r="F1812" t="s">
        <v>16</v>
      </c>
      <c r="G1812" t="s">
        <v>21</v>
      </c>
      <c r="H1812" t="s">
        <v>24</v>
      </c>
      <c r="I1812">
        <v>10</v>
      </c>
      <c r="J1812" s="9">
        <v>12100</v>
      </c>
      <c r="K1812" s="7">
        <v>0.05</v>
      </c>
      <c r="L1812" s="9">
        <v>11495</v>
      </c>
      <c r="M1812" s="10">
        <f>Sales_Data3[[#This Row],[Profit]]/Sales_Data3[[#This Row],[Sales]]</f>
        <v>0.95</v>
      </c>
      <c r="N1812" t="str">
        <f t="shared" si="57"/>
        <v>High</v>
      </c>
      <c r="O1812" s="2">
        <v>45652</v>
      </c>
      <c r="P1812" s="9">
        <v>12100</v>
      </c>
    </row>
    <row r="1813" spans="1:16" x14ac:dyDescent="0.25">
      <c r="A1813" t="s">
        <v>1834</v>
      </c>
      <c r="B1813" s="2">
        <v>45653</v>
      </c>
      <c r="C1813">
        <v>2024</v>
      </c>
      <c r="D1813" t="str">
        <f t="shared" si="56"/>
        <v>Dec</v>
      </c>
      <c r="E1813" t="s">
        <v>13</v>
      </c>
      <c r="F1813" t="s">
        <v>2030</v>
      </c>
      <c r="G1813" t="s">
        <v>22</v>
      </c>
      <c r="H1813" t="s">
        <v>24</v>
      </c>
      <c r="I1813">
        <v>4</v>
      </c>
      <c r="J1813" s="9">
        <v>8000</v>
      </c>
      <c r="K1813" s="7">
        <v>0.1</v>
      </c>
      <c r="L1813" s="9">
        <v>7200</v>
      </c>
      <c r="M1813" s="10">
        <f>Sales_Data3[[#This Row],[Profit]]/Sales_Data3[[#This Row],[Sales]]</f>
        <v>0.9</v>
      </c>
      <c r="N1813" t="str">
        <f t="shared" si="57"/>
        <v>Medium</v>
      </c>
      <c r="O1813" s="2">
        <v>45653</v>
      </c>
      <c r="P1813" s="9">
        <v>8000</v>
      </c>
    </row>
    <row r="1814" spans="1:16" x14ac:dyDescent="0.25">
      <c r="A1814" t="s">
        <v>1835</v>
      </c>
      <c r="B1814" s="2">
        <v>45654</v>
      </c>
      <c r="C1814">
        <v>2024</v>
      </c>
      <c r="D1814" t="str">
        <f t="shared" si="56"/>
        <v>Dec</v>
      </c>
      <c r="E1814" t="s">
        <v>13</v>
      </c>
      <c r="F1814" t="s">
        <v>2031</v>
      </c>
      <c r="G1814" t="s">
        <v>19</v>
      </c>
      <c r="H1814" t="s">
        <v>24</v>
      </c>
      <c r="I1814">
        <v>5</v>
      </c>
      <c r="J1814" s="9">
        <v>5700</v>
      </c>
      <c r="K1814" s="7">
        <v>0.15000000000000002</v>
      </c>
      <c r="L1814" s="9">
        <v>4845</v>
      </c>
      <c r="M1814" s="10">
        <f>Sales_Data3[[#This Row],[Profit]]/Sales_Data3[[#This Row],[Sales]]</f>
        <v>0.85</v>
      </c>
      <c r="N1814" t="str">
        <f t="shared" si="57"/>
        <v>Medium</v>
      </c>
      <c r="O1814" s="2">
        <v>45654</v>
      </c>
      <c r="P1814" s="9">
        <v>5700</v>
      </c>
    </row>
    <row r="1815" spans="1:16" x14ac:dyDescent="0.25">
      <c r="A1815" t="s">
        <v>1836</v>
      </c>
      <c r="B1815" s="2">
        <v>45655</v>
      </c>
      <c r="C1815">
        <v>2024</v>
      </c>
      <c r="D1815" t="str">
        <f t="shared" si="56"/>
        <v>Dec</v>
      </c>
      <c r="E1815" t="s">
        <v>13</v>
      </c>
      <c r="F1815" t="s">
        <v>2032</v>
      </c>
      <c r="G1815" t="s">
        <v>20</v>
      </c>
      <c r="H1815" t="s">
        <v>24</v>
      </c>
      <c r="I1815">
        <v>8</v>
      </c>
      <c r="J1815" s="9">
        <v>6000</v>
      </c>
      <c r="K1815" s="7">
        <v>0.2</v>
      </c>
      <c r="L1815" s="9">
        <v>4800</v>
      </c>
      <c r="M1815" s="10">
        <f>Sales_Data3[[#This Row],[Profit]]/Sales_Data3[[#This Row],[Sales]]</f>
        <v>0.8</v>
      </c>
      <c r="N1815" t="str">
        <f t="shared" si="57"/>
        <v>Medium</v>
      </c>
      <c r="O1815" s="2">
        <v>45655</v>
      </c>
      <c r="P1815" s="9">
        <v>6000</v>
      </c>
    </row>
    <row r="1816" spans="1:16" x14ac:dyDescent="0.25">
      <c r="A1816" t="s">
        <v>1837</v>
      </c>
      <c r="B1816" s="2">
        <v>45656</v>
      </c>
      <c r="C1816">
        <v>2024</v>
      </c>
      <c r="D1816" t="str">
        <f t="shared" si="56"/>
        <v>Dec</v>
      </c>
      <c r="E1816" t="s">
        <v>13</v>
      </c>
      <c r="F1816" t="s">
        <v>2033</v>
      </c>
      <c r="G1816" t="s">
        <v>21</v>
      </c>
      <c r="H1816" t="s">
        <v>24</v>
      </c>
      <c r="I1816">
        <v>7</v>
      </c>
      <c r="J1816" s="9">
        <v>11900</v>
      </c>
      <c r="K1816" s="7">
        <v>0.25</v>
      </c>
      <c r="L1816" s="9">
        <v>8925</v>
      </c>
      <c r="M1816" s="10">
        <f>Sales_Data3[[#This Row],[Profit]]/Sales_Data3[[#This Row],[Sales]]</f>
        <v>0.75</v>
      </c>
      <c r="N1816" t="str">
        <f t="shared" si="57"/>
        <v>High</v>
      </c>
      <c r="O1816" s="2">
        <v>45656</v>
      </c>
      <c r="P1816" s="9">
        <v>11900</v>
      </c>
    </row>
    <row r="1817" spans="1:16" x14ac:dyDescent="0.25">
      <c r="A1817" t="s">
        <v>1838</v>
      </c>
      <c r="B1817" s="2">
        <v>45657</v>
      </c>
      <c r="C1817">
        <v>2024</v>
      </c>
      <c r="D1817" t="str">
        <f t="shared" si="56"/>
        <v>Dec</v>
      </c>
      <c r="E1817" t="s">
        <v>13</v>
      </c>
      <c r="F1817" t="s">
        <v>2034</v>
      </c>
      <c r="G1817" t="s">
        <v>22</v>
      </c>
      <c r="H1817" t="s">
        <v>24</v>
      </c>
      <c r="I1817">
        <v>6</v>
      </c>
      <c r="J1817" s="9">
        <v>5300</v>
      </c>
      <c r="K1817" s="7">
        <v>0.05</v>
      </c>
      <c r="L1817" s="9">
        <v>5035</v>
      </c>
      <c r="M1817" s="10">
        <f>Sales_Data3[[#This Row],[Profit]]/Sales_Data3[[#This Row],[Sales]]</f>
        <v>0.95</v>
      </c>
      <c r="N1817" t="str">
        <f t="shared" si="57"/>
        <v>Medium</v>
      </c>
      <c r="O1817" s="2">
        <v>45657</v>
      </c>
      <c r="P1817" s="9">
        <v>5300</v>
      </c>
    </row>
    <row r="1818" spans="1:16" x14ac:dyDescent="0.25">
      <c r="A1818" t="s">
        <v>1839</v>
      </c>
      <c r="B1818" s="2">
        <v>45658</v>
      </c>
      <c r="C1818">
        <v>2025</v>
      </c>
      <c r="D1818" t="str">
        <f t="shared" si="56"/>
        <v>Jan</v>
      </c>
      <c r="E1818" t="s">
        <v>13</v>
      </c>
      <c r="F1818" t="s">
        <v>2035</v>
      </c>
      <c r="G1818" t="s">
        <v>19</v>
      </c>
      <c r="H1818" t="s">
        <v>24</v>
      </c>
      <c r="I1818">
        <v>9</v>
      </c>
      <c r="J1818" s="9">
        <v>14600</v>
      </c>
      <c r="K1818" s="7">
        <v>0.1</v>
      </c>
      <c r="L1818" s="9">
        <v>13140</v>
      </c>
      <c r="M1818" s="10">
        <f>Sales_Data3[[#This Row],[Profit]]/Sales_Data3[[#This Row],[Sales]]</f>
        <v>0.9</v>
      </c>
      <c r="N1818" t="str">
        <f t="shared" si="57"/>
        <v>High</v>
      </c>
      <c r="O1818" s="2">
        <v>45658</v>
      </c>
      <c r="P1818" s="9">
        <v>14600</v>
      </c>
    </row>
    <row r="1819" spans="1:16" x14ac:dyDescent="0.25">
      <c r="A1819" t="s">
        <v>1840</v>
      </c>
      <c r="B1819" s="2">
        <v>45659</v>
      </c>
      <c r="C1819">
        <v>2025</v>
      </c>
      <c r="D1819" t="str">
        <f t="shared" si="56"/>
        <v>Jan</v>
      </c>
      <c r="E1819" t="s">
        <v>13</v>
      </c>
      <c r="F1819" t="s">
        <v>2036</v>
      </c>
      <c r="G1819" t="s">
        <v>20</v>
      </c>
      <c r="H1819" t="s">
        <v>24</v>
      </c>
      <c r="I1819">
        <v>6</v>
      </c>
      <c r="J1819" s="9">
        <v>10800</v>
      </c>
      <c r="K1819" s="7">
        <v>0.15000000000000002</v>
      </c>
      <c r="L1819" s="9">
        <v>9180</v>
      </c>
      <c r="M1819" s="10">
        <f>Sales_Data3[[#This Row],[Profit]]/Sales_Data3[[#This Row],[Sales]]</f>
        <v>0.85</v>
      </c>
      <c r="N1819" t="str">
        <f t="shared" si="57"/>
        <v>High</v>
      </c>
      <c r="O1819" s="2">
        <v>45659</v>
      </c>
      <c r="P1819" s="9">
        <v>10800</v>
      </c>
    </row>
    <row r="1820" spans="1:16" x14ac:dyDescent="0.25">
      <c r="A1820" t="s">
        <v>1841</v>
      </c>
      <c r="B1820" s="2">
        <v>45660</v>
      </c>
      <c r="C1820">
        <v>2025</v>
      </c>
      <c r="D1820" t="str">
        <f t="shared" si="56"/>
        <v>Jan</v>
      </c>
      <c r="E1820" t="s">
        <v>13</v>
      </c>
      <c r="F1820" t="s">
        <v>2037</v>
      </c>
      <c r="G1820" t="s">
        <v>21</v>
      </c>
      <c r="H1820" t="s">
        <v>24</v>
      </c>
      <c r="I1820">
        <v>2</v>
      </c>
      <c r="J1820" s="9">
        <v>9700</v>
      </c>
      <c r="K1820" s="7">
        <v>0.2</v>
      </c>
      <c r="L1820" s="9">
        <v>7760</v>
      </c>
      <c r="M1820" s="10">
        <f>Sales_Data3[[#This Row],[Profit]]/Sales_Data3[[#This Row],[Sales]]</f>
        <v>0.8</v>
      </c>
      <c r="N1820" t="str">
        <f t="shared" si="57"/>
        <v>Medium</v>
      </c>
      <c r="O1820" s="2">
        <v>45660</v>
      </c>
      <c r="P1820" s="9">
        <v>9700</v>
      </c>
    </row>
    <row r="1821" spans="1:16" x14ac:dyDescent="0.25">
      <c r="A1821" t="s">
        <v>1842</v>
      </c>
      <c r="B1821" s="2">
        <v>45661</v>
      </c>
      <c r="C1821">
        <v>2025</v>
      </c>
      <c r="D1821" t="str">
        <f t="shared" si="56"/>
        <v>Jan</v>
      </c>
      <c r="E1821" t="s">
        <v>13</v>
      </c>
      <c r="F1821" t="s">
        <v>2038</v>
      </c>
      <c r="G1821" t="s">
        <v>22</v>
      </c>
      <c r="H1821" t="s">
        <v>24</v>
      </c>
      <c r="I1821">
        <v>9</v>
      </c>
      <c r="J1821" s="9">
        <v>12500</v>
      </c>
      <c r="K1821" s="7">
        <v>0.25</v>
      </c>
      <c r="L1821" s="9">
        <v>9375</v>
      </c>
      <c r="M1821" s="10">
        <f>Sales_Data3[[#This Row],[Profit]]/Sales_Data3[[#This Row],[Sales]]</f>
        <v>0.75</v>
      </c>
      <c r="N1821" t="str">
        <f t="shared" si="57"/>
        <v>High</v>
      </c>
      <c r="O1821" s="2">
        <v>45661</v>
      </c>
      <c r="P1821" s="9">
        <v>12500</v>
      </c>
    </row>
    <row r="1822" spans="1:16" x14ac:dyDescent="0.25">
      <c r="A1822" t="s">
        <v>1843</v>
      </c>
      <c r="B1822" s="2">
        <v>45662</v>
      </c>
      <c r="C1822">
        <v>2025</v>
      </c>
      <c r="D1822" t="str">
        <f t="shared" si="56"/>
        <v>Jan</v>
      </c>
      <c r="E1822" t="s">
        <v>14</v>
      </c>
      <c r="F1822" t="s">
        <v>2039</v>
      </c>
      <c r="G1822" t="s">
        <v>19</v>
      </c>
      <c r="H1822" t="s">
        <v>25</v>
      </c>
      <c r="I1822">
        <v>8</v>
      </c>
      <c r="J1822" s="9">
        <v>4600</v>
      </c>
      <c r="K1822" s="7">
        <v>0.05</v>
      </c>
      <c r="L1822" s="9">
        <v>4370</v>
      </c>
      <c r="M1822" s="10">
        <f>Sales_Data3[[#This Row],[Profit]]/Sales_Data3[[#This Row],[Sales]]</f>
        <v>0.95</v>
      </c>
      <c r="N1822" t="str">
        <f t="shared" si="57"/>
        <v>Low</v>
      </c>
      <c r="O1822" s="2">
        <v>45662</v>
      </c>
      <c r="P1822" s="9">
        <v>4600</v>
      </c>
    </row>
    <row r="1823" spans="1:16" x14ac:dyDescent="0.25">
      <c r="A1823" t="s">
        <v>1844</v>
      </c>
      <c r="B1823" s="2">
        <v>45663</v>
      </c>
      <c r="C1823">
        <v>2025</v>
      </c>
      <c r="D1823" t="str">
        <f t="shared" si="56"/>
        <v>Jan</v>
      </c>
      <c r="E1823" t="s">
        <v>14</v>
      </c>
      <c r="F1823" t="s">
        <v>2040</v>
      </c>
      <c r="G1823" t="s">
        <v>20</v>
      </c>
      <c r="H1823" t="s">
        <v>25</v>
      </c>
      <c r="I1823">
        <v>1</v>
      </c>
      <c r="J1823" s="9">
        <v>11900</v>
      </c>
      <c r="K1823" s="7">
        <v>0.1</v>
      </c>
      <c r="L1823" s="9">
        <v>10710</v>
      </c>
      <c r="M1823" s="10">
        <f>Sales_Data3[[#This Row],[Profit]]/Sales_Data3[[#This Row],[Sales]]</f>
        <v>0.9</v>
      </c>
      <c r="N1823" t="str">
        <f t="shared" si="57"/>
        <v>High</v>
      </c>
      <c r="O1823" s="2">
        <v>45663</v>
      </c>
      <c r="P1823" s="9">
        <v>11900</v>
      </c>
    </row>
    <row r="1824" spans="1:16" x14ac:dyDescent="0.25">
      <c r="A1824" t="s">
        <v>1845</v>
      </c>
      <c r="B1824" s="2">
        <v>45664</v>
      </c>
      <c r="C1824">
        <v>2025</v>
      </c>
      <c r="D1824" t="str">
        <f t="shared" si="56"/>
        <v>Jan</v>
      </c>
      <c r="E1824" t="s">
        <v>14</v>
      </c>
      <c r="F1824" t="s">
        <v>2041</v>
      </c>
      <c r="G1824" t="s">
        <v>21</v>
      </c>
      <c r="H1824" t="s">
        <v>25</v>
      </c>
      <c r="I1824">
        <v>3</v>
      </c>
      <c r="J1824" s="9">
        <v>12600</v>
      </c>
      <c r="K1824" s="7">
        <v>0.15000000000000002</v>
      </c>
      <c r="L1824" s="9">
        <v>10710</v>
      </c>
      <c r="M1824" s="10">
        <f>Sales_Data3[[#This Row],[Profit]]/Sales_Data3[[#This Row],[Sales]]</f>
        <v>0.85</v>
      </c>
      <c r="N1824" t="str">
        <f t="shared" si="57"/>
        <v>High</v>
      </c>
      <c r="O1824" s="2">
        <v>45664</v>
      </c>
      <c r="P1824" s="9">
        <v>12600</v>
      </c>
    </row>
    <row r="1825" spans="1:16" x14ac:dyDescent="0.25">
      <c r="A1825" t="s">
        <v>1846</v>
      </c>
      <c r="B1825" s="2">
        <v>45665</v>
      </c>
      <c r="C1825">
        <v>2025</v>
      </c>
      <c r="D1825" t="str">
        <f t="shared" si="56"/>
        <v>Jan</v>
      </c>
      <c r="E1825" t="s">
        <v>14</v>
      </c>
      <c r="F1825" t="s">
        <v>2042</v>
      </c>
      <c r="G1825" t="s">
        <v>22</v>
      </c>
      <c r="H1825" t="s">
        <v>25</v>
      </c>
      <c r="I1825">
        <v>2</v>
      </c>
      <c r="J1825" s="9">
        <v>9100</v>
      </c>
      <c r="K1825" s="7">
        <v>0.2</v>
      </c>
      <c r="L1825" s="9">
        <v>7280</v>
      </c>
      <c r="M1825" s="10">
        <f>Sales_Data3[[#This Row],[Profit]]/Sales_Data3[[#This Row],[Sales]]</f>
        <v>0.8</v>
      </c>
      <c r="N1825" t="str">
        <f t="shared" si="57"/>
        <v>Medium</v>
      </c>
      <c r="O1825" s="2">
        <v>45665</v>
      </c>
      <c r="P1825" s="9">
        <v>9100</v>
      </c>
    </row>
    <row r="1826" spans="1:16" x14ac:dyDescent="0.25">
      <c r="A1826" t="s">
        <v>1847</v>
      </c>
      <c r="B1826" s="2">
        <v>45666</v>
      </c>
      <c r="C1826">
        <v>2025</v>
      </c>
      <c r="D1826" t="str">
        <f t="shared" si="56"/>
        <v>Jan</v>
      </c>
      <c r="E1826" t="s">
        <v>14</v>
      </c>
      <c r="F1826" t="s">
        <v>2043</v>
      </c>
      <c r="G1826" t="s">
        <v>19</v>
      </c>
      <c r="H1826" t="s">
        <v>25</v>
      </c>
      <c r="I1826">
        <v>4</v>
      </c>
      <c r="J1826" s="9">
        <v>7500</v>
      </c>
      <c r="K1826" s="7">
        <v>0.25</v>
      </c>
      <c r="L1826" s="9">
        <v>5625</v>
      </c>
      <c r="M1826" s="10">
        <f>Sales_Data3[[#This Row],[Profit]]/Sales_Data3[[#This Row],[Sales]]</f>
        <v>0.75</v>
      </c>
      <c r="N1826" t="str">
        <f t="shared" si="57"/>
        <v>Medium</v>
      </c>
      <c r="O1826" s="2">
        <v>45666</v>
      </c>
      <c r="P1826" s="9">
        <v>7500</v>
      </c>
    </row>
    <row r="1827" spans="1:16" x14ac:dyDescent="0.25">
      <c r="A1827" t="s">
        <v>1848</v>
      </c>
      <c r="B1827" s="2">
        <v>45667</v>
      </c>
      <c r="C1827">
        <v>2025</v>
      </c>
      <c r="D1827" t="str">
        <f t="shared" si="56"/>
        <v>Jan</v>
      </c>
      <c r="E1827" t="s">
        <v>14</v>
      </c>
      <c r="F1827" t="s">
        <v>2044</v>
      </c>
      <c r="G1827" t="s">
        <v>20</v>
      </c>
      <c r="H1827" t="s">
        <v>25</v>
      </c>
      <c r="I1827">
        <v>7</v>
      </c>
      <c r="J1827" s="9">
        <v>10900</v>
      </c>
      <c r="K1827" s="7">
        <v>0.05</v>
      </c>
      <c r="L1827" s="9">
        <v>10355</v>
      </c>
      <c r="M1827" s="10">
        <f>Sales_Data3[[#This Row],[Profit]]/Sales_Data3[[#This Row],[Sales]]</f>
        <v>0.95</v>
      </c>
      <c r="N1827" t="str">
        <f t="shared" si="57"/>
        <v>High</v>
      </c>
      <c r="O1827" s="2">
        <v>45667</v>
      </c>
      <c r="P1827" s="9">
        <v>10900</v>
      </c>
    </row>
    <row r="1828" spans="1:16" x14ac:dyDescent="0.25">
      <c r="A1828" t="s">
        <v>1849</v>
      </c>
      <c r="B1828" s="2">
        <v>45668</v>
      </c>
      <c r="C1828">
        <v>2025</v>
      </c>
      <c r="D1828" t="str">
        <f t="shared" si="56"/>
        <v>Jan</v>
      </c>
      <c r="E1828" t="s">
        <v>14</v>
      </c>
      <c r="F1828" t="s">
        <v>2045</v>
      </c>
      <c r="G1828" t="s">
        <v>21</v>
      </c>
      <c r="H1828" t="s">
        <v>25</v>
      </c>
      <c r="I1828">
        <v>10</v>
      </c>
      <c r="J1828" s="9">
        <v>14400</v>
      </c>
      <c r="K1828" s="7">
        <v>0.1</v>
      </c>
      <c r="L1828" s="9">
        <v>12960</v>
      </c>
      <c r="M1828" s="10">
        <f>Sales_Data3[[#This Row],[Profit]]/Sales_Data3[[#This Row],[Sales]]</f>
        <v>0.9</v>
      </c>
      <c r="N1828" t="str">
        <f t="shared" si="57"/>
        <v>High</v>
      </c>
      <c r="O1828" s="2">
        <v>45668</v>
      </c>
      <c r="P1828" s="9">
        <v>14400</v>
      </c>
    </row>
    <row r="1829" spans="1:16" x14ac:dyDescent="0.25">
      <c r="A1829" t="s">
        <v>1850</v>
      </c>
      <c r="B1829" s="2">
        <v>45669</v>
      </c>
      <c r="C1829">
        <v>2025</v>
      </c>
      <c r="D1829" t="str">
        <f t="shared" si="56"/>
        <v>Jan</v>
      </c>
      <c r="E1829" t="s">
        <v>14</v>
      </c>
      <c r="F1829" t="s">
        <v>2046</v>
      </c>
      <c r="G1829" t="s">
        <v>22</v>
      </c>
      <c r="H1829" t="s">
        <v>25</v>
      </c>
      <c r="I1829">
        <v>2</v>
      </c>
      <c r="J1829" s="9">
        <v>14400</v>
      </c>
      <c r="K1829" s="7">
        <v>0.15000000000000002</v>
      </c>
      <c r="L1829" s="9">
        <v>12240</v>
      </c>
      <c r="M1829" s="10">
        <f>Sales_Data3[[#This Row],[Profit]]/Sales_Data3[[#This Row],[Sales]]</f>
        <v>0.85</v>
      </c>
      <c r="N1829" t="str">
        <f t="shared" si="57"/>
        <v>High</v>
      </c>
      <c r="O1829" s="2">
        <v>45669</v>
      </c>
      <c r="P1829" s="9">
        <v>14400</v>
      </c>
    </row>
    <row r="1830" spans="1:16" x14ac:dyDescent="0.25">
      <c r="A1830" t="s">
        <v>1851</v>
      </c>
      <c r="B1830" s="2">
        <v>45670</v>
      </c>
      <c r="C1830">
        <v>2025</v>
      </c>
      <c r="D1830" t="str">
        <f t="shared" si="56"/>
        <v>Jan</v>
      </c>
      <c r="E1830" t="s">
        <v>14</v>
      </c>
      <c r="F1830" t="s">
        <v>2047</v>
      </c>
      <c r="G1830" t="s">
        <v>19</v>
      </c>
      <c r="H1830" t="s">
        <v>25</v>
      </c>
      <c r="I1830">
        <v>4</v>
      </c>
      <c r="J1830" s="9">
        <v>12100</v>
      </c>
      <c r="K1830" s="7">
        <v>0.2</v>
      </c>
      <c r="L1830" s="9">
        <v>9680</v>
      </c>
      <c r="M1830" s="10">
        <f>Sales_Data3[[#This Row],[Profit]]/Sales_Data3[[#This Row],[Sales]]</f>
        <v>0.8</v>
      </c>
      <c r="N1830" t="str">
        <f t="shared" si="57"/>
        <v>High</v>
      </c>
      <c r="O1830" s="2">
        <v>45670</v>
      </c>
      <c r="P1830" s="9">
        <v>12100</v>
      </c>
    </row>
    <row r="1831" spans="1:16" x14ac:dyDescent="0.25">
      <c r="A1831" t="s">
        <v>1852</v>
      </c>
      <c r="B1831" s="2">
        <v>45671</v>
      </c>
      <c r="C1831">
        <v>2025</v>
      </c>
      <c r="D1831" t="str">
        <f t="shared" si="56"/>
        <v>Jan</v>
      </c>
      <c r="E1831" t="s">
        <v>14</v>
      </c>
      <c r="F1831" t="s">
        <v>2048</v>
      </c>
      <c r="G1831" t="s">
        <v>20</v>
      </c>
      <c r="H1831" t="s">
        <v>25</v>
      </c>
      <c r="I1831">
        <v>6</v>
      </c>
      <c r="J1831" s="9">
        <v>13600</v>
      </c>
      <c r="K1831" s="7">
        <v>0.25</v>
      </c>
      <c r="L1831" s="9">
        <v>10200</v>
      </c>
      <c r="M1831" s="10">
        <f>Sales_Data3[[#This Row],[Profit]]/Sales_Data3[[#This Row],[Sales]]</f>
        <v>0.75</v>
      </c>
      <c r="N1831" t="str">
        <f t="shared" si="57"/>
        <v>High</v>
      </c>
      <c r="O1831" s="2">
        <v>45671</v>
      </c>
      <c r="P1831" s="9">
        <v>13600</v>
      </c>
    </row>
    <row r="1832" spans="1:16" x14ac:dyDescent="0.25">
      <c r="A1832" t="s">
        <v>1853</v>
      </c>
      <c r="B1832" s="2">
        <v>45672</v>
      </c>
      <c r="C1832">
        <v>2025</v>
      </c>
      <c r="D1832" t="str">
        <f t="shared" si="56"/>
        <v>Jan</v>
      </c>
      <c r="E1832" t="s">
        <v>12</v>
      </c>
      <c r="F1832" t="s">
        <v>15</v>
      </c>
      <c r="G1832" t="s">
        <v>21</v>
      </c>
      <c r="H1832" t="s">
        <v>23</v>
      </c>
      <c r="I1832">
        <v>9</v>
      </c>
      <c r="J1832" s="9">
        <v>14500</v>
      </c>
      <c r="K1832" s="7">
        <v>0.05</v>
      </c>
      <c r="L1832" s="9">
        <v>13775</v>
      </c>
      <c r="M1832" s="10">
        <f>Sales_Data3[[#This Row],[Profit]]/Sales_Data3[[#This Row],[Sales]]</f>
        <v>0.95</v>
      </c>
      <c r="N1832" t="str">
        <f t="shared" si="57"/>
        <v>High</v>
      </c>
      <c r="O1832" s="2">
        <v>45672</v>
      </c>
      <c r="P1832" s="9">
        <v>14500</v>
      </c>
    </row>
    <row r="1833" spans="1:16" x14ac:dyDescent="0.25">
      <c r="A1833" t="s">
        <v>1854</v>
      </c>
      <c r="B1833" s="2">
        <v>45673</v>
      </c>
      <c r="C1833">
        <v>2025</v>
      </c>
      <c r="D1833" t="str">
        <f t="shared" si="56"/>
        <v>Jan</v>
      </c>
      <c r="E1833" t="s">
        <v>12</v>
      </c>
      <c r="F1833" t="s">
        <v>17</v>
      </c>
      <c r="G1833" t="s">
        <v>22</v>
      </c>
      <c r="H1833" t="s">
        <v>23</v>
      </c>
      <c r="I1833">
        <v>2</v>
      </c>
      <c r="J1833" s="9">
        <v>6100</v>
      </c>
      <c r="K1833" s="7">
        <v>0.1</v>
      </c>
      <c r="L1833" s="9">
        <v>5490</v>
      </c>
      <c r="M1833" s="10">
        <f>Sales_Data3[[#This Row],[Profit]]/Sales_Data3[[#This Row],[Sales]]</f>
        <v>0.9</v>
      </c>
      <c r="N1833" t="str">
        <f t="shared" si="57"/>
        <v>Medium</v>
      </c>
      <c r="O1833" s="2">
        <v>45673</v>
      </c>
      <c r="P1833" s="9">
        <v>6100</v>
      </c>
    </row>
    <row r="1834" spans="1:16" x14ac:dyDescent="0.25">
      <c r="A1834" t="s">
        <v>1855</v>
      </c>
      <c r="B1834" s="2">
        <v>45674</v>
      </c>
      <c r="C1834">
        <v>2025</v>
      </c>
      <c r="D1834" t="str">
        <f t="shared" si="56"/>
        <v>Jan</v>
      </c>
      <c r="E1834" t="s">
        <v>12</v>
      </c>
      <c r="F1834" t="s">
        <v>2023</v>
      </c>
      <c r="G1834" t="s">
        <v>19</v>
      </c>
      <c r="H1834" t="s">
        <v>23</v>
      </c>
      <c r="I1834">
        <v>9</v>
      </c>
      <c r="J1834" s="9">
        <v>7900</v>
      </c>
      <c r="K1834" s="7">
        <v>0.15000000000000002</v>
      </c>
      <c r="L1834" s="9">
        <v>6715</v>
      </c>
      <c r="M1834" s="10">
        <f>Sales_Data3[[#This Row],[Profit]]/Sales_Data3[[#This Row],[Sales]]</f>
        <v>0.85</v>
      </c>
      <c r="N1834" t="str">
        <f t="shared" si="57"/>
        <v>Medium</v>
      </c>
      <c r="O1834" s="2">
        <v>45674</v>
      </c>
      <c r="P1834" s="9">
        <v>7900</v>
      </c>
    </row>
    <row r="1835" spans="1:16" x14ac:dyDescent="0.25">
      <c r="A1835" t="s">
        <v>1856</v>
      </c>
      <c r="B1835" s="2">
        <v>45675</v>
      </c>
      <c r="C1835">
        <v>2025</v>
      </c>
      <c r="D1835" t="str">
        <f t="shared" si="56"/>
        <v>Jan</v>
      </c>
      <c r="E1835" t="s">
        <v>12</v>
      </c>
      <c r="F1835" t="s">
        <v>18</v>
      </c>
      <c r="G1835" t="s">
        <v>20</v>
      </c>
      <c r="H1835" t="s">
        <v>23</v>
      </c>
      <c r="I1835">
        <v>4</v>
      </c>
      <c r="J1835" s="9">
        <v>5400</v>
      </c>
      <c r="K1835" s="7">
        <v>0.2</v>
      </c>
      <c r="L1835" s="9">
        <v>4320</v>
      </c>
      <c r="M1835" s="10">
        <f>Sales_Data3[[#This Row],[Profit]]/Sales_Data3[[#This Row],[Sales]]</f>
        <v>0.8</v>
      </c>
      <c r="N1835" t="str">
        <f t="shared" si="57"/>
        <v>Medium</v>
      </c>
      <c r="O1835" s="2">
        <v>45675</v>
      </c>
      <c r="P1835" s="9">
        <v>5400</v>
      </c>
    </row>
    <row r="1836" spans="1:16" x14ac:dyDescent="0.25">
      <c r="A1836" t="s">
        <v>1857</v>
      </c>
      <c r="B1836" s="2">
        <v>45676</v>
      </c>
      <c r="C1836">
        <v>2025</v>
      </c>
      <c r="D1836" t="str">
        <f t="shared" si="56"/>
        <v>Jan</v>
      </c>
      <c r="E1836" t="s">
        <v>12</v>
      </c>
      <c r="F1836" t="s">
        <v>2024</v>
      </c>
      <c r="G1836" t="s">
        <v>21</v>
      </c>
      <c r="H1836" t="s">
        <v>23</v>
      </c>
      <c r="I1836">
        <v>3</v>
      </c>
      <c r="J1836" s="9">
        <v>7000</v>
      </c>
      <c r="K1836" s="7">
        <v>0.25</v>
      </c>
      <c r="L1836" s="9">
        <v>5250</v>
      </c>
      <c r="M1836" s="10">
        <f>Sales_Data3[[#This Row],[Profit]]/Sales_Data3[[#This Row],[Sales]]</f>
        <v>0.75</v>
      </c>
      <c r="N1836" t="str">
        <f t="shared" si="57"/>
        <v>Medium</v>
      </c>
      <c r="O1836" s="2">
        <v>45676</v>
      </c>
      <c r="P1836" s="9">
        <v>7000</v>
      </c>
    </row>
    <row r="1837" spans="1:16" x14ac:dyDescent="0.25">
      <c r="A1837" t="s">
        <v>1858</v>
      </c>
      <c r="B1837" s="2">
        <v>45677</v>
      </c>
      <c r="C1837">
        <v>2025</v>
      </c>
      <c r="D1837" t="str">
        <f t="shared" si="56"/>
        <v>Jan</v>
      </c>
      <c r="E1837" t="s">
        <v>12</v>
      </c>
      <c r="F1837" t="s">
        <v>2025</v>
      </c>
      <c r="G1837" t="s">
        <v>22</v>
      </c>
      <c r="H1837" t="s">
        <v>23</v>
      </c>
      <c r="I1837">
        <v>6</v>
      </c>
      <c r="J1837" s="9">
        <v>6800</v>
      </c>
      <c r="K1837" s="7">
        <v>0.05</v>
      </c>
      <c r="L1837" s="9">
        <v>6460</v>
      </c>
      <c r="M1837" s="10">
        <f>Sales_Data3[[#This Row],[Profit]]/Sales_Data3[[#This Row],[Sales]]</f>
        <v>0.95</v>
      </c>
      <c r="N1837" t="str">
        <f t="shared" si="57"/>
        <v>Medium</v>
      </c>
      <c r="O1837" s="2">
        <v>45677</v>
      </c>
      <c r="P1837" s="9">
        <v>6800</v>
      </c>
    </row>
    <row r="1838" spans="1:16" x14ac:dyDescent="0.25">
      <c r="A1838" t="s">
        <v>1859</v>
      </c>
      <c r="B1838" s="2">
        <v>45678</v>
      </c>
      <c r="C1838">
        <v>2025</v>
      </c>
      <c r="D1838" t="str">
        <f t="shared" si="56"/>
        <v>Jan</v>
      </c>
      <c r="E1838" t="s">
        <v>12</v>
      </c>
      <c r="F1838" t="s">
        <v>2026</v>
      </c>
      <c r="G1838" t="s">
        <v>19</v>
      </c>
      <c r="H1838" t="s">
        <v>23</v>
      </c>
      <c r="I1838">
        <v>9</v>
      </c>
      <c r="J1838" s="9">
        <v>9500</v>
      </c>
      <c r="K1838" s="7">
        <v>0.1</v>
      </c>
      <c r="L1838" s="9">
        <v>8550</v>
      </c>
      <c r="M1838" s="10">
        <f>Sales_Data3[[#This Row],[Profit]]/Sales_Data3[[#This Row],[Sales]]</f>
        <v>0.9</v>
      </c>
      <c r="N1838" t="str">
        <f t="shared" si="57"/>
        <v>Medium</v>
      </c>
      <c r="O1838" s="2">
        <v>45678</v>
      </c>
      <c r="P1838" s="9">
        <v>9500</v>
      </c>
    </row>
    <row r="1839" spans="1:16" x14ac:dyDescent="0.25">
      <c r="A1839" t="s">
        <v>1860</v>
      </c>
      <c r="B1839" s="2">
        <v>45679</v>
      </c>
      <c r="C1839">
        <v>2025</v>
      </c>
      <c r="D1839" t="str">
        <f t="shared" si="56"/>
        <v>Jan</v>
      </c>
      <c r="E1839" t="s">
        <v>12</v>
      </c>
      <c r="F1839" t="s">
        <v>2027</v>
      </c>
      <c r="G1839" t="s">
        <v>20</v>
      </c>
      <c r="H1839" t="s">
        <v>23</v>
      </c>
      <c r="I1839">
        <v>3</v>
      </c>
      <c r="J1839" s="9">
        <v>13000</v>
      </c>
      <c r="K1839" s="7">
        <v>0.15000000000000002</v>
      </c>
      <c r="L1839" s="9">
        <v>11050</v>
      </c>
      <c r="M1839" s="10">
        <f>Sales_Data3[[#This Row],[Profit]]/Sales_Data3[[#This Row],[Sales]]</f>
        <v>0.85</v>
      </c>
      <c r="N1839" t="str">
        <f t="shared" si="57"/>
        <v>High</v>
      </c>
      <c r="O1839" s="2">
        <v>45679</v>
      </c>
      <c r="P1839" s="9">
        <v>13000</v>
      </c>
    </row>
    <row r="1840" spans="1:16" x14ac:dyDescent="0.25">
      <c r="A1840" t="s">
        <v>1861</v>
      </c>
      <c r="B1840" s="2">
        <v>45680</v>
      </c>
      <c r="C1840">
        <v>2025</v>
      </c>
      <c r="D1840" t="str">
        <f t="shared" si="56"/>
        <v>Jan</v>
      </c>
      <c r="E1840" t="s">
        <v>12</v>
      </c>
      <c r="F1840" t="s">
        <v>2028</v>
      </c>
      <c r="G1840" t="s">
        <v>21</v>
      </c>
      <c r="H1840" t="s">
        <v>23</v>
      </c>
      <c r="I1840">
        <v>10</v>
      </c>
      <c r="J1840" s="9">
        <v>14700</v>
      </c>
      <c r="K1840" s="7">
        <v>0.2</v>
      </c>
      <c r="L1840" s="9">
        <v>11760</v>
      </c>
      <c r="M1840" s="10">
        <f>Sales_Data3[[#This Row],[Profit]]/Sales_Data3[[#This Row],[Sales]]</f>
        <v>0.8</v>
      </c>
      <c r="N1840" t="str">
        <f t="shared" si="57"/>
        <v>High</v>
      </c>
      <c r="O1840" s="2">
        <v>45680</v>
      </c>
      <c r="P1840" s="9">
        <v>14700</v>
      </c>
    </row>
    <row r="1841" spans="1:16" x14ac:dyDescent="0.25">
      <c r="A1841" t="s">
        <v>1862</v>
      </c>
      <c r="B1841" s="2">
        <v>45681</v>
      </c>
      <c r="C1841">
        <v>2025</v>
      </c>
      <c r="D1841" t="str">
        <f t="shared" si="56"/>
        <v>Jan</v>
      </c>
      <c r="E1841" t="s">
        <v>12</v>
      </c>
      <c r="F1841" t="s">
        <v>2029</v>
      </c>
      <c r="G1841" t="s">
        <v>22</v>
      </c>
      <c r="H1841" t="s">
        <v>23</v>
      </c>
      <c r="I1841">
        <v>9</v>
      </c>
      <c r="J1841" s="9">
        <v>4200</v>
      </c>
      <c r="K1841" s="7">
        <v>0.25</v>
      </c>
      <c r="L1841" s="9">
        <v>3150</v>
      </c>
      <c r="M1841" s="10">
        <f>Sales_Data3[[#This Row],[Profit]]/Sales_Data3[[#This Row],[Sales]]</f>
        <v>0.75</v>
      </c>
      <c r="N1841" t="str">
        <f t="shared" si="57"/>
        <v>Low</v>
      </c>
      <c r="O1841" s="2">
        <v>45681</v>
      </c>
      <c r="P1841" s="9">
        <v>4200</v>
      </c>
    </row>
    <row r="1842" spans="1:16" x14ac:dyDescent="0.25">
      <c r="A1842" t="s">
        <v>1863</v>
      </c>
      <c r="B1842" s="2">
        <v>45682</v>
      </c>
      <c r="C1842">
        <v>2025</v>
      </c>
      <c r="D1842" t="str">
        <f t="shared" si="56"/>
        <v>Jan</v>
      </c>
      <c r="E1842" t="s">
        <v>13</v>
      </c>
      <c r="F1842" t="s">
        <v>16</v>
      </c>
      <c r="G1842" t="s">
        <v>19</v>
      </c>
      <c r="H1842" t="s">
        <v>24</v>
      </c>
      <c r="I1842">
        <v>6</v>
      </c>
      <c r="J1842" s="9">
        <v>14800</v>
      </c>
      <c r="K1842" s="7">
        <v>0.05</v>
      </c>
      <c r="L1842" s="9">
        <v>14060</v>
      </c>
      <c r="M1842" s="10">
        <f>Sales_Data3[[#This Row],[Profit]]/Sales_Data3[[#This Row],[Sales]]</f>
        <v>0.95</v>
      </c>
      <c r="N1842" t="str">
        <f t="shared" si="57"/>
        <v>High</v>
      </c>
      <c r="O1842" s="2">
        <v>45682</v>
      </c>
      <c r="P1842" s="9">
        <v>14800</v>
      </c>
    </row>
    <row r="1843" spans="1:16" x14ac:dyDescent="0.25">
      <c r="A1843" t="s">
        <v>1864</v>
      </c>
      <c r="B1843" s="2">
        <v>45683</v>
      </c>
      <c r="C1843">
        <v>2025</v>
      </c>
      <c r="D1843" t="str">
        <f t="shared" si="56"/>
        <v>Jan</v>
      </c>
      <c r="E1843" t="s">
        <v>13</v>
      </c>
      <c r="F1843" t="s">
        <v>2030</v>
      </c>
      <c r="G1843" t="s">
        <v>20</v>
      </c>
      <c r="H1843" t="s">
        <v>24</v>
      </c>
      <c r="I1843">
        <v>3</v>
      </c>
      <c r="J1843" s="9">
        <v>4700</v>
      </c>
      <c r="K1843" s="7">
        <v>0.1</v>
      </c>
      <c r="L1843" s="9">
        <v>4230</v>
      </c>
      <c r="M1843" s="10">
        <f>Sales_Data3[[#This Row],[Profit]]/Sales_Data3[[#This Row],[Sales]]</f>
        <v>0.9</v>
      </c>
      <c r="N1843" t="str">
        <f t="shared" si="57"/>
        <v>Low</v>
      </c>
      <c r="O1843" s="2">
        <v>45683</v>
      </c>
      <c r="P1843" s="9">
        <v>4700</v>
      </c>
    </row>
    <row r="1844" spans="1:16" x14ac:dyDescent="0.25">
      <c r="A1844" t="s">
        <v>1865</v>
      </c>
      <c r="B1844" s="2">
        <v>45684</v>
      </c>
      <c r="C1844">
        <v>2025</v>
      </c>
      <c r="D1844" t="str">
        <f t="shared" si="56"/>
        <v>Jan</v>
      </c>
      <c r="E1844" t="s">
        <v>13</v>
      </c>
      <c r="F1844" t="s">
        <v>2031</v>
      </c>
      <c r="G1844" t="s">
        <v>21</v>
      </c>
      <c r="H1844" t="s">
        <v>24</v>
      </c>
      <c r="I1844">
        <v>6</v>
      </c>
      <c r="J1844" s="9">
        <v>11200</v>
      </c>
      <c r="K1844" s="7">
        <v>0.15000000000000002</v>
      </c>
      <c r="L1844" s="9">
        <v>9520</v>
      </c>
      <c r="M1844" s="10">
        <f>Sales_Data3[[#This Row],[Profit]]/Sales_Data3[[#This Row],[Sales]]</f>
        <v>0.85</v>
      </c>
      <c r="N1844" t="str">
        <f t="shared" si="57"/>
        <v>High</v>
      </c>
      <c r="O1844" s="2">
        <v>45684</v>
      </c>
      <c r="P1844" s="9">
        <v>11200</v>
      </c>
    </row>
    <row r="1845" spans="1:16" x14ac:dyDescent="0.25">
      <c r="A1845" t="s">
        <v>1866</v>
      </c>
      <c r="B1845" s="2">
        <v>45685</v>
      </c>
      <c r="C1845">
        <v>2025</v>
      </c>
      <c r="D1845" t="str">
        <f t="shared" si="56"/>
        <v>Jan</v>
      </c>
      <c r="E1845" t="s">
        <v>13</v>
      </c>
      <c r="F1845" t="s">
        <v>2032</v>
      </c>
      <c r="G1845" t="s">
        <v>22</v>
      </c>
      <c r="H1845" t="s">
        <v>24</v>
      </c>
      <c r="I1845">
        <v>4</v>
      </c>
      <c r="J1845" s="9">
        <v>7400</v>
      </c>
      <c r="K1845" s="7">
        <v>0.2</v>
      </c>
      <c r="L1845" s="9">
        <v>5920</v>
      </c>
      <c r="M1845" s="10">
        <f>Sales_Data3[[#This Row],[Profit]]/Sales_Data3[[#This Row],[Sales]]</f>
        <v>0.8</v>
      </c>
      <c r="N1845" t="str">
        <f t="shared" si="57"/>
        <v>Medium</v>
      </c>
      <c r="O1845" s="2">
        <v>45685</v>
      </c>
      <c r="P1845" s="9">
        <v>7400</v>
      </c>
    </row>
    <row r="1846" spans="1:16" x14ac:dyDescent="0.25">
      <c r="A1846" t="s">
        <v>1867</v>
      </c>
      <c r="B1846" s="2">
        <v>45686</v>
      </c>
      <c r="C1846">
        <v>2025</v>
      </c>
      <c r="D1846" t="str">
        <f t="shared" si="56"/>
        <v>Jan</v>
      </c>
      <c r="E1846" t="s">
        <v>13</v>
      </c>
      <c r="F1846" t="s">
        <v>2033</v>
      </c>
      <c r="G1846" t="s">
        <v>19</v>
      </c>
      <c r="H1846" t="s">
        <v>24</v>
      </c>
      <c r="I1846">
        <v>9</v>
      </c>
      <c r="J1846" s="9">
        <v>10400</v>
      </c>
      <c r="K1846" s="7">
        <v>0.25</v>
      </c>
      <c r="L1846" s="9">
        <v>7800</v>
      </c>
      <c r="M1846" s="10">
        <f>Sales_Data3[[#This Row],[Profit]]/Sales_Data3[[#This Row],[Sales]]</f>
        <v>0.75</v>
      </c>
      <c r="N1846" t="str">
        <f t="shared" si="57"/>
        <v>High</v>
      </c>
      <c r="O1846" s="2">
        <v>45686</v>
      </c>
      <c r="P1846" s="9">
        <v>10400</v>
      </c>
    </row>
    <row r="1847" spans="1:16" x14ac:dyDescent="0.25">
      <c r="A1847" t="s">
        <v>1868</v>
      </c>
      <c r="B1847" s="2">
        <v>45687</v>
      </c>
      <c r="C1847">
        <v>2025</v>
      </c>
      <c r="D1847" t="str">
        <f t="shared" si="56"/>
        <v>Jan</v>
      </c>
      <c r="E1847" t="s">
        <v>13</v>
      </c>
      <c r="F1847" t="s">
        <v>2034</v>
      </c>
      <c r="G1847" t="s">
        <v>20</v>
      </c>
      <c r="H1847" t="s">
        <v>24</v>
      </c>
      <c r="I1847">
        <v>10</v>
      </c>
      <c r="J1847" s="9">
        <v>5100</v>
      </c>
      <c r="K1847" s="7">
        <v>0.05</v>
      </c>
      <c r="L1847" s="9">
        <v>4845</v>
      </c>
      <c r="M1847" s="10">
        <f>Sales_Data3[[#This Row],[Profit]]/Sales_Data3[[#This Row],[Sales]]</f>
        <v>0.95</v>
      </c>
      <c r="N1847" t="str">
        <f t="shared" si="57"/>
        <v>Medium</v>
      </c>
      <c r="O1847" s="2">
        <v>45687</v>
      </c>
      <c r="P1847" s="9">
        <v>5100</v>
      </c>
    </row>
    <row r="1848" spans="1:16" x14ac:dyDescent="0.25">
      <c r="A1848" t="s">
        <v>1869</v>
      </c>
      <c r="B1848" s="2">
        <v>45688</v>
      </c>
      <c r="C1848">
        <v>2025</v>
      </c>
      <c r="D1848" t="str">
        <f t="shared" si="56"/>
        <v>Jan</v>
      </c>
      <c r="E1848" t="s">
        <v>13</v>
      </c>
      <c r="F1848" t="s">
        <v>2035</v>
      </c>
      <c r="G1848" t="s">
        <v>21</v>
      </c>
      <c r="H1848" t="s">
        <v>24</v>
      </c>
      <c r="I1848">
        <v>7</v>
      </c>
      <c r="J1848" s="9">
        <v>8000</v>
      </c>
      <c r="K1848" s="7">
        <v>0.1</v>
      </c>
      <c r="L1848" s="9">
        <v>7200</v>
      </c>
      <c r="M1848" s="10">
        <f>Sales_Data3[[#This Row],[Profit]]/Sales_Data3[[#This Row],[Sales]]</f>
        <v>0.9</v>
      </c>
      <c r="N1848" t="str">
        <f t="shared" si="57"/>
        <v>Medium</v>
      </c>
      <c r="O1848" s="2">
        <v>45688</v>
      </c>
      <c r="P1848" s="9">
        <v>8000</v>
      </c>
    </row>
    <row r="1849" spans="1:16" x14ac:dyDescent="0.25">
      <c r="A1849" t="s">
        <v>1870</v>
      </c>
      <c r="B1849" s="2">
        <v>45689</v>
      </c>
      <c r="C1849">
        <v>2025</v>
      </c>
      <c r="D1849" t="str">
        <f t="shared" si="56"/>
        <v>Feb</v>
      </c>
      <c r="E1849" t="s">
        <v>13</v>
      </c>
      <c r="F1849" t="s">
        <v>2036</v>
      </c>
      <c r="G1849" t="s">
        <v>22</v>
      </c>
      <c r="H1849" t="s">
        <v>24</v>
      </c>
      <c r="I1849">
        <v>5</v>
      </c>
      <c r="J1849" s="9">
        <v>7400</v>
      </c>
      <c r="K1849" s="7">
        <v>0.15000000000000002</v>
      </c>
      <c r="L1849" s="9">
        <v>6290</v>
      </c>
      <c r="M1849" s="10">
        <f>Sales_Data3[[#This Row],[Profit]]/Sales_Data3[[#This Row],[Sales]]</f>
        <v>0.85</v>
      </c>
      <c r="N1849" t="str">
        <f t="shared" si="57"/>
        <v>Medium</v>
      </c>
      <c r="O1849" s="2">
        <v>45689</v>
      </c>
      <c r="P1849" s="9">
        <v>7400</v>
      </c>
    </row>
    <row r="1850" spans="1:16" x14ac:dyDescent="0.25">
      <c r="A1850" t="s">
        <v>1871</v>
      </c>
      <c r="B1850" s="2">
        <v>45690</v>
      </c>
      <c r="C1850">
        <v>2025</v>
      </c>
      <c r="D1850" t="str">
        <f t="shared" si="56"/>
        <v>Feb</v>
      </c>
      <c r="E1850" t="s">
        <v>13</v>
      </c>
      <c r="F1850" t="s">
        <v>2037</v>
      </c>
      <c r="G1850" t="s">
        <v>19</v>
      </c>
      <c r="H1850" t="s">
        <v>24</v>
      </c>
      <c r="I1850">
        <v>3</v>
      </c>
      <c r="J1850" s="9">
        <v>6200</v>
      </c>
      <c r="K1850" s="7">
        <v>0.2</v>
      </c>
      <c r="L1850" s="9">
        <v>4960</v>
      </c>
      <c r="M1850" s="10">
        <f>Sales_Data3[[#This Row],[Profit]]/Sales_Data3[[#This Row],[Sales]]</f>
        <v>0.8</v>
      </c>
      <c r="N1850" t="str">
        <f t="shared" si="57"/>
        <v>Medium</v>
      </c>
      <c r="O1850" s="2">
        <v>45690</v>
      </c>
      <c r="P1850" s="9">
        <v>6200</v>
      </c>
    </row>
    <row r="1851" spans="1:16" x14ac:dyDescent="0.25">
      <c r="A1851" t="s">
        <v>1872</v>
      </c>
      <c r="B1851" s="2">
        <v>45691</v>
      </c>
      <c r="C1851">
        <v>2025</v>
      </c>
      <c r="D1851" t="str">
        <f t="shared" si="56"/>
        <v>Feb</v>
      </c>
      <c r="E1851" t="s">
        <v>13</v>
      </c>
      <c r="F1851" t="s">
        <v>2038</v>
      </c>
      <c r="G1851" t="s">
        <v>20</v>
      </c>
      <c r="H1851" t="s">
        <v>24</v>
      </c>
      <c r="I1851">
        <v>10</v>
      </c>
      <c r="J1851" s="9">
        <v>8300</v>
      </c>
      <c r="K1851" s="7">
        <v>0.25</v>
      </c>
      <c r="L1851" s="9">
        <v>6225</v>
      </c>
      <c r="M1851" s="10">
        <f>Sales_Data3[[#This Row],[Profit]]/Sales_Data3[[#This Row],[Sales]]</f>
        <v>0.75</v>
      </c>
      <c r="N1851" t="str">
        <f t="shared" si="57"/>
        <v>Medium</v>
      </c>
      <c r="O1851" s="2">
        <v>45691</v>
      </c>
      <c r="P1851" s="9">
        <v>8300</v>
      </c>
    </row>
    <row r="1852" spans="1:16" x14ac:dyDescent="0.25">
      <c r="A1852" t="s">
        <v>1873</v>
      </c>
      <c r="B1852" s="2">
        <v>45692</v>
      </c>
      <c r="C1852">
        <v>2025</v>
      </c>
      <c r="D1852" t="str">
        <f t="shared" si="56"/>
        <v>Feb</v>
      </c>
      <c r="E1852" t="s">
        <v>14</v>
      </c>
      <c r="F1852" t="s">
        <v>2039</v>
      </c>
      <c r="G1852" t="s">
        <v>21</v>
      </c>
      <c r="H1852" t="s">
        <v>25</v>
      </c>
      <c r="I1852">
        <v>6</v>
      </c>
      <c r="J1852" s="9">
        <v>7100</v>
      </c>
      <c r="K1852" s="7">
        <v>0.05</v>
      </c>
      <c r="L1852" s="9">
        <v>6745</v>
      </c>
      <c r="M1852" s="10">
        <f>Sales_Data3[[#This Row],[Profit]]/Sales_Data3[[#This Row],[Sales]]</f>
        <v>0.95</v>
      </c>
      <c r="N1852" t="str">
        <f t="shared" si="57"/>
        <v>Medium</v>
      </c>
      <c r="O1852" s="2">
        <v>45692</v>
      </c>
      <c r="P1852" s="9">
        <v>7100</v>
      </c>
    </row>
    <row r="1853" spans="1:16" x14ac:dyDescent="0.25">
      <c r="A1853" t="s">
        <v>1874</v>
      </c>
      <c r="B1853" s="2">
        <v>45693</v>
      </c>
      <c r="C1853">
        <v>2025</v>
      </c>
      <c r="D1853" t="str">
        <f t="shared" si="56"/>
        <v>Feb</v>
      </c>
      <c r="E1853" t="s">
        <v>14</v>
      </c>
      <c r="F1853" t="s">
        <v>2040</v>
      </c>
      <c r="G1853" t="s">
        <v>22</v>
      </c>
      <c r="H1853" t="s">
        <v>25</v>
      </c>
      <c r="I1853">
        <v>4</v>
      </c>
      <c r="J1853" s="9">
        <v>7700</v>
      </c>
      <c r="K1853" s="7">
        <v>0.1</v>
      </c>
      <c r="L1853" s="9">
        <v>6930</v>
      </c>
      <c r="M1853" s="10">
        <f>Sales_Data3[[#This Row],[Profit]]/Sales_Data3[[#This Row],[Sales]]</f>
        <v>0.9</v>
      </c>
      <c r="N1853" t="str">
        <f t="shared" si="57"/>
        <v>Medium</v>
      </c>
      <c r="O1853" s="2">
        <v>45693</v>
      </c>
      <c r="P1853" s="9">
        <v>7700</v>
      </c>
    </row>
    <row r="1854" spans="1:16" x14ac:dyDescent="0.25">
      <c r="A1854" t="s">
        <v>1875</v>
      </c>
      <c r="B1854" s="2">
        <v>45694</v>
      </c>
      <c r="C1854">
        <v>2025</v>
      </c>
      <c r="D1854" t="str">
        <f t="shared" si="56"/>
        <v>Feb</v>
      </c>
      <c r="E1854" t="s">
        <v>14</v>
      </c>
      <c r="F1854" t="s">
        <v>2041</v>
      </c>
      <c r="G1854" t="s">
        <v>19</v>
      </c>
      <c r="H1854" t="s">
        <v>25</v>
      </c>
      <c r="I1854">
        <v>6</v>
      </c>
      <c r="J1854" s="9">
        <v>7400</v>
      </c>
      <c r="K1854" s="7">
        <v>0.15000000000000002</v>
      </c>
      <c r="L1854" s="9">
        <v>6290</v>
      </c>
      <c r="M1854" s="10">
        <f>Sales_Data3[[#This Row],[Profit]]/Sales_Data3[[#This Row],[Sales]]</f>
        <v>0.85</v>
      </c>
      <c r="N1854" t="str">
        <f t="shared" si="57"/>
        <v>Medium</v>
      </c>
      <c r="O1854" s="2">
        <v>45694</v>
      </c>
      <c r="P1854" s="9">
        <v>7400</v>
      </c>
    </row>
    <row r="1855" spans="1:16" x14ac:dyDescent="0.25">
      <c r="A1855" t="s">
        <v>1876</v>
      </c>
      <c r="B1855" s="2">
        <v>45695</v>
      </c>
      <c r="C1855">
        <v>2025</v>
      </c>
      <c r="D1855" t="str">
        <f t="shared" si="56"/>
        <v>Feb</v>
      </c>
      <c r="E1855" t="s">
        <v>14</v>
      </c>
      <c r="F1855" t="s">
        <v>2042</v>
      </c>
      <c r="G1855" t="s">
        <v>20</v>
      </c>
      <c r="H1855" t="s">
        <v>25</v>
      </c>
      <c r="I1855">
        <v>1</v>
      </c>
      <c r="J1855" s="9">
        <v>12800</v>
      </c>
      <c r="K1855" s="7">
        <v>0.2</v>
      </c>
      <c r="L1855" s="9">
        <v>10240</v>
      </c>
      <c r="M1855" s="10">
        <f>Sales_Data3[[#This Row],[Profit]]/Sales_Data3[[#This Row],[Sales]]</f>
        <v>0.8</v>
      </c>
      <c r="N1855" t="str">
        <f t="shared" si="57"/>
        <v>High</v>
      </c>
      <c r="O1855" s="2">
        <v>45695</v>
      </c>
      <c r="P1855" s="9">
        <v>12800</v>
      </c>
    </row>
    <row r="1856" spans="1:16" x14ac:dyDescent="0.25">
      <c r="A1856" t="s">
        <v>1877</v>
      </c>
      <c r="B1856" s="2">
        <v>45696</v>
      </c>
      <c r="C1856">
        <v>2025</v>
      </c>
      <c r="D1856" t="str">
        <f t="shared" si="56"/>
        <v>Feb</v>
      </c>
      <c r="E1856" t="s">
        <v>14</v>
      </c>
      <c r="F1856" t="s">
        <v>2043</v>
      </c>
      <c r="G1856" t="s">
        <v>21</v>
      </c>
      <c r="H1856" t="s">
        <v>25</v>
      </c>
      <c r="I1856">
        <v>10</v>
      </c>
      <c r="J1856" s="9">
        <v>12500</v>
      </c>
      <c r="K1856" s="7">
        <v>0.25</v>
      </c>
      <c r="L1856" s="9">
        <v>9375</v>
      </c>
      <c r="M1856" s="10">
        <f>Sales_Data3[[#This Row],[Profit]]/Sales_Data3[[#This Row],[Sales]]</f>
        <v>0.75</v>
      </c>
      <c r="N1856" t="str">
        <f t="shared" si="57"/>
        <v>High</v>
      </c>
      <c r="O1856" s="2">
        <v>45696</v>
      </c>
      <c r="P1856" s="9">
        <v>12500</v>
      </c>
    </row>
    <row r="1857" spans="1:16" x14ac:dyDescent="0.25">
      <c r="A1857" t="s">
        <v>1878</v>
      </c>
      <c r="B1857" s="2">
        <v>45697</v>
      </c>
      <c r="C1857">
        <v>2025</v>
      </c>
      <c r="D1857" t="str">
        <f t="shared" si="56"/>
        <v>Feb</v>
      </c>
      <c r="E1857" t="s">
        <v>14</v>
      </c>
      <c r="F1857" t="s">
        <v>2044</v>
      </c>
      <c r="G1857" t="s">
        <v>22</v>
      </c>
      <c r="H1857" t="s">
        <v>25</v>
      </c>
      <c r="I1857">
        <v>1</v>
      </c>
      <c r="J1857" s="9">
        <v>12000</v>
      </c>
      <c r="K1857" s="7">
        <v>0.05</v>
      </c>
      <c r="L1857" s="9">
        <v>11400</v>
      </c>
      <c r="M1857" s="10">
        <f>Sales_Data3[[#This Row],[Profit]]/Sales_Data3[[#This Row],[Sales]]</f>
        <v>0.95</v>
      </c>
      <c r="N1857" t="str">
        <f t="shared" si="57"/>
        <v>High</v>
      </c>
      <c r="O1857" s="2">
        <v>45697</v>
      </c>
      <c r="P1857" s="9">
        <v>12000</v>
      </c>
    </row>
    <row r="1858" spans="1:16" x14ac:dyDescent="0.25">
      <c r="A1858" t="s">
        <v>1879</v>
      </c>
      <c r="B1858" s="2">
        <v>45698</v>
      </c>
      <c r="C1858">
        <v>2025</v>
      </c>
      <c r="D1858" t="str">
        <f t="shared" ref="D1858:D1921" si="58">TEXT(B1858,"MMM")</f>
        <v>Feb</v>
      </c>
      <c r="E1858" t="s">
        <v>14</v>
      </c>
      <c r="F1858" t="s">
        <v>2045</v>
      </c>
      <c r="G1858" t="s">
        <v>19</v>
      </c>
      <c r="H1858" t="s">
        <v>25</v>
      </c>
      <c r="I1858">
        <v>10</v>
      </c>
      <c r="J1858" s="9">
        <v>14300</v>
      </c>
      <c r="K1858" s="7">
        <v>0.1</v>
      </c>
      <c r="L1858" s="9">
        <v>12870</v>
      </c>
      <c r="M1858" s="10">
        <f>Sales_Data3[[#This Row],[Profit]]/Sales_Data3[[#This Row],[Sales]]</f>
        <v>0.9</v>
      </c>
      <c r="N1858" t="str">
        <f t="shared" ref="N1858:N1921" si="59">IF(J1858&gt;10000,"High",IF(J1858&gt;5000,"Medium","Low"))</f>
        <v>High</v>
      </c>
      <c r="O1858" s="2">
        <v>45698</v>
      </c>
      <c r="P1858" s="9">
        <v>14300</v>
      </c>
    </row>
    <row r="1859" spans="1:16" x14ac:dyDescent="0.25">
      <c r="A1859" t="s">
        <v>1880</v>
      </c>
      <c r="B1859" s="2">
        <v>45699</v>
      </c>
      <c r="C1859">
        <v>2025</v>
      </c>
      <c r="D1859" t="str">
        <f t="shared" si="58"/>
        <v>Feb</v>
      </c>
      <c r="E1859" t="s">
        <v>14</v>
      </c>
      <c r="F1859" t="s">
        <v>2046</v>
      </c>
      <c r="G1859" t="s">
        <v>20</v>
      </c>
      <c r="H1859" t="s">
        <v>25</v>
      </c>
      <c r="I1859">
        <v>7</v>
      </c>
      <c r="J1859" s="9">
        <v>9100</v>
      </c>
      <c r="K1859" s="7">
        <v>0.15000000000000002</v>
      </c>
      <c r="L1859" s="9">
        <v>7735</v>
      </c>
      <c r="M1859" s="10">
        <f>Sales_Data3[[#This Row],[Profit]]/Sales_Data3[[#This Row],[Sales]]</f>
        <v>0.85</v>
      </c>
      <c r="N1859" t="str">
        <f t="shared" si="59"/>
        <v>Medium</v>
      </c>
      <c r="O1859" s="2">
        <v>45699</v>
      </c>
      <c r="P1859" s="9">
        <v>9100</v>
      </c>
    </row>
    <row r="1860" spans="1:16" x14ac:dyDescent="0.25">
      <c r="A1860" t="s">
        <v>1881</v>
      </c>
      <c r="B1860" s="2">
        <v>45700</v>
      </c>
      <c r="C1860">
        <v>2025</v>
      </c>
      <c r="D1860" t="str">
        <f t="shared" si="58"/>
        <v>Feb</v>
      </c>
      <c r="E1860" t="s">
        <v>14</v>
      </c>
      <c r="F1860" t="s">
        <v>2047</v>
      </c>
      <c r="G1860" t="s">
        <v>21</v>
      </c>
      <c r="H1860" t="s">
        <v>25</v>
      </c>
      <c r="I1860">
        <v>6</v>
      </c>
      <c r="J1860" s="9">
        <v>7700</v>
      </c>
      <c r="K1860" s="7">
        <v>0.2</v>
      </c>
      <c r="L1860" s="9">
        <v>6160</v>
      </c>
      <c r="M1860" s="10">
        <f>Sales_Data3[[#This Row],[Profit]]/Sales_Data3[[#This Row],[Sales]]</f>
        <v>0.8</v>
      </c>
      <c r="N1860" t="str">
        <f t="shared" si="59"/>
        <v>Medium</v>
      </c>
      <c r="O1860" s="2">
        <v>45700</v>
      </c>
      <c r="P1860" s="9">
        <v>7700</v>
      </c>
    </row>
    <row r="1861" spans="1:16" x14ac:dyDescent="0.25">
      <c r="A1861" t="s">
        <v>1882</v>
      </c>
      <c r="B1861" s="2">
        <v>45701</v>
      </c>
      <c r="C1861">
        <v>2025</v>
      </c>
      <c r="D1861" t="str">
        <f t="shared" si="58"/>
        <v>Feb</v>
      </c>
      <c r="E1861" t="s">
        <v>14</v>
      </c>
      <c r="F1861" t="s">
        <v>2048</v>
      </c>
      <c r="G1861" t="s">
        <v>22</v>
      </c>
      <c r="H1861" t="s">
        <v>25</v>
      </c>
      <c r="I1861">
        <v>2</v>
      </c>
      <c r="J1861" s="9">
        <v>4700</v>
      </c>
      <c r="K1861" s="7">
        <v>0.25</v>
      </c>
      <c r="L1861" s="9">
        <v>3525</v>
      </c>
      <c r="M1861" s="10">
        <f>Sales_Data3[[#This Row],[Profit]]/Sales_Data3[[#This Row],[Sales]]</f>
        <v>0.75</v>
      </c>
      <c r="N1861" t="str">
        <f t="shared" si="59"/>
        <v>Low</v>
      </c>
      <c r="O1861" s="2">
        <v>45701</v>
      </c>
      <c r="P1861" s="9">
        <v>4700</v>
      </c>
    </row>
    <row r="1862" spans="1:16" x14ac:dyDescent="0.25">
      <c r="A1862" t="s">
        <v>1883</v>
      </c>
      <c r="B1862" s="2">
        <v>45702</v>
      </c>
      <c r="C1862">
        <v>2025</v>
      </c>
      <c r="D1862" t="str">
        <f t="shared" si="58"/>
        <v>Feb</v>
      </c>
      <c r="E1862" t="s">
        <v>12</v>
      </c>
      <c r="F1862" t="s">
        <v>15</v>
      </c>
      <c r="G1862" t="s">
        <v>19</v>
      </c>
      <c r="H1862" t="s">
        <v>23</v>
      </c>
      <c r="I1862">
        <v>9</v>
      </c>
      <c r="J1862" s="9">
        <v>14600</v>
      </c>
      <c r="K1862" s="7">
        <v>0.05</v>
      </c>
      <c r="L1862" s="9">
        <v>13870</v>
      </c>
      <c r="M1862" s="10">
        <f>Sales_Data3[[#This Row],[Profit]]/Sales_Data3[[#This Row],[Sales]]</f>
        <v>0.95</v>
      </c>
      <c r="N1862" t="str">
        <f t="shared" si="59"/>
        <v>High</v>
      </c>
      <c r="O1862" s="2">
        <v>45702</v>
      </c>
      <c r="P1862" s="9">
        <v>14600</v>
      </c>
    </row>
    <row r="1863" spans="1:16" x14ac:dyDescent="0.25">
      <c r="A1863" t="s">
        <v>1884</v>
      </c>
      <c r="B1863" s="2">
        <v>45703</v>
      </c>
      <c r="C1863">
        <v>2025</v>
      </c>
      <c r="D1863" t="str">
        <f t="shared" si="58"/>
        <v>Feb</v>
      </c>
      <c r="E1863" t="s">
        <v>12</v>
      </c>
      <c r="F1863" t="s">
        <v>17</v>
      </c>
      <c r="G1863" t="s">
        <v>20</v>
      </c>
      <c r="H1863" t="s">
        <v>23</v>
      </c>
      <c r="I1863">
        <v>2</v>
      </c>
      <c r="J1863" s="9">
        <v>7600</v>
      </c>
      <c r="K1863" s="7">
        <v>0.1</v>
      </c>
      <c r="L1863" s="9">
        <v>6840</v>
      </c>
      <c r="M1863" s="10">
        <f>Sales_Data3[[#This Row],[Profit]]/Sales_Data3[[#This Row],[Sales]]</f>
        <v>0.9</v>
      </c>
      <c r="N1863" t="str">
        <f t="shared" si="59"/>
        <v>Medium</v>
      </c>
      <c r="O1863" s="2">
        <v>45703</v>
      </c>
      <c r="P1863" s="9">
        <v>7600</v>
      </c>
    </row>
    <row r="1864" spans="1:16" x14ac:dyDescent="0.25">
      <c r="A1864" t="s">
        <v>1885</v>
      </c>
      <c r="B1864" s="2">
        <v>45704</v>
      </c>
      <c r="C1864">
        <v>2025</v>
      </c>
      <c r="D1864" t="str">
        <f t="shared" si="58"/>
        <v>Feb</v>
      </c>
      <c r="E1864" t="s">
        <v>12</v>
      </c>
      <c r="F1864" t="s">
        <v>2023</v>
      </c>
      <c r="G1864" t="s">
        <v>21</v>
      </c>
      <c r="H1864" t="s">
        <v>23</v>
      </c>
      <c r="I1864">
        <v>9</v>
      </c>
      <c r="J1864" s="9">
        <v>11200</v>
      </c>
      <c r="K1864" s="7">
        <v>0.15000000000000002</v>
      </c>
      <c r="L1864" s="9">
        <v>9520</v>
      </c>
      <c r="M1864" s="10">
        <f>Sales_Data3[[#This Row],[Profit]]/Sales_Data3[[#This Row],[Sales]]</f>
        <v>0.85</v>
      </c>
      <c r="N1864" t="str">
        <f t="shared" si="59"/>
        <v>High</v>
      </c>
      <c r="O1864" s="2">
        <v>45704</v>
      </c>
      <c r="P1864" s="9">
        <v>11200</v>
      </c>
    </row>
    <row r="1865" spans="1:16" x14ac:dyDescent="0.25">
      <c r="A1865" t="s">
        <v>1886</v>
      </c>
      <c r="B1865" s="2">
        <v>45705</v>
      </c>
      <c r="C1865">
        <v>2025</v>
      </c>
      <c r="D1865" t="str">
        <f t="shared" si="58"/>
        <v>Feb</v>
      </c>
      <c r="E1865" t="s">
        <v>12</v>
      </c>
      <c r="F1865" t="s">
        <v>18</v>
      </c>
      <c r="G1865" t="s">
        <v>22</v>
      </c>
      <c r="H1865" t="s">
        <v>23</v>
      </c>
      <c r="I1865">
        <v>6</v>
      </c>
      <c r="J1865" s="9">
        <v>14500</v>
      </c>
      <c r="K1865" s="7">
        <v>0.2</v>
      </c>
      <c r="L1865" s="9">
        <v>11600</v>
      </c>
      <c r="M1865" s="10">
        <f>Sales_Data3[[#This Row],[Profit]]/Sales_Data3[[#This Row],[Sales]]</f>
        <v>0.8</v>
      </c>
      <c r="N1865" t="str">
        <f t="shared" si="59"/>
        <v>High</v>
      </c>
      <c r="O1865" s="2">
        <v>45705</v>
      </c>
      <c r="P1865" s="9">
        <v>14500</v>
      </c>
    </row>
    <row r="1866" spans="1:16" x14ac:dyDescent="0.25">
      <c r="A1866" t="s">
        <v>1887</v>
      </c>
      <c r="B1866" s="2">
        <v>45706</v>
      </c>
      <c r="C1866">
        <v>2025</v>
      </c>
      <c r="D1866" t="str">
        <f t="shared" si="58"/>
        <v>Feb</v>
      </c>
      <c r="E1866" t="s">
        <v>12</v>
      </c>
      <c r="F1866" t="s">
        <v>2024</v>
      </c>
      <c r="G1866" t="s">
        <v>19</v>
      </c>
      <c r="H1866" t="s">
        <v>23</v>
      </c>
      <c r="I1866">
        <v>1</v>
      </c>
      <c r="J1866" s="9">
        <v>4600</v>
      </c>
      <c r="K1866" s="7">
        <v>0.25</v>
      </c>
      <c r="L1866" s="9">
        <v>3450</v>
      </c>
      <c r="M1866" s="10">
        <f>Sales_Data3[[#This Row],[Profit]]/Sales_Data3[[#This Row],[Sales]]</f>
        <v>0.75</v>
      </c>
      <c r="N1866" t="str">
        <f t="shared" si="59"/>
        <v>Low</v>
      </c>
      <c r="O1866" s="2">
        <v>45706</v>
      </c>
      <c r="P1866" s="9">
        <v>4600</v>
      </c>
    </row>
    <row r="1867" spans="1:16" x14ac:dyDescent="0.25">
      <c r="A1867" t="s">
        <v>1888</v>
      </c>
      <c r="B1867" s="2">
        <v>45707</v>
      </c>
      <c r="C1867">
        <v>2025</v>
      </c>
      <c r="D1867" t="str">
        <f t="shared" si="58"/>
        <v>Feb</v>
      </c>
      <c r="E1867" t="s">
        <v>12</v>
      </c>
      <c r="F1867" t="s">
        <v>2025</v>
      </c>
      <c r="G1867" t="s">
        <v>20</v>
      </c>
      <c r="H1867" t="s">
        <v>23</v>
      </c>
      <c r="I1867">
        <v>9</v>
      </c>
      <c r="J1867" s="9">
        <v>10400</v>
      </c>
      <c r="K1867" s="7">
        <v>0.05</v>
      </c>
      <c r="L1867" s="9">
        <v>9880</v>
      </c>
      <c r="M1867" s="10">
        <f>Sales_Data3[[#This Row],[Profit]]/Sales_Data3[[#This Row],[Sales]]</f>
        <v>0.95</v>
      </c>
      <c r="N1867" t="str">
        <f t="shared" si="59"/>
        <v>High</v>
      </c>
      <c r="O1867" s="2">
        <v>45707</v>
      </c>
      <c r="P1867" s="9">
        <v>10400</v>
      </c>
    </row>
    <row r="1868" spans="1:16" x14ac:dyDescent="0.25">
      <c r="A1868" t="s">
        <v>1889</v>
      </c>
      <c r="B1868" s="2">
        <v>45708</v>
      </c>
      <c r="C1868">
        <v>2025</v>
      </c>
      <c r="D1868" t="str">
        <f t="shared" si="58"/>
        <v>Feb</v>
      </c>
      <c r="E1868" t="s">
        <v>12</v>
      </c>
      <c r="F1868" t="s">
        <v>2026</v>
      </c>
      <c r="G1868" t="s">
        <v>21</v>
      </c>
      <c r="H1868" t="s">
        <v>23</v>
      </c>
      <c r="I1868">
        <v>9</v>
      </c>
      <c r="J1868" s="9">
        <v>13400</v>
      </c>
      <c r="K1868" s="7">
        <v>0.1</v>
      </c>
      <c r="L1868" s="9">
        <v>12060</v>
      </c>
      <c r="M1868" s="10">
        <f>Sales_Data3[[#This Row],[Profit]]/Sales_Data3[[#This Row],[Sales]]</f>
        <v>0.9</v>
      </c>
      <c r="N1868" t="str">
        <f t="shared" si="59"/>
        <v>High</v>
      </c>
      <c r="O1868" s="2">
        <v>45708</v>
      </c>
      <c r="P1868" s="9">
        <v>13400</v>
      </c>
    </row>
    <row r="1869" spans="1:16" x14ac:dyDescent="0.25">
      <c r="A1869" t="s">
        <v>1890</v>
      </c>
      <c r="B1869" s="2">
        <v>45709</v>
      </c>
      <c r="C1869">
        <v>2025</v>
      </c>
      <c r="D1869" t="str">
        <f t="shared" si="58"/>
        <v>Feb</v>
      </c>
      <c r="E1869" t="s">
        <v>12</v>
      </c>
      <c r="F1869" t="s">
        <v>2027</v>
      </c>
      <c r="G1869" t="s">
        <v>22</v>
      </c>
      <c r="H1869" t="s">
        <v>23</v>
      </c>
      <c r="I1869">
        <v>10</v>
      </c>
      <c r="J1869" s="9">
        <v>4900</v>
      </c>
      <c r="K1869" s="7">
        <v>0.15000000000000002</v>
      </c>
      <c r="L1869" s="9">
        <v>4165</v>
      </c>
      <c r="M1869" s="10">
        <f>Sales_Data3[[#This Row],[Profit]]/Sales_Data3[[#This Row],[Sales]]</f>
        <v>0.85</v>
      </c>
      <c r="N1869" t="str">
        <f t="shared" si="59"/>
        <v>Low</v>
      </c>
      <c r="O1869" s="2">
        <v>45709</v>
      </c>
      <c r="P1869" s="9">
        <v>4900</v>
      </c>
    </row>
    <row r="1870" spans="1:16" x14ac:dyDescent="0.25">
      <c r="A1870" t="s">
        <v>1891</v>
      </c>
      <c r="B1870" s="2">
        <v>45710</v>
      </c>
      <c r="C1870">
        <v>2025</v>
      </c>
      <c r="D1870" t="str">
        <f t="shared" si="58"/>
        <v>Feb</v>
      </c>
      <c r="E1870" t="s">
        <v>12</v>
      </c>
      <c r="F1870" t="s">
        <v>2028</v>
      </c>
      <c r="G1870" t="s">
        <v>19</v>
      </c>
      <c r="H1870" t="s">
        <v>23</v>
      </c>
      <c r="I1870">
        <v>10</v>
      </c>
      <c r="J1870" s="9">
        <v>14100</v>
      </c>
      <c r="K1870" s="7">
        <v>0.2</v>
      </c>
      <c r="L1870" s="9">
        <v>11280</v>
      </c>
      <c r="M1870" s="10">
        <f>Sales_Data3[[#This Row],[Profit]]/Sales_Data3[[#This Row],[Sales]]</f>
        <v>0.8</v>
      </c>
      <c r="N1870" t="str">
        <f t="shared" si="59"/>
        <v>High</v>
      </c>
      <c r="O1870" s="2">
        <v>45710</v>
      </c>
      <c r="P1870" s="9">
        <v>14100</v>
      </c>
    </row>
    <row r="1871" spans="1:16" x14ac:dyDescent="0.25">
      <c r="A1871" t="s">
        <v>1892</v>
      </c>
      <c r="B1871" s="2">
        <v>45711</v>
      </c>
      <c r="C1871">
        <v>2025</v>
      </c>
      <c r="D1871" t="str">
        <f t="shared" si="58"/>
        <v>Feb</v>
      </c>
      <c r="E1871" t="s">
        <v>12</v>
      </c>
      <c r="F1871" t="s">
        <v>2029</v>
      </c>
      <c r="G1871" t="s">
        <v>20</v>
      </c>
      <c r="H1871" t="s">
        <v>23</v>
      </c>
      <c r="I1871">
        <v>7</v>
      </c>
      <c r="J1871" s="9">
        <v>12200</v>
      </c>
      <c r="K1871" s="7">
        <v>0.25</v>
      </c>
      <c r="L1871" s="9">
        <v>9150</v>
      </c>
      <c r="M1871" s="10">
        <f>Sales_Data3[[#This Row],[Profit]]/Sales_Data3[[#This Row],[Sales]]</f>
        <v>0.75</v>
      </c>
      <c r="N1871" t="str">
        <f t="shared" si="59"/>
        <v>High</v>
      </c>
      <c r="O1871" s="2">
        <v>45711</v>
      </c>
      <c r="P1871" s="9">
        <v>12200</v>
      </c>
    </row>
    <row r="1872" spans="1:16" x14ac:dyDescent="0.25">
      <c r="A1872" t="s">
        <v>1893</v>
      </c>
      <c r="B1872" s="2">
        <v>45712</v>
      </c>
      <c r="C1872">
        <v>2025</v>
      </c>
      <c r="D1872" t="str">
        <f t="shared" si="58"/>
        <v>Feb</v>
      </c>
      <c r="E1872" t="s">
        <v>13</v>
      </c>
      <c r="F1872" t="s">
        <v>16</v>
      </c>
      <c r="G1872" t="s">
        <v>21</v>
      </c>
      <c r="H1872" t="s">
        <v>24</v>
      </c>
      <c r="I1872">
        <v>4</v>
      </c>
      <c r="J1872" s="9">
        <v>6900</v>
      </c>
      <c r="K1872" s="7">
        <v>0.05</v>
      </c>
      <c r="L1872" s="9">
        <v>6555</v>
      </c>
      <c r="M1872" s="10">
        <f>Sales_Data3[[#This Row],[Profit]]/Sales_Data3[[#This Row],[Sales]]</f>
        <v>0.95</v>
      </c>
      <c r="N1872" t="str">
        <f t="shared" si="59"/>
        <v>Medium</v>
      </c>
      <c r="O1872" s="2">
        <v>45712</v>
      </c>
      <c r="P1872" s="9">
        <v>6900</v>
      </c>
    </row>
    <row r="1873" spans="1:16" x14ac:dyDescent="0.25">
      <c r="A1873" t="s">
        <v>1894</v>
      </c>
      <c r="B1873" s="2">
        <v>45713</v>
      </c>
      <c r="C1873">
        <v>2025</v>
      </c>
      <c r="D1873" t="str">
        <f t="shared" si="58"/>
        <v>Feb</v>
      </c>
      <c r="E1873" t="s">
        <v>13</v>
      </c>
      <c r="F1873" t="s">
        <v>2030</v>
      </c>
      <c r="G1873" t="s">
        <v>22</v>
      </c>
      <c r="H1873" t="s">
        <v>24</v>
      </c>
      <c r="I1873">
        <v>2</v>
      </c>
      <c r="J1873" s="9">
        <v>14600</v>
      </c>
      <c r="K1873" s="7">
        <v>0.1</v>
      </c>
      <c r="L1873" s="9">
        <v>13140</v>
      </c>
      <c r="M1873" s="10">
        <f>Sales_Data3[[#This Row],[Profit]]/Sales_Data3[[#This Row],[Sales]]</f>
        <v>0.9</v>
      </c>
      <c r="N1873" t="str">
        <f t="shared" si="59"/>
        <v>High</v>
      </c>
      <c r="O1873" s="2">
        <v>45713</v>
      </c>
      <c r="P1873" s="9">
        <v>14600</v>
      </c>
    </row>
    <row r="1874" spans="1:16" x14ac:dyDescent="0.25">
      <c r="A1874" t="s">
        <v>1895</v>
      </c>
      <c r="B1874" s="2">
        <v>45714</v>
      </c>
      <c r="C1874">
        <v>2025</v>
      </c>
      <c r="D1874" t="str">
        <f t="shared" si="58"/>
        <v>Feb</v>
      </c>
      <c r="E1874" t="s">
        <v>13</v>
      </c>
      <c r="F1874" t="s">
        <v>2031</v>
      </c>
      <c r="G1874" t="s">
        <v>19</v>
      </c>
      <c r="H1874" t="s">
        <v>24</v>
      </c>
      <c r="I1874">
        <v>9</v>
      </c>
      <c r="J1874" s="9">
        <v>6300</v>
      </c>
      <c r="K1874" s="7">
        <v>0.15000000000000002</v>
      </c>
      <c r="L1874" s="9">
        <v>5355</v>
      </c>
      <c r="M1874" s="10">
        <f>Sales_Data3[[#This Row],[Profit]]/Sales_Data3[[#This Row],[Sales]]</f>
        <v>0.85</v>
      </c>
      <c r="N1874" t="str">
        <f t="shared" si="59"/>
        <v>Medium</v>
      </c>
      <c r="O1874" s="2">
        <v>45714</v>
      </c>
      <c r="P1874" s="9">
        <v>6300</v>
      </c>
    </row>
    <row r="1875" spans="1:16" x14ac:dyDescent="0.25">
      <c r="A1875" t="s">
        <v>1896</v>
      </c>
      <c r="B1875" s="2">
        <v>45715</v>
      </c>
      <c r="C1875">
        <v>2025</v>
      </c>
      <c r="D1875" t="str">
        <f t="shared" si="58"/>
        <v>Feb</v>
      </c>
      <c r="E1875" t="s">
        <v>13</v>
      </c>
      <c r="F1875" t="s">
        <v>2032</v>
      </c>
      <c r="G1875" t="s">
        <v>20</v>
      </c>
      <c r="H1875" t="s">
        <v>24</v>
      </c>
      <c r="I1875">
        <v>1</v>
      </c>
      <c r="J1875" s="9">
        <v>9100</v>
      </c>
      <c r="K1875" s="7">
        <v>0.2</v>
      </c>
      <c r="L1875" s="9">
        <v>7280</v>
      </c>
      <c r="M1875" s="10">
        <f>Sales_Data3[[#This Row],[Profit]]/Sales_Data3[[#This Row],[Sales]]</f>
        <v>0.8</v>
      </c>
      <c r="N1875" t="str">
        <f t="shared" si="59"/>
        <v>Medium</v>
      </c>
      <c r="O1875" s="2">
        <v>45715</v>
      </c>
      <c r="P1875" s="9">
        <v>9100</v>
      </c>
    </row>
    <row r="1876" spans="1:16" x14ac:dyDescent="0.25">
      <c r="A1876" t="s">
        <v>1897</v>
      </c>
      <c r="B1876" s="2">
        <v>45716</v>
      </c>
      <c r="C1876">
        <v>2025</v>
      </c>
      <c r="D1876" t="str">
        <f t="shared" si="58"/>
        <v>Feb</v>
      </c>
      <c r="E1876" t="s">
        <v>13</v>
      </c>
      <c r="F1876" t="s">
        <v>2033</v>
      </c>
      <c r="G1876" t="s">
        <v>21</v>
      </c>
      <c r="H1876" t="s">
        <v>24</v>
      </c>
      <c r="I1876">
        <v>9</v>
      </c>
      <c r="J1876" s="9">
        <v>14400</v>
      </c>
      <c r="K1876" s="7">
        <v>0.25</v>
      </c>
      <c r="L1876" s="9">
        <v>10800</v>
      </c>
      <c r="M1876" s="10">
        <f>Sales_Data3[[#This Row],[Profit]]/Sales_Data3[[#This Row],[Sales]]</f>
        <v>0.75</v>
      </c>
      <c r="N1876" t="str">
        <f t="shared" si="59"/>
        <v>High</v>
      </c>
      <c r="O1876" s="2">
        <v>45716</v>
      </c>
      <c r="P1876" s="9">
        <v>14400</v>
      </c>
    </row>
    <row r="1877" spans="1:16" x14ac:dyDescent="0.25">
      <c r="A1877" t="s">
        <v>1898</v>
      </c>
      <c r="B1877" s="2">
        <v>45717</v>
      </c>
      <c r="C1877">
        <v>2025</v>
      </c>
      <c r="D1877" t="str">
        <f t="shared" si="58"/>
        <v>Mar</v>
      </c>
      <c r="E1877" t="s">
        <v>13</v>
      </c>
      <c r="F1877" t="s">
        <v>2034</v>
      </c>
      <c r="G1877" t="s">
        <v>22</v>
      </c>
      <c r="H1877" t="s">
        <v>24</v>
      </c>
      <c r="I1877">
        <v>8</v>
      </c>
      <c r="J1877" s="9">
        <v>9700</v>
      </c>
      <c r="K1877" s="7">
        <v>0.05</v>
      </c>
      <c r="L1877" s="9">
        <v>9215</v>
      </c>
      <c r="M1877" s="10">
        <f>Sales_Data3[[#This Row],[Profit]]/Sales_Data3[[#This Row],[Sales]]</f>
        <v>0.95</v>
      </c>
      <c r="N1877" t="str">
        <f t="shared" si="59"/>
        <v>Medium</v>
      </c>
      <c r="O1877" s="2">
        <v>45717</v>
      </c>
      <c r="P1877" s="9">
        <v>9700</v>
      </c>
    </row>
    <row r="1878" spans="1:16" x14ac:dyDescent="0.25">
      <c r="A1878" t="s">
        <v>1899</v>
      </c>
      <c r="B1878" s="2">
        <v>45718</v>
      </c>
      <c r="C1878">
        <v>2025</v>
      </c>
      <c r="D1878" t="str">
        <f t="shared" si="58"/>
        <v>Mar</v>
      </c>
      <c r="E1878" t="s">
        <v>13</v>
      </c>
      <c r="F1878" t="s">
        <v>2035</v>
      </c>
      <c r="G1878" t="s">
        <v>19</v>
      </c>
      <c r="H1878" t="s">
        <v>24</v>
      </c>
      <c r="I1878">
        <v>9</v>
      </c>
      <c r="J1878" s="9">
        <v>14000</v>
      </c>
      <c r="K1878" s="7">
        <v>0.1</v>
      </c>
      <c r="L1878" s="9">
        <v>12600</v>
      </c>
      <c r="M1878" s="10">
        <f>Sales_Data3[[#This Row],[Profit]]/Sales_Data3[[#This Row],[Sales]]</f>
        <v>0.9</v>
      </c>
      <c r="N1878" t="str">
        <f t="shared" si="59"/>
        <v>High</v>
      </c>
      <c r="O1878" s="2">
        <v>45718</v>
      </c>
      <c r="P1878" s="9">
        <v>14000</v>
      </c>
    </row>
    <row r="1879" spans="1:16" x14ac:dyDescent="0.25">
      <c r="A1879" t="s">
        <v>1900</v>
      </c>
      <c r="B1879" s="2">
        <v>45719</v>
      </c>
      <c r="C1879">
        <v>2025</v>
      </c>
      <c r="D1879" t="str">
        <f t="shared" si="58"/>
        <v>Mar</v>
      </c>
      <c r="E1879" t="s">
        <v>13</v>
      </c>
      <c r="F1879" t="s">
        <v>2036</v>
      </c>
      <c r="G1879" t="s">
        <v>20</v>
      </c>
      <c r="H1879" t="s">
        <v>24</v>
      </c>
      <c r="I1879">
        <v>7</v>
      </c>
      <c r="J1879" s="9">
        <v>13400</v>
      </c>
      <c r="K1879" s="7">
        <v>0.15000000000000002</v>
      </c>
      <c r="L1879" s="9">
        <v>11390</v>
      </c>
      <c r="M1879" s="10">
        <f>Sales_Data3[[#This Row],[Profit]]/Sales_Data3[[#This Row],[Sales]]</f>
        <v>0.85</v>
      </c>
      <c r="N1879" t="str">
        <f t="shared" si="59"/>
        <v>High</v>
      </c>
      <c r="O1879" s="2">
        <v>45719</v>
      </c>
      <c r="P1879" s="9">
        <v>13400</v>
      </c>
    </row>
    <row r="1880" spans="1:16" x14ac:dyDescent="0.25">
      <c r="A1880" t="s">
        <v>1901</v>
      </c>
      <c r="B1880" s="2">
        <v>45720</v>
      </c>
      <c r="C1880">
        <v>2025</v>
      </c>
      <c r="D1880" t="str">
        <f t="shared" si="58"/>
        <v>Mar</v>
      </c>
      <c r="E1880" t="s">
        <v>13</v>
      </c>
      <c r="F1880" t="s">
        <v>2037</v>
      </c>
      <c r="G1880" t="s">
        <v>21</v>
      </c>
      <c r="H1880" t="s">
        <v>24</v>
      </c>
      <c r="I1880">
        <v>8</v>
      </c>
      <c r="J1880" s="9">
        <v>5200</v>
      </c>
      <c r="K1880" s="7">
        <v>0.2</v>
      </c>
      <c r="L1880" s="9">
        <v>4160</v>
      </c>
      <c r="M1880" s="10">
        <f>Sales_Data3[[#This Row],[Profit]]/Sales_Data3[[#This Row],[Sales]]</f>
        <v>0.8</v>
      </c>
      <c r="N1880" t="str">
        <f t="shared" si="59"/>
        <v>Medium</v>
      </c>
      <c r="O1880" s="2">
        <v>45720</v>
      </c>
      <c r="P1880" s="9">
        <v>5200</v>
      </c>
    </row>
    <row r="1881" spans="1:16" x14ac:dyDescent="0.25">
      <c r="A1881" t="s">
        <v>1902</v>
      </c>
      <c r="B1881" s="2">
        <v>45721</v>
      </c>
      <c r="C1881">
        <v>2025</v>
      </c>
      <c r="D1881" t="str">
        <f t="shared" si="58"/>
        <v>Mar</v>
      </c>
      <c r="E1881" t="s">
        <v>13</v>
      </c>
      <c r="F1881" t="s">
        <v>2038</v>
      </c>
      <c r="G1881" t="s">
        <v>22</v>
      </c>
      <c r="H1881" t="s">
        <v>24</v>
      </c>
      <c r="I1881">
        <v>2</v>
      </c>
      <c r="J1881" s="9">
        <v>11100</v>
      </c>
      <c r="K1881" s="7">
        <v>0.25</v>
      </c>
      <c r="L1881" s="9">
        <v>8325</v>
      </c>
      <c r="M1881" s="10">
        <f>Sales_Data3[[#This Row],[Profit]]/Sales_Data3[[#This Row],[Sales]]</f>
        <v>0.75</v>
      </c>
      <c r="N1881" t="str">
        <f t="shared" si="59"/>
        <v>High</v>
      </c>
      <c r="O1881" s="2">
        <v>45721</v>
      </c>
      <c r="P1881" s="9">
        <v>11100</v>
      </c>
    </row>
    <row r="1882" spans="1:16" x14ac:dyDescent="0.25">
      <c r="A1882" t="s">
        <v>1903</v>
      </c>
      <c r="B1882" s="2">
        <v>45722</v>
      </c>
      <c r="C1882">
        <v>2025</v>
      </c>
      <c r="D1882" t="str">
        <f t="shared" si="58"/>
        <v>Mar</v>
      </c>
      <c r="E1882" t="s">
        <v>14</v>
      </c>
      <c r="F1882" t="s">
        <v>2039</v>
      </c>
      <c r="G1882" t="s">
        <v>19</v>
      </c>
      <c r="H1882" t="s">
        <v>25</v>
      </c>
      <c r="I1882">
        <v>9</v>
      </c>
      <c r="J1882" s="9">
        <v>8000</v>
      </c>
      <c r="K1882" s="7">
        <v>0.05</v>
      </c>
      <c r="L1882" s="9">
        <v>7600</v>
      </c>
      <c r="M1882" s="10">
        <f>Sales_Data3[[#This Row],[Profit]]/Sales_Data3[[#This Row],[Sales]]</f>
        <v>0.95</v>
      </c>
      <c r="N1882" t="str">
        <f t="shared" si="59"/>
        <v>Medium</v>
      </c>
      <c r="O1882" s="2">
        <v>45722</v>
      </c>
      <c r="P1882" s="9">
        <v>8000</v>
      </c>
    </row>
    <row r="1883" spans="1:16" x14ac:dyDescent="0.25">
      <c r="A1883" t="s">
        <v>1904</v>
      </c>
      <c r="B1883" s="2">
        <v>45723</v>
      </c>
      <c r="C1883">
        <v>2025</v>
      </c>
      <c r="D1883" t="str">
        <f t="shared" si="58"/>
        <v>Mar</v>
      </c>
      <c r="E1883" t="s">
        <v>14</v>
      </c>
      <c r="F1883" t="s">
        <v>2040</v>
      </c>
      <c r="G1883" t="s">
        <v>20</v>
      </c>
      <c r="H1883" t="s">
        <v>25</v>
      </c>
      <c r="I1883">
        <v>6</v>
      </c>
      <c r="J1883" s="9">
        <v>12800</v>
      </c>
      <c r="K1883" s="7">
        <v>0.1</v>
      </c>
      <c r="L1883" s="9">
        <v>11520</v>
      </c>
      <c r="M1883" s="10">
        <f>Sales_Data3[[#This Row],[Profit]]/Sales_Data3[[#This Row],[Sales]]</f>
        <v>0.9</v>
      </c>
      <c r="N1883" t="str">
        <f t="shared" si="59"/>
        <v>High</v>
      </c>
      <c r="O1883" s="2">
        <v>45723</v>
      </c>
      <c r="P1883" s="9">
        <v>12800</v>
      </c>
    </row>
    <row r="1884" spans="1:16" x14ac:dyDescent="0.25">
      <c r="A1884" t="s">
        <v>1905</v>
      </c>
      <c r="B1884" s="2">
        <v>45724</v>
      </c>
      <c r="C1884">
        <v>2025</v>
      </c>
      <c r="D1884" t="str">
        <f t="shared" si="58"/>
        <v>Mar</v>
      </c>
      <c r="E1884" t="s">
        <v>14</v>
      </c>
      <c r="F1884" t="s">
        <v>2041</v>
      </c>
      <c r="G1884" t="s">
        <v>21</v>
      </c>
      <c r="H1884" t="s">
        <v>25</v>
      </c>
      <c r="I1884">
        <v>7</v>
      </c>
      <c r="J1884" s="9">
        <v>8100</v>
      </c>
      <c r="K1884" s="7">
        <v>0.15000000000000002</v>
      </c>
      <c r="L1884" s="9">
        <v>6885</v>
      </c>
      <c r="M1884" s="10">
        <f>Sales_Data3[[#This Row],[Profit]]/Sales_Data3[[#This Row],[Sales]]</f>
        <v>0.85</v>
      </c>
      <c r="N1884" t="str">
        <f t="shared" si="59"/>
        <v>Medium</v>
      </c>
      <c r="O1884" s="2">
        <v>45724</v>
      </c>
      <c r="P1884" s="9">
        <v>8100</v>
      </c>
    </row>
    <row r="1885" spans="1:16" x14ac:dyDescent="0.25">
      <c r="A1885" t="s">
        <v>1906</v>
      </c>
      <c r="B1885" s="2">
        <v>45725</v>
      </c>
      <c r="C1885">
        <v>2025</v>
      </c>
      <c r="D1885" t="str">
        <f t="shared" si="58"/>
        <v>Mar</v>
      </c>
      <c r="E1885" t="s">
        <v>14</v>
      </c>
      <c r="F1885" t="s">
        <v>2042</v>
      </c>
      <c r="G1885" t="s">
        <v>22</v>
      </c>
      <c r="H1885" t="s">
        <v>25</v>
      </c>
      <c r="I1885">
        <v>5</v>
      </c>
      <c r="J1885" s="9">
        <v>11300</v>
      </c>
      <c r="K1885" s="7">
        <v>0.2</v>
      </c>
      <c r="L1885" s="9">
        <v>9040</v>
      </c>
      <c r="M1885" s="10">
        <f>Sales_Data3[[#This Row],[Profit]]/Sales_Data3[[#This Row],[Sales]]</f>
        <v>0.8</v>
      </c>
      <c r="N1885" t="str">
        <f t="shared" si="59"/>
        <v>High</v>
      </c>
      <c r="O1885" s="2">
        <v>45725</v>
      </c>
      <c r="P1885" s="9">
        <v>11300</v>
      </c>
    </row>
    <row r="1886" spans="1:16" x14ac:dyDescent="0.25">
      <c r="A1886" t="s">
        <v>1907</v>
      </c>
      <c r="B1886" s="2">
        <v>45726</v>
      </c>
      <c r="C1886">
        <v>2025</v>
      </c>
      <c r="D1886" t="str">
        <f t="shared" si="58"/>
        <v>Mar</v>
      </c>
      <c r="E1886" t="s">
        <v>14</v>
      </c>
      <c r="F1886" t="s">
        <v>2043</v>
      </c>
      <c r="G1886" t="s">
        <v>19</v>
      </c>
      <c r="H1886" t="s">
        <v>25</v>
      </c>
      <c r="I1886">
        <v>6</v>
      </c>
      <c r="J1886" s="9">
        <v>4000</v>
      </c>
      <c r="K1886" s="7">
        <v>0.25</v>
      </c>
      <c r="L1886" s="9">
        <v>3000</v>
      </c>
      <c r="M1886" s="10">
        <f>Sales_Data3[[#This Row],[Profit]]/Sales_Data3[[#This Row],[Sales]]</f>
        <v>0.75</v>
      </c>
      <c r="N1886" t="str">
        <f t="shared" si="59"/>
        <v>Low</v>
      </c>
      <c r="O1886" s="2">
        <v>45726</v>
      </c>
      <c r="P1886" s="9">
        <v>4000</v>
      </c>
    </row>
    <row r="1887" spans="1:16" x14ac:dyDescent="0.25">
      <c r="A1887" t="s">
        <v>1908</v>
      </c>
      <c r="B1887" s="2">
        <v>45727</v>
      </c>
      <c r="C1887">
        <v>2025</v>
      </c>
      <c r="D1887" t="str">
        <f t="shared" si="58"/>
        <v>Mar</v>
      </c>
      <c r="E1887" t="s">
        <v>14</v>
      </c>
      <c r="F1887" t="s">
        <v>2044</v>
      </c>
      <c r="G1887" t="s">
        <v>20</v>
      </c>
      <c r="H1887" t="s">
        <v>25</v>
      </c>
      <c r="I1887">
        <v>8</v>
      </c>
      <c r="J1887" s="9">
        <v>7200</v>
      </c>
      <c r="K1887" s="7">
        <v>0.05</v>
      </c>
      <c r="L1887" s="9">
        <v>6840</v>
      </c>
      <c r="M1887" s="10">
        <f>Sales_Data3[[#This Row],[Profit]]/Sales_Data3[[#This Row],[Sales]]</f>
        <v>0.95</v>
      </c>
      <c r="N1887" t="str">
        <f t="shared" si="59"/>
        <v>Medium</v>
      </c>
      <c r="O1887" s="2">
        <v>45727</v>
      </c>
      <c r="P1887" s="9">
        <v>7200</v>
      </c>
    </row>
    <row r="1888" spans="1:16" x14ac:dyDescent="0.25">
      <c r="A1888" t="s">
        <v>1909</v>
      </c>
      <c r="B1888" s="2">
        <v>45728</v>
      </c>
      <c r="C1888">
        <v>2025</v>
      </c>
      <c r="D1888" t="str">
        <f t="shared" si="58"/>
        <v>Mar</v>
      </c>
      <c r="E1888" t="s">
        <v>14</v>
      </c>
      <c r="F1888" t="s">
        <v>2045</v>
      </c>
      <c r="G1888" t="s">
        <v>21</v>
      </c>
      <c r="H1888" t="s">
        <v>25</v>
      </c>
      <c r="I1888">
        <v>5</v>
      </c>
      <c r="J1888" s="9">
        <v>4300</v>
      </c>
      <c r="K1888" s="7">
        <v>0.1</v>
      </c>
      <c r="L1888" s="9">
        <v>3870</v>
      </c>
      <c r="M1888" s="10">
        <f>Sales_Data3[[#This Row],[Profit]]/Sales_Data3[[#This Row],[Sales]]</f>
        <v>0.9</v>
      </c>
      <c r="N1888" t="str">
        <f t="shared" si="59"/>
        <v>Low</v>
      </c>
      <c r="O1888" s="2">
        <v>45728</v>
      </c>
      <c r="P1888" s="9">
        <v>4300</v>
      </c>
    </row>
    <row r="1889" spans="1:16" x14ac:dyDescent="0.25">
      <c r="A1889" t="s">
        <v>1910</v>
      </c>
      <c r="B1889" s="2">
        <v>45729</v>
      </c>
      <c r="C1889">
        <v>2025</v>
      </c>
      <c r="D1889" t="str">
        <f t="shared" si="58"/>
        <v>Mar</v>
      </c>
      <c r="E1889" t="s">
        <v>14</v>
      </c>
      <c r="F1889" t="s">
        <v>2046</v>
      </c>
      <c r="G1889" t="s">
        <v>22</v>
      </c>
      <c r="H1889" t="s">
        <v>25</v>
      </c>
      <c r="I1889">
        <v>2</v>
      </c>
      <c r="J1889" s="9">
        <v>11600</v>
      </c>
      <c r="K1889" s="7">
        <v>0.15000000000000002</v>
      </c>
      <c r="L1889" s="9">
        <v>9860</v>
      </c>
      <c r="M1889" s="10">
        <f>Sales_Data3[[#This Row],[Profit]]/Sales_Data3[[#This Row],[Sales]]</f>
        <v>0.85</v>
      </c>
      <c r="N1889" t="str">
        <f t="shared" si="59"/>
        <v>High</v>
      </c>
      <c r="O1889" s="2">
        <v>45729</v>
      </c>
      <c r="P1889" s="9">
        <v>11600</v>
      </c>
    </row>
    <row r="1890" spans="1:16" x14ac:dyDescent="0.25">
      <c r="A1890" t="s">
        <v>1911</v>
      </c>
      <c r="B1890" s="2">
        <v>45730</v>
      </c>
      <c r="C1890">
        <v>2025</v>
      </c>
      <c r="D1890" t="str">
        <f t="shared" si="58"/>
        <v>Mar</v>
      </c>
      <c r="E1890" t="s">
        <v>14</v>
      </c>
      <c r="F1890" t="s">
        <v>2047</v>
      </c>
      <c r="G1890" t="s">
        <v>19</v>
      </c>
      <c r="H1890" t="s">
        <v>25</v>
      </c>
      <c r="I1890">
        <v>5</v>
      </c>
      <c r="J1890" s="9">
        <v>6200</v>
      </c>
      <c r="K1890" s="7">
        <v>0.2</v>
      </c>
      <c r="L1890" s="9">
        <v>4960</v>
      </c>
      <c r="M1890" s="10">
        <f>Sales_Data3[[#This Row],[Profit]]/Sales_Data3[[#This Row],[Sales]]</f>
        <v>0.8</v>
      </c>
      <c r="N1890" t="str">
        <f t="shared" si="59"/>
        <v>Medium</v>
      </c>
      <c r="O1890" s="2">
        <v>45730</v>
      </c>
      <c r="P1890" s="9">
        <v>6200</v>
      </c>
    </row>
    <row r="1891" spans="1:16" x14ac:dyDescent="0.25">
      <c r="A1891" t="s">
        <v>1912</v>
      </c>
      <c r="B1891" s="2">
        <v>45731</v>
      </c>
      <c r="C1891">
        <v>2025</v>
      </c>
      <c r="D1891" t="str">
        <f t="shared" si="58"/>
        <v>Mar</v>
      </c>
      <c r="E1891" t="s">
        <v>14</v>
      </c>
      <c r="F1891" t="s">
        <v>2048</v>
      </c>
      <c r="G1891" t="s">
        <v>20</v>
      </c>
      <c r="H1891" t="s">
        <v>25</v>
      </c>
      <c r="I1891">
        <v>6</v>
      </c>
      <c r="J1891" s="9">
        <v>7200</v>
      </c>
      <c r="K1891" s="7">
        <v>0.25</v>
      </c>
      <c r="L1891" s="9">
        <v>5400</v>
      </c>
      <c r="M1891" s="10">
        <f>Sales_Data3[[#This Row],[Profit]]/Sales_Data3[[#This Row],[Sales]]</f>
        <v>0.75</v>
      </c>
      <c r="N1891" t="str">
        <f t="shared" si="59"/>
        <v>Medium</v>
      </c>
      <c r="O1891" s="2">
        <v>45731</v>
      </c>
      <c r="P1891" s="9">
        <v>7200</v>
      </c>
    </row>
    <row r="1892" spans="1:16" x14ac:dyDescent="0.25">
      <c r="A1892" t="s">
        <v>1913</v>
      </c>
      <c r="B1892" s="2">
        <v>45732</v>
      </c>
      <c r="C1892">
        <v>2025</v>
      </c>
      <c r="D1892" t="str">
        <f t="shared" si="58"/>
        <v>Mar</v>
      </c>
      <c r="E1892" t="s">
        <v>12</v>
      </c>
      <c r="F1892" t="s">
        <v>15</v>
      </c>
      <c r="G1892" t="s">
        <v>21</v>
      </c>
      <c r="H1892" t="s">
        <v>23</v>
      </c>
      <c r="I1892">
        <v>5</v>
      </c>
      <c r="J1892" s="9">
        <v>6600</v>
      </c>
      <c r="K1892" s="7">
        <v>0.05</v>
      </c>
      <c r="L1892" s="9">
        <v>6270</v>
      </c>
      <c r="M1892" s="10">
        <f>Sales_Data3[[#This Row],[Profit]]/Sales_Data3[[#This Row],[Sales]]</f>
        <v>0.95</v>
      </c>
      <c r="N1892" t="str">
        <f t="shared" si="59"/>
        <v>Medium</v>
      </c>
      <c r="O1892" s="2">
        <v>45732</v>
      </c>
      <c r="P1892" s="9">
        <v>6600</v>
      </c>
    </row>
    <row r="1893" spans="1:16" x14ac:dyDescent="0.25">
      <c r="A1893" t="s">
        <v>1914</v>
      </c>
      <c r="B1893" s="2">
        <v>45733</v>
      </c>
      <c r="C1893">
        <v>2025</v>
      </c>
      <c r="D1893" t="str">
        <f t="shared" si="58"/>
        <v>Mar</v>
      </c>
      <c r="E1893" t="s">
        <v>12</v>
      </c>
      <c r="F1893" t="s">
        <v>17</v>
      </c>
      <c r="G1893" t="s">
        <v>22</v>
      </c>
      <c r="H1893" t="s">
        <v>23</v>
      </c>
      <c r="I1893">
        <v>2</v>
      </c>
      <c r="J1893" s="9">
        <v>9900</v>
      </c>
      <c r="K1893" s="7">
        <v>0.1</v>
      </c>
      <c r="L1893" s="9">
        <v>8910</v>
      </c>
      <c r="M1893" s="10">
        <f>Sales_Data3[[#This Row],[Profit]]/Sales_Data3[[#This Row],[Sales]]</f>
        <v>0.9</v>
      </c>
      <c r="N1893" t="str">
        <f t="shared" si="59"/>
        <v>Medium</v>
      </c>
      <c r="O1893" s="2">
        <v>45733</v>
      </c>
      <c r="P1893" s="9">
        <v>9900</v>
      </c>
    </row>
    <row r="1894" spans="1:16" x14ac:dyDescent="0.25">
      <c r="A1894" t="s">
        <v>1915</v>
      </c>
      <c r="B1894" s="2">
        <v>45734</v>
      </c>
      <c r="C1894">
        <v>2025</v>
      </c>
      <c r="D1894" t="str">
        <f t="shared" si="58"/>
        <v>Mar</v>
      </c>
      <c r="E1894" t="s">
        <v>12</v>
      </c>
      <c r="F1894" t="s">
        <v>2023</v>
      </c>
      <c r="G1894" t="s">
        <v>19</v>
      </c>
      <c r="H1894" t="s">
        <v>23</v>
      </c>
      <c r="I1894">
        <v>6</v>
      </c>
      <c r="J1894" s="9">
        <v>10900</v>
      </c>
      <c r="K1894" s="7">
        <v>0.15000000000000002</v>
      </c>
      <c r="L1894" s="9">
        <v>9265</v>
      </c>
      <c r="M1894" s="10">
        <f>Sales_Data3[[#This Row],[Profit]]/Sales_Data3[[#This Row],[Sales]]</f>
        <v>0.85</v>
      </c>
      <c r="N1894" t="str">
        <f t="shared" si="59"/>
        <v>High</v>
      </c>
      <c r="O1894" s="2">
        <v>45734</v>
      </c>
      <c r="P1894" s="9">
        <v>10900</v>
      </c>
    </row>
    <row r="1895" spans="1:16" x14ac:dyDescent="0.25">
      <c r="A1895" t="s">
        <v>1916</v>
      </c>
      <c r="B1895" s="2">
        <v>45735</v>
      </c>
      <c r="C1895">
        <v>2025</v>
      </c>
      <c r="D1895" t="str">
        <f t="shared" si="58"/>
        <v>Mar</v>
      </c>
      <c r="E1895" t="s">
        <v>12</v>
      </c>
      <c r="F1895" t="s">
        <v>18</v>
      </c>
      <c r="G1895" t="s">
        <v>20</v>
      </c>
      <c r="H1895" t="s">
        <v>23</v>
      </c>
      <c r="I1895">
        <v>3</v>
      </c>
      <c r="J1895" s="9">
        <v>10500</v>
      </c>
      <c r="K1895" s="7">
        <v>0.2</v>
      </c>
      <c r="L1895" s="9">
        <v>8400</v>
      </c>
      <c r="M1895" s="10">
        <f>Sales_Data3[[#This Row],[Profit]]/Sales_Data3[[#This Row],[Sales]]</f>
        <v>0.8</v>
      </c>
      <c r="N1895" t="str">
        <f t="shared" si="59"/>
        <v>High</v>
      </c>
      <c r="O1895" s="2">
        <v>45735</v>
      </c>
      <c r="P1895" s="9">
        <v>10500</v>
      </c>
    </row>
    <row r="1896" spans="1:16" x14ac:dyDescent="0.25">
      <c r="A1896" t="s">
        <v>1917</v>
      </c>
      <c r="B1896" s="2">
        <v>45736</v>
      </c>
      <c r="C1896">
        <v>2025</v>
      </c>
      <c r="D1896" t="str">
        <f t="shared" si="58"/>
        <v>Mar</v>
      </c>
      <c r="E1896" t="s">
        <v>12</v>
      </c>
      <c r="F1896" t="s">
        <v>2024</v>
      </c>
      <c r="G1896" t="s">
        <v>21</v>
      </c>
      <c r="H1896" t="s">
        <v>23</v>
      </c>
      <c r="I1896">
        <v>10</v>
      </c>
      <c r="J1896" s="9">
        <v>10300</v>
      </c>
      <c r="K1896" s="7">
        <v>0.25</v>
      </c>
      <c r="L1896" s="9">
        <v>7725</v>
      </c>
      <c r="M1896" s="10">
        <f>Sales_Data3[[#This Row],[Profit]]/Sales_Data3[[#This Row],[Sales]]</f>
        <v>0.75</v>
      </c>
      <c r="N1896" t="str">
        <f t="shared" si="59"/>
        <v>High</v>
      </c>
      <c r="O1896" s="2">
        <v>45736</v>
      </c>
      <c r="P1896" s="9">
        <v>10300</v>
      </c>
    </row>
    <row r="1897" spans="1:16" x14ac:dyDescent="0.25">
      <c r="A1897" t="s">
        <v>1918</v>
      </c>
      <c r="B1897" s="2">
        <v>45737</v>
      </c>
      <c r="C1897">
        <v>2025</v>
      </c>
      <c r="D1897" t="str">
        <f t="shared" si="58"/>
        <v>Mar</v>
      </c>
      <c r="E1897" t="s">
        <v>12</v>
      </c>
      <c r="F1897" t="s">
        <v>2025</v>
      </c>
      <c r="G1897" t="s">
        <v>22</v>
      </c>
      <c r="H1897" t="s">
        <v>23</v>
      </c>
      <c r="I1897">
        <v>2</v>
      </c>
      <c r="J1897" s="9">
        <v>13700</v>
      </c>
      <c r="K1897" s="7">
        <v>0.05</v>
      </c>
      <c r="L1897" s="9">
        <v>13015</v>
      </c>
      <c r="M1897" s="10">
        <f>Sales_Data3[[#This Row],[Profit]]/Sales_Data3[[#This Row],[Sales]]</f>
        <v>0.95</v>
      </c>
      <c r="N1897" t="str">
        <f t="shared" si="59"/>
        <v>High</v>
      </c>
      <c r="O1897" s="2">
        <v>45737</v>
      </c>
      <c r="P1897" s="9">
        <v>13700</v>
      </c>
    </row>
    <row r="1898" spans="1:16" x14ac:dyDescent="0.25">
      <c r="A1898" t="s">
        <v>1919</v>
      </c>
      <c r="B1898" s="2">
        <v>45738</v>
      </c>
      <c r="C1898">
        <v>2025</v>
      </c>
      <c r="D1898" t="str">
        <f t="shared" si="58"/>
        <v>Mar</v>
      </c>
      <c r="E1898" t="s">
        <v>12</v>
      </c>
      <c r="F1898" t="s">
        <v>2026</v>
      </c>
      <c r="G1898" t="s">
        <v>19</v>
      </c>
      <c r="H1898" t="s">
        <v>23</v>
      </c>
      <c r="I1898">
        <v>9</v>
      </c>
      <c r="J1898" s="9">
        <v>11100</v>
      </c>
      <c r="K1898" s="7">
        <v>0.1</v>
      </c>
      <c r="L1898" s="9">
        <v>9990</v>
      </c>
      <c r="M1898" s="10">
        <f>Sales_Data3[[#This Row],[Profit]]/Sales_Data3[[#This Row],[Sales]]</f>
        <v>0.9</v>
      </c>
      <c r="N1898" t="str">
        <f t="shared" si="59"/>
        <v>High</v>
      </c>
      <c r="O1898" s="2">
        <v>45738</v>
      </c>
      <c r="P1898" s="9">
        <v>11100</v>
      </c>
    </row>
    <row r="1899" spans="1:16" x14ac:dyDescent="0.25">
      <c r="A1899" t="s">
        <v>1920</v>
      </c>
      <c r="B1899" s="2">
        <v>45739</v>
      </c>
      <c r="C1899">
        <v>2025</v>
      </c>
      <c r="D1899" t="str">
        <f t="shared" si="58"/>
        <v>Mar</v>
      </c>
      <c r="E1899" t="s">
        <v>12</v>
      </c>
      <c r="F1899" t="s">
        <v>2027</v>
      </c>
      <c r="G1899" t="s">
        <v>20</v>
      </c>
      <c r="H1899" t="s">
        <v>23</v>
      </c>
      <c r="I1899">
        <v>10</v>
      </c>
      <c r="J1899" s="9">
        <v>4200</v>
      </c>
      <c r="K1899" s="7">
        <v>0.15000000000000002</v>
      </c>
      <c r="L1899" s="9">
        <v>3570</v>
      </c>
      <c r="M1899" s="10">
        <f>Sales_Data3[[#This Row],[Profit]]/Sales_Data3[[#This Row],[Sales]]</f>
        <v>0.85</v>
      </c>
      <c r="N1899" t="str">
        <f t="shared" si="59"/>
        <v>Low</v>
      </c>
      <c r="O1899" s="2">
        <v>45739</v>
      </c>
      <c r="P1899" s="9">
        <v>4200</v>
      </c>
    </row>
    <row r="1900" spans="1:16" x14ac:dyDescent="0.25">
      <c r="A1900" t="s">
        <v>1921</v>
      </c>
      <c r="B1900" s="2">
        <v>45740</v>
      </c>
      <c r="C1900">
        <v>2025</v>
      </c>
      <c r="D1900" t="str">
        <f t="shared" si="58"/>
        <v>Mar</v>
      </c>
      <c r="E1900" t="s">
        <v>12</v>
      </c>
      <c r="F1900" t="s">
        <v>2028</v>
      </c>
      <c r="G1900" t="s">
        <v>21</v>
      </c>
      <c r="H1900" t="s">
        <v>23</v>
      </c>
      <c r="I1900">
        <v>3</v>
      </c>
      <c r="J1900" s="9">
        <v>6600</v>
      </c>
      <c r="K1900" s="7">
        <v>0.2</v>
      </c>
      <c r="L1900" s="9">
        <v>5280</v>
      </c>
      <c r="M1900" s="10">
        <f>Sales_Data3[[#This Row],[Profit]]/Sales_Data3[[#This Row],[Sales]]</f>
        <v>0.8</v>
      </c>
      <c r="N1900" t="str">
        <f t="shared" si="59"/>
        <v>Medium</v>
      </c>
      <c r="O1900" s="2">
        <v>45740</v>
      </c>
      <c r="P1900" s="9">
        <v>6600</v>
      </c>
    </row>
    <row r="1901" spans="1:16" x14ac:dyDescent="0.25">
      <c r="A1901" t="s">
        <v>1922</v>
      </c>
      <c r="B1901" s="2">
        <v>45741</v>
      </c>
      <c r="C1901">
        <v>2025</v>
      </c>
      <c r="D1901" t="str">
        <f t="shared" si="58"/>
        <v>Mar</v>
      </c>
      <c r="E1901" t="s">
        <v>12</v>
      </c>
      <c r="F1901" t="s">
        <v>2029</v>
      </c>
      <c r="G1901" t="s">
        <v>22</v>
      </c>
      <c r="H1901" t="s">
        <v>23</v>
      </c>
      <c r="I1901">
        <v>1</v>
      </c>
      <c r="J1901" s="9">
        <v>5600</v>
      </c>
      <c r="K1901" s="7">
        <v>0.25</v>
      </c>
      <c r="L1901" s="9">
        <v>4200</v>
      </c>
      <c r="M1901" s="10">
        <f>Sales_Data3[[#This Row],[Profit]]/Sales_Data3[[#This Row],[Sales]]</f>
        <v>0.75</v>
      </c>
      <c r="N1901" t="str">
        <f t="shared" si="59"/>
        <v>Medium</v>
      </c>
      <c r="O1901" s="2">
        <v>45741</v>
      </c>
      <c r="P1901" s="9">
        <v>5600</v>
      </c>
    </row>
    <row r="1902" spans="1:16" x14ac:dyDescent="0.25">
      <c r="A1902" t="s">
        <v>1923</v>
      </c>
      <c r="B1902" s="2">
        <v>45742</v>
      </c>
      <c r="C1902">
        <v>2025</v>
      </c>
      <c r="D1902" t="str">
        <f t="shared" si="58"/>
        <v>Mar</v>
      </c>
      <c r="E1902" t="s">
        <v>13</v>
      </c>
      <c r="F1902" t="s">
        <v>16</v>
      </c>
      <c r="G1902" t="s">
        <v>19</v>
      </c>
      <c r="H1902" t="s">
        <v>24</v>
      </c>
      <c r="I1902">
        <v>8</v>
      </c>
      <c r="J1902" s="9">
        <v>5500</v>
      </c>
      <c r="K1902" s="7">
        <v>0.05</v>
      </c>
      <c r="L1902" s="9">
        <v>5225</v>
      </c>
      <c r="M1902" s="10">
        <f>Sales_Data3[[#This Row],[Profit]]/Sales_Data3[[#This Row],[Sales]]</f>
        <v>0.95</v>
      </c>
      <c r="N1902" t="str">
        <f t="shared" si="59"/>
        <v>Medium</v>
      </c>
      <c r="O1902" s="2">
        <v>45742</v>
      </c>
      <c r="P1902" s="9">
        <v>5500</v>
      </c>
    </row>
    <row r="1903" spans="1:16" x14ac:dyDescent="0.25">
      <c r="A1903" t="s">
        <v>1924</v>
      </c>
      <c r="B1903" s="2">
        <v>45743</v>
      </c>
      <c r="C1903">
        <v>2025</v>
      </c>
      <c r="D1903" t="str">
        <f t="shared" si="58"/>
        <v>Mar</v>
      </c>
      <c r="E1903" t="s">
        <v>13</v>
      </c>
      <c r="F1903" t="s">
        <v>2030</v>
      </c>
      <c r="G1903" t="s">
        <v>20</v>
      </c>
      <c r="H1903" t="s">
        <v>24</v>
      </c>
      <c r="I1903">
        <v>10</v>
      </c>
      <c r="J1903" s="9">
        <v>7900</v>
      </c>
      <c r="K1903" s="7">
        <v>0.1</v>
      </c>
      <c r="L1903" s="9">
        <v>7110</v>
      </c>
      <c r="M1903" s="10">
        <f>Sales_Data3[[#This Row],[Profit]]/Sales_Data3[[#This Row],[Sales]]</f>
        <v>0.9</v>
      </c>
      <c r="N1903" t="str">
        <f t="shared" si="59"/>
        <v>Medium</v>
      </c>
      <c r="O1903" s="2">
        <v>45743</v>
      </c>
      <c r="P1903" s="9">
        <v>7900</v>
      </c>
    </row>
    <row r="1904" spans="1:16" x14ac:dyDescent="0.25">
      <c r="A1904" t="s">
        <v>1925</v>
      </c>
      <c r="B1904" s="2">
        <v>45744</v>
      </c>
      <c r="C1904">
        <v>2025</v>
      </c>
      <c r="D1904" t="str">
        <f t="shared" si="58"/>
        <v>Mar</v>
      </c>
      <c r="E1904" t="s">
        <v>13</v>
      </c>
      <c r="F1904" t="s">
        <v>2031</v>
      </c>
      <c r="G1904" t="s">
        <v>21</v>
      </c>
      <c r="H1904" t="s">
        <v>24</v>
      </c>
      <c r="I1904">
        <v>5</v>
      </c>
      <c r="J1904" s="9">
        <v>10100</v>
      </c>
      <c r="K1904" s="7">
        <v>0.15000000000000002</v>
      </c>
      <c r="L1904" s="9">
        <v>8585</v>
      </c>
      <c r="M1904" s="10">
        <f>Sales_Data3[[#This Row],[Profit]]/Sales_Data3[[#This Row],[Sales]]</f>
        <v>0.85</v>
      </c>
      <c r="N1904" t="str">
        <f t="shared" si="59"/>
        <v>High</v>
      </c>
      <c r="O1904" s="2">
        <v>45744</v>
      </c>
      <c r="P1904" s="9">
        <v>10100</v>
      </c>
    </row>
    <row r="1905" spans="1:16" x14ac:dyDescent="0.25">
      <c r="A1905" t="s">
        <v>1926</v>
      </c>
      <c r="B1905" s="2">
        <v>45745</v>
      </c>
      <c r="C1905">
        <v>2025</v>
      </c>
      <c r="D1905" t="str">
        <f t="shared" si="58"/>
        <v>Mar</v>
      </c>
      <c r="E1905" t="s">
        <v>13</v>
      </c>
      <c r="F1905" t="s">
        <v>2032</v>
      </c>
      <c r="G1905" t="s">
        <v>22</v>
      </c>
      <c r="H1905" t="s">
        <v>24</v>
      </c>
      <c r="I1905">
        <v>3</v>
      </c>
      <c r="J1905" s="9">
        <v>7300</v>
      </c>
      <c r="K1905" s="7">
        <v>0.2</v>
      </c>
      <c r="L1905" s="9">
        <v>5840</v>
      </c>
      <c r="M1905" s="10">
        <f>Sales_Data3[[#This Row],[Profit]]/Sales_Data3[[#This Row],[Sales]]</f>
        <v>0.8</v>
      </c>
      <c r="N1905" t="str">
        <f t="shared" si="59"/>
        <v>Medium</v>
      </c>
      <c r="O1905" s="2">
        <v>45745</v>
      </c>
      <c r="P1905" s="9">
        <v>7300</v>
      </c>
    </row>
    <row r="1906" spans="1:16" x14ac:dyDescent="0.25">
      <c r="A1906" t="s">
        <v>1927</v>
      </c>
      <c r="B1906" s="2">
        <v>45746</v>
      </c>
      <c r="C1906">
        <v>2025</v>
      </c>
      <c r="D1906" t="str">
        <f t="shared" si="58"/>
        <v>Mar</v>
      </c>
      <c r="E1906" t="s">
        <v>13</v>
      </c>
      <c r="F1906" t="s">
        <v>2033</v>
      </c>
      <c r="G1906" t="s">
        <v>19</v>
      </c>
      <c r="H1906" t="s">
        <v>24</v>
      </c>
      <c r="I1906">
        <v>3</v>
      </c>
      <c r="J1906" s="9">
        <v>8500</v>
      </c>
      <c r="K1906" s="7">
        <v>0.25</v>
      </c>
      <c r="L1906" s="9">
        <v>6375</v>
      </c>
      <c r="M1906" s="10">
        <f>Sales_Data3[[#This Row],[Profit]]/Sales_Data3[[#This Row],[Sales]]</f>
        <v>0.75</v>
      </c>
      <c r="N1906" t="str">
        <f t="shared" si="59"/>
        <v>Medium</v>
      </c>
      <c r="O1906" s="2">
        <v>45746</v>
      </c>
      <c r="P1906" s="9">
        <v>8500</v>
      </c>
    </row>
    <row r="1907" spans="1:16" x14ac:dyDescent="0.25">
      <c r="A1907" t="s">
        <v>1928</v>
      </c>
      <c r="B1907" s="2">
        <v>45747</v>
      </c>
      <c r="C1907">
        <v>2025</v>
      </c>
      <c r="D1907" t="str">
        <f t="shared" si="58"/>
        <v>Mar</v>
      </c>
      <c r="E1907" t="s">
        <v>13</v>
      </c>
      <c r="F1907" t="s">
        <v>2034</v>
      </c>
      <c r="G1907" t="s">
        <v>20</v>
      </c>
      <c r="H1907" t="s">
        <v>24</v>
      </c>
      <c r="I1907">
        <v>3</v>
      </c>
      <c r="J1907" s="9">
        <v>14900</v>
      </c>
      <c r="K1907" s="7">
        <v>0.05</v>
      </c>
      <c r="L1907" s="9">
        <v>14155</v>
      </c>
      <c r="M1907" s="10">
        <f>Sales_Data3[[#This Row],[Profit]]/Sales_Data3[[#This Row],[Sales]]</f>
        <v>0.95</v>
      </c>
      <c r="N1907" t="str">
        <f t="shared" si="59"/>
        <v>High</v>
      </c>
      <c r="O1907" s="2">
        <v>45747</v>
      </c>
      <c r="P1907" s="9">
        <v>14900</v>
      </c>
    </row>
    <row r="1908" spans="1:16" x14ac:dyDescent="0.25">
      <c r="A1908" t="s">
        <v>1929</v>
      </c>
      <c r="B1908" s="2">
        <v>45748</v>
      </c>
      <c r="C1908">
        <v>2025</v>
      </c>
      <c r="D1908" t="str">
        <f t="shared" si="58"/>
        <v>Apr</v>
      </c>
      <c r="E1908" t="s">
        <v>13</v>
      </c>
      <c r="F1908" t="s">
        <v>2035</v>
      </c>
      <c r="G1908" t="s">
        <v>21</v>
      </c>
      <c r="H1908" t="s">
        <v>24</v>
      </c>
      <c r="I1908">
        <v>4</v>
      </c>
      <c r="J1908" s="9">
        <v>13000</v>
      </c>
      <c r="K1908" s="7">
        <v>0.1</v>
      </c>
      <c r="L1908" s="9">
        <v>11700</v>
      </c>
      <c r="M1908" s="10">
        <f>Sales_Data3[[#This Row],[Profit]]/Sales_Data3[[#This Row],[Sales]]</f>
        <v>0.9</v>
      </c>
      <c r="N1908" t="str">
        <f t="shared" si="59"/>
        <v>High</v>
      </c>
      <c r="O1908" s="2">
        <v>45748</v>
      </c>
      <c r="P1908" s="9">
        <v>13000</v>
      </c>
    </row>
    <row r="1909" spans="1:16" x14ac:dyDescent="0.25">
      <c r="A1909" t="s">
        <v>1930</v>
      </c>
      <c r="B1909" s="2">
        <v>45749</v>
      </c>
      <c r="C1909">
        <v>2025</v>
      </c>
      <c r="D1909" t="str">
        <f t="shared" si="58"/>
        <v>Apr</v>
      </c>
      <c r="E1909" t="s">
        <v>13</v>
      </c>
      <c r="F1909" t="s">
        <v>2036</v>
      </c>
      <c r="G1909" t="s">
        <v>22</v>
      </c>
      <c r="H1909" t="s">
        <v>24</v>
      </c>
      <c r="I1909">
        <v>1</v>
      </c>
      <c r="J1909" s="9">
        <v>4800</v>
      </c>
      <c r="K1909" s="7">
        <v>0.15000000000000002</v>
      </c>
      <c r="L1909" s="9">
        <v>4080</v>
      </c>
      <c r="M1909" s="10">
        <f>Sales_Data3[[#This Row],[Profit]]/Sales_Data3[[#This Row],[Sales]]</f>
        <v>0.85</v>
      </c>
      <c r="N1909" t="str">
        <f t="shared" si="59"/>
        <v>Low</v>
      </c>
      <c r="O1909" s="2">
        <v>45749</v>
      </c>
      <c r="P1909" s="9">
        <v>4800</v>
      </c>
    </row>
    <row r="1910" spans="1:16" x14ac:dyDescent="0.25">
      <c r="A1910" t="s">
        <v>1931</v>
      </c>
      <c r="B1910" s="2">
        <v>45750</v>
      </c>
      <c r="C1910">
        <v>2025</v>
      </c>
      <c r="D1910" t="str">
        <f t="shared" si="58"/>
        <v>Apr</v>
      </c>
      <c r="E1910" t="s">
        <v>13</v>
      </c>
      <c r="F1910" t="s">
        <v>2037</v>
      </c>
      <c r="G1910" t="s">
        <v>19</v>
      </c>
      <c r="H1910" t="s">
        <v>24</v>
      </c>
      <c r="I1910">
        <v>1</v>
      </c>
      <c r="J1910" s="9">
        <v>5500</v>
      </c>
      <c r="K1910" s="7">
        <v>0.2</v>
      </c>
      <c r="L1910" s="9">
        <v>4400</v>
      </c>
      <c r="M1910" s="10">
        <f>Sales_Data3[[#This Row],[Profit]]/Sales_Data3[[#This Row],[Sales]]</f>
        <v>0.8</v>
      </c>
      <c r="N1910" t="str">
        <f t="shared" si="59"/>
        <v>Medium</v>
      </c>
      <c r="O1910" s="2">
        <v>45750</v>
      </c>
      <c r="P1910" s="9">
        <v>5500</v>
      </c>
    </row>
    <row r="1911" spans="1:16" x14ac:dyDescent="0.25">
      <c r="A1911" t="s">
        <v>1932</v>
      </c>
      <c r="B1911" s="2">
        <v>45751</v>
      </c>
      <c r="C1911">
        <v>2025</v>
      </c>
      <c r="D1911" t="str">
        <f t="shared" si="58"/>
        <v>Apr</v>
      </c>
      <c r="E1911" t="s">
        <v>13</v>
      </c>
      <c r="F1911" t="s">
        <v>2038</v>
      </c>
      <c r="G1911" t="s">
        <v>20</v>
      </c>
      <c r="H1911" t="s">
        <v>24</v>
      </c>
      <c r="I1911">
        <v>4</v>
      </c>
      <c r="J1911" s="9">
        <v>15000</v>
      </c>
      <c r="K1911" s="7">
        <v>0.25</v>
      </c>
      <c r="L1911" s="9">
        <v>11250</v>
      </c>
      <c r="M1911" s="10">
        <f>Sales_Data3[[#This Row],[Profit]]/Sales_Data3[[#This Row],[Sales]]</f>
        <v>0.75</v>
      </c>
      <c r="N1911" t="str">
        <f t="shared" si="59"/>
        <v>High</v>
      </c>
      <c r="O1911" s="2">
        <v>45751</v>
      </c>
      <c r="P1911" s="9">
        <v>15000</v>
      </c>
    </row>
    <row r="1912" spans="1:16" x14ac:dyDescent="0.25">
      <c r="A1912" t="s">
        <v>1933</v>
      </c>
      <c r="B1912" s="2">
        <v>45752</v>
      </c>
      <c r="C1912">
        <v>2025</v>
      </c>
      <c r="D1912" t="str">
        <f t="shared" si="58"/>
        <v>Apr</v>
      </c>
      <c r="E1912" t="s">
        <v>14</v>
      </c>
      <c r="F1912" t="s">
        <v>2039</v>
      </c>
      <c r="G1912" t="s">
        <v>21</v>
      </c>
      <c r="H1912" t="s">
        <v>25</v>
      </c>
      <c r="I1912">
        <v>7</v>
      </c>
      <c r="J1912" s="9">
        <v>11300</v>
      </c>
      <c r="K1912" s="7">
        <v>0.05</v>
      </c>
      <c r="L1912" s="9">
        <v>10735</v>
      </c>
      <c r="M1912" s="10">
        <f>Sales_Data3[[#This Row],[Profit]]/Sales_Data3[[#This Row],[Sales]]</f>
        <v>0.95</v>
      </c>
      <c r="N1912" t="str">
        <f t="shared" si="59"/>
        <v>High</v>
      </c>
      <c r="O1912" s="2">
        <v>45752</v>
      </c>
      <c r="P1912" s="9">
        <v>11300</v>
      </c>
    </row>
    <row r="1913" spans="1:16" x14ac:dyDescent="0.25">
      <c r="A1913" t="s">
        <v>1934</v>
      </c>
      <c r="B1913" s="2">
        <v>45753</v>
      </c>
      <c r="C1913">
        <v>2025</v>
      </c>
      <c r="D1913" t="str">
        <f t="shared" si="58"/>
        <v>Apr</v>
      </c>
      <c r="E1913" t="s">
        <v>14</v>
      </c>
      <c r="F1913" t="s">
        <v>2040</v>
      </c>
      <c r="G1913" t="s">
        <v>22</v>
      </c>
      <c r="H1913" t="s">
        <v>25</v>
      </c>
      <c r="I1913">
        <v>5</v>
      </c>
      <c r="J1913" s="9">
        <v>12300</v>
      </c>
      <c r="K1913" s="7">
        <v>0.1</v>
      </c>
      <c r="L1913" s="9">
        <v>11070</v>
      </c>
      <c r="M1913" s="10">
        <f>Sales_Data3[[#This Row],[Profit]]/Sales_Data3[[#This Row],[Sales]]</f>
        <v>0.9</v>
      </c>
      <c r="N1913" t="str">
        <f t="shared" si="59"/>
        <v>High</v>
      </c>
      <c r="O1913" s="2">
        <v>45753</v>
      </c>
      <c r="P1913" s="9">
        <v>12300</v>
      </c>
    </row>
    <row r="1914" spans="1:16" x14ac:dyDescent="0.25">
      <c r="A1914" t="s">
        <v>1935</v>
      </c>
      <c r="B1914" s="2">
        <v>45754</v>
      </c>
      <c r="C1914">
        <v>2025</v>
      </c>
      <c r="D1914" t="str">
        <f t="shared" si="58"/>
        <v>Apr</v>
      </c>
      <c r="E1914" t="s">
        <v>14</v>
      </c>
      <c r="F1914" t="s">
        <v>2041</v>
      </c>
      <c r="G1914" t="s">
        <v>19</v>
      </c>
      <c r="H1914" t="s">
        <v>25</v>
      </c>
      <c r="I1914">
        <v>6</v>
      </c>
      <c r="J1914" s="9">
        <v>5600</v>
      </c>
      <c r="K1914" s="7">
        <v>0.15000000000000002</v>
      </c>
      <c r="L1914" s="9">
        <v>4760</v>
      </c>
      <c r="M1914" s="10">
        <f>Sales_Data3[[#This Row],[Profit]]/Sales_Data3[[#This Row],[Sales]]</f>
        <v>0.85</v>
      </c>
      <c r="N1914" t="str">
        <f t="shared" si="59"/>
        <v>Medium</v>
      </c>
      <c r="O1914" s="2">
        <v>45754</v>
      </c>
      <c r="P1914" s="9">
        <v>5600</v>
      </c>
    </row>
    <row r="1915" spans="1:16" x14ac:dyDescent="0.25">
      <c r="A1915" t="s">
        <v>1936</v>
      </c>
      <c r="B1915" s="2">
        <v>45755</v>
      </c>
      <c r="C1915">
        <v>2025</v>
      </c>
      <c r="D1915" t="str">
        <f t="shared" si="58"/>
        <v>Apr</v>
      </c>
      <c r="E1915" t="s">
        <v>14</v>
      </c>
      <c r="F1915" t="s">
        <v>2042</v>
      </c>
      <c r="G1915" t="s">
        <v>20</v>
      </c>
      <c r="H1915" t="s">
        <v>25</v>
      </c>
      <c r="I1915">
        <v>10</v>
      </c>
      <c r="J1915" s="9">
        <v>12100</v>
      </c>
      <c r="K1915" s="7">
        <v>0.2</v>
      </c>
      <c r="L1915" s="9">
        <v>9680</v>
      </c>
      <c r="M1915" s="10">
        <f>Sales_Data3[[#This Row],[Profit]]/Sales_Data3[[#This Row],[Sales]]</f>
        <v>0.8</v>
      </c>
      <c r="N1915" t="str">
        <f t="shared" si="59"/>
        <v>High</v>
      </c>
      <c r="O1915" s="2">
        <v>45755</v>
      </c>
      <c r="P1915" s="9">
        <v>12100</v>
      </c>
    </row>
    <row r="1916" spans="1:16" x14ac:dyDescent="0.25">
      <c r="A1916" t="s">
        <v>1937</v>
      </c>
      <c r="B1916" s="2">
        <v>45756</v>
      </c>
      <c r="C1916">
        <v>2025</v>
      </c>
      <c r="D1916" t="str">
        <f t="shared" si="58"/>
        <v>Apr</v>
      </c>
      <c r="E1916" t="s">
        <v>14</v>
      </c>
      <c r="F1916" t="s">
        <v>2043</v>
      </c>
      <c r="G1916" t="s">
        <v>21</v>
      </c>
      <c r="H1916" t="s">
        <v>25</v>
      </c>
      <c r="I1916">
        <v>9</v>
      </c>
      <c r="J1916" s="9">
        <v>4700</v>
      </c>
      <c r="K1916" s="7">
        <v>0.25</v>
      </c>
      <c r="L1916" s="9">
        <v>3525</v>
      </c>
      <c r="M1916" s="10">
        <f>Sales_Data3[[#This Row],[Profit]]/Sales_Data3[[#This Row],[Sales]]</f>
        <v>0.75</v>
      </c>
      <c r="N1916" t="str">
        <f t="shared" si="59"/>
        <v>Low</v>
      </c>
      <c r="O1916" s="2">
        <v>45756</v>
      </c>
      <c r="P1916" s="9">
        <v>4700</v>
      </c>
    </row>
    <row r="1917" spans="1:16" x14ac:dyDescent="0.25">
      <c r="A1917" t="s">
        <v>1938</v>
      </c>
      <c r="B1917" s="2">
        <v>45757</v>
      </c>
      <c r="C1917">
        <v>2025</v>
      </c>
      <c r="D1917" t="str">
        <f t="shared" si="58"/>
        <v>Apr</v>
      </c>
      <c r="E1917" t="s">
        <v>14</v>
      </c>
      <c r="F1917" t="s">
        <v>2044</v>
      </c>
      <c r="G1917" t="s">
        <v>22</v>
      </c>
      <c r="H1917" t="s">
        <v>25</v>
      </c>
      <c r="I1917">
        <v>9</v>
      </c>
      <c r="J1917" s="9">
        <v>9800</v>
      </c>
      <c r="K1917" s="7">
        <v>0.05</v>
      </c>
      <c r="L1917" s="9">
        <v>9310</v>
      </c>
      <c r="M1917" s="10">
        <f>Sales_Data3[[#This Row],[Profit]]/Sales_Data3[[#This Row],[Sales]]</f>
        <v>0.95</v>
      </c>
      <c r="N1917" t="str">
        <f t="shared" si="59"/>
        <v>Medium</v>
      </c>
      <c r="O1917" s="2">
        <v>45757</v>
      </c>
      <c r="P1917" s="9">
        <v>9800</v>
      </c>
    </row>
    <row r="1918" spans="1:16" x14ac:dyDescent="0.25">
      <c r="A1918" t="s">
        <v>1939</v>
      </c>
      <c r="B1918" s="2">
        <v>45758</v>
      </c>
      <c r="C1918">
        <v>2025</v>
      </c>
      <c r="D1918" t="str">
        <f t="shared" si="58"/>
        <v>Apr</v>
      </c>
      <c r="E1918" t="s">
        <v>14</v>
      </c>
      <c r="F1918" t="s">
        <v>2045</v>
      </c>
      <c r="G1918" t="s">
        <v>19</v>
      </c>
      <c r="H1918" t="s">
        <v>25</v>
      </c>
      <c r="I1918">
        <v>1</v>
      </c>
      <c r="J1918" s="9">
        <v>9400</v>
      </c>
      <c r="K1918" s="7">
        <v>0.1</v>
      </c>
      <c r="L1918" s="9">
        <v>8460</v>
      </c>
      <c r="M1918" s="10">
        <f>Sales_Data3[[#This Row],[Profit]]/Sales_Data3[[#This Row],[Sales]]</f>
        <v>0.9</v>
      </c>
      <c r="N1918" t="str">
        <f t="shared" si="59"/>
        <v>Medium</v>
      </c>
      <c r="O1918" s="2">
        <v>45758</v>
      </c>
      <c r="P1918" s="9">
        <v>9400</v>
      </c>
    </row>
    <row r="1919" spans="1:16" x14ac:dyDescent="0.25">
      <c r="A1919" t="s">
        <v>1940</v>
      </c>
      <c r="B1919" s="2">
        <v>45759</v>
      </c>
      <c r="C1919">
        <v>2025</v>
      </c>
      <c r="D1919" t="str">
        <f t="shared" si="58"/>
        <v>Apr</v>
      </c>
      <c r="E1919" t="s">
        <v>14</v>
      </c>
      <c r="F1919" t="s">
        <v>2046</v>
      </c>
      <c r="G1919" t="s">
        <v>20</v>
      </c>
      <c r="H1919" t="s">
        <v>25</v>
      </c>
      <c r="I1919">
        <v>8</v>
      </c>
      <c r="J1919" s="9">
        <v>7400</v>
      </c>
      <c r="K1919" s="7">
        <v>0.15000000000000002</v>
      </c>
      <c r="L1919" s="9">
        <v>6290</v>
      </c>
      <c r="M1919" s="10">
        <f>Sales_Data3[[#This Row],[Profit]]/Sales_Data3[[#This Row],[Sales]]</f>
        <v>0.85</v>
      </c>
      <c r="N1919" t="str">
        <f t="shared" si="59"/>
        <v>Medium</v>
      </c>
      <c r="O1919" s="2">
        <v>45759</v>
      </c>
      <c r="P1919" s="9">
        <v>7400</v>
      </c>
    </row>
    <row r="1920" spans="1:16" x14ac:dyDescent="0.25">
      <c r="A1920" t="s">
        <v>1941</v>
      </c>
      <c r="B1920" s="2">
        <v>45760</v>
      </c>
      <c r="C1920">
        <v>2025</v>
      </c>
      <c r="D1920" t="str">
        <f t="shared" si="58"/>
        <v>Apr</v>
      </c>
      <c r="E1920" t="s">
        <v>14</v>
      </c>
      <c r="F1920" t="s">
        <v>2047</v>
      </c>
      <c r="G1920" t="s">
        <v>21</v>
      </c>
      <c r="H1920" t="s">
        <v>25</v>
      </c>
      <c r="I1920">
        <v>6</v>
      </c>
      <c r="J1920" s="9">
        <v>9300</v>
      </c>
      <c r="K1920" s="7">
        <v>0.2</v>
      </c>
      <c r="L1920" s="9">
        <v>7440</v>
      </c>
      <c r="M1920" s="10">
        <f>Sales_Data3[[#This Row],[Profit]]/Sales_Data3[[#This Row],[Sales]]</f>
        <v>0.8</v>
      </c>
      <c r="N1920" t="str">
        <f t="shared" si="59"/>
        <v>Medium</v>
      </c>
      <c r="O1920" s="2">
        <v>45760</v>
      </c>
      <c r="P1920" s="9">
        <v>9300</v>
      </c>
    </row>
    <row r="1921" spans="1:16" x14ac:dyDescent="0.25">
      <c r="A1921" t="s">
        <v>1942</v>
      </c>
      <c r="B1921" s="2">
        <v>45761</v>
      </c>
      <c r="C1921">
        <v>2025</v>
      </c>
      <c r="D1921" t="str">
        <f t="shared" si="58"/>
        <v>Apr</v>
      </c>
      <c r="E1921" t="s">
        <v>14</v>
      </c>
      <c r="F1921" t="s">
        <v>2048</v>
      </c>
      <c r="G1921" t="s">
        <v>22</v>
      </c>
      <c r="H1921" t="s">
        <v>25</v>
      </c>
      <c r="I1921">
        <v>3</v>
      </c>
      <c r="J1921" s="9">
        <v>7100</v>
      </c>
      <c r="K1921" s="7">
        <v>0.25</v>
      </c>
      <c r="L1921" s="9">
        <v>5325</v>
      </c>
      <c r="M1921" s="10">
        <f>Sales_Data3[[#This Row],[Profit]]/Sales_Data3[[#This Row],[Sales]]</f>
        <v>0.75</v>
      </c>
      <c r="N1921" t="str">
        <f t="shared" si="59"/>
        <v>Medium</v>
      </c>
      <c r="O1921" s="2">
        <v>45761</v>
      </c>
      <c r="P1921" s="9">
        <v>7100</v>
      </c>
    </row>
    <row r="1922" spans="1:16" x14ac:dyDescent="0.25">
      <c r="A1922" t="s">
        <v>1943</v>
      </c>
      <c r="B1922" s="2">
        <v>45762</v>
      </c>
      <c r="C1922">
        <v>2025</v>
      </c>
      <c r="D1922" t="str">
        <f t="shared" ref="D1922:D1985" si="60">TEXT(B1922,"MMM")</f>
        <v>Apr</v>
      </c>
      <c r="E1922" t="s">
        <v>12</v>
      </c>
      <c r="F1922" t="s">
        <v>15</v>
      </c>
      <c r="G1922" t="s">
        <v>19</v>
      </c>
      <c r="H1922" t="s">
        <v>23</v>
      </c>
      <c r="I1922">
        <v>9</v>
      </c>
      <c r="J1922" s="9">
        <v>13700</v>
      </c>
      <c r="K1922" s="7">
        <v>0.05</v>
      </c>
      <c r="L1922" s="9">
        <v>13015</v>
      </c>
      <c r="M1922" s="10">
        <f>Sales_Data3[[#This Row],[Profit]]/Sales_Data3[[#This Row],[Sales]]</f>
        <v>0.95</v>
      </c>
      <c r="N1922" t="str">
        <f t="shared" ref="N1922:N1985" si="61">IF(J1922&gt;10000,"High",IF(J1922&gt;5000,"Medium","Low"))</f>
        <v>High</v>
      </c>
      <c r="O1922" s="2">
        <v>45762</v>
      </c>
      <c r="P1922" s="9">
        <v>13700</v>
      </c>
    </row>
    <row r="1923" spans="1:16" x14ac:dyDescent="0.25">
      <c r="A1923" t="s">
        <v>1944</v>
      </c>
      <c r="B1923" s="2">
        <v>45763</v>
      </c>
      <c r="C1923">
        <v>2025</v>
      </c>
      <c r="D1923" t="str">
        <f t="shared" si="60"/>
        <v>Apr</v>
      </c>
      <c r="E1923" t="s">
        <v>12</v>
      </c>
      <c r="F1923" t="s">
        <v>17</v>
      </c>
      <c r="G1923" t="s">
        <v>20</v>
      </c>
      <c r="H1923" t="s">
        <v>23</v>
      </c>
      <c r="I1923">
        <v>10</v>
      </c>
      <c r="J1923" s="9">
        <v>4400</v>
      </c>
      <c r="K1923" s="7">
        <v>0.1</v>
      </c>
      <c r="L1923" s="9">
        <v>3960</v>
      </c>
      <c r="M1923" s="10">
        <f>Sales_Data3[[#This Row],[Profit]]/Sales_Data3[[#This Row],[Sales]]</f>
        <v>0.9</v>
      </c>
      <c r="N1923" t="str">
        <f t="shared" si="61"/>
        <v>Low</v>
      </c>
      <c r="O1923" s="2">
        <v>45763</v>
      </c>
      <c r="P1923" s="9">
        <v>4400</v>
      </c>
    </row>
    <row r="1924" spans="1:16" x14ac:dyDescent="0.25">
      <c r="A1924" t="s">
        <v>1945</v>
      </c>
      <c r="B1924" s="2">
        <v>45764</v>
      </c>
      <c r="C1924">
        <v>2025</v>
      </c>
      <c r="D1924" t="str">
        <f t="shared" si="60"/>
        <v>Apr</v>
      </c>
      <c r="E1924" t="s">
        <v>12</v>
      </c>
      <c r="F1924" t="s">
        <v>2023</v>
      </c>
      <c r="G1924" t="s">
        <v>21</v>
      </c>
      <c r="H1924" t="s">
        <v>23</v>
      </c>
      <c r="I1924">
        <v>3</v>
      </c>
      <c r="J1924" s="9">
        <v>7700</v>
      </c>
      <c r="K1924" s="7">
        <v>0.15000000000000002</v>
      </c>
      <c r="L1924" s="9">
        <v>6545</v>
      </c>
      <c r="M1924" s="10">
        <f>Sales_Data3[[#This Row],[Profit]]/Sales_Data3[[#This Row],[Sales]]</f>
        <v>0.85</v>
      </c>
      <c r="N1924" t="str">
        <f t="shared" si="61"/>
        <v>Medium</v>
      </c>
      <c r="O1924" s="2">
        <v>45764</v>
      </c>
      <c r="P1924" s="9">
        <v>7700</v>
      </c>
    </row>
    <row r="1925" spans="1:16" x14ac:dyDescent="0.25">
      <c r="A1925" t="s">
        <v>1946</v>
      </c>
      <c r="B1925" s="2">
        <v>45765</v>
      </c>
      <c r="C1925">
        <v>2025</v>
      </c>
      <c r="D1925" t="str">
        <f t="shared" si="60"/>
        <v>Apr</v>
      </c>
      <c r="E1925" t="s">
        <v>12</v>
      </c>
      <c r="F1925" t="s">
        <v>18</v>
      </c>
      <c r="G1925" t="s">
        <v>22</v>
      </c>
      <c r="H1925" t="s">
        <v>23</v>
      </c>
      <c r="I1925">
        <v>7</v>
      </c>
      <c r="J1925" s="9">
        <v>4200</v>
      </c>
      <c r="K1925" s="7">
        <v>0.2</v>
      </c>
      <c r="L1925" s="9">
        <v>3360</v>
      </c>
      <c r="M1925" s="10">
        <f>Sales_Data3[[#This Row],[Profit]]/Sales_Data3[[#This Row],[Sales]]</f>
        <v>0.8</v>
      </c>
      <c r="N1925" t="str">
        <f t="shared" si="61"/>
        <v>Low</v>
      </c>
      <c r="O1925" s="2">
        <v>45765</v>
      </c>
      <c r="P1925" s="9">
        <v>4200</v>
      </c>
    </row>
    <row r="1926" spans="1:16" x14ac:dyDescent="0.25">
      <c r="A1926" t="s">
        <v>1947</v>
      </c>
      <c r="B1926" s="2">
        <v>45766</v>
      </c>
      <c r="C1926">
        <v>2025</v>
      </c>
      <c r="D1926" t="str">
        <f t="shared" si="60"/>
        <v>Apr</v>
      </c>
      <c r="E1926" t="s">
        <v>12</v>
      </c>
      <c r="F1926" t="s">
        <v>2024</v>
      </c>
      <c r="G1926" t="s">
        <v>19</v>
      </c>
      <c r="H1926" t="s">
        <v>23</v>
      </c>
      <c r="I1926">
        <v>5</v>
      </c>
      <c r="J1926" s="9">
        <v>14600</v>
      </c>
      <c r="K1926" s="7">
        <v>0.25</v>
      </c>
      <c r="L1926" s="9">
        <v>10950</v>
      </c>
      <c r="M1926" s="10">
        <f>Sales_Data3[[#This Row],[Profit]]/Sales_Data3[[#This Row],[Sales]]</f>
        <v>0.75</v>
      </c>
      <c r="N1926" t="str">
        <f t="shared" si="61"/>
        <v>High</v>
      </c>
      <c r="O1926" s="2">
        <v>45766</v>
      </c>
      <c r="P1926" s="9">
        <v>14600</v>
      </c>
    </row>
    <row r="1927" spans="1:16" x14ac:dyDescent="0.25">
      <c r="A1927" t="s">
        <v>1948</v>
      </c>
      <c r="B1927" s="2">
        <v>45767</v>
      </c>
      <c r="C1927">
        <v>2025</v>
      </c>
      <c r="D1927" t="str">
        <f t="shared" si="60"/>
        <v>Apr</v>
      </c>
      <c r="E1927" t="s">
        <v>12</v>
      </c>
      <c r="F1927" t="s">
        <v>2025</v>
      </c>
      <c r="G1927" t="s">
        <v>20</v>
      </c>
      <c r="H1927" t="s">
        <v>23</v>
      </c>
      <c r="I1927">
        <v>8</v>
      </c>
      <c r="J1927" s="9">
        <v>8700</v>
      </c>
      <c r="K1927" s="7">
        <v>0.05</v>
      </c>
      <c r="L1927" s="9">
        <v>8265</v>
      </c>
      <c r="M1927" s="10">
        <f>Sales_Data3[[#This Row],[Profit]]/Sales_Data3[[#This Row],[Sales]]</f>
        <v>0.95</v>
      </c>
      <c r="N1927" t="str">
        <f t="shared" si="61"/>
        <v>Medium</v>
      </c>
      <c r="O1927" s="2">
        <v>45767</v>
      </c>
      <c r="P1927" s="9">
        <v>8700</v>
      </c>
    </row>
    <row r="1928" spans="1:16" x14ac:dyDescent="0.25">
      <c r="A1928" t="s">
        <v>1949</v>
      </c>
      <c r="B1928" s="2">
        <v>45768</v>
      </c>
      <c r="C1928">
        <v>2025</v>
      </c>
      <c r="D1928" t="str">
        <f t="shared" si="60"/>
        <v>Apr</v>
      </c>
      <c r="E1928" t="s">
        <v>12</v>
      </c>
      <c r="F1928" t="s">
        <v>2026</v>
      </c>
      <c r="G1928" t="s">
        <v>21</v>
      </c>
      <c r="H1928" t="s">
        <v>23</v>
      </c>
      <c r="I1928">
        <v>3</v>
      </c>
      <c r="J1928" s="9">
        <v>12400</v>
      </c>
      <c r="K1928" s="7">
        <v>0.1</v>
      </c>
      <c r="L1928" s="9">
        <v>11160</v>
      </c>
      <c r="M1928" s="10">
        <f>Sales_Data3[[#This Row],[Profit]]/Sales_Data3[[#This Row],[Sales]]</f>
        <v>0.9</v>
      </c>
      <c r="N1928" t="str">
        <f t="shared" si="61"/>
        <v>High</v>
      </c>
      <c r="O1928" s="2">
        <v>45768</v>
      </c>
      <c r="P1928" s="9">
        <v>12400</v>
      </c>
    </row>
    <row r="1929" spans="1:16" x14ac:dyDescent="0.25">
      <c r="A1929" t="s">
        <v>1950</v>
      </c>
      <c r="B1929" s="2">
        <v>45769</v>
      </c>
      <c r="C1929">
        <v>2025</v>
      </c>
      <c r="D1929" t="str">
        <f t="shared" si="60"/>
        <v>Apr</v>
      </c>
      <c r="E1929" t="s">
        <v>12</v>
      </c>
      <c r="F1929" t="s">
        <v>2027</v>
      </c>
      <c r="G1929" t="s">
        <v>22</v>
      </c>
      <c r="H1929" t="s">
        <v>23</v>
      </c>
      <c r="I1929">
        <v>9</v>
      </c>
      <c r="J1929" s="9">
        <v>7200</v>
      </c>
      <c r="K1929" s="7">
        <v>0.15000000000000002</v>
      </c>
      <c r="L1929" s="9">
        <v>6120</v>
      </c>
      <c r="M1929" s="10">
        <f>Sales_Data3[[#This Row],[Profit]]/Sales_Data3[[#This Row],[Sales]]</f>
        <v>0.85</v>
      </c>
      <c r="N1929" t="str">
        <f t="shared" si="61"/>
        <v>Medium</v>
      </c>
      <c r="O1929" s="2">
        <v>45769</v>
      </c>
      <c r="P1929" s="9">
        <v>7200</v>
      </c>
    </row>
    <row r="1930" spans="1:16" x14ac:dyDescent="0.25">
      <c r="A1930" t="s">
        <v>1951</v>
      </c>
      <c r="B1930" s="2">
        <v>45770</v>
      </c>
      <c r="C1930">
        <v>2025</v>
      </c>
      <c r="D1930" t="str">
        <f t="shared" si="60"/>
        <v>Apr</v>
      </c>
      <c r="E1930" t="s">
        <v>12</v>
      </c>
      <c r="F1930" t="s">
        <v>2028</v>
      </c>
      <c r="G1930" t="s">
        <v>19</v>
      </c>
      <c r="H1930" t="s">
        <v>23</v>
      </c>
      <c r="I1930">
        <v>4</v>
      </c>
      <c r="J1930" s="9">
        <v>4600</v>
      </c>
      <c r="K1930" s="7">
        <v>0.2</v>
      </c>
      <c r="L1930" s="9">
        <v>3680</v>
      </c>
      <c r="M1930" s="10">
        <f>Sales_Data3[[#This Row],[Profit]]/Sales_Data3[[#This Row],[Sales]]</f>
        <v>0.8</v>
      </c>
      <c r="N1930" t="str">
        <f t="shared" si="61"/>
        <v>Low</v>
      </c>
      <c r="O1930" s="2">
        <v>45770</v>
      </c>
      <c r="P1930" s="9">
        <v>4600</v>
      </c>
    </row>
    <row r="1931" spans="1:16" x14ac:dyDescent="0.25">
      <c r="A1931" t="s">
        <v>1952</v>
      </c>
      <c r="B1931" s="2">
        <v>45771</v>
      </c>
      <c r="C1931">
        <v>2025</v>
      </c>
      <c r="D1931" t="str">
        <f t="shared" si="60"/>
        <v>Apr</v>
      </c>
      <c r="E1931" t="s">
        <v>12</v>
      </c>
      <c r="F1931" t="s">
        <v>2029</v>
      </c>
      <c r="G1931" t="s">
        <v>20</v>
      </c>
      <c r="H1931" t="s">
        <v>23</v>
      </c>
      <c r="I1931">
        <v>7</v>
      </c>
      <c r="J1931" s="9">
        <v>7300</v>
      </c>
      <c r="K1931" s="7">
        <v>0.25</v>
      </c>
      <c r="L1931" s="9">
        <v>5475</v>
      </c>
      <c r="M1931" s="10">
        <f>Sales_Data3[[#This Row],[Profit]]/Sales_Data3[[#This Row],[Sales]]</f>
        <v>0.75</v>
      </c>
      <c r="N1931" t="str">
        <f t="shared" si="61"/>
        <v>Medium</v>
      </c>
      <c r="O1931" s="2">
        <v>45771</v>
      </c>
      <c r="P1931" s="9">
        <v>7300</v>
      </c>
    </row>
    <row r="1932" spans="1:16" x14ac:dyDescent="0.25">
      <c r="A1932" t="s">
        <v>1953</v>
      </c>
      <c r="B1932" s="2">
        <v>45772</v>
      </c>
      <c r="C1932">
        <v>2025</v>
      </c>
      <c r="D1932" t="str">
        <f t="shared" si="60"/>
        <v>Apr</v>
      </c>
      <c r="E1932" t="s">
        <v>13</v>
      </c>
      <c r="F1932" t="s">
        <v>16</v>
      </c>
      <c r="G1932" t="s">
        <v>21</v>
      </c>
      <c r="H1932" t="s">
        <v>24</v>
      </c>
      <c r="I1932">
        <v>3</v>
      </c>
      <c r="J1932" s="9">
        <v>6300</v>
      </c>
      <c r="K1932" s="7">
        <v>0.05</v>
      </c>
      <c r="L1932" s="9">
        <v>5985</v>
      </c>
      <c r="M1932" s="10">
        <f>Sales_Data3[[#This Row],[Profit]]/Sales_Data3[[#This Row],[Sales]]</f>
        <v>0.95</v>
      </c>
      <c r="N1932" t="str">
        <f t="shared" si="61"/>
        <v>Medium</v>
      </c>
      <c r="O1932" s="2">
        <v>45772</v>
      </c>
      <c r="P1932" s="9">
        <v>6300</v>
      </c>
    </row>
    <row r="1933" spans="1:16" x14ac:dyDescent="0.25">
      <c r="A1933" t="s">
        <v>1954</v>
      </c>
      <c r="B1933" s="2">
        <v>45773</v>
      </c>
      <c r="C1933">
        <v>2025</v>
      </c>
      <c r="D1933" t="str">
        <f t="shared" si="60"/>
        <v>Apr</v>
      </c>
      <c r="E1933" t="s">
        <v>13</v>
      </c>
      <c r="F1933" t="s">
        <v>2030</v>
      </c>
      <c r="G1933" t="s">
        <v>22</v>
      </c>
      <c r="H1933" t="s">
        <v>24</v>
      </c>
      <c r="I1933">
        <v>1</v>
      </c>
      <c r="J1933" s="9">
        <v>7500</v>
      </c>
      <c r="K1933" s="7">
        <v>0.1</v>
      </c>
      <c r="L1933" s="9">
        <v>6750</v>
      </c>
      <c r="M1933" s="10">
        <f>Sales_Data3[[#This Row],[Profit]]/Sales_Data3[[#This Row],[Sales]]</f>
        <v>0.9</v>
      </c>
      <c r="N1933" t="str">
        <f t="shared" si="61"/>
        <v>Medium</v>
      </c>
      <c r="O1933" s="2">
        <v>45773</v>
      </c>
      <c r="P1933" s="9">
        <v>7500</v>
      </c>
    </row>
    <row r="1934" spans="1:16" x14ac:dyDescent="0.25">
      <c r="A1934" t="s">
        <v>1955</v>
      </c>
      <c r="B1934" s="2">
        <v>45774</v>
      </c>
      <c r="C1934">
        <v>2025</v>
      </c>
      <c r="D1934" t="str">
        <f t="shared" si="60"/>
        <v>Apr</v>
      </c>
      <c r="E1934" t="s">
        <v>13</v>
      </c>
      <c r="F1934" t="s">
        <v>2031</v>
      </c>
      <c r="G1934" t="s">
        <v>19</v>
      </c>
      <c r="H1934" t="s">
        <v>24</v>
      </c>
      <c r="I1934">
        <v>5</v>
      </c>
      <c r="J1934" s="9">
        <v>4600</v>
      </c>
      <c r="K1934" s="7">
        <v>0.15000000000000002</v>
      </c>
      <c r="L1934" s="9">
        <v>3910</v>
      </c>
      <c r="M1934" s="10">
        <f>Sales_Data3[[#This Row],[Profit]]/Sales_Data3[[#This Row],[Sales]]</f>
        <v>0.85</v>
      </c>
      <c r="N1934" t="str">
        <f t="shared" si="61"/>
        <v>Low</v>
      </c>
      <c r="O1934" s="2">
        <v>45774</v>
      </c>
      <c r="P1934" s="9">
        <v>4600</v>
      </c>
    </row>
    <row r="1935" spans="1:16" x14ac:dyDescent="0.25">
      <c r="A1935" t="s">
        <v>1956</v>
      </c>
      <c r="B1935" s="2">
        <v>45775</v>
      </c>
      <c r="C1935">
        <v>2025</v>
      </c>
      <c r="D1935" t="str">
        <f t="shared" si="60"/>
        <v>Apr</v>
      </c>
      <c r="E1935" t="s">
        <v>13</v>
      </c>
      <c r="F1935" t="s">
        <v>2032</v>
      </c>
      <c r="G1935" t="s">
        <v>20</v>
      </c>
      <c r="H1935" t="s">
        <v>24</v>
      </c>
      <c r="I1935">
        <v>7</v>
      </c>
      <c r="J1935" s="9">
        <v>14300</v>
      </c>
      <c r="K1935" s="7">
        <v>0.2</v>
      </c>
      <c r="L1935" s="9">
        <v>11440</v>
      </c>
      <c r="M1935" s="10">
        <f>Sales_Data3[[#This Row],[Profit]]/Sales_Data3[[#This Row],[Sales]]</f>
        <v>0.8</v>
      </c>
      <c r="N1935" t="str">
        <f t="shared" si="61"/>
        <v>High</v>
      </c>
      <c r="O1935" s="2">
        <v>45775</v>
      </c>
      <c r="P1935" s="9">
        <v>14300</v>
      </c>
    </row>
    <row r="1936" spans="1:16" x14ac:dyDescent="0.25">
      <c r="A1936" t="s">
        <v>1957</v>
      </c>
      <c r="B1936" s="2">
        <v>45776</v>
      </c>
      <c r="C1936">
        <v>2025</v>
      </c>
      <c r="D1936" t="str">
        <f t="shared" si="60"/>
        <v>Apr</v>
      </c>
      <c r="E1936" t="s">
        <v>13</v>
      </c>
      <c r="F1936" t="s">
        <v>2033</v>
      </c>
      <c r="G1936" t="s">
        <v>21</v>
      </c>
      <c r="H1936" t="s">
        <v>24</v>
      </c>
      <c r="I1936">
        <v>3</v>
      </c>
      <c r="J1936" s="9">
        <v>11600</v>
      </c>
      <c r="K1936" s="7">
        <v>0.25</v>
      </c>
      <c r="L1936" s="9">
        <v>8700</v>
      </c>
      <c r="M1936" s="10">
        <f>Sales_Data3[[#This Row],[Profit]]/Sales_Data3[[#This Row],[Sales]]</f>
        <v>0.75</v>
      </c>
      <c r="N1936" t="str">
        <f t="shared" si="61"/>
        <v>High</v>
      </c>
      <c r="O1936" s="2">
        <v>45776</v>
      </c>
      <c r="P1936" s="9">
        <v>11600</v>
      </c>
    </row>
    <row r="1937" spans="1:16" x14ac:dyDescent="0.25">
      <c r="A1937" t="s">
        <v>1958</v>
      </c>
      <c r="B1937" s="2">
        <v>45777</v>
      </c>
      <c r="C1937">
        <v>2025</v>
      </c>
      <c r="D1937" t="str">
        <f t="shared" si="60"/>
        <v>Apr</v>
      </c>
      <c r="E1937" t="s">
        <v>13</v>
      </c>
      <c r="F1937" t="s">
        <v>2034</v>
      </c>
      <c r="G1937" t="s">
        <v>22</v>
      </c>
      <c r="H1937" t="s">
        <v>24</v>
      </c>
      <c r="I1937">
        <v>5</v>
      </c>
      <c r="J1937" s="9">
        <v>14900</v>
      </c>
      <c r="K1937" s="7">
        <v>0.05</v>
      </c>
      <c r="L1937" s="9">
        <v>14155</v>
      </c>
      <c r="M1937" s="10">
        <f>Sales_Data3[[#This Row],[Profit]]/Sales_Data3[[#This Row],[Sales]]</f>
        <v>0.95</v>
      </c>
      <c r="N1937" t="str">
        <f t="shared" si="61"/>
        <v>High</v>
      </c>
      <c r="O1937" s="2">
        <v>45777</v>
      </c>
      <c r="P1937" s="9">
        <v>14900</v>
      </c>
    </row>
    <row r="1938" spans="1:16" x14ac:dyDescent="0.25">
      <c r="A1938" t="s">
        <v>1959</v>
      </c>
      <c r="B1938" s="2">
        <v>45778</v>
      </c>
      <c r="C1938">
        <v>2025</v>
      </c>
      <c r="D1938" t="str">
        <f t="shared" si="60"/>
        <v>May</v>
      </c>
      <c r="E1938" t="s">
        <v>13</v>
      </c>
      <c r="F1938" t="s">
        <v>2035</v>
      </c>
      <c r="G1938" t="s">
        <v>19</v>
      </c>
      <c r="H1938" t="s">
        <v>24</v>
      </c>
      <c r="I1938">
        <v>1</v>
      </c>
      <c r="J1938" s="9">
        <v>6300</v>
      </c>
      <c r="K1938" s="7">
        <v>0.1</v>
      </c>
      <c r="L1938" s="9">
        <v>5670</v>
      </c>
      <c r="M1938" s="10">
        <f>Sales_Data3[[#This Row],[Profit]]/Sales_Data3[[#This Row],[Sales]]</f>
        <v>0.9</v>
      </c>
      <c r="N1938" t="str">
        <f t="shared" si="61"/>
        <v>Medium</v>
      </c>
      <c r="O1938" s="2">
        <v>45778</v>
      </c>
      <c r="P1938" s="9">
        <v>6300</v>
      </c>
    </row>
    <row r="1939" spans="1:16" x14ac:dyDescent="0.25">
      <c r="A1939" t="s">
        <v>1960</v>
      </c>
      <c r="B1939" s="2">
        <v>45779</v>
      </c>
      <c r="C1939">
        <v>2025</v>
      </c>
      <c r="D1939" t="str">
        <f t="shared" si="60"/>
        <v>May</v>
      </c>
      <c r="E1939" t="s">
        <v>13</v>
      </c>
      <c r="F1939" t="s">
        <v>2036</v>
      </c>
      <c r="G1939" t="s">
        <v>20</v>
      </c>
      <c r="H1939" t="s">
        <v>24</v>
      </c>
      <c r="I1939">
        <v>4</v>
      </c>
      <c r="J1939" s="9">
        <v>8700</v>
      </c>
      <c r="K1939" s="7">
        <v>0.15000000000000002</v>
      </c>
      <c r="L1939" s="9">
        <v>7395</v>
      </c>
      <c r="M1939" s="10">
        <f>Sales_Data3[[#This Row],[Profit]]/Sales_Data3[[#This Row],[Sales]]</f>
        <v>0.85</v>
      </c>
      <c r="N1939" t="str">
        <f t="shared" si="61"/>
        <v>Medium</v>
      </c>
      <c r="O1939" s="2">
        <v>45779</v>
      </c>
      <c r="P1939" s="9">
        <v>8700</v>
      </c>
    </row>
    <row r="1940" spans="1:16" x14ac:dyDescent="0.25">
      <c r="A1940" t="s">
        <v>1961</v>
      </c>
      <c r="B1940" s="2">
        <v>45780</v>
      </c>
      <c r="C1940">
        <v>2025</v>
      </c>
      <c r="D1940" t="str">
        <f t="shared" si="60"/>
        <v>May</v>
      </c>
      <c r="E1940" t="s">
        <v>13</v>
      </c>
      <c r="F1940" t="s">
        <v>2037</v>
      </c>
      <c r="G1940" t="s">
        <v>21</v>
      </c>
      <c r="H1940" t="s">
        <v>24</v>
      </c>
      <c r="I1940">
        <v>4</v>
      </c>
      <c r="J1940" s="9">
        <v>13800</v>
      </c>
      <c r="K1940" s="7">
        <v>0.2</v>
      </c>
      <c r="L1940" s="9">
        <v>11040</v>
      </c>
      <c r="M1940" s="10">
        <f>Sales_Data3[[#This Row],[Profit]]/Sales_Data3[[#This Row],[Sales]]</f>
        <v>0.8</v>
      </c>
      <c r="N1940" t="str">
        <f t="shared" si="61"/>
        <v>High</v>
      </c>
      <c r="O1940" s="2">
        <v>45780</v>
      </c>
      <c r="P1940" s="9">
        <v>13800</v>
      </c>
    </row>
    <row r="1941" spans="1:16" x14ac:dyDescent="0.25">
      <c r="A1941" t="s">
        <v>1962</v>
      </c>
      <c r="B1941" s="2">
        <v>45781</v>
      </c>
      <c r="C1941">
        <v>2025</v>
      </c>
      <c r="D1941" t="str">
        <f t="shared" si="60"/>
        <v>May</v>
      </c>
      <c r="E1941" t="s">
        <v>13</v>
      </c>
      <c r="F1941" t="s">
        <v>2038</v>
      </c>
      <c r="G1941" t="s">
        <v>22</v>
      </c>
      <c r="H1941" t="s">
        <v>24</v>
      </c>
      <c r="I1941">
        <v>5</v>
      </c>
      <c r="J1941" s="9">
        <v>13600</v>
      </c>
      <c r="K1941" s="7">
        <v>0.25</v>
      </c>
      <c r="L1941" s="9">
        <v>10200</v>
      </c>
      <c r="M1941" s="10">
        <f>Sales_Data3[[#This Row],[Profit]]/Sales_Data3[[#This Row],[Sales]]</f>
        <v>0.75</v>
      </c>
      <c r="N1941" t="str">
        <f t="shared" si="61"/>
        <v>High</v>
      </c>
      <c r="O1941" s="2">
        <v>45781</v>
      </c>
      <c r="P1941" s="9">
        <v>13600</v>
      </c>
    </row>
    <row r="1942" spans="1:16" x14ac:dyDescent="0.25">
      <c r="A1942" t="s">
        <v>1963</v>
      </c>
      <c r="B1942" s="2">
        <v>45782</v>
      </c>
      <c r="C1942">
        <v>2025</v>
      </c>
      <c r="D1942" t="str">
        <f t="shared" si="60"/>
        <v>May</v>
      </c>
      <c r="E1942" t="s">
        <v>14</v>
      </c>
      <c r="F1942" t="s">
        <v>2039</v>
      </c>
      <c r="G1942" t="s">
        <v>19</v>
      </c>
      <c r="H1942" t="s">
        <v>25</v>
      </c>
      <c r="I1942">
        <v>9</v>
      </c>
      <c r="J1942" s="9">
        <v>11200</v>
      </c>
      <c r="K1942" s="7">
        <v>0.05</v>
      </c>
      <c r="L1942" s="9">
        <v>10640</v>
      </c>
      <c r="M1942" s="10">
        <f>Sales_Data3[[#This Row],[Profit]]/Sales_Data3[[#This Row],[Sales]]</f>
        <v>0.95</v>
      </c>
      <c r="N1942" t="str">
        <f t="shared" si="61"/>
        <v>High</v>
      </c>
      <c r="O1942" s="2">
        <v>45782</v>
      </c>
      <c r="P1942" s="9">
        <v>11200</v>
      </c>
    </row>
    <row r="1943" spans="1:16" x14ac:dyDescent="0.25">
      <c r="A1943" t="s">
        <v>1964</v>
      </c>
      <c r="B1943" s="2">
        <v>45783</v>
      </c>
      <c r="C1943">
        <v>2025</v>
      </c>
      <c r="D1943" t="str">
        <f t="shared" si="60"/>
        <v>May</v>
      </c>
      <c r="E1943" t="s">
        <v>14</v>
      </c>
      <c r="F1943" t="s">
        <v>2040</v>
      </c>
      <c r="G1943" t="s">
        <v>20</v>
      </c>
      <c r="H1943" t="s">
        <v>25</v>
      </c>
      <c r="I1943">
        <v>4</v>
      </c>
      <c r="J1943" s="9">
        <v>8200</v>
      </c>
      <c r="K1943" s="7">
        <v>0.1</v>
      </c>
      <c r="L1943" s="9">
        <v>7380</v>
      </c>
      <c r="M1943" s="10">
        <f>Sales_Data3[[#This Row],[Profit]]/Sales_Data3[[#This Row],[Sales]]</f>
        <v>0.9</v>
      </c>
      <c r="N1943" t="str">
        <f t="shared" si="61"/>
        <v>Medium</v>
      </c>
      <c r="O1943" s="2">
        <v>45783</v>
      </c>
      <c r="P1943" s="9">
        <v>8200</v>
      </c>
    </row>
    <row r="1944" spans="1:16" x14ac:dyDescent="0.25">
      <c r="A1944" t="s">
        <v>1965</v>
      </c>
      <c r="B1944" s="2">
        <v>45784</v>
      </c>
      <c r="C1944">
        <v>2025</v>
      </c>
      <c r="D1944" t="str">
        <f t="shared" si="60"/>
        <v>May</v>
      </c>
      <c r="E1944" t="s">
        <v>14</v>
      </c>
      <c r="F1944" t="s">
        <v>2041</v>
      </c>
      <c r="G1944" t="s">
        <v>21</v>
      </c>
      <c r="H1944" t="s">
        <v>25</v>
      </c>
      <c r="I1944">
        <v>1</v>
      </c>
      <c r="J1944" s="9">
        <v>8000</v>
      </c>
      <c r="K1944" s="7">
        <v>0.15000000000000002</v>
      </c>
      <c r="L1944" s="9">
        <v>6800</v>
      </c>
      <c r="M1944" s="10">
        <f>Sales_Data3[[#This Row],[Profit]]/Sales_Data3[[#This Row],[Sales]]</f>
        <v>0.85</v>
      </c>
      <c r="N1944" t="str">
        <f t="shared" si="61"/>
        <v>Medium</v>
      </c>
      <c r="O1944" s="2">
        <v>45784</v>
      </c>
      <c r="P1944" s="9">
        <v>8000</v>
      </c>
    </row>
    <row r="1945" spans="1:16" x14ac:dyDescent="0.25">
      <c r="A1945" t="s">
        <v>1966</v>
      </c>
      <c r="B1945" s="2">
        <v>45785</v>
      </c>
      <c r="C1945">
        <v>2025</v>
      </c>
      <c r="D1945" t="str">
        <f t="shared" si="60"/>
        <v>May</v>
      </c>
      <c r="E1945" t="s">
        <v>14</v>
      </c>
      <c r="F1945" t="s">
        <v>2042</v>
      </c>
      <c r="G1945" t="s">
        <v>22</v>
      </c>
      <c r="H1945" t="s">
        <v>25</v>
      </c>
      <c r="I1945">
        <v>6</v>
      </c>
      <c r="J1945" s="9">
        <v>11800</v>
      </c>
      <c r="K1945" s="7">
        <v>0.2</v>
      </c>
      <c r="L1945" s="9">
        <v>9440</v>
      </c>
      <c r="M1945" s="10">
        <f>Sales_Data3[[#This Row],[Profit]]/Sales_Data3[[#This Row],[Sales]]</f>
        <v>0.8</v>
      </c>
      <c r="N1945" t="str">
        <f t="shared" si="61"/>
        <v>High</v>
      </c>
      <c r="O1945" s="2">
        <v>45785</v>
      </c>
      <c r="P1945" s="9">
        <v>11800</v>
      </c>
    </row>
    <row r="1946" spans="1:16" x14ac:dyDescent="0.25">
      <c r="A1946" t="s">
        <v>1967</v>
      </c>
      <c r="B1946" s="2">
        <v>45786</v>
      </c>
      <c r="C1946">
        <v>2025</v>
      </c>
      <c r="D1946" t="str">
        <f t="shared" si="60"/>
        <v>May</v>
      </c>
      <c r="E1946" t="s">
        <v>14</v>
      </c>
      <c r="F1946" t="s">
        <v>2043</v>
      </c>
      <c r="G1946" t="s">
        <v>19</v>
      </c>
      <c r="H1946" t="s">
        <v>25</v>
      </c>
      <c r="I1946">
        <v>7</v>
      </c>
      <c r="J1946" s="9">
        <v>7400</v>
      </c>
      <c r="K1946" s="7">
        <v>0.25</v>
      </c>
      <c r="L1946" s="9">
        <v>5550</v>
      </c>
      <c r="M1946" s="10">
        <f>Sales_Data3[[#This Row],[Profit]]/Sales_Data3[[#This Row],[Sales]]</f>
        <v>0.75</v>
      </c>
      <c r="N1946" t="str">
        <f t="shared" si="61"/>
        <v>Medium</v>
      </c>
      <c r="O1946" s="2">
        <v>45786</v>
      </c>
      <c r="P1946" s="9">
        <v>7400</v>
      </c>
    </row>
    <row r="1947" spans="1:16" x14ac:dyDescent="0.25">
      <c r="A1947" t="s">
        <v>1968</v>
      </c>
      <c r="B1947" s="2">
        <v>45787</v>
      </c>
      <c r="C1947">
        <v>2025</v>
      </c>
      <c r="D1947" t="str">
        <f t="shared" si="60"/>
        <v>May</v>
      </c>
      <c r="E1947" t="s">
        <v>14</v>
      </c>
      <c r="F1947" t="s">
        <v>2044</v>
      </c>
      <c r="G1947" t="s">
        <v>20</v>
      </c>
      <c r="H1947" t="s">
        <v>25</v>
      </c>
      <c r="I1947">
        <v>6</v>
      </c>
      <c r="J1947" s="9">
        <v>12900</v>
      </c>
      <c r="K1947" s="7">
        <v>0.05</v>
      </c>
      <c r="L1947" s="9">
        <v>12255</v>
      </c>
      <c r="M1947" s="10">
        <f>Sales_Data3[[#This Row],[Profit]]/Sales_Data3[[#This Row],[Sales]]</f>
        <v>0.95</v>
      </c>
      <c r="N1947" t="str">
        <f t="shared" si="61"/>
        <v>High</v>
      </c>
      <c r="O1947" s="2">
        <v>45787</v>
      </c>
      <c r="P1947" s="9">
        <v>12900</v>
      </c>
    </row>
    <row r="1948" spans="1:16" x14ac:dyDescent="0.25">
      <c r="A1948" t="s">
        <v>1969</v>
      </c>
      <c r="B1948" s="2">
        <v>45788</v>
      </c>
      <c r="C1948">
        <v>2025</v>
      </c>
      <c r="D1948" t="str">
        <f t="shared" si="60"/>
        <v>May</v>
      </c>
      <c r="E1948" t="s">
        <v>14</v>
      </c>
      <c r="F1948" t="s">
        <v>2045</v>
      </c>
      <c r="G1948" t="s">
        <v>21</v>
      </c>
      <c r="H1948" t="s">
        <v>25</v>
      </c>
      <c r="I1948">
        <v>1</v>
      </c>
      <c r="J1948" s="9">
        <v>11800</v>
      </c>
      <c r="K1948" s="7">
        <v>0.1</v>
      </c>
      <c r="L1948" s="9">
        <v>10620</v>
      </c>
      <c r="M1948" s="10">
        <f>Sales_Data3[[#This Row],[Profit]]/Sales_Data3[[#This Row],[Sales]]</f>
        <v>0.9</v>
      </c>
      <c r="N1948" t="str">
        <f t="shared" si="61"/>
        <v>High</v>
      </c>
      <c r="O1948" s="2">
        <v>45788</v>
      </c>
      <c r="P1948" s="9">
        <v>11800</v>
      </c>
    </row>
    <row r="1949" spans="1:16" x14ac:dyDescent="0.25">
      <c r="A1949" t="s">
        <v>1970</v>
      </c>
      <c r="B1949" s="2">
        <v>45789</v>
      </c>
      <c r="C1949">
        <v>2025</v>
      </c>
      <c r="D1949" t="str">
        <f t="shared" si="60"/>
        <v>May</v>
      </c>
      <c r="E1949" t="s">
        <v>14</v>
      </c>
      <c r="F1949" t="s">
        <v>2046</v>
      </c>
      <c r="G1949" t="s">
        <v>22</v>
      </c>
      <c r="H1949" t="s">
        <v>25</v>
      </c>
      <c r="I1949">
        <v>8</v>
      </c>
      <c r="J1949" s="9">
        <v>5800</v>
      </c>
      <c r="K1949" s="7">
        <v>0.15000000000000002</v>
      </c>
      <c r="L1949" s="9">
        <v>4930</v>
      </c>
      <c r="M1949" s="10">
        <f>Sales_Data3[[#This Row],[Profit]]/Sales_Data3[[#This Row],[Sales]]</f>
        <v>0.85</v>
      </c>
      <c r="N1949" t="str">
        <f t="shared" si="61"/>
        <v>Medium</v>
      </c>
      <c r="O1949" s="2">
        <v>45789</v>
      </c>
      <c r="P1949" s="9">
        <v>5800</v>
      </c>
    </row>
    <row r="1950" spans="1:16" x14ac:dyDescent="0.25">
      <c r="A1950" t="s">
        <v>1971</v>
      </c>
      <c r="B1950" s="2">
        <v>45790</v>
      </c>
      <c r="C1950">
        <v>2025</v>
      </c>
      <c r="D1950" t="str">
        <f t="shared" si="60"/>
        <v>May</v>
      </c>
      <c r="E1950" t="s">
        <v>14</v>
      </c>
      <c r="F1950" t="s">
        <v>2047</v>
      </c>
      <c r="G1950" t="s">
        <v>19</v>
      </c>
      <c r="H1950" t="s">
        <v>25</v>
      </c>
      <c r="I1950">
        <v>3</v>
      </c>
      <c r="J1950" s="9">
        <v>8700</v>
      </c>
      <c r="K1950" s="7">
        <v>0.2</v>
      </c>
      <c r="L1950" s="9">
        <v>6960</v>
      </c>
      <c r="M1950" s="10">
        <f>Sales_Data3[[#This Row],[Profit]]/Sales_Data3[[#This Row],[Sales]]</f>
        <v>0.8</v>
      </c>
      <c r="N1950" t="str">
        <f t="shared" si="61"/>
        <v>Medium</v>
      </c>
      <c r="O1950" s="2">
        <v>45790</v>
      </c>
      <c r="P1950" s="9">
        <v>8700</v>
      </c>
    </row>
    <row r="1951" spans="1:16" x14ac:dyDescent="0.25">
      <c r="A1951" t="s">
        <v>1972</v>
      </c>
      <c r="B1951" s="2">
        <v>45791</v>
      </c>
      <c r="C1951">
        <v>2025</v>
      </c>
      <c r="D1951" t="str">
        <f t="shared" si="60"/>
        <v>May</v>
      </c>
      <c r="E1951" t="s">
        <v>14</v>
      </c>
      <c r="F1951" t="s">
        <v>2048</v>
      </c>
      <c r="G1951" t="s">
        <v>20</v>
      </c>
      <c r="H1951" t="s">
        <v>25</v>
      </c>
      <c r="I1951">
        <v>4</v>
      </c>
      <c r="J1951" s="9">
        <v>13500</v>
      </c>
      <c r="K1951" s="7">
        <v>0.25</v>
      </c>
      <c r="L1951" s="9">
        <v>10125</v>
      </c>
      <c r="M1951" s="10">
        <f>Sales_Data3[[#This Row],[Profit]]/Sales_Data3[[#This Row],[Sales]]</f>
        <v>0.75</v>
      </c>
      <c r="N1951" t="str">
        <f t="shared" si="61"/>
        <v>High</v>
      </c>
      <c r="O1951" s="2">
        <v>45791</v>
      </c>
      <c r="P1951" s="9">
        <v>13500</v>
      </c>
    </row>
    <row r="1952" spans="1:16" x14ac:dyDescent="0.25">
      <c r="A1952" t="s">
        <v>1973</v>
      </c>
      <c r="B1952" s="2">
        <v>45792</v>
      </c>
      <c r="C1952">
        <v>2025</v>
      </c>
      <c r="D1952" t="str">
        <f t="shared" si="60"/>
        <v>May</v>
      </c>
      <c r="E1952" t="s">
        <v>12</v>
      </c>
      <c r="F1952" t="s">
        <v>15</v>
      </c>
      <c r="G1952" t="s">
        <v>21</v>
      </c>
      <c r="H1952" t="s">
        <v>23</v>
      </c>
      <c r="I1952">
        <v>4</v>
      </c>
      <c r="J1952" s="9">
        <v>7100</v>
      </c>
      <c r="K1952" s="7">
        <v>0.05</v>
      </c>
      <c r="L1952" s="9">
        <v>6745</v>
      </c>
      <c r="M1952" s="10">
        <f>Sales_Data3[[#This Row],[Profit]]/Sales_Data3[[#This Row],[Sales]]</f>
        <v>0.95</v>
      </c>
      <c r="N1952" t="str">
        <f t="shared" si="61"/>
        <v>Medium</v>
      </c>
      <c r="O1952" s="2">
        <v>45792</v>
      </c>
      <c r="P1952" s="9">
        <v>7100</v>
      </c>
    </row>
    <row r="1953" spans="1:16" x14ac:dyDescent="0.25">
      <c r="A1953" t="s">
        <v>1974</v>
      </c>
      <c r="B1953" s="2">
        <v>45793</v>
      </c>
      <c r="C1953">
        <v>2025</v>
      </c>
      <c r="D1953" t="str">
        <f t="shared" si="60"/>
        <v>May</v>
      </c>
      <c r="E1953" t="s">
        <v>12</v>
      </c>
      <c r="F1953" t="s">
        <v>17</v>
      </c>
      <c r="G1953" t="s">
        <v>22</v>
      </c>
      <c r="H1953" t="s">
        <v>23</v>
      </c>
      <c r="I1953">
        <v>8</v>
      </c>
      <c r="J1953" s="9">
        <v>7600</v>
      </c>
      <c r="K1953" s="7">
        <v>0.1</v>
      </c>
      <c r="L1953" s="9">
        <v>6840</v>
      </c>
      <c r="M1953" s="10">
        <f>Sales_Data3[[#This Row],[Profit]]/Sales_Data3[[#This Row],[Sales]]</f>
        <v>0.9</v>
      </c>
      <c r="N1953" t="str">
        <f t="shared" si="61"/>
        <v>Medium</v>
      </c>
      <c r="O1953" s="2">
        <v>45793</v>
      </c>
      <c r="P1953" s="9">
        <v>7600</v>
      </c>
    </row>
    <row r="1954" spans="1:16" x14ac:dyDescent="0.25">
      <c r="A1954" t="s">
        <v>1975</v>
      </c>
      <c r="B1954" s="2">
        <v>45794</v>
      </c>
      <c r="C1954">
        <v>2025</v>
      </c>
      <c r="D1954" t="str">
        <f t="shared" si="60"/>
        <v>May</v>
      </c>
      <c r="E1954" t="s">
        <v>12</v>
      </c>
      <c r="F1954" t="s">
        <v>2023</v>
      </c>
      <c r="G1954" t="s">
        <v>19</v>
      </c>
      <c r="H1954" t="s">
        <v>23</v>
      </c>
      <c r="I1954">
        <v>9</v>
      </c>
      <c r="J1954" s="9">
        <v>4100</v>
      </c>
      <c r="K1954" s="7">
        <v>0.15000000000000002</v>
      </c>
      <c r="L1954" s="9">
        <v>3485</v>
      </c>
      <c r="M1954" s="10">
        <f>Sales_Data3[[#This Row],[Profit]]/Sales_Data3[[#This Row],[Sales]]</f>
        <v>0.85</v>
      </c>
      <c r="N1954" t="str">
        <f t="shared" si="61"/>
        <v>Low</v>
      </c>
      <c r="O1954" s="2">
        <v>45794</v>
      </c>
      <c r="P1954" s="9">
        <v>4100</v>
      </c>
    </row>
    <row r="1955" spans="1:16" x14ac:dyDescent="0.25">
      <c r="A1955" t="s">
        <v>1976</v>
      </c>
      <c r="B1955" s="2">
        <v>45795</v>
      </c>
      <c r="C1955">
        <v>2025</v>
      </c>
      <c r="D1955" t="str">
        <f t="shared" si="60"/>
        <v>May</v>
      </c>
      <c r="E1955" t="s">
        <v>12</v>
      </c>
      <c r="F1955" t="s">
        <v>18</v>
      </c>
      <c r="G1955" t="s">
        <v>20</v>
      </c>
      <c r="H1955" t="s">
        <v>23</v>
      </c>
      <c r="I1955">
        <v>3</v>
      </c>
      <c r="J1955" s="9">
        <v>5800</v>
      </c>
      <c r="K1955" s="7">
        <v>0.2</v>
      </c>
      <c r="L1955" s="9">
        <v>4640</v>
      </c>
      <c r="M1955" s="10">
        <f>Sales_Data3[[#This Row],[Profit]]/Sales_Data3[[#This Row],[Sales]]</f>
        <v>0.8</v>
      </c>
      <c r="N1955" t="str">
        <f t="shared" si="61"/>
        <v>Medium</v>
      </c>
      <c r="O1955" s="2">
        <v>45795</v>
      </c>
      <c r="P1955" s="9">
        <v>5800</v>
      </c>
    </row>
    <row r="1956" spans="1:16" x14ac:dyDescent="0.25">
      <c r="A1956" t="s">
        <v>1977</v>
      </c>
      <c r="B1956" s="2">
        <v>45796</v>
      </c>
      <c r="C1956">
        <v>2025</v>
      </c>
      <c r="D1956" t="str">
        <f t="shared" si="60"/>
        <v>May</v>
      </c>
      <c r="E1956" t="s">
        <v>12</v>
      </c>
      <c r="F1956" t="s">
        <v>2024</v>
      </c>
      <c r="G1956" t="s">
        <v>21</v>
      </c>
      <c r="H1956" t="s">
        <v>23</v>
      </c>
      <c r="I1956">
        <v>8</v>
      </c>
      <c r="J1956" s="9">
        <v>5200</v>
      </c>
      <c r="K1956" s="7">
        <v>0.25</v>
      </c>
      <c r="L1956" s="9">
        <v>3900</v>
      </c>
      <c r="M1956" s="10">
        <f>Sales_Data3[[#This Row],[Profit]]/Sales_Data3[[#This Row],[Sales]]</f>
        <v>0.75</v>
      </c>
      <c r="N1956" t="str">
        <f t="shared" si="61"/>
        <v>Medium</v>
      </c>
      <c r="O1956" s="2">
        <v>45796</v>
      </c>
      <c r="P1956" s="9">
        <v>5200</v>
      </c>
    </row>
    <row r="1957" spans="1:16" x14ac:dyDescent="0.25">
      <c r="A1957" t="s">
        <v>1978</v>
      </c>
      <c r="B1957" s="2">
        <v>45797</v>
      </c>
      <c r="C1957">
        <v>2025</v>
      </c>
      <c r="D1957" t="str">
        <f t="shared" si="60"/>
        <v>May</v>
      </c>
      <c r="E1957" t="s">
        <v>12</v>
      </c>
      <c r="F1957" t="s">
        <v>2025</v>
      </c>
      <c r="G1957" t="s">
        <v>22</v>
      </c>
      <c r="H1957" t="s">
        <v>23</v>
      </c>
      <c r="I1957">
        <v>1</v>
      </c>
      <c r="J1957" s="9">
        <v>7400</v>
      </c>
      <c r="K1957" s="7">
        <v>0.05</v>
      </c>
      <c r="L1957" s="9">
        <v>7030</v>
      </c>
      <c r="M1957" s="10">
        <f>Sales_Data3[[#This Row],[Profit]]/Sales_Data3[[#This Row],[Sales]]</f>
        <v>0.95</v>
      </c>
      <c r="N1957" t="str">
        <f t="shared" si="61"/>
        <v>Medium</v>
      </c>
      <c r="O1957" s="2">
        <v>45797</v>
      </c>
      <c r="P1957" s="9">
        <v>7400</v>
      </c>
    </row>
    <row r="1958" spans="1:16" x14ac:dyDescent="0.25">
      <c r="A1958" t="s">
        <v>1979</v>
      </c>
      <c r="B1958" s="2">
        <v>45798</v>
      </c>
      <c r="C1958">
        <v>2025</v>
      </c>
      <c r="D1958" t="str">
        <f t="shared" si="60"/>
        <v>May</v>
      </c>
      <c r="E1958" t="s">
        <v>12</v>
      </c>
      <c r="F1958" t="s">
        <v>2026</v>
      </c>
      <c r="G1958" t="s">
        <v>19</v>
      </c>
      <c r="H1958" t="s">
        <v>23</v>
      </c>
      <c r="I1958">
        <v>6</v>
      </c>
      <c r="J1958" s="9">
        <v>14100</v>
      </c>
      <c r="K1958" s="7">
        <v>0.1</v>
      </c>
      <c r="L1958" s="9">
        <v>12690</v>
      </c>
      <c r="M1958" s="10">
        <f>Sales_Data3[[#This Row],[Profit]]/Sales_Data3[[#This Row],[Sales]]</f>
        <v>0.9</v>
      </c>
      <c r="N1958" t="str">
        <f t="shared" si="61"/>
        <v>High</v>
      </c>
      <c r="O1958" s="2">
        <v>45798</v>
      </c>
      <c r="P1958" s="9">
        <v>14100</v>
      </c>
    </row>
    <row r="1959" spans="1:16" x14ac:dyDescent="0.25">
      <c r="A1959" t="s">
        <v>1980</v>
      </c>
      <c r="B1959" s="2">
        <v>45799</v>
      </c>
      <c r="C1959">
        <v>2025</v>
      </c>
      <c r="D1959" t="str">
        <f t="shared" si="60"/>
        <v>May</v>
      </c>
      <c r="E1959" t="s">
        <v>12</v>
      </c>
      <c r="F1959" t="s">
        <v>2027</v>
      </c>
      <c r="G1959" t="s">
        <v>20</v>
      </c>
      <c r="H1959" t="s">
        <v>23</v>
      </c>
      <c r="I1959">
        <v>3</v>
      </c>
      <c r="J1959" s="9">
        <v>7800</v>
      </c>
      <c r="K1959" s="7">
        <v>0.15000000000000002</v>
      </c>
      <c r="L1959" s="9">
        <v>6630</v>
      </c>
      <c r="M1959" s="10">
        <f>Sales_Data3[[#This Row],[Profit]]/Sales_Data3[[#This Row],[Sales]]</f>
        <v>0.85</v>
      </c>
      <c r="N1959" t="str">
        <f t="shared" si="61"/>
        <v>Medium</v>
      </c>
      <c r="O1959" s="2">
        <v>45799</v>
      </c>
      <c r="P1959" s="9">
        <v>7800</v>
      </c>
    </row>
    <row r="1960" spans="1:16" x14ac:dyDescent="0.25">
      <c r="A1960" t="s">
        <v>1981</v>
      </c>
      <c r="B1960" s="2">
        <v>45800</v>
      </c>
      <c r="C1960">
        <v>2025</v>
      </c>
      <c r="D1960" t="str">
        <f t="shared" si="60"/>
        <v>May</v>
      </c>
      <c r="E1960" t="s">
        <v>12</v>
      </c>
      <c r="F1960" t="s">
        <v>2028</v>
      </c>
      <c r="G1960" t="s">
        <v>21</v>
      </c>
      <c r="H1960" t="s">
        <v>23</v>
      </c>
      <c r="I1960">
        <v>8</v>
      </c>
      <c r="J1960" s="9">
        <v>8100</v>
      </c>
      <c r="K1960" s="7">
        <v>0.2</v>
      </c>
      <c r="L1960" s="9">
        <v>6480</v>
      </c>
      <c r="M1960" s="10">
        <f>Sales_Data3[[#This Row],[Profit]]/Sales_Data3[[#This Row],[Sales]]</f>
        <v>0.8</v>
      </c>
      <c r="N1960" t="str">
        <f t="shared" si="61"/>
        <v>Medium</v>
      </c>
      <c r="O1960" s="2">
        <v>45800</v>
      </c>
      <c r="P1960" s="9">
        <v>8100</v>
      </c>
    </row>
    <row r="1961" spans="1:16" x14ac:dyDescent="0.25">
      <c r="A1961" t="s">
        <v>1982</v>
      </c>
      <c r="B1961" s="2">
        <v>45801</v>
      </c>
      <c r="C1961">
        <v>2025</v>
      </c>
      <c r="D1961" t="str">
        <f t="shared" si="60"/>
        <v>May</v>
      </c>
      <c r="E1961" t="s">
        <v>12</v>
      </c>
      <c r="F1961" t="s">
        <v>2029</v>
      </c>
      <c r="G1961" t="s">
        <v>22</v>
      </c>
      <c r="H1961" t="s">
        <v>23</v>
      </c>
      <c r="I1961">
        <v>5</v>
      </c>
      <c r="J1961" s="9">
        <v>9200</v>
      </c>
      <c r="K1961" s="7">
        <v>0.25</v>
      </c>
      <c r="L1961" s="9">
        <v>6900</v>
      </c>
      <c r="M1961" s="10">
        <f>Sales_Data3[[#This Row],[Profit]]/Sales_Data3[[#This Row],[Sales]]</f>
        <v>0.75</v>
      </c>
      <c r="N1961" t="str">
        <f t="shared" si="61"/>
        <v>Medium</v>
      </c>
      <c r="O1961" s="2">
        <v>45801</v>
      </c>
      <c r="P1961" s="9">
        <v>9200</v>
      </c>
    </row>
    <row r="1962" spans="1:16" x14ac:dyDescent="0.25">
      <c r="A1962" t="s">
        <v>1983</v>
      </c>
      <c r="B1962" s="2">
        <v>45802</v>
      </c>
      <c r="C1962">
        <v>2025</v>
      </c>
      <c r="D1962" t="str">
        <f t="shared" si="60"/>
        <v>May</v>
      </c>
      <c r="E1962" t="s">
        <v>13</v>
      </c>
      <c r="F1962" t="s">
        <v>16</v>
      </c>
      <c r="G1962" t="s">
        <v>19</v>
      </c>
      <c r="H1962" t="s">
        <v>24</v>
      </c>
      <c r="I1962">
        <v>8</v>
      </c>
      <c r="J1962" s="9">
        <v>11400</v>
      </c>
      <c r="K1962" s="7">
        <v>0.05</v>
      </c>
      <c r="L1962" s="9">
        <v>10830</v>
      </c>
      <c r="M1962" s="10">
        <f>Sales_Data3[[#This Row],[Profit]]/Sales_Data3[[#This Row],[Sales]]</f>
        <v>0.95</v>
      </c>
      <c r="N1962" t="str">
        <f t="shared" si="61"/>
        <v>High</v>
      </c>
      <c r="O1962" s="2">
        <v>45802</v>
      </c>
      <c r="P1962" s="9">
        <v>11400</v>
      </c>
    </row>
    <row r="1963" spans="1:16" x14ac:dyDescent="0.25">
      <c r="A1963" t="s">
        <v>1984</v>
      </c>
      <c r="B1963" s="2">
        <v>45803</v>
      </c>
      <c r="C1963">
        <v>2025</v>
      </c>
      <c r="D1963" t="str">
        <f t="shared" si="60"/>
        <v>May</v>
      </c>
      <c r="E1963" t="s">
        <v>13</v>
      </c>
      <c r="F1963" t="s">
        <v>2030</v>
      </c>
      <c r="G1963" t="s">
        <v>20</v>
      </c>
      <c r="H1963" t="s">
        <v>24</v>
      </c>
      <c r="I1963">
        <v>2</v>
      </c>
      <c r="J1963" s="9">
        <v>11700</v>
      </c>
      <c r="K1963" s="7">
        <v>0.1</v>
      </c>
      <c r="L1963" s="9">
        <v>10530</v>
      </c>
      <c r="M1963" s="10">
        <f>Sales_Data3[[#This Row],[Profit]]/Sales_Data3[[#This Row],[Sales]]</f>
        <v>0.9</v>
      </c>
      <c r="N1963" t="str">
        <f t="shared" si="61"/>
        <v>High</v>
      </c>
      <c r="O1963" s="2">
        <v>45803</v>
      </c>
      <c r="P1963" s="9">
        <v>11700</v>
      </c>
    </row>
    <row r="1964" spans="1:16" x14ac:dyDescent="0.25">
      <c r="A1964" t="s">
        <v>1985</v>
      </c>
      <c r="B1964" s="2">
        <v>45804</v>
      </c>
      <c r="C1964">
        <v>2025</v>
      </c>
      <c r="D1964" t="str">
        <f t="shared" si="60"/>
        <v>May</v>
      </c>
      <c r="E1964" t="s">
        <v>13</v>
      </c>
      <c r="F1964" t="s">
        <v>2031</v>
      </c>
      <c r="G1964" t="s">
        <v>21</v>
      </c>
      <c r="H1964" t="s">
        <v>24</v>
      </c>
      <c r="I1964">
        <v>3</v>
      </c>
      <c r="J1964" s="9">
        <v>4800</v>
      </c>
      <c r="K1964" s="7">
        <v>0.15000000000000002</v>
      </c>
      <c r="L1964" s="9">
        <v>4080</v>
      </c>
      <c r="M1964" s="10">
        <f>Sales_Data3[[#This Row],[Profit]]/Sales_Data3[[#This Row],[Sales]]</f>
        <v>0.85</v>
      </c>
      <c r="N1964" t="str">
        <f t="shared" si="61"/>
        <v>Low</v>
      </c>
      <c r="O1964" s="2">
        <v>45804</v>
      </c>
      <c r="P1964" s="9">
        <v>4800</v>
      </c>
    </row>
    <row r="1965" spans="1:16" x14ac:dyDescent="0.25">
      <c r="A1965" t="s">
        <v>1986</v>
      </c>
      <c r="B1965" s="2">
        <v>45805</v>
      </c>
      <c r="C1965">
        <v>2025</v>
      </c>
      <c r="D1965" t="str">
        <f t="shared" si="60"/>
        <v>May</v>
      </c>
      <c r="E1965" t="s">
        <v>13</v>
      </c>
      <c r="F1965" t="s">
        <v>2032</v>
      </c>
      <c r="G1965" t="s">
        <v>22</v>
      </c>
      <c r="H1965" t="s">
        <v>24</v>
      </c>
      <c r="I1965">
        <v>3</v>
      </c>
      <c r="J1965" s="9">
        <v>14500</v>
      </c>
      <c r="K1965" s="7">
        <v>0.2</v>
      </c>
      <c r="L1965" s="9">
        <v>11600</v>
      </c>
      <c r="M1965" s="10">
        <f>Sales_Data3[[#This Row],[Profit]]/Sales_Data3[[#This Row],[Sales]]</f>
        <v>0.8</v>
      </c>
      <c r="N1965" t="str">
        <f t="shared" si="61"/>
        <v>High</v>
      </c>
      <c r="O1965" s="2">
        <v>45805</v>
      </c>
      <c r="P1965" s="9">
        <v>14500</v>
      </c>
    </row>
    <row r="1966" spans="1:16" x14ac:dyDescent="0.25">
      <c r="A1966" t="s">
        <v>1987</v>
      </c>
      <c r="B1966" s="2">
        <v>45806</v>
      </c>
      <c r="C1966">
        <v>2025</v>
      </c>
      <c r="D1966" t="str">
        <f t="shared" si="60"/>
        <v>May</v>
      </c>
      <c r="E1966" t="s">
        <v>13</v>
      </c>
      <c r="F1966" t="s">
        <v>2033</v>
      </c>
      <c r="G1966" t="s">
        <v>19</v>
      </c>
      <c r="H1966" t="s">
        <v>24</v>
      </c>
      <c r="I1966">
        <v>5</v>
      </c>
      <c r="J1966" s="9">
        <v>5600</v>
      </c>
      <c r="K1966" s="7">
        <v>0.25</v>
      </c>
      <c r="L1966" s="9">
        <v>4200</v>
      </c>
      <c r="M1966" s="10">
        <f>Sales_Data3[[#This Row],[Profit]]/Sales_Data3[[#This Row],[Sales]]</f>
        <v>0.75</v>
      </c>
      <c r="N1966" t="str">
        <f t="shared" si="61"/>
        <v>Medium</v>
      </c>
      <c r="O1966" s="2">
        <v>45806</v>
      </c>
      <c r="P1966" s="9">
        <v>5600</v>
      </c>
    </row>
    <row r="1967" spans="1:16" x14ac:dyDescent="0.25">
      <c r="A1967" t="s">
        <v>1988</v>
      </c>
      <c r="B1967" s="2">
        <v>45807</v>
      </c>
      <c r="C1967">
        <v>2025</v>
      </c>
      <c r="D1967" t="str">
        <f t="shared" si="60"/>
        <v>May</v>
      </c>
      <c r="E1967" t="s">
        <v>13</v>
      </c>
      <c r="F1967" t="s">
        <v>2034</v>
      </c>
      <c r="G1967" t="s">
        <v>20</v>
      </c>
      <c r="H1967" t="s">
        <v>24</v>
      </c>
      <c r="I1967">
        <v>3</v>
      </c>
      <c r="J1967" s="9">
        <v>14200</v>
      </c>
      <c r="K1967" s="7">
        <v>0.05</v>
      </c>
      <c r="L1967" s="9">
        <v>13490</v>
      </c>
      <c r="M1967" s="10">
        <f>Sales_Data3[[#This Row],[Profit]]/Sales_Data3[[#This Row],[Sales]]</f>
        <v>0.95</v>
      </c>
      <c r="N1967" t="str">
        <f t="shared" si="61"/>
        <v>High</v>
      </c>
      <c r="O1967" s="2">
        <v>45807</v>
      </c>
      <c r="P1967" s="9">
        <v>14200</v>
      </c>
    </row>
    <row r="1968" spans="1:16" x14ac:dyDescent="0.25">
      <c r="A1968" t="s">
        <v>1989</v>
      </c>
      <c r="B1968" s="2">
        <v>45808</v>
      </c>
      <c r="C1968">
        <v>2025</v>
      </c>
      <c r="D1968" t="str">
        <f t="shared" si="60"/>
        <v>May</v>
      </c>
      <c r="E1968" t="s">
        <v>13</v>
      </c>
      <c r="F1968" t="s">
        <v>2035</v>
      </c>
      <c r="G1968" t="s">
        <v>21</v>
      </c>
      <c r="H1968" t="s">
        <v>24</v>
      </c>
      <c r="I1968">
        <v>9</v>
      </c>
      <c r="J1968" s="9">
        <v>5000</v>
      </c>
      <c r="K1968" s="7">
        <v>0.1</v>
      </c>
      <c r="L1968" s="9">
        <v>4500</v>
      </c>
      <c r="M1968" s="10">
        <f>Sales_Data3[[#This Row],[Profit]]/Sales_Data3[[#This Row],[Sales]]</f>
        <v>0.9</v>
      </c>
      <c r="N1968" t="str">
        <f t="shared" si="61"/>
        <v>Low</v>
      </c>
      <c r="O1968" s="2">
        <v>45808</v>
      </c>
      <c r="P1968" s="9">
        <v>5000</v>
      </c>
    </row>
    <row r="1969" spans="1:16" x14ac:dyDescent="0.25">
      <c r="A1969" t="s">
        <v>1990</v>
      </c>
      <c r="B1969" s="2">
        <v>45809</v>
      </c>
      <c r="C1969">
        <v>2025</v>
      </c>
      <c r="D1969" t="str">
        <f t="shared" si="60"/>
        <v>Jun</v>
      </c>
      <c r="E1969" t="s">
        <v>13</v>
      </c>
      <c r="F1969" t="s">
        <v>2036</v>
      </c>
      <c r="G1969" t="s">
        <v>22</v>
      </c>
      <c r="H1969" t="s">
        <v>24</v>
      </c>
      <c r="I1969">
        <v>7</v>
      </c>
      <c r="J1969" s="9">
        <v>4600</v>
      </c>
      <c r="K1969" s="7">
        <v>0.15000000000000002</v>
      </c>
      <c r="L1969" s="9">
        <v>3910</v>
      </c>
      <c r="M1969" s="10">
        <f>Sales_Data3[[#This Row],[Profit]]/Sales_Data3[[#This Row],[Sales]]</f>
        <v>0.85</v>
      </c>
      <c r="N1969" t="str">
        <f t="shared" si="61"/>
        <v>Low</v>
      </c>
      <c r="O1969" s="2">
        <v>45809</v>
      </c>
      <c r="P1969" s="9">
        <v>4600</v>
      </c>
    </row>
    <row r="1970" spans="1:16" x14ac:dyDescent="0.25">
      <c r="A1970" t="s">
        <v>1991</v>
      </c>
      <c r="B1970" s="2">
        <v>45810</v>
      </c>
      <c r="C1970">
        <v>2025</v>
      </c>
      <c r="D1970" t="str">
        <f t="shared" si="60"/>
        <v>Jun</v>
      </c>
      <c r="E1970" t="s">
        <v>13</v>
      </c>
      <c r="F1970" t="s">
        <v>2037</v>
      </c>
      <c r="G1970" t="s">
        <v>19</v>
      </c>
      <c r="H1970" t="s">
        <v>24</v>
      </c>
      <c r="I1970">
        <v>9</v>
      </c>
      <c r="J1970" s="9">
        <v>4200</v>
      </c>
      <c r="K1970" s="7">
        <v>0.2</v>
      </c>
      <c r="L1970" s="9">
        <v>3360</v>
      </c>
      <c r="M1970" s="10">
        <f>Sales_Data3[[#This Row],[Profit]]/Sales_Data3[[#This Row],[Sales]]</f>
        <v>0.8</v>
      </c>
      <c r="N1970" t="str">
        <f t="shared" si="61"/>
        <v>Low</v>
      </c>
      <c r="O1970" s="2">
        <v>45810</v>
      </c>
      <c r="P1970" s="9">
        <v>4200</v>
      </c>
    </row>
    <row r="1971" spans="1:16" x14ac:dyDescent="0.25">
      <c r="A1971" t="s">
        <v>1992</v>
      </c>
      <c r="B1971" s="2">
        <v>45811</v>
      </c>
      <c r="C1971">
        <v>2025</v>
      </c>
      <c r="D1971" t="str">
        <f t="shared" si="60"/>
        <v>Jun</v>
      </c>
      <c r="E1971" t="s">
        <v>13</v>
      </c>
      <c r="F1971" t="s">
        <v>2038</v>
      </c>
      <c r="G1971" t="s">
        <v>20</v>
      </c>
      <c r="H1971" t="s">
        <v>24</v>
      </c>
      <c r="I1971">
        <v>5</v>
      </c>
      <c r="J1971" s="9">
        <v>4900</v>
      </c>
      <c r="K1971" s="7">
        <v>0.25</v>
      </c>
      <c r="L1971" s="9">
        <v>3675</v>
      </c>
      <c r="M1971" s="10">
        <f>Sales_Data3[[#This Row],[Profit]]/Sales_Data3[[#This Row],[Sales]]</f>
        <v>0.75</v>
      </c>
      <c r="N1971" t="str">
        <f t="shared" si="61"/>
        <v>Low</v>
      </c>
      <c r="O1971" s="2">
        <v>45811</v>
      </c>
      <c r="P1971" s="9">
        <v>4900</v>
      </c>
    </row>
    <row r="1972" spans="1:16" x14ac:dyDescent="0.25">
      <c r="A1972" t="s">
        <v>1993</v>
      </c>
      <c r="B1972" s="2">
        <v>45812</v>
      </c>
      <c r="C1972">
        <v>2025</v>
      </c>
      <c r="D1972" t="str">
        <f t="shared" si="60"/>
        <v>Jun</v>
      </c>
      <c r="E1972" t="s">
        <v>14</v>
      </c>
      <c r="F1972" t="s">
        <v>2039</v>
      </c>
      <c r="G1972" t="s">
        <v>21</v>
      </c>
      <c r="H1972" t="s">
        <v>25</v>
      </c>
      <c r="I1972">
        <v>3</v>
      </c>
      <c r="J1972" s="9">
        <v>11300</v>
      </c>
      <c r="K1972" s="7">
        <v>0.05</v>
      </c>
      <c r="L1972" s="9">
        <v>10735</v>
      </c>
      <c r="M1972" s="10">
        <f>Sales_Data3[[#This Row],[Profit]]/Sales_Data3[[#This Row],[Sales]]</f>
        <v>0.95</v>
      </c>
      <c r="N1972" t="str">
        <f t="shared" si="61"/>
        <v>High</v>
      </c>
      <c r="O1972" s="2">
        <v>45812</v>
      </c>
      <c r="P1972" s="9">
        <v>11300</v>
      </c>
    </row>
    <row r="1973" spans="1:16" x14ac:dyDescent="0.25">
      <c r="A1973" t="s">
        <v>1994</v>
      </c>
      <c r="B1973" s="2">
        <v>45813</v>
      </c>
      <c r="C1973">
        <v>2025</v>
      </c>
      <c r="D1973" t="str">
        <f t="shared" si="60"/>
        <v>Jun</v>
      </c>
      <c r="E1973" t="s">
        <v>14</v>
      </c>
      <c r="F1973" t="s">
        <v>2040</v>
      </c>
      <c r="G1973" t="s">
        <v>22</v>
      </c>
      <c r="H1973" t="s">
        <v>25</v>
      </c>
      <c r="I1973">
        <v>8</v>
      </c>
      <c r="J1973" s="9">
        <v>7900</v>
      </c>
      <c r="K1973" s="7">
        <v>0.1</v>
      </c>
      <c r="L1973" s="9">
        <v>7110</v>
      </c>
      <c r="M1973" s="10">
        <f>Sales_Data3[[#This Row],[Profit]]/Sales_Data3[[#This Row],[Sales]]</f>
        <v>0.9</v>
      </c>
      <c r="N1973" t="str">
        <f t="shared" si="61"/>
        <v>Medium</v>
      </c>
      <c r="O1973" s="2">
        <v>45813</v>
      </c>
      <c r="P1973" s="9">
        <v>7900</v>
      </c>
    </row>
    <row r="1974" spans="1:16" x14ac:dyDescent="0.25">
      <c r="A1974" t="s">
        <v>1995</v>
      </c>
      <c r="B1974" s="2">
        <v>45814</v>
      </c>
      <c r="C1974">
        <v>2025</v>
      </c>
      <c r="D1974" t="str">
        <f t="shared" si="60"/>
        <v>Jun</v>
      </c>
      <c r="E1974" t="s">
        <v>14</v>
      </c>
      <c r="F1974" t="s">
        <v>2041</v>
      </c>
      <c r="G1974" t="s">
        <v>19</v>
      </c>
      <c r="H1974" t="s">
        <v>25</v>
      </c>
      <c r="I1974">
        <v>5</v>
      </c>
      <c r="J1974" s="9">
        <v>5400</v>
      </c>
      <c r="K1974" s="7">
        <v>0.15000000000000002</v>
      </c>
      <c r="L1974" s="9">
        <v>4590</v>
      </c>
      <c r="M1974" s="10">
        <f>Sales_Data3[[#This Row],[Profit]]/Sales_Data3[[#This Row],[Sales]]</f>
        <v>0.85</v>
      </c>
      <c r="N1974" t="str">
        <f t="shared" si="61"/>
        <v>Medium</v>
      </c>
      <c r="O1974" s="2">
        <v>45814</v>
      </c>
      <c r="P1974" s="9">
        <v>5400</v>
      </c>
    </row>
    <row r="1975" spans="1:16" x14ac:dyDescent="0.25">
      <c r="A1975" t="s">
        <v>1996</v>
      </c>
      <c r="B1975" s="2">
        <v>45815</v>
      </c>
      <c r="C1975">
        <v>2025</v>
      </c>
      <c r="D1975" t="str">
        <f t="shared" si="60"/>
        <v>Jun</v>
      </c>
      <c r="E1975" t="s">
        <v>14</v>
      </c>
      <c r="F1975" t="s">
        <v>2042</v>
      </c>
      <c r="G1975" t="s">
        <v>20</v>
      </c>
      <c r="H1975" t="s">
        <v>25</v>
      </c>
      <c r="I1975">
        <v>3</v>
      </c>
      <c r="J1975" s="9">
        <v>5900</v>
      </c>
      <c r="K1975" s="7">
        <v>0.2</v>
      </c>
      <c r="L1975" s="9">
        <v>4720</v>
      </c>
      <c r="M1975" s="10">
        <f>Sales_Data3[[#This Row],[Profit]]/Sales_Data3[[#This Row],[Sales]]</f>
        <v>0.8</v>
      </c>
      <c r="N1975" t="str">
        <f t="shared" si="61"/>
        <v>Medium</v>
      </c>
      <c r="O1975" s="2">
        <v>45815</v>
      </c>
      <c r="P1975" s="9">
        <v>5900</v>
      </c>
    </row>
    <row r="1976" spans="1:16" x14ac:dyDescent="0.25">
      <c r="A1976" t="s">
        <v>1997</v>
      </c>
      <c r="B1976" s="2">
        <v>45816</v>
      </c>
      <c r="C1976">
        <v>2025</v>
      </c>
      <c r="D1976" t="str">
        <f t="shared" si="60"/>
        <v>Jun</v>
      </c>
      <c r="E1976" t="s">
        <v>14</v>
      </c>
      <c r="F1976" t="s">
        <v>2043</v>
      </c>
      <c r="G1976" t="s">
        <v>21</v>
      </c>
      <c r="H1976" t="s">
        <v>25</v>
      </c>
      <c r="I1976">
        <v>7</v>
      </c>
      <c r="J1976" s="9">
        <v>8400</v>
      </c>
      <c r="K1976" s="7">
        <v>0.25</v>
      </c>
      <c r="L1976" s="9">
        <v>6300</v>
      </c>
      <c r="M1976" s="10">
        <f>Sales_Data3[[#This Row],[Profit]]/Sales_Data3[[#This Row],[Sales]]</f>
        <v>0.75</v>
      </c>
      <c r="N1976" t="str">
        <f t="shared" si="61"/>
        <v>Medium</v>
      </c>
      <c r="O1976" s="2">
        <v>45816</v>
      </c>
      <c r="P1976" s="9">
        <v>8400</v>
      </c>
    </row>
    <row r="1977" spans="1:16" x14ac:dyDescent="0.25">
      <c r="A1977" t="s">
        <v>1998</v>
      </c>
      <c r="B1977" s="2">
        <v>45817</v>
      </c>
      <c r="C1977">
        <v>2025</v>
      </c>
      <c r="D1977" t="str">
        <f t="shared" si="60"/>
        <v>Jun</v>
      </c>
      <c r="E1977" t="s">
        <v>14</v>
      </c>
      <c r="F1977" t="s">
        <v>2044</v>
      </c>
      <c r="G1977" t="s">
        <v>22</v>
      </c>
      <c r="H1977" t="s">
        <v>25</v>
      </c>
      <c r="I1977">
        <v>7</v>
      </c>
      <c r="J1977" s="9">
        <v>14200</v>
      </c>
      <c r="K1977" s="7">
        <v>0.05</v>
      </c>
      <c r="L1977" s="9">
        <v>13490</v>
      </c>
      <c r="M1977" s="10">
        <f>Sales_Data3[[#This Row],[Profit]]/Sales_Data3[[#This Row],[Sales]]</f>
        <v>0.95</v>
      </c>
      <c r="N1977" t="str">
        <f t="shared" si="61"/>
        <v>High</v>
      </c>
      <c r="O1977" s="2">
        <v>45817</v>
      </c>
      <c r="P1977" s="9">
        <v>14200</v>
      </c>
    </row>
    <row r="1978" spans="1:16" x14ac:dyDescent="0.25">
      <c r="A1978" t="s">
        <v>1999</v>
      </c>
      <c r="B1978" s="2">
        <v>45818</v>
      </c>
      <c r="C1978">
        <v>2025</v>
      </c>
      <c r="D1978" t="str">
        <f t="shared" si="60"/>
        <v>Jun</v>
      </c>
      <c r="E1978" t="s">
        <v>14</v>
      </c>
      <c r="F1978" t="s">
        <v>2045</v>
      </c>
      <c r="G1978" t="s">
        <v>19</v>
      </c>
      <c r="H1978" t="s">
        <v>25</v>
      </c>
      <c r="I1978">
        <v>5</v>
      </c>
      <c r="J1978" s="9">
        <v>9100</v>
      </c>
      <c r="K1978" s="7">
        <v>0.1</v>
      </c>
      <c r="L1978" s="9">
        <v>8190</v>
      </c>
      <c r="M1978" s="10">
        <f>Sales_Data3[[#This Row],[Profit]]/Sales_Data3[[#This Row],[Sales]]</f>
        <v>0.9</v>
      </c>
      <c r="N1978" t="str">
        <f t="shared" si="61"/>
        <v>Medium</v>
      </c>
      <c r="O1978" s="2">
        <v>45818</v>
      </c>
      <c r="P1978" s="9">
        <v>9100</v>
      </c>
    </row>
    <row r="1979" spans="1:16" x14ac:dyDescent="0.25">
      <c r="A1979" t="s">
        <v>2000</v>
      </c>
      <c r="B1979" s="2">
        <v>45819</v>
      </c>
      <c r="C1979">
        <v>2025</v>
      </c>
      <c r="D1979" t="str">
        <f t="shared" si="60"/>
        <v>Jun</v>
      </c>
      <c r="E1979" t="s">
        <v>14</v>
      </c>
      <c r="F1979" t="s">
        <v>2046</v>
      </c>
      <c r="G1979" t="s">
        <v>20</v>
      </c>
      <c r="H1979" t="s">
        <v>25</v>
      </c>
      <c r="I1979">
        <v>6</v>
      </c>
      <c r="J1979" s="9">
        <v>9100</v>
      </c>
      <c r="K1979" s="7">
        <v>0.15000000000000002</v>
      </c>
      <c r="L1979" s="9">
        <v>7735</v>
      </c>
      <c r="M1979" s="10">
        <f>Sales_Data3[[#This Row],[Profit]]/Sales_Data3[[#This Row],[Sales]]</f>
        <v>0.85</v>
      </c>
      <c r="N1979" t="str">
        <f t="shared" si="61"/>
        <v>Medium</v>
      </c>
      <c r="O1979" s="2">
        <v>45819</v>
      </c>
      <c r="P1979" s="9">
        <v>9100</v>
      </c>
    </row>
    <row r="1980" spans="1:16" x14ac:dyDescent="0.25">
      <c r="A1980" t="s">
        <v>2001</v>
      </c>
      <c r="B1980" s="2">
        <v>45820</v>
      </c>
      <c r="C1980">
        <v>2025</v>
      </c>
      <c r="D1980" t="str">
        <f t="shared" si="60"/>
        <v>Jun</v>
      </c>
      <c r="E1980" t="s">
        <v>14</v>
      </c>
      <c r="F1980" t="s">
        <v>2047</v>
      </c>
      <c r="G1980" t="s">
        <v>21</v>
      </c>
      <c r="H1980" t="s">
        <v>25</v>
      </c>
      <c r="I1980">
        <v>10</v>
      </c>
      <c r="J1980" s="9">
        <v>11700</v>
      </c>
      <c r="K1980" s="7">
        <v>0.2</v>
      </c>
      <c r="L1980" s="9">
        <v>9360</v>
      </c>
      <c r="M1980" s="10">
        <f>Sales_Data3[[#This Row],[Profit]]/Sales_Data3[[#This Row],[Sales]]</f>
        <v>0.8</v>
      </c>
      <c r="N1980" t="str">
        <f t="shared" si="61"/>
        <v>High</v>
      </c>
      <c r="O1980" s="2">
        <v>45820</v>
      </c>
      <c r="P1980" s="9">
        <v>11700</v>
      </c>
    </row>
    <row r="1981" spans="1:16" x14ac:dyDescent="0.25">
      <c r="A1981" t="s">
        <v>2002</v>
      </c>
      <c r="B1981" s="2">
        <v>45821</v>
      </c>
      <c r="C1981">
        <v>2025</v>
      </c>
      <c r="D1981" t="str">
        <f t="shared" si="60"/>
        <v>Jun</v>
      </c>
      <c r="E1981" t="s">
        <v>14</v>
      </c>
      <c r="F1981" t="s">
        <v>2048</v>
      </c>
      <c r="G1981" t="s">
        <v>22</v>
      </c>
      <c r="H1981" t="s">
        <v>25</v>
      </c>
      <c r="I1981">
        <v>8</v>
      </c>
      <c r="J1981" s="9">
        <v>9300</v>
      </c>
      <c r="K1981" s="7">
        <v>0.25</v>
      </c>
      <c r="L1981" s="9">
        <v>6975</v>
      </c>
      <c r="M1981" s="10">
        <f>Sales_Data3[[#This Row],[Profit]]/Sales_Data3[[#This Row],[Sales]]</f>
        <v>0.75</v>
      </c>
      <c r="N1981" t="str">
        <f t="shared" si="61"/>
        <v>Medium</v>
      </c>
      <c r="O1981" s="2">
        <v>45821</v>
      </c>
      <c r="P1981" s="9">
        <v>9300</v>
      </c>
    </row>
    <row r="1982" spans="1:16" x14ac:dyDescent="0.25">
      <c r="A1982" t="s">
        <v>2003</v>
      </c>
      <c r="B1982" s="2">
        <v>45822</v>
      </c>
      <c r="C1982">
        <v>2025</v>
      </c>
      <c r="D1982" t="str">
        <f t="shared" si="60"/>
        <v>Jun</v>
      </c>
      <c r="E1982" t="s">
        <v>12</v>
      </c>
      <c r="F1982" t="s">
        <v>15</v>
      </c>
      <c r="G1982" t="s">
        <v>19</v>
      </c>
      <c r="H1982" t="s">
        <v>23</v>
      </c>
      <c r="I1982">
        <v>8</v>
      </c>
      <c r="J1982" s="9">
        <v>10500</v>
      </c>
      <c r="K1982" s="7">
        <v>0.05</v>
      </c>
      <c r="L1982" s="9">
        <v>9975</v>
      </c>
      <c r="M1982" s="10">
        <f>Sales_Data3[[#This Row],[Profit]]/Sales_Data3[[#This Row],[Sales]]</f>
        <v>0.95</v>
      </c>
      <c r="N1982" t="str">
        <f t="shared" si="61"/>
        <v>High</v>
      </c>
      <c r="O1982" s="2">
        <v>45822</v>
      </c>
      <c r="P1982" s="9">
        <v>10500</v>
      </c>
    </row>
    <row r="1983" spans="1:16" x14ac:dyDescent="0.25">
      <c r="A1983" t="s">
        <v>2004</v>
      </c>
      <c r="B1983" s="2">
        <v>45823</v>
      </c>
      <c r="C1983">
        <v>2025</v>
      </c>
      <c r="D1983" t="str">
        <f t="shared" si="60"/>
        <v>Jun</v>
      </c>
      <c r="E1983" t="s">
        <v>12</v>
      </c>
      <c r="F1983" t="s">
        <v>17</v>
      </c>
      <c r="G1983" t="s">
        <v>20</v>
      </c>
      <c r="H1983" t="s">
        <v>23</v>
      </c>
      <c r="I1983">
        <v>9</v>
      </c>
      <c r="J1983" s="9">
        <v>8200</v>
      </c>
      <c r="K1983" s="7">
        <v>0.1</v>
      </c>
      <c r="L1983" s="9">
        <v>7380</v>
      </c>
      <c r="M1983" s="10">
        <f>Sales_Data3[[#This Row],[Profit]]/Sales_Data3[[#This Row],[Sales]]</f>
        <v>0.9</v>
      </c>
      <c r="N1983" t="str">
        <f t="shared" si="61"/>
        <v>Medium</v>
      </c>
      <c r="O1983" s="2">
        <v>45823</v>
      </c>
      <c r="P1983" s="9">
        <v>8200</v>
      </c>
    </row>
    <row r="1984" spans="1:16" x14ac:dyDescent="0.25">
      <c r="A1984" t="s">
        <v>2005</v>
      </c>
      <c r="B1984" s="2">
        <v>45824</v>
      </c>
      <c r="C1984">
        <v>2025</v>
      </c>
      <c r="D1984" t="str">
        <f t="shared" si="60"/>
        <v>Jun</v>
      </c>
      <c r="E1984" t="s">
        <v>12</v>
      </c>
      <c r="F1984" t="s">
        <v>2023</v>
      </c>
      <c r="G1984" t="s">
        <v>21</v>
      </c>
      <c r="H1984" t="s">
        <v>23</v>
      </c>
      <c r="I1984">
        <v>4</v>
      </c>
      <c r="J1984" s="9">
        <v>15000</v>
      </c>
      <c r="K1984" s="7">
        <v>0.15000000000000002</v>
      </c>
      <c r="L1984" s="9">
        <v>12750</v>
      </c>
      <c r="M1984" s="10">
        <f>Sales_Data3[[#This Row],[Profit]]/Sales_Data3[[#This Row],[Sales]]</f>
        <v>0.85</v>
      </c>
      <c r="N1984" t="str">
        <f t="shared" si="61"/>
        <v>High</v>
      </c>
      <c r="O1984" s="2">
        <v>45824</v>
      </c>
      <c r="P1984" s="9">
        <v>15000</v>
      </c>
    </row>
    <row r="1985" spans="1:16" x14ac:dyDescent="0.25">
      <c r="A1985" t="s">
        <v>2006</v>
      </c>
      <c r="B1985" s="2">
        <v>45825</v>
      </c>
      <c r="C1985">
        <v>2025</v>
      </c>
      <c r="D1985" t="str">
        <f t="shared" si="60"/>
        <v>Jun</v>
      </c>
      <c r="E1985" t="s">
        <v>12</v>
      </c>
      <c r="F1985" t="s">
        <v>18</v>
      </c>
      <c r="G1985" t="s">
        <v>22</v>
      </c>
      <c r="H1985" t="s">
        <v>23</v>
      </c>
      <c r="I1985">
        <v>8</v>
      </c>
      <c r="J1985" s="9">
        <v>11600</v>
      </c>
      <c r="K1985" s="7">
        <v>0.2</v>
      </c>
      <c r="L1985" s="9">
        <v>9280</v>
      </c>
      <c r="M1985" s="10">
        <f>Sales_Data3[[#This Row],[Profit]]/Sales_Data3[[#This Row],[Sales]]</f>
        <v>0.8</v>
      </c>
      <c r="N1985" t="str">
        <f t="shared" si="61"/>
        <v>High</v>
      </c>
      <c r="O1985" s="2">
        <v>45825</v>
      </c>
      <c r="P1985" s="9">
        <v>11600</v>
      </c>
    </row>
    <row r="1986" spans="1:16" x14ac:dyDescent="0.25">
      <c r="A1986" t="s">
        <v>2007</v>
      </c>
      <c r="B1986" s="2">
        <v>45826</v>
      </c>
      <c r="C1986">
        <v>2025</v>
      </c>
      <c r="D1986" t="str">
        <f t="shared" ref="D1986:D2001" si="62">TEXT(B1986,"MMM")</f>
        <v>Jun</v>
      </c>
      <c r="E1986" t="s">
        <v>12</v>
      </c>
      <c r="F1986" t="s">
        <v>2024</v>
      </c>
      <c r="G1986" t="s">
        <v>19</v>
      </c>
      <c r="H1986" t="s">
        <v>23</v>
      </c>
      <c r="I1986">
        <v>10</v>
      </c>
      <c r="J1986" s="9">
        <v>11900</v>
      </c>
      <c r="K1986" s="7">
        <v>0.25</v>
      </c>
      <c r="L1986" s="9">
        <v>8925</v>
      </c>
      <c r="M1986" s="10">
        <f>Sales_Data3[[#This Row],[Profit]]/Sales_Data3[[#This Row],[Sales]]</f>
        <v>0.75</v>
      </c>
      <c r="N1986" t="str">
        <f t="shared" ref="N1986:N2001" si="63">IF(J1986&gt;10000,"High",IF(J1986&gt;5000,"Medium","Low"))</f>
        <v>High</v>
      </c>
      <c r="O1986" s="2">
        <v>45826</v>
      </c>
      <c r="P1986" s="9">
        <v>11900</v>
      </c>
    </row>
    <row r="1987" spans="1:16" x14ac:dyDescent="0.25">
      <c r="A1987" t="s">
        <v>2008</v>
      </c>
      <c r="B1987" s="2">
        <v>45827</v>
      </c>
      <c r="C1987">
        <v>2025</v>
      </c>
      <c r="D1987" t="str">
        <f t="shared" si="62"/>
        <v>Jun</v>
      </c>
      <c r="E1987" t="s">
        <v>12</v>
      </c>
      <c r="F1987" t="s">
        <v>2025</v>
      </c>
      <c r="G1987" t="s">
        <v>20</v>
      </c>
      <c r="H1987" t="s">
        <v>23</v>
      </c>
      <c r="I1987">
        <v>1</v>
      </c>
      <c r="J1987" s="9">
        <v>12100</v>
      </c>
      <c r="K1987" s="7">
        <v>0.05</v>
      </c>
      <c r="L1987" s="9">
        <v>11495</v>
      </c>
      <c r="M1987" s="10">
        <f>Sales_Data3[[#This Row],[Profit]]/Sales_Data3[[#This Row],[Sales]]</f>
        <v>0.95</v>
      </c>
      <c r="N1987" t="str">
        <f t="shared" si="63"/>
        <v>High</v>
      </c>
      <c r="O1987" s="2">
        <v>45827</v>
      </c>
      <c r="P1987" s="9">
        <v>12100</v>
      </c>
    </row>
    <row r="1988" spans="1:16" x14ac:dyDescent="0.25">
      <c r="A1988" t="s">
        <v>2009</v>
      </c>
      <c r="B1988" s="2">
        <v>45828</v>
      </c>
      <c r="C1988">
        <v>2025</v>
      </c>
      <c r="D1988" t="str">
        <f t="shared" si="62"/>
        <v>Jun</v>
      </c>
      <c r="E1988" t="s">
        <v>12</v>
      </c>
      <c r="F1988" t="s">
        <v>2026</v>
      </c>
      <c r="G1988" t="s">
        <v>21</v>
      </c>
      <c r="H1988" t="s">
        <v>23</v>
      </c>
      <c r="I1988">
        <v>9</v>
      </c>
      <c r="J1988" s="9">
        <v>10400</v>
      </c>
      <c r="K1988" s="7">
        <v>0.1</v>
      </c>
      <c r="L1988" s="9">
        <v>9360</v>
      </c>
      <c r="M1988" s="10">
        <f>Sales_Data3[[#This Row],[Profit]]/Sales_Data3[[#This Row],[Sales]]</f>
        <v>0.9</v>
      </c>
      <c r="N1988" t="str">
        <f t="shared" si="63"/>
        <v>High</v>
      </c>
      <c r="O1988" s="2">
        <v>45828</v>
      </c>
      <c r="P1988" s="9">
        <v>10400</v>
      </c>
    </row>
    <row r="1989" spans="1:16" x14ac:dyDescent="0.25">
      <c r="A1989" t="s">
        <v>2010</v>
      </c>
      <c r="B1989" s="2">
        <v>45829</v>
      </c>
      <c r="C1989">
        <v>2025</v>
      </c>
      <c r="D1989" t="str">
        <f t="shared" si="62"/>
        <v>Jun</v>
      </c>
      <c r="E1989" t="s">
        <v>12</v>
      </c>
      <c r="F1989" t="s">
        <v>2027</v>
      </c>
      <c r="G1989" t="s">
        <v>22</v>
      </c>
      <c r="H1989" t="s">
        <v>23</v>
      </c>
      <c r="I1989">
        <v>5</v>
      </c>
      <c r="J1989" s="9">
        <v>14200</v>
      </c>
      <c r="K1989" s="7">
        <v>0.15000000000000002</v>
      </c>
      <c r="L1989" s="9">
        <v>12070</v>
      </c>
      <c r="M1989" s="10">
        <f>Sales_Data3[[#This Row],[Profit]]/Sales_Data3[[#This Row],[Sales]]</f>
        <v>0.85</v>
      </c>
      <c r="N1989" t="str">
        <f t="shared" si="63"/>
        <v>High</v>
      </c>
      <c r="O1989" s="2">
        <v>45829</v>
      </c>
      <c r="P1989" s="9">
        <v>14200</v>
      </c>
    </row>
    <row r="1990" spans="1:16" x14ac:dyDescent="0.25">
      <c r="A1990" t="s">
        <v>2011</v>
      </c>
      <c r="B1990" s="2">
        <v>45830</v>
      </c>
      <c r="C1990">
        <v>2025</v>
      </c>
      <c r="D1990" t="str">
        <f t="shared" si="62"/>
        <v>Jun</v>
      </c>
      <c r="E1990" t="s">
        <v>12</v>
      </c>
      <c r="F1990" t="s">
        <v>2028</v>
      </c>
      <c r="G1990" t="s">
        <v>19</v>
      </c>
      <c r="H1990" t="s">
        <v>23</v>
      </c>
      <c r="I1990">
        <v>6</v>
      </c>
      <c r="J1990" s="9">
        <v>13600</v>
      </c>
      <c r="K1990" s="7">
        <v>0.2</v>
      </c>
      <c r="L1990" s="9">
        <v>10880</v>
      </c>
      <c r="M1990" s="10">
        <f>Sales_Data3[[#This Row],[Profit]]/Sales_Data3[[#This Row],[Sales]]</f>
        <v>0.8</v>
      </c>
      <c r="N1990" t="str">
        <f t="shared" si="63"/>
        <v>High</v>
      </c>
      <c r="O1990" s="2">
        <v>45830</v>
      </c>
      <c r="P1990" s="9">
        <v>13600</v>
      </c>
    </row>
    <row r="1991" spans="1:16" x14ac:dyDescent="0.25">
      <c r="A1991" t="s">
        <v>2012</v>
      </c>
      <c r="B1991" s="2">
        <v>45831</v>
      </c>
      <c r="C1991">
        <v>2025</v>
      </c>
      <c r="D1991" t="str">
        <f t="shared" si="62"/>
        <v>Jun</v>
      </c>
      <c r="E1991" t="s">
        <v>12</v>
      </c>
      <c r="F1991" t="s">
        <v>2029</v>
      </c>
      <c r="G1991" t="s">
        <v>20</v>
      </c>
      <c r="H1991" t="s">
        <v>23</v>
      </c>
      <c r="I1991">
        <v>6</v>
      </c>
      <c r="J1991" s="9">
        <v>8200</v>
      </c>
      <c r="K1991" s="7">
        <v>0.25</v>
      </c>
      <c r="L1991" s="9">
        <v>6150</v>
      </c>
      <c r="M1991" s="10">
        <f>Sales_Data3[[#This Row],[Profit]]/Sales_Data3[[#This Row],[Sales]]</f>
        <v>0.75</v>
      </c>
      <c r="N1991" t="str">
        <f t="shared" si="63"/>
        <v>Medium</v>
      </c>
      <c r="O1991" s="2">
        <v>45831</v>
      </c>
      <c r="P1991" s="9">
        <v>8200</v>
      </c>
    </row>
    <row r="1992" spans="1:16" x14ac:dyDescent="0.25">
      <c r="A1992" t="s">
        <v>2013</v>
      </c>
      <c r="B1992" s="2">
        <v>45832</v>
      </c>
      <c r="C1992">
        <v>2025</v>
      </c>
      <c r="D1992" t="str">
        <f t="shared" si="62"/>
        <v>Jun</v>
      </c>
      <c r="E1992" t="s">
        <v>13</v>
      </c>
      <c r="F1992" t="s">
        <v>16</v>
      </c>
      <c r="G1992" t="s">
        <v>21</v>
      </c>
      <c r="H1992" t="s">
        <v>24</v>
      </c>
      <c r="I1992">
        <v>2</v>
      </c>
      <c r="J1992" s="9">
        <v>13000</v>
      </c>
      <c r="K1992" s="7">
        <v>0.05</v>
      </c>
      <c r="L1992" s="9">
        <v>12350</v>
      </c>
      <c r="M1992" s="10">
        <f>Sales_Data3[[#This Row],[Profit]]/Sales_Data3[[#This Row],[Sales]]</f>
        <v>0.95</v>
      </c>
      <c r="N1992" t="str">
        <f t="shared" si="63"/>
        <v>High</v>
      </c>
      <c r="O1992" s="2">
        <v>45832</v>
      </c>
      <c r="P1992" s="9">
        <v>13000</v>
      </c>
    </row>
    <row r="1993" spans="1:16" x14ac:dyDescent="0.25">
      <c r="A1993" t="s">
        <v>2014</v>
      </c>
      <c r="B1993" s="2">
        <v>45833</v>
      </c>
      <c r="C1993">
        <v>2025</v>
      </c>
      <c r="D1993" t="str">
        <f t="shared" si="62"/>
        <v>Jun</v>
      </c>
      <c r="E1993" t="s">
        <v>13</v>
      </c>
      <c r="F1993" t="s">
        <v>2030</v>
      </c>
      <c r="G1993" t="s">
        <v>22</v>
      </c>
      <c r="H1993" t="s">
        <v>24</v>
      </c>
      <c r="I1993">
        <v>8</v>
      </c>
      <c r="J1993" s="9">
        <v>12500</v>
      </c>
      <c r="K1993" s="7">
        <v>0.1</v>
      </c>
      <c r="L1993" s="9">
        <v>11250</v>
      </c>
      <c r="M1993" s="10">
        <f>Sales_Data3[[#This Row],[Profit]]/Sales_Data3[[#This Row],[Sales]]</f>
        <v>0.9</v>
      </c>
      <c r="N1993" t="str">
        <f t="shared" si="63"/>
        <v>High</v>
      </c>
      <c r="O1993" s="2">
        <v>45833</v>
      </c>
      <c r="P1993" s="9">
        <v>12500</v>
      </c>
    </row>
    <row r="1994" spans="1:16" x14ac:dyDescent="0.25">
      <c r="A1994" t="s">
        <v>2015</v>
      </c>
      <c r="B1994" s="2">
        <v>45834</v>
      </c>
      <c r="C1994">
        <v>2025</v>
      </c>
      <c r="D1994" t="str">
        <f t="shared" si="62"/>
        <v>Jun</v>
      </c>
      <c r="E1994" t="s">
        <v>13</v>
      </c>
      <c r="F1994" t="s">
        <v>2031</v>
      </c>
      <c r="G1994" t="s">
        <v>19</v>
      </c>
      <c r="H1994" t="s">
        <v>24</v>
      </c>
      <c r="I1994">
        <v>8</v>
      </c>
      <c r="J1994" s="9">
        <v>4000</v>
      </c>
      <c r="K1994" s="7">
        <v>0.15000000000000002</v>
      </c>
      <c r="L1994" s="9">
        <v>3400</v>
      </c>
      <c r="M1994" s="10">
        <f>Sales_Data3[[#This Row],[Profit]]/Sales_Data3[[#This Row],[Sales]]</f>
        <v>0.85</v>
      </c>
      <c r="N1994" t="str">
        <f t="shared" si="63"/>
        <v>Low</v>
      </c>
      <c r="O1994" s="2">
        <v>45834</v>
      </c>
      <c r="P1994" s="9">
        <v>4000</v>
      </c>
    </row>
    <row r="1995" spans="1:16" x14ac:dyDescent="0.25">
      <c r="A1995" t="s">
        <v>2016</v>
      </c>
      <c r="B1995" s="2">
        <v>45835</v>
      </c>
      <c r="C1995">
        <v>2025</v>
      </c>
      <c r="D1995" t="str">
        <f t="shared" si="62"/>
        <v>Jun</v>
      </c>
      <c r="E1995" t="s">
        <v>13</v>
      </c>
      <c r="F1995" t="s">
        <v>2032</v>
      </c>
      <c r="G1995" t="s">
        <v>20</v>
      </c>
      <c r="H1995" t="s">
        <v>24</v>
      </c>
      <c r="I1995">
        <v>2</v>
      </c>
      <c r="J1995" s="9">
        <v>4000</v>
      </c>
      <c r="K1995" s="7">
        <v>0.2</v>
      </c>
      <c r="L1995" s="9">
        <v>3200</v>
      </c>
      <c r="M1995" s="10">
        <f>Sales_Data3[[#This Row],[Profit]]/Sales_Data3[[#This Row],[Sales]]</f>
        <v>0.8</v>
      </c>
      <c r="N1995" t="str">
        <f t="shared" si="63"/>
        <v>Low</v>
      </c>
      <c r="O1995" s="2">
        <v>45835</v>
      </c>
      <c r="P1995" s="9">
        <v>4000</v>
      </c>
    </row>
    <row r="1996" spans="1:16" x14ac:dyDescent="0.25">
      <c r="A1996" t="s">
        <v>2017</v>
      </c>
      <c r="B1996" s="2">
        <v>45836</v>
      </c>
      <c r="C1996">
        <v>2025</v>
      </c>
      <c r="D1996" t="str">
        <f t="shared" si="62"/>
        <v>Jun</v>
      </c>
      <c r="E1996" t="s">
        <v>13</v>
      </c>
      <c r="F1996" t="s">
        <v>2033</v>
      </c>
      <c r="G1996" t="s">
        <v>21</v>
      </c>
      <c r="H1996" t="s">
        <v>24</v>
      </c>
      <c r="I1996">
        <v>5</v>
      </c>
      <c r="J1996" s="9">
        <v>10600</v>
      </c>
      <c r="K1996" s="7">
        <v>0.25</v>
      </c>
      <c r="L1996" s="9">
        <v>7950</v>
      </c>
      <c r="M1996" s="10">
        <f>Sales_Data3[[#This Row],[Profit]]/Sales_Data3[[#This Row],[Sales]]</f>
        <v>0.75</v>
      </c>
      <c r="N1996" t="str">
        <f t="shared" si="63"/>
        <v>High</v>
      </c>
      <c r="O1996" s="2">
        <v>45836</v>
      </c>
      <c r="P1996" s="9">
        <v>10600</v>
      </c>
    </row>
    <row r="1997" spans="1:16" x14ac:dyDescent="0.25">
      <c r="A1997" t="s">
        <v>2018</v>
      </c>
      <c r="B1997" s="2">
        <v>45837</v>
      </c>
      <c r="C1997">
        <v>2025</v>
      </c>
      <c r="D1997" t="str">
        <f t="shared" si="62"/>
        <v>Jun</v>
      </c>
      <c r="E1997" t="s">
        <v>13</v>
      </c>
      <c r="F1997" t="s">
        <v>2034</v>
      </c>
      <c r="G1997" t="s">
        <v>22</v>
      </c>
      <c r="H1997" t="s">
        <v>24</v>
      </c>
      <c r="I1997">
        <v>10</v>
      </c>
      <c r="J1997" s="9">
        <v>12000</v>
      </c>
      <c r="K1997" s="7">
        <v>0.05</v>
      </c>
      <c r="L1997" s="9">
        <v>11400</v>
      </c>
      <c r="M1997" s="10">
        <f>Sales_Data3[[#This Row],[Profit]]/Sales_Data3[[#This Row],[Sales]]</f>
        <v>0.95</v>
      </c>
      <c r="N1997" t="str">
        <f t="shared" si="63"/>
        <v>High</v>
      </c>
      <c r="O1997" s="2">
        <v>45837</v>
      </c>
      <c r="P1997" s="9">
        <v>12000</v>
      </c>
    </row>
    <row r="1998" spans="1:16" x14ac:dyDescent="0.25">
      <c r="A1998" t="s">
        <v>2019</v>
      </c>
      <c r="B1998" s="2">
        <v>45838</v>
      </c>
      <c r="C1998">
        <v>2025</v>
      </c>
      <c r="D1998" t="str">
        <f t="shared" si="62"/>
        <v>Jun</v>
      </c>
      <c r="E1998" t="s">
        <v>13</v>
      </c>
      <c r="F1998" t="s">
        <v>2035</v>
      </c>
      <c r="G1998" t="s">
        <v>19</v>
      </c>
      <c r="H1998" t="s">
        <v>24</v>
      </c>
      <c r="I1998">
        <v>1</v>
      </c>
      <c r="J1998" s="9">
        <v>9200</v>
      </c>
      <c r="K1998" s="7">
        <v>0.1</v>
      </c>
      <c r="L1998" s="9">
        <v>8280</v>
      </c>
      <c r="M1998" s="10">
        <f>Sales_Data3[[#This Row],[Profit]]/Sales_Data3[[#This Row],[Sales]]</f>
        <v>0.9</v>
      </c>
      <c r="N1998" t="str">
        <f t="shared" si="63"/>
        <v>Medium</v>
      </c>
      <c r="O1998" s="2">
        <v>45838</v>
      </c>
      <c r="P1998" s="9">
        <v>9200</v>
      </c>
    </row>
    <row r="1999" spans="1:16" x14ac:dyDescent="0.25">
      <c r="A1999" t="s">
        <v>2020</v>
      </c>
      <c r="B1999" s="2">
        <v>45839</v>
      </c>
      <c r="C1999">
        <v>2025</v>
      </c>
      <c r="D1999" t="str">
        <f t="shared" si="62"/>
        <v>Jul</v>
      </c>
      <c r="E1999" t="s">
        <v>13</v>
      </c>
      <c r="F1999" t="s">
        <v>2036</v>
      </c>
      <c r="G1999" t="s">
        <v>20</v>
      </c>
      <c r="H1999" t="s">
        <v>24</v>
      </c>
      <c r="I1999">
        <v>4</v>
      </c>
      <c r="J1999" s="9">
        <v>4200</v>
      </c>
      <c r="K1999" s="7">
        <v>0.15000000000000002</v>
      </c>
      <c r="L1999" s="9">
        <v>3570</v>
      </c>
      <c r="M1999" s="10">
        <f>Sales_Data3[[#This Row],[Profit]]/Sales_Data3[[#This Row],[Sales]]</f>
        <v>0.85</v>
      </c>
      <c r="N1999" t="str">
        <f t="shared" si="63"/>
        <v>Low</v>
      </c>
      <c r="O1999" s="2">
        <v>45839</v>
      </c>
      <c r="P1999" s="9">
        <v>4200</v>
      </c>
    </row>
    <row r="2000" spans="1:16" x14ac:dyDescent="0.25">
      <c r="A2000" t="s">
        <v>2021</v>
      </c>
      <c r="B2000" s="2">
        <v>45840</v>
      </c>
      <c r="C2000">
        <v>2025</v>
      </c>
      <c r="D2000" t="str">
        <f t="shared" si="62"/>
        <v>Jul</v>
      </c>
      <c r="E2000" t="s">
        <v>13</v>
      </c>
      <c r="F2000" t="s">
        <v>2037</v>
      </c>
      <c r="G2000" t="s">
        <v>21</v>
      </c>
      <c r="H2000" t="s">
        <v>24</v>
      </c>
      <c r="I2000">
        <v>8</v>
      </c>
      <c r="J2000" s="9">
        <v>13600</v>
      </c>
      <c r="K2000" s="7">
        <v>0.2</v>
      </c>
      <c r="L2000" s="9">
        <v>10880</v>
      </c>
      <c r="M2000" s="10">
        <f>Sales_Data3[[#This Row],[Profit]]/Sales_Data3[[#This Row],[Sales]]</f>
        <v>0.8</v>
      </c>
      <c r="N2000" t="str">
        <f t="shared" si="63"/>
        <v>High</v>
      </c>
      <c r="O2000" s="2">
        <v>45840</v>
      </c>
      <c r="P2000" s="9">
        <v>13600</v>
      </c>
    </row>
    <row r="2001" spans="1:16" x14ac:dyDescent="0.25">
      <c r="A2001" t="s">
        <v>2022</v>
      </c>
      <c r="B2001" s="2">
        <v>45841</v>
      </c>
      <c r="C2001">
        <v>2025</v>
      </c>
      <c r="D2001" t="str">
        <f t="shared" si="62"/>
        <v>Jul</v>
      </c>
      <c r="E2001" t="s">
        <v>13</v>
      </c>
      <c r="F2001" t="s">
        <v>2038</v>
      </c>
      <c r="G2001" t="s">
        <v>22</v>
      </c>
      <c r="H2001" t="s">
        <v>24</v>
      </c>
      <c r="I2001">
        <v>1</v>
      </c>
      <c r="J2001" s="9">
        <v>10400</v>
      </c>
      <c r="K2001" s="7">
        <v>0.25</v>
      </c>
      <c r="L2001" s="9">
        <v>7800</v>
      </c>
      <c r="M2001" s="10">
        <f>Sales_Data3[[#This Row],[Profit]]/Sales_Data3[[#This Row],[Sales]]</f>
        <v>0.75</v>
      </c>
      <c r="N2001" t="str">
        <f t="shared" si="63"/>
        <v>High</v>
      </c>
      <c r="O2001" s="2">
        <v>45841</v>
      </c>
      <c r="P2001" s="9">
        <v>10400</v>
      </c>
    </row>
  </sheetData>
  <dataValidations count="1">
    <dataValidation type="decimal" allowBlank="1" showInputMessage="1" showErrorMessage="1" sqref="K3" xr:uid="{B37469AA-D24A-4970-9EB8-F1A6E988C125}">
      <formula1>0</formula1>
      <formula2>0.5</formula2>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EB3EE-DC0D-4F7A-B8FC-4AE60050461A}">
  <dimension ref="A1:P75"/>
  <sheetViews>
    <sheetView tabSelected="1" workbookViewId="0">
      <selection activeCell="L1" sqref="L1:M1"/>
    </sheetView>
  </sheetViews>
  <sheetFormatPr defaultRowHeight="15" x14ac:dyDescent="0.25"/>
  <cols>
    <col min="1" max="1" width="17.28515625" customWidth="1"/>
    <col min="2" max="2" width="13" customWidth="1"/>
    <col min="3" max="3" width="12.140625" bestFit="1" customWidth="1"/>
    <col min="4" max="4" width="13.140625" bestFit="1" customWidth="1"/>
    <col min="5" max="5" width="12.140625" bestFit="1" customWidth="1"/>
    <col min="6" max="6" width="12.5703125" bestFit="1" customWidth="1"/>
    <col min="8" max="8" width="14.5703125" bestFit="1" customWidth="1"/>
    <col min="9" max="9" width="12.140625" bestFit="1" customWidth="1"/>
    <col min="10" max="10" width="13.42578125" bestFit="1" customWidth="1"/>
    <col min="12" max="12" width="16.5703125" customWidth="1"/>
    <col min="13" max="13" width="12.140625" bestFit="1" customWidth="1"/>
    <col min="16" max="16" width="19" bestFit="1" customWidth="1"/>
  </cols>
  <sheetData>
    <row r="1" spans="1:16" ht="18.75" x14ac:dyDescent="0.3">
      <c r="A1" s="26" t="s">
        <v>2069</v>
      </c>
      <c r="B1" s="26"/>
      <c r="D1" s="26" t="s">
        <v>2070</v>
      </c>
      <c r="E1" s="26"/>
      <c r="F1" s="26"/>
      <c r="H1" s="26" t="s">
        <v>2071</v>
      </c>
      <c r="I1" s="26"/>
      <c r="J1" s="26"/>
      <c r="K1" t="s">
        <v>2073</v>
      </c>
      <c r="L1" s="26" t="s">
        <v>2072</v>
      </c>
      <c r="M1" s="26"/>
      <c r="P1" t="s">
        <v>2094</v>
      </c>
    </row>
    <row r="2" spans="1:16" x14ac:dyDescent="0.25">
      <c r="A2" s="11" t="s">
        <v>2055</v>
      </c>
      <c r="B2" t="s">
        <v>2054</v>
      </c>
      <c r="D2" s="11" t="s">
        <v>2055</v>
      </c>
      <c r="E2" t="s">
        <v>2054</v>
      </c>
      <c r="F2" t="s">
        <v>2068</v>
      </c>
      <c r="H2" s="11" t="s">
        <v>2055</v>
      </c>
      <c r="I2" t="s">
        <v>2054</v>
      </c>
      <c r="J2" t="s">
        <v>2052</v>
      </c>
      <c r="L2" s="11" t="s">
        <v>2055</v>
      </c>
      <c r="M2" s="16" t="s">
        <v>2054</v>
      </c>
      <c r="P2" s="15">
        <v>0.15</v>
      </c>
    </row>
    <row r="3" spans="1:16" x14ac:dyDescent="0.25">
      <c r="A3" s="12">
        <v>2020</v>
      </c>
      <c r="B3" s="14">
        <v>3354600</v>
      </c>
      <c r="D3" s="12" t="s">
        <v>21</v>
      </c>
      <c r="E3" s="14">
        <v>4834800</v>
      </c>
      <c r="F3" s="14">
        <v>4108925</v>
      </c>
      <c r="H3" s="12" t="s">
        <v>12</v>
      </c>
      <c r="I3" s="14">
        <v>6436500</v>
      </c>
      <c r="J3" s="15">
        <v>0.84999999999999987</v>
      </c>
      <c r="L3" s="12" t="s">
        <v>23</v>
      </c>
      <c r="M3" s="14">
        <v>6436500</v>
      </c>
    </row>
    <row r="4" spans="1:16" x14ac:dyDescent="0.25">
      <c r="A4" s="13" t="s">
        <v>2056</v>
      </c>
      <c r="B4" s="14">
        <v>191600</v>
      </c>
      <c r="D4" s="12" t="s">
        <v>19</v>
      </c>
      <c r="E4" s="14">
        <v>4713200</v>
      </c>
      <c r="F4" s="14">
        <v>4008795</v>
      </c>
      <c r="H4" s="12" t="s">
        <v>13</v>
      </c>
      <c r="I4" s="14">
        <v>6384400</v>
      </c>
      <c r="J4" s="15">
        <v>0.84999999999999987</v>
      </c>
      <c r="L4" s="12" t="s">
        <v>24</v>
      </c>
      <c r="M4" s="14">
        <v>6384400</v>
      </c>
    </row>
    <row r="5" spans="1:16" x14ac:dyDescent="0.25">
      <c r="A5" s="13" t="s">
        <v>2057</v>
      </c>
      <c r="B5" s="14">
        <v>266700</v>
      </c>
      <c r="D5" s="12" t="s">
        <v>20</v>
      </c>
      <c r="E5" s="14">
        <v>4778000</v>
      </c>
      <c r="F5" s="14">
        <v>4052705</v>
      </c>
      <c r="H5" s="12" t="s">
        <v>14</v>
      </c>
      <c r="I5" s="14">
        <v>6252700</v>
      </c>
      <c r="J5" s="15">
        <v>0.84999999999999987</v>
      </c>
      <c r="L5" s="12" t="s">
        <v>25</v>
      </c>
      <c r="M5" s="14">
        <v>6252700</v>
      </c>
    </row>
    <row r="6" spans="1:16" x14ac:dyDescent="0.25">
      <c r="A6" s="13" t="s">
        <v>2058</v>
      </c>
      <c r="B6" s="14">
        <v>304600</v>
      </c>
      <c r="D6" s="12" t="s">
        <v>22</v>
      </c>
      <c r="E6" s="14">
        <v>4747600</v>
      </c>
      <c r="F6" s="14">
        <v>4038670</v>
      </c>
    </row>
    <row r="7" spans="1:16" x14ac:dyDescent="0.25">
      <c r="A7" s="13" t="s">
        <v>2059</v>
      </c>
      <c r="B7" s="14">
        <v>300000</v>
      </c>
    </row>
    <row r="8" spans="1:16" x14ac:dyDescent="0.25">
      <c r="A8" s="13" t="s">
        <v>2060</v>
      </c>
      <c r="B8" s="14">
        <v>295000</v>
      </c>
    </row>
    <row r="9" spans="1:16" x14ac:dyDescent="0.25">
      <c r="A9" s="13" t="s">
        <v>2061</v>
      </c>
      <c r="B9" s="14">
        <v>265800</v>
      </c>
    </row>
    <row r="10" spans="1:16" x14ac:dyDescent="0.25">
      <c r="A10" s="13" t="s">
        <v>2062</v>
      </c>
      <c r="B10" s="14">
        <v>318800</v>
      </c>
    </row>
    <row r="11" spans="1:16" x14ac:dyDescent="0.25">
      <c r="A11" s="13" t="s">
        <v>2063</v>
      </c>
      <c r="B11" s="14">
        <v>307500</v>
      </c>
    </row>
    <row r="12" spans="1:16" x14ac:dyDescent="0.25">
      <c r="A12" s="13" t="s">
        <v>2064</v>
      </c>
      <c r="B12" s="14">
        <v>281400</v>
      </c>
    </row>
    <row r="13" spans="1:16" x14ac:dyDescent="0.25">
      <c r="A13" s="13" t="s">
        <v>2065</v>
      </c>
      <c r="B13" s="14">
        <v>263700</v>
      </c>
    </row>
    <row r="14" spans="1:16" x14ac:dyDescent="0.25">
      <c r="A14" s="13" t="s">
        <v>2066</v>
      </c>
      <c r="B14" s="14">
        <v>295500</v>
      </c>
    </row>
    <row r="15" spans="1:16" x14ac:dyDescent="0.25">
      <c r="A15" s="13" t="s">
        <v>2067</v>
      </c>
      <c r="B15" s="14">
        <v>264000</v>
      </c>
    </row>
    <row r="16" spans="1:16" x14ac:dyDescent="0.25">
      <c r="A16" s="12">
        <v>2021</v>
      </c>
      <c r="B16" s="14">
        <v>3566300</v>
      </c>
    </row>
    <row r="17" spans="1:2" x14ac:dyDescent="0.25">
      <c r="A17" s="13" t="s">
        <v>2056</v>
      </c>
      <c r="B17" s="14">
        <v>319900</v>
      </c>
    </row>
    <row r="18" spans="1:2" x14ac:dyDescent="0.25">
      <c r="A18" s="13" t="s">
        <v>2057</v>
      </c>
      <c r="B18" s="14">
        <v>285700</v>
      </c>
    </row>
    <row r="19" spans="1:2" x14ac:dyDescent="0.25">
      <c r="A19" s="13" t="s">
        <v>2058</v>
      </c>
      <c r="B19" s="14">
        <v>308400</v>
      </c>
    </row>
    <row r="20" spans="1:2" x14ac:dyDescent="0.25">
      <c r="A20" s="13" t="s">
        <v>2059</v>
      </c>
      <c r="B20" s="14">
        <v>260000</v>
      </c>
    </row>
    <row r="21" spans="1:2" x14ac:dyDescent="0.25">
      <c r="A21" s="13" t="s">
        <v>2060</v>
      </c>
      <c r="B21" s="14">
        <v>305500</v>
      </c>
    </row>
    <row r="22" spans="1:2" x14ac:dyDescent="0.25">
      <c r="A22" s="13" t="s">
        <v>2061</v>
      </c>
      <c r="B22" s="14">
        <v>294600</v>
      </c>
    </row>
    <row r="23" spans="1:2" x14ac:dyDescent="0.25">
      <c r="A23" s="13" t="s">
        <v>2062</v>
      </c>
      <c r="B23" s="14">
        <v>328100</v>
      </c>
    </row>
    <row r="24" spans="1:2" x14ac:dyDescent="0.25">
      <c r="A24" s="13" t="s">
        <v>2063</v>
      </c>
      <c r="B24" s="14">
        <v>303600</v>
      </c>
    </row>
    <row r="25" spans="1:2" x14ac:dyDescent="0.25">
      <c r="A25" s="13" t="s">
        <v>2064</v>
      </c>
      <c r="B25" s="14">
        <v>286000</v>
      </c>
    </row>
    <row r="26" spans="1:2" x14ac:dyDescent="0.25">
      <c r="A26" s="13" t="s">
        <v>2065</v>
      </c>
      <c r="B26" s="14">
        <v>300100</v>
      </c>
    </row>
    <row r="27" spans="1:2" x14ac:dyDescent="0.25">
      <c r="A27" s="13" t="s">
        <v>2066</v>
      </c>
      <c r="B27" s="14">
        <v>296900</v>
      </c>
    </row>
    <row r="28" spans="1:2" x14ac:dyDescent="0.25">
      <c r="A28" s="13" t="s">
        <v>2067</v>
      </c>
      <c r="B28" s="14">
        <v>277500</v>
      </c>
    </row>
    <row r="29" spans="1:2" x14ac:dyDescent="0.25">
      <c r="A29" s="12">
        <v>2022</v>
      </c>
      <c r="B29" s="14">
        <v>3432200</v>
      </c>
    </row>
    <row r="30" spans="1:2" x14ac:dyDescent="0.25">
      <c r="A30" s="13" t="s">
        <v>2056</v>
      </c>
      <c r="B30" s="14">
        <v>283000</v>
      </c>
    </row>
    <row r="31" spans="1:2" x14ac:dyDescent="0.25">
      <c r="A31" s="13" t="s">
        <v>2057</v>
      </c>
      <c r="B31" s="14">
        <v>253700</v>
      </c>
    </row>
    <row r="32" spans="1:2" x14ac:dyDescent="0.25">
      <c r="A32" s="13" t="s">
        <v>2058</v>
      </c>
      <c r="B32" s="14">
        <v>285900</v>
      </c>
    </row>
    <row r="33" spans="1:2" x14ac:dyDescent="0.25">
      <c r="A33" s="13" t="s">
        <v>2059</v>
      </c>
      <c r="B33" s="14">
        <v>282900</v>
      </c>
    </row>
    <row r="34" spans="1:2" x14ac:dyDescent="0.25">
      <c r="A34" s="13" t="s">
        <v>2060</v>
      </c>
      <c r="B34" s="14">
        <v>274800</v>
      </c>
    </row>
    <row r="35" spans="1:2" x14ac:dyDescent="0.25">
      <c r="A35" s="13" t="s">
        <v>2061</v>
      </c>
      <c r="B35" s="14">
        <v>289700</v>
      </c>
    </row>
    <row r="36" spans="1:2" x14ac:dyDescent="0.25">
      <c r="A36" s="13" t="s">
        <v>2062</v>
      </c>
      <c r="B36" s="14">
        <v>290100</v>
      </c>
    </row>
    <row r="37" spans="1:2" x14ac:dyDescent="0.25">
      <c r="A37" s="13" t="s">
        <v>2063</v>
      </c>
      <c r="B37" s="14">
        <v>302700</v>
      </c>
    </row>
    <row r="38" spans="1:2" x14ac:dyDescent="0.25">
      <c r="A38" s="13" t="s">
        <v>2064</v>
      </c>
      <c r="B38" s="14">
        <v>304900</v>
      </c>
    </row>
    <row r="39" spans="1:2" x14ac:dyDescent="0.25">
      <c r="A39" s="13" t="s">
        <v>2065</v>
      </c>
      <c r="B39" s="14">
        <v>286100</v>
      </c>
    </row>
    <row r="40" spans="1:2" x14ac:dyDescent="0.25">
      <c r="A40" s="13" t="s">
        <v>2066</v>
      </c>
      <c r="B40" s="14">
        <v>279700</v>
      </c>
    </row>
    <row r="41" spans="1:2" x14ac:dyDescent="0.25">
      <c r="A41" s="13" t="s">
        <v>2067</v>
      </c>
      <c r="B41" s="14">
        <v>298700</v>
      </c>
    </row>
    <row r="42" spans="1:2" x14ac:dyDescent="0.25">
      <c r="A42" s="12">
        <v>2023</v>
      </c>
      <c r="B42" s="14">
        <v>3495000</v>
      </c>
    </row>
    <row r="43" spans="1:2" x14ac:dyDescent="0.25">
      <c r="A43" s="13" t="s">
        <v>2056</v>
      </c>
      <c r="B43" s="14">
        <v>313400</v>
      </c>
    </row>
    <row r="44" spans="1:2" x14ac:dyDescent="0.25">
      <c r="A44" s="13" t="s">
        <v>2057</v>
      </c>
      <c r="B44" s="14">
        <v>286400</v>
      </c>
    </row>
    <row r="45" spans="1:2" x14ac:dyDescent="0.25">
      <c r="A45" s="13" t="s">
        <v>2058</v>
      </c>
      <c r="B45" s="14">
        <v>295800</v>
      </c>
    </row>
    <row r="46" spans="1:2" x14ac:dyDescent="0.25">
      <c r="A46" s="13" t="s">
        <v>2059</v>
      </c>
      <c r="B46" s="14">
        <v>291600</v>
      </c>
    </row>
    <row r="47" spans="1:2" x14ac:dyDescent="0.25">
      <c r="A47" s="13" t="s">
        <v>2060</v>
      </c>
      <c r="B47" s="14">
        <v>261200</v>
      </c>
    </row>
    <row r="48" spans="1:2" x14ac:dyDescent="0.25">
      <c r="A48" s="13" t="s">
        <v>2061</v>
      </c>
      <c r="B48" s="14">
        <v>272100</v>
      </c>
    </row>
    <row r="49" spans="1:2" x14ac:dyDescent="0.25">
      <c r="A49" s="13" t="s">
        <v>2062</v>
      </c>
      <c r="B49" s="14">
        <v>292900</v>
      </c>
    </row>
    <row r="50" spans="1:2" x14ac:dyDescent="0.25">
      <c r="A50" s="13" t="s">
        <v>2063</v>
      </c>
      <c r="B50" s="14">
        <v>322200</v>
      </c>
    </row>
    <row r="51" spans="1:2" x14ac:dyDescent="0.25">
      <c r="A51" s="13" t="s">
        <v>2064</v>
      </c>
      <c r="B51" s="14">
        <v>282000</v>
      </c>
    </row>
    <row r="52" spans="1:2" x14ac:dyDescent="0.25">
      <c r="A52" s="13" t="s">
        <v>2065</v>
      </c>
      <c r="B52" s="14">
        <v>295700</v>
      </c>
    </row>
    <row r="53" spans="1:2" x14ac:dyDescent="0.25">
      <c r="A53" s="13" t="s">
        <v>2066</v>
      </c>
      <c r="B53" s="14">
        <v>284600</v>
      </c>
    </row>
    <row r="54" spans="1:2" x14ac:dyDescent="0.25">
      <c r="A54" s="13" t="s">
        <v>2067</v>
      </c>
      <c r="B54" s="14">
        <v>297100</v>
      </c>
    </row>
    <row r="55" spans="1:2" x14ac:dyDescent="0.25">
      <c r="A55" s="12">
        <v>2024</v>
      </c>
      <c r="B55" s="14">
        <v>3490600</v>
      </c>
    </row>
    <row r="56" spans="1:2" x14ac:dyDescent="0.25">
      <c r="A56" s="13" t="s">
        <v>2056</v>
      </c>
      <c r="B56" s="14">
        <v>280300</v>
      </c>
    </row>
    <row r="57" spans="1:2" x14ac:dyDescent="0.25">
      <c r="A57" s="13" t="s">
        <v>2057</v>
      </c>
      <c r="B57" s="14">
        <v>274600</v>
      </c>
    </row>
    <row r="58" spans="1:2" x14ac:dyDescent="0.25">
      <c r="A58" s="13" t="s">
        <v>2058</v>
      </c>
      <c r="B58" s="14">
        <v>309200</v>
      </c>
    </row>
    <row r="59" spans="1:2" x14ac:dyDescent="0.25">
      <c r="A59" s="13" t="s">
        <v>2059</v>
      </c>
      <c r="B59" s="14">
        <v>289100</v>
      </c>
    </row>
    <row r="60" spans="1:2" x14ac:dyDescent="0.25">
      <c r="A60" s="13" t="s">
        <v>2060</v>
      </c>
      <c r="B60" s="14">
        <v>305100</v>
      </c>
    </row>
    <row r="61" spans="1:2" x14ac:dyDescent="0.25">
      <c r="A61" s="13" t="s">
        <v>2061</v>
      </c>
      <c r="B61" s="14">
        <v>290500</v>
      </c>
    </row>
    <row r="62" spans="1:2" x14ac:dyDescent="0.25">
      <c r="A62" s="13" t="s">
        <v>2062</v>
      </c>
      <c r="B62" s="14">
        <v>295600</v>
      </c>
    </row>
    <row r="63" spans="1:2" x14ac:dyDescent="0.25">
      <c r="A63" s="13" t="s">
        <v>2063</v>
      </c>
      <c r="B63" s="14">
        <v>298500</v>
      </c>
    </row>
    <row r="64" spans="1:2" x14ac:dyDescent="0.25">
      <c r="A64" s="13" t="s">
        <v>2064</v>
      </c>
      <c r="B64" s="14">
        <v>303800</v>
      </c>
    </row>
    <row r="65" spans="1:2" x14ac:dyDescent="0.25">
      <c r="A65" s="13" t="s">
        <v>2065</v>
      </c>
      <c r="B65" s="14">
        <v>269300</v>
      </c>
    </row>
    <row r="66" spans="1:2" x14ac:dyDescent="0.25">
      <c r="A66" s="13" t="s">
        <v>2066</v>
      </c>
      <c r="B66" s="14">
        <v>272700</v>
      </c>
    </row>
    <row r="67" spans="1:2" x14ac:dyDescent="0.25">
      <c r="A67" s="13" t="s">
        <v>2067</v>
      </c>
      <c r="B67" s="14">
        <v>301900</v>
      </c>
    </row>
    <row r="68" spans="1:2" x14ac:dyDescent="0.25">
      <c r="A68" s="12">
        <v>2025</v>
      </c>
      <c r="B68" s="14">
        <v>1734900</v>
      </c>
    </row>
    <row r="69" spans="1:2" x14ac:dyDescent="0.25">
      <c r="A69" s="13" t="s">
        <v>2056</v>
      </c>
      <c r="B69" s="14">
        <v>309400</v>
      </c>
    </row>
    <row r="70" spans="1:2" x14ac:dyDescent="0.25">
      <c r="A70" s="13" t="s">
        <v>2057</v>
      </c>
      <c r="B70" s="14">
        <v>276000</v>
      </c>
    </row>
    <row r="71" spans="1:2" x14ac:dyDescent="0.25">
      <c r="A71" s="13" t="s">
        <v>2058</v>
      </c>
      <c r="B71" s="14">
        <v>277700</v>
      </c>
    </row>
    <row r="72" spans="1:2" x14ac:dyDescent="0.25">
      <c r="A72" s="13" t="s">
        <v>2059</v>
      </c>
      <c r="B72" s="14">
        <v>271300</v>
      </c>
    </row>
    <row r="73" spans="1:2" x14ac:dyDescent="0.25">
      <c r="A73" s="13" t="s">
        <v>2060</v>
      </c>
      <c r="B73" s="14">
        <v>285300</v>
      </c>
    </row>
    <row r="74" spans="1:2" x14ac:dyDescent="0.25">
      <c r="A74" s="13" t="s">
        <v>2061</v>
      </c>
      <c r="B74" s="14">
        <v>287000</v>
      </c>
    </row>
    <row r="75" spans="1:2" x14ac:dyDescent="0.25">
      <c r="A75" s="13" t="s">
        <v>2062</v>
      </c>
      <c r="B75" s="14">
        <v>28200</v>
      </c>
    </row>
  </sheetData>
  <mergeCells count="4">
    <mergeCell ref="A1:B1"/>
    <mergeCell ref="D1:F1"/>
    <mergeCell ref="H1:J1"/>
    <mergeCell ref="L1:M1"/>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0FE21-80B8-4174-A0ED-35C1D841FC05}">
  <dimension ref="A1:E2367"/>
  <sheetViews>
    <sheetView workbookViewId="0">
      <selection activeCell="C2002" sqref="C2002:C2029"/>
    </sheetView>
  </sheetViews>
  <sheetFormatPr defaultRowHeight="15" x14ac:dyDescent="0.25"/>
  <cols>
    <col min="1" max="1" width="15.7109375" customWidth="1"/>
    <col min="2" max="2" width="16.140625" customWidth="1"/>
    <col min="3" max="3" width="25" customWidth="1"/>
    <col min="4" max="4" width="39.7109375" customWidth="1"/>
    <col min="5" max="5" width="39.85546875" customWidth="1"/>
  </cols>
  <sheetData>
    <row r="1" spans="1:5" x14ac:dyDescent="0.25">
      <c r="A1" t="s">
        <v>2074</v>
      </c>
      <c r="B1" t="s">
        <v>2075</v>
      </c>
      <c r="C1" t="s">
        <v>2076</v>
      </c>
      <c r="D1" t="s">
        <v>2077</v>
      </c>
      <c r="E1" t="s">
        <v>2078</v>
      </c>
    </row>
    <row r="2" spans="1:5" x14ac:dyDescent="0.25">
      <c r="A2" s="2">
        <v>43842</v>
      </c>
      <c r="B2" s="9">
        <v>4000</v>
      </c>
    </row>
    <row r="3" spans="1:5" x14ac:dyDescent="0.25">
      <c r="A3" s="2">
        <v>43843</v>
      </c>
      <c r="B3" s="9">
        <v>6400</v>
      </c>
    </row>
    <row r="4" spans="1:5" x14ac:dyDescent="0.25">
      <c r="A4" s="2">
        <v>43844</v>
      </c>
      <c r="B4" s="9">
        <v>13900</v>
      </c>
    </row>
    <row r="5" spans="1:5" x14ac:dyDescent="0.25">
      <c r="A5" s="2">
        <v>43845</v>
      </c>
      <c r="B5" s="9">
        <v>9500</v>
      </c>
    </row>
    <row r="6" spans="1:5" x14ac:dyDescent="0.25">
      <c r="A6" s="2">
        <v>43846</v>
      </c>
      <c r="B6" s="9">
        <v>5500</v>
      </c>
    </row>
    <row r="7" spans="1:5" x14ac:dyDescent="0.25">
      <c r="A7" s="2">
        <v>43847</v>
      </c>
      <c r="B7" s="9">
        <v>9300</v>
      </c>
    </row>
    <row r="8" spans="1:5" x14ac:dyDescent="0.25">
      <c r="A8" s="2">
        <v>43848</v>
      </c>
      <c r="B8" s="9">
        <v>13500</v>
      </c>
    </row>
    <row r="9" spans="1:5" x14ac:dyDescent="0.25">
      <c r="A9" s="2">
        <v>43849</v>
      </c>
      <c r="B9" s="9">
        <v>12400</v>
      </c>
    </row>
    <row r="10" spans="1:5" x14ac:dyDescent="0.25">
      <c r="A10" s="2">
        <v>43850</v>
      </c>
      <c r="B10" s="9">
        <v>9400</v>
      </c>
    </row>
    <row r="11" spans="1:5" x14ac:dyDescent="0.25">
      <c r="A11" s="2">
        <v>43851</v>
      </c>
      <c r="B11" s="9">
        <v>5400</v>
      </c>
    </row>
    <row r="12" spans="1:5" x14ac:dyDescent="0.25">
      <c r="A12" s="2">
        <v>43852</v>
      </c>
      <c r="B12" s="9">
        <v>6200</v>
      </c>
    </row>
    <row r="13" spans="1:5" x14ac:dyDescent="0.25">
      <c r="A13" s="2">
        <v>43853</v>
      </c>
      <c r="B13" s="9">
        <v>14500</v>
      </c>
    </row>
    <row r="14" spans="1:5" x14ac:dyDescent="0.25">
      <c r="A14" s="2">
        <v>43854</v>
      </c>
      <c r="B14" s="9">
        <v>14300</v>
      </c>
    </row>
    <row r="15" spans="1:5" x14ac:dyDescent="0.25">
      <c r="A15" s="2">
        <v>43855</v>
      </c>
      <c r="B15" s="9">
        <v>13500</v>
      </c>
    </row>
    <row r="16" spans="1:5" x14ac:dyDescent="0.25">
      <c r="A16" s="2">
        <v>43856</v>
      </c>
      <c r="B16" s="9">
        <v>12500</v>
      </c>
    </row>
    <row r="17" spans="1:2" x14ac:dyDescent="0.25">
      <c r="A17" s="2">
        <v>43857</v>
      </c>
      <c r="B17" s="9">
        <v>5500</v>
      </c>
    </row>
    <row r="18" spans="1:2" x14ac:dyDescent="0.25">
      <c r="A18" s="2">
        <v>43858</v>
      </c>
      <c r="B18" s="9">
        <v>12500</v>
      </c>
    </row>
    <row r="19" spans="1:2" x14ac:dyDescent="0.25">
      <c r="A19" s="2">
        <v>43859</v>
      </c>
      <c r="B19" s="9">
        <v>4900</v>
      </c>
    </row>
    <row r="20" spans="1:2" x14ac:dyDescent="0.25">
      <c r="A20" s="2">
        <v>43860</v>
      </c>
      <c r="B20" s="9">
        <v>12700</v>
      </c>
    </row>
    <row r="21" spans="1:2" x14ac:dyDescent="0.25">
      <c r="A21" s="2">
        <v>43861</v>
      </c>
      <c r="B21" s="9">
        <v>5700</v>
      </c>
    </row>
    <row r="22" spans="1:2" x14ac:dyDescent="0.25">
      <c r="A22" s="2">
        <v>43862</v>
      </c>
      <c r="B22" s="9">
        <v>4100</v>
      </c>
    </row>
    <row r="23" spans="1:2" x14ac:dyDescent="0.25">
      <c r="A23" s="2">
        <v>43863</v>
      </c>
      <c r="B23" s="9">
        <v>9400</v>
      </c>
    </row>
    <row r="24" spans="1:2" x14ac:dyDescent="0.25">
      <c r="A24" s="2">
        <v>43864</v>
      </c>
      <c r="B24" s="9">
        <v>14400</v>
      </c>
    </row>
    <row r="25" spans="1:2" x14ac:dyDescent="0.25">
      <c r="A25" s="2">
        <v>43865</v>
      </c>
      <c r="B25" s="9">
        <v>5300</v>
      </c>
    </row>
    <row r="26" spans="1:2" x14ac:dyDescent="0.25">
      <c r="A26" s="2">
        <v>43866</v>
      </c>
      <c r="B26" s="9">
        <v>4000</v>
      </c>
    </row>
    <row r="27" spans="1:2" x14ac:dyDescent="0.25">
      <c r="A27" s="2">
        <v>43867</v>
      </c>
      <c r="B27" s="9">
        <v>12800</v>
      </c>
    </row>
    <row r="28" spans="1:2" x14ac:dyDescent="0.25">
      <c r="A28" s="2">
        <v>43868</v>
      </c>
      <c r="B28" s="9">
        <v>10400</v>
      </c>
    </row>
    <row r="29" spans="1:2" x14ac:dyDescent="0.25">
      <c r="A29" s="2">
        <v>43869</v>
      </c>
      <c r="B29" s="9">
        <v>13200</v>
      </c>
    </row>
    <row r="30" spans="1:2" x14ac:dyDescent="0.25">
      <c r="A30" s="2">
        <v>43870</v>
      </c>
      <c r="B30" s="9">
        <v>10000</v>
      </c>
    </row>
    <row r="31" spans="1:2" x14ac:dyDescent="0.25">
      <c r="A31" s="2">
        <v>43871</v>
      </c>
      <c r="B31" s="9">
        <v>13400</v>
      </c>
    </row>
    <row r="32" spans="1:2" x14ac:dyDescent="0.25">
      <c r="A32" s="2">
        <v>43872</v>
      </c>
      <c r="B32" s="9">
        <v>7900</v>
      </c>
    </row>
    <row r="33" spans="1:2" x14ac:dyDescent="0.25">
      <c r="A33" s="2">
        <v>43873</v>
      </c>
      <c r="B33" s="9">
        <v>8900</v>
      </c>
    </row>
    <row r="34" spans="1:2" x14ac:dyDescent="0.25">
      <c r="A34" s="2">
        <v>43874</v>
      </c>
      <c r="B34" s="9">
        <v>7100</v>
      </c>
    </row>
    <row r="35" spans="1:2" x14ac:dyDescent="0.25">
      <c r="A35" s="2">
        <v>43875</v>
      </c>
      <c r="B35" s="9">
        <v>4700</v>
      </c>
    </row>
    <row r="36" spans="1:2" x14ac:dyDescent="0.25">
      <c r="A36" s="2">
        <v>43876</v>
      </c>
      <c r="B36" s="9">
        <v>5100</v>
      </c>
    </row>
    <row r="37" spans="1:2" x14ac:dyDescent="0.25">
      <c r="A37" s="2">
        <v>43877</v>
      </c>
      <c r="B37" s="9">
        <v>14900</v>
      </c>
    </row>
    <row r="38" spans="1:2" x14ac:dyDescent="0.25">
      <c r="A38" s="2">
        <v>43878</v>
      </c>
      <c r="B38" s="9">
        <v>13300</v>
      </c>
    </row>
    <row r="39" spans="1:2" x14ac:dyDescent="0.25">
      <c r="A39" s="2">
        <v>43879</v>
      </c>
      <c r="B39" s="9">
        <v>4600</v>
      </c>
    </row>
    <row r="40" spans="1:2" x14ac:dyDescent="0.25">
      <c r="A40" s="2">
        <v>43880</v>
      </c>
      <c r="B40" s="9">
        <v>5700</v>
      </c>
    </row>
    <row r="41" spans="1:2" x14ac:dyDescent="0.25">
      <c r="A41" s="2">
        <v>43881</v>
      </c>
      <c r="B41" s="9">
        <v>8200</v>
      </c>
    </row>
    <row r="42" spans="1:2" x14ac:dyDescent="0.25">
      <c r="A42" s="2">
        <v>43882</v>
      </c>
      <c r="B42" s="9">
        <v>8200</v>
      </c>
    </row>
    <row r="43" spans="1:2" x14ac:dyDescent="0.25">
      <c r="A43" s="2">
        <v>43883</v>
      </c>
      <c r="B43" s="9">
        <v>5900</v>
      </c>
    </row>
    <row r="44" spans="1:2" x14ac:dyDescent="0.25">
      <c r="A44" s="2">
        <v>43884</v>
      </c>
      <c r="B44" s="9">
        <v>14100</v>
      </c>
    </row>
    <row r="45" spans="1:2" x14ac:dyDescent="0.25">
      <c r="A45" s="2">
        <v>43885</v>
      </c>
      <c r="B45" s="9">
        <v>7400</v>
      </c>
    </row>
    <row r="46" spans="1:2" x14ac:dyDescent="0.25">
      <c r="A46" s="2">
        <v>43886</v>
      </c>
      <c r="B46" s="9">
        <v>15000</v>
      </c>
    </row>
    <row r="47" spans="1:2" x14ac:dyDescent="0.25">
      <c r="A47" s="2">
        <v>43887</v>
      </c>
      <c r="B47" s="9">
        <v>6800</v>
      </c>
    </row>
    <row r="48" spans="1:2" x14ac:dyDescent="0.25">
      <c r="A48" s="2">
        <v>43888</v>
      </c>
      <c r="B48" s="9">
        <v>7800</v>
      </c>
    </row>
    <row r="49" spans="1:2" x14ac:dyDescent="0.25">
      <c r="A49" s="2">
        <v>43889</v>
      </c>
      <c r="B49" s="9">
        <v>11600</v>
      </c>
    </row>
    <row r="50" spans="1:2" x14ac:dyDescent="0.25">
      <c r="A50" s="2">
        <v>43890</v>
      </c>
      <c r="B50" s="9">
        <v>12500</v>
      </c>
    </row>
    <row r="51" spans="1:2" x14ac:dyDescent="0.25">
      <c r="A51" s="2">
        <v>43891</v>
      </c>
      <c r="B51" s="9">
        <v>11700</v>
      </c>
    </row>
    <row r="52" spans="1:2" x14ac:dyDescent="0.25">
      <c r="A52" s="2">
        <v>43892</v>
      </c>
      <c r="B52" s="9">
        <v>10800</v>
      </c>
    </row>
    <row r="53" spans="1:2" x14ac:dyDescent="0.25">
      <c r="A53" s="2">
        <v>43893</v>
      </c>
      <c r="B53" s="9">
        <v>9100</v>
      </c>
    </row>
    <row r="54" spans="1:2" x14ac:dyDescent="0.25">
      <c r="A54" s="2">
        <v>43894</v>
      </c>
      <c r="B54" s="9">
        <v>7400</v>
      </c>
    </row>
    <row r="55" spans="1:2" x14ac:dyDescent="0.25">
      <c r="A55" s="2">
        <v>43895</v>
      </c>
      <c r="B55" s="9">
        <v>14800</v>
      </c>
    </row>
    <row r="56" spans="1:2" x14ac:dyDescent="0.25">
      <c r="A56" s="2">
        <v>43896</v>
      </c>
      <c r="B56" s="9">
        <v>9400</v>
      </c>
    </row>
    <row r="57" spans="1:2" x14ac:dyDescent="0.25">
      <c r="A57" s="2">
        <v>43897</v>
      </c>
      <c r="B57" s="9">
        <v>4100</v>
      </c>
    </row>
    <row r="58" spans="1:2" x14ac:dyDescent="0.25">
      <c r="A58" s="2">
        <v>43898</v>
      </c>
      <c r="B58" s="9">
        <v>14800</v>
      </c>
    </row>
    <row r="59" spans="1:2" x14ac:dyDescent="0.25">
      <c r="A59" s="2">
        <v>43899</v>
      </c>
      <c r="B59" s="9">
        <v>4200</v>
      </c>
    </row>
    <row r="60" spans="1:2" x14ac:dyDescent="0.25">
      <c r="A60" s="2">
        <v>43900</v>
      </c>
      <c r="B60" s="9">
        <v>14900</v>
      </c>
    </row>
    <row r="61" spans="1:2" x14ac:dyDescent="0.25">
      <c r="A61" s="2">
        <v>43901</v>
      </c>
      <c r="B61" s="9">
        <v>6700</v>
      </c>
    </row>
    <row r="62" spans="1:2" x14ac:dyDescent="0.25">
      <c r="A62" s="2">
        <v>43902</v>
      </c>
      <c r="B62" s="9">
        <v>8300</v>
      </c>
    </row>
    <row r="63" spans="1:2" x14ac:dyDescent="0.25">
      <c r="A63" s="2">
        <v>43903</v>
      </c>
      <c r="B63" s="9">
        <v>6500</v>
      </c>
    </row>
    <row r="64" spans="1:2" x14ac:dyDescent="0.25">
      <c r="A64" s="2">
        <v>43904</v>
      </c>
      <c r="B64" s="9">
        <v>6600</v>
      </c>
    </row>
    <row r="65" spans="1:2" x14ac:dyDescent="0.25">
      <c r="A65" s="2">
        <v>43905</v>
      </c>
      <c r="B65" s="9">
        <v>8700</v>
      </c>
    </row>
    <row r="66" spans="1:2" x14ac:dyDescent="0.25">
      <c r="A66" s="2">
        <v>43906</v>
      </c>
      <c r="B66" s="9">
        <v>14500</v>
      </c>
    </row>
    <row r="67" spans="1:2" x14ac:dyDescent="0.25">
      <c r="A67" s="2">
        <v>43907</v>
      </c>
      <c r="B67" s="9">
        <v>5300</v>
      </c>
    </row>
    <row r="68" spans="1:2" x14ac:dyDescent="0.25">
      <c r="A68" s="2">
        <v>43908</v>
      </c>
      <c r="B68" s="9">
        <v>11900</v>
      </c>
    </row>
    <row r="69" spans="1:2" x14ac:dyDescent="0.25">
      <c r="A69" s="2">
        <v>43909</v>
      </c>
      <c r="B69" s="9">
        <v>6600</v>
      </c>
    </row>
    <row r="70" spans="1:2" x14ac:dyDescent="0.25">
      <c r="A70" s="2">
        <v>43910</v>
      </c>
      <c r="B70" s="9">
        <v>9300</v>
      </c>
    </row>
    <row r="71" spans="1:2" x14ac:dyDescent="0.25">
      <c r="A71" s="2">
        <v>43911</v>
      </c>
      <c r="B71" s="9">
        <v>14900</v>
      </c>
    </row>
    <row r="72" spans="1:2" x14ac:dyDescent="0.25">
      <c r="A72" s="2">
        <v>43912</v>
      </c>
      <c r="B72" s="9">
        <v>14500</v>
      </c>
    </row>
    <row r="73" spans="1:2" x14ac:dyDescent="0.25">
      <c r="A73" s="2">
        <v>43913</v>
      </c>
      <c r="B73" s="9">
        <v>12500</v>
      </c>
    </row>
    <row r="74" spans="1:2" x14ac:dyDescent="0.25">
      <c r="A74" s="2">
        <v>43914</v>
      </c>
      <c r="B74" s="9">
        <v>14800</v>
      </c>
    </row>
    <row r="75" spans="1:2" x14ac:dyDescent="0.25">
      <c r="A75" s="2">
        <v>43915</v>
      </c>
      <c r="B75" s="9">
        <v>8400</v>
      </c>
    </row>
    <row r="76" spans="1:2" x14ac:dyDescent="0.25">
      <c r="A76" s="2">
        <v>43916</v>
      </c>
      <c r="B76" s="9">
        <v>11400</v>
      </c>
    </row>
    <row r="77" spans="1:2" x14ac:dyDescent="0.25">
      <c r="A77" s="2">
        <v>43917</v>
      </c>
      <c r="B77" s="9">
        <v>10700</v>
      </c>
    </row>
    <row r="78" spans="1:2" x14ac:dyDescent="0.25">
      <c r="A78" s="2">
        <v>43918</v>
      </c>
      <c r="B78" s="9">
        <v>4300</v>
      </c>
    </row>
    <row r="79" spans="1:2" x14ac:dyDescent="0.25">
      <c r="A79" s="2">
        <v>43919</v>
      </c>
      <c r="B79" s="9">
        <v>12700</v>
      </c>
    </row>
    <row r="80" spans="1:2" x14ac:dyDescent="0.25">
      <c r="A80" s="2">
        <v>43920</v>
      </c>
      <c r="B80" s="9">
        <v>4600</v>
      </c>
    </row>
    <row r="81" spans="1:2" x14ac:dyDescent="0.25">
      <c r="A81" s="2">
        <v>43921</v>
      </c>
      <c r="B81" s="9">
        <v>10200</v>
      </c>
    </row>
    <row r="82" spans="1:2" x14ac:dyDescent="0.25">
      <c r="A82" s="2">
        <v>43922</v>
      </c>
      <c r="B82" s="9">
        <v>12400</v>
      </c>
    </row>
    <row r="83" spans="1:2" x14ac:dyDescent="0.25">
      <c r="A83" s="2">
        <v>43923</v>
      </c>
      <c r="B83" s="9">
        <v>10200</v>
      </c>
    </row>
    <row r="84" spans="1:2" x14ac:dyDescent="0.25">
      <c r="A84" s="2">
        <v>43924</v>
      </c>
      <c r="B84" s="9">
        <v>12300</v>
      </c>
    </row>
    <row r="85" spans="1:2" x14ac:dyDescent="0.25">
      <c r="A85" s="2">
        <v>43925</v>
      </c>
      <c r="B85" s="9">
        <v>8100</v>
      </c>
    </row>
    <row r="86" spans="1:2" x14ac:dyDescent="0.25">
      <c r="A86" s="2">
        <v>43926</v>
      </c>
      <c r="B86" s="9">
        <v>13400</v>
      </c>
    </row>
    <row r="87" spans="1:2" x14ac:dyDescent="0.25">
      <c r="A87" s="2">
        <v>43927</v>
      </c>
      <c r="B87" s="9">
        <v>14900</v>
      </c>
    </row>
    <row r="88" spans="1:2" x14ac:dyDescent="0.25">
      <c r="A88" s="2">
        <v>43928</v>
      </c>
      <c r="B88" s="9">
        <v>10800</v>
      </c>
    </row>
    <row r="89" spans="1:2" x14ac:dyDescent="0.25">
      <c r="A89" s="2">
        <v>43929</v>
      </c>
      <c r="B89" s="9">
        <v>5100</v>
      </c>
    </row>
    <row r="90" spans="1:2" x14ac:dyDescent="0.25">
      <c r="A90" s="2">
        <v>43930</v>
      </c>
      <c r="B90" s="9">
        <v>6600</v>
      </c>
    </row>
    <row r="91" spans="1:2" x14ac:dyDescent="0.25">
      <c r="A91" s="2">
        <v>43931</v>
      </c>
      <c r="B91" s="9">
        <v>14000</v>
      </c>
    </row>
    <row r="92" spans="1:2" x14ac:dyDescent="0.25">
      <c r="A92" s="2">
        <v>43932</v>
      </c>
      <c r="B92" s="9">
        <v>9400</v>
      </c>
    </row>
    <row r="93" spans="1:2" x14ac:dyDescent="0.25">
      <c r="A93" s="2">
        <v>43933</v>
      </c>
      <c r="B93" s="9">
        <v>4800</v>
      </c>
    </row>
    <row r="94" spans="1:2" x14ac:dyDescent="0.25">
      <c r="A94" s="2">
        <v>43934</v>
      </c>
      <c r="B94" s="9">
        <v>14700</v>
      </c>
    </row>
    <row r="95" spans="1:2" x14ac:dyDescent="0.25">
      <c r="A95" s="2">
        <v>43935</v>
      </c>
      <c r="B95" s="9">
        <v>10200</v>
      </c>
    </row>
    <row r="96" spans="1:2" x14ac:dyDescent="0.25">
      <c r="A96" s="2">
        <v>43936</v>
      </c>
      <c r="B96" s="9">
        <v>11100</v>
      </c>
    </row>
    <row r="97" spans="1:2" x14ac:dyDescent="0.25">
      <c r="A97" s="2">
        <v>43937</v>
      </c>
      <c r="B97" s="9">
        <v>7400</v>
      </c>
    </row>
    <row r="98" spans="1:2" x14ac:dyDescent="0.25">
      <c r="A98" s="2">
        <v>43938</v>
      </c>
      <c r="B98" s="9">
        <v>7400</v>
      </c>
    </row>
    <row r="99" spans="1:2" x14ac:dyDescent="0.25">
      <c r="A99" s="2">
        <v>43939</v>
      </c>
      <c r="B99" s="9">
        <v>8000</v>
      </c>
    </row>
    <row r="100" spans="1:2" x14ac:dyDescent="0.25">
      <c r="A100" s="2">
        <v>43940</v>
      </c>
      <c r="B100" s="9">
        <v>7600</v>
      </c>
    </row>
    <row r="101" spans="1:2" x14ac:dyDescent="0.25">
      <c r="A101" s="2">
        <v>43941</v>
      </c>
      <c r="B101" s="9">
        <v>10800</v>
      </c>
    </row>
    <row r="102" spans="1:2" x14ac:dyDescent="0.25">
      <c r="A102" s="2">
        <v>43942</v>
      </c>
      <c r="B102" s="9">
        <v>13900</v>
      </c>
    </row>
    <row r="103" spans="1:2" x14ac:dyDescent="0.25">
      <c r="A103" s="2">
        <v>43943</v>
      </c>
      <c r="B103" s="9">
        <v>6600</v>
      </c>
    </row>
    <row r="104" spans="1:2" x14ac:dyDescent="0.25">
      <c r="A104" s="2">
        <v>43944</v>
      </c>
      <c r="B104" s="9">
        <v>9200</v>
      </c>
    </row>
    <row r="105" spans="1:2" x14ac:dyDescent="0.25">
      <c r="A105" s="2">
        <v>43945</v>
      </c>
      <c r="B105" s="9">
        <v>5100</v>
      </c>
    </row>
    <row r="106" spans="1:2" x14ac:dyDescent="0.25">
      <c r="A106" s="2">
        <v>43946</v>
      </c>
      <c r="B106" s="9">
        <v>11900</v>
      </c>
    </row>
    <row r="107" spans="1:2" x14ac:dyDescent="0.25">
      <c r="A107" s="2">
        <v>43947</v>
      </c>
      <c r="B107" s="9">
        <v>13000</v>
      </c>
    </row>
    <row r="108" spans="1:2" x14ac:dyDescent="0.25">
      <c r="A108" s="2">
        <v>43948</v>
      </c>
      <c r="B108" s="9">
        <v>10000</v>
      </c>
    </row>
    <row r="109" spans="1:2" x14ac:dyDescent="0.25">
      <c r="A109" s="2">
        <v>43949</v>
      </c>
      <c r="B109" s="9">
        <v>10400</v>
      </c>
    </row>
    <row r="110" spans="1:2" x14ac:dyDescent="0.25">
      <c r="A110" s="2">
        <v>43950</v>
      </c>
      <c r="B110" s="9">
        <v>8400</v>
      </c>
    </row>
    <row r="111" spans="1:2" x14ac:dyDescent="0.25">
      <c r="A111" s="2">
        <v>43951</v>
      </c>
      <c r="B111" s="9">
        <v>12300</v>
      </c>
    </row>
    <row r="112" spans="1:2" x14ac:dyDescent="0.25">
      <c r="A112" s="2">
        <v>43952</v>
      </c>
      <c r="B112" s="9">
        <v>10400</v>
      </c>
    </row>
    <row r="113" spans="1:2" x14ac:dyDescent="0.25">
      <c r="A113" s="2">
        <v>43953</v>
      </c>
      <c r="B113" s="9">
        <v>13500</v>
      </c>
    </row>
    <row r="114" spans="1:2" x14ac:dyDescent="0.25">
      <c r="A114" s="2">
        <v>43954</v>
      </c>
      <c r="B114" s="9">
        <v>10300</v>
      </c>
    </row>
    <row r="115" spans="1:2" x14ac:dyDescent="0.25">
      <c r="A115" s="2">
        <v>43955</v>
      </c>
      <c r="B115" s="9">
        <v>11700</v>
      </c>
    </row>
    <row r="116" spans="1:2" x14ac:dyDescent="0.25">
      <c r="A116" s="2">
        <v>43956</v>
      </c>
      <c r="B116" s="9">
        <v>10400</v>
      </c>
    </row>
    <row r="117" spans="1:2" x14ac:dyDescent="0.25">
      <c r="A117" s="2">
        <v>43957</v>
      </c>
      <c r="B117" s="9">
        <v>5400</v>
      </c>
    </row>
    <row r="118" spans="1:2" x14ac:dyDescent="0.25">
      <c r="A118" s="2">
        <v>43958</v>
      </c>
      <c r="B118" s="9">
        <v>4400</v>
      </c>
    </row>
    <row r="119" spans="1:2" x14ac:dyDescent="0.25">
      <c r="A119" s="2">
        <v>43959</v>
      </c>
      <c r="B119" s="9">
        <v>13700</v>
      </c>
    </row>
    <row r="120" spans="1:2" x14ac:dyDescent="0.25">
      <c r="A120" s="2">
        <v>43960</v>
      </c>
      <c r="B120" s="9">
        <v>8700</v>
      </c>
    </row>
    <row r="121" spans="1:2" x14ac:dyDescent="0.25">
      <c r="A121" s="2">
        <v>43961</v>
      </c>
      <c r="B121" s="9">
        <v>10500</v>
      </c>
    </row>
    <row r="122" spans="1:2" x14ac:dyDescent="0.25">
      <c r="A122" s="2">
        <v>43962</v>
      </c>
      <c r="B122" s="9">
        <v>11800</v>
      </c>
    </row>
    <row r="123" spans="1:2" x14ac:dyDescent="0.25">
      <c r="A123" s="2">
        <v>43963</v>
      </c>
      <c r="B123" s="9">
        <v>5500</v>
      </c>
    </row>
    <row r="124" spans="1:2" x14ac:dyDescent="0.25">
      <c r="A124" s="2">
        <v>43964</v>
      </c>
      <c r="B124" s="9">
        <v>14900</v>
      </c>
    </row>
    <row r="125" spans="1:2" x14ac:dyDescent="0.25">
      <c r="A125" s="2">
        <v>43965</v>
      </c>
      <c r="B125" s="9">
        <v>4800</v>
      </c>
    </row>
    <row r="126" spans="1:2" x14ac:dyDescent="0.25">
      <c r="A126" s="2">
        <v>43966</v>
      </c>
      <c r="B126" s="9">
        <v>14300</v>
      </c>
    </row>
    <row r="127" spans="1:2" x14ac:dyDescent="0.25">
      <c r="A127" s="2">
        <v>43967</v>
      </c>
      <c r="B127" s="9">
        <v>9700</v>
      </c>
    </row>
    <row r="128" spans="1:2" x14ac:dyDescent="0.25">
      <c r="A128" s="2">
        <v>43968</v>
      </c>
      <c r="B128" s="9">
        <v>5800</v>
      </c>
    </row>
    <row r="129" spans="1:2" x14ac:dyDescent="0.25">
      <c r="A129" s="2">
        <v>43969</v>
      </c>
      <c r="B129" s="9">
        <v>9400</v>
      </c>
    </row>
    <row r="130" spans="1:2" x14ac:dyDescent="0.25">
      <c r="A130" s="2">
        <v>43970</v>
      </c>
      <c r="B130" s="9">
        <v>5500</v>
      </c>
    </row>
    <row r="131" spans="1:2" x14ac:dyDescent="0.25">
      <c r="A131" s="2">
        <v>43971</v>
      </c>
      <c r="B131" s="9">
        <v>10900</v>
      </c>
    </row>
    <row r="132" spans="1:2" x14ac:dyDescent="0.25">
      <c r="A132" s="2">
        <v>43972</v>
      </c>
      <c r="B132" s="9">
        <v>11700</v>
      </c>
    </row>
    <row r="133" spans="1:2" x14ac:dyDescent="0.25">
      <c r="A133" s="2">
        <v>43973</v>
      </c>
      <c r="B133" s="9">
        <v>9500</v>
      </c>
    </row>
    <row r="134" spans="1:2" x14ac:dyDescent="0.25">
      <c r="A134" s="2">
        <v>43974</v>
      </c>
      <c r="B134" s="9">
        <v>9600</v>
      </c>
    </row>
    <row r="135" spans="1:2" x14ac:dyDescent="0.25">
      <c r="A135" s="2">
        <v>43975</v>
      </c>
      <c r="B135" s="9">
        <v>11600</v>
      </c>
    </row>
    <row r="136" spans="1:2" x14ac:dyDescent="0.25">
      <c r="A136" s="2">
        <v>43976</v>
      </c>
      <c r="B136" s="9">
        <v>5700</v>
      </c>
    </row>
    <row r="137" spans="1:2" x14ac:dyDescent="0.25">
      <c r="A137" s="2">
        <v>43977</v>
      </c>
      <c r="B137" s="9">
        <v>13200</v>
      </c>
    </row>
    <row r="138" spans="1:2" x14ac:dyDescent="0.25">
      <c r="A138" s="2">
        <v>43978</v>
      </c>
      <c r="B138" s="9">
        <v>9800</v>
      </c>
    </row>
    <row r="139" spans="1:2" x14ac:dyDescent="0.25">
      <c r="A139" s="2">
        <v>43979</v>
      </c>
      <c r="B139" s="9">
        <v>14600</v>
      </c>
    </row>
    <row r="140" spans="1:2" x14ac:dyDescent="0.25">
      <c r="A140" s="2">
        <v>43980</v>
      </c>
      <c r="B140" s="9">
        <v>4600</v>
      </c>
    </row>
    <row r="141" spans="1:2" x14ac:dyDescent="0.25">
      <c r="A141" s="2">
        <v>43981</v>
      </c>
      <c r="B141" s="9">
        <v>4000</v>
      </c>
    </row>
    <row r="142" spans="1:2" x14ac:dyDescent="0.25">
      <c r="A142" s="2">
        <v>43982</v>
      </c>
      <c r="B142" s="9">
        <v>9100</v>
      </c>
    </row>
    <row r="143" spans="1:2" x14ac:dyDescent="0.25">
      <c r="A143" s="2">
        <v>43983</v>
      </c>
      <c r="B143" s="9">
        <v>6300</v>
      </c>
    </row>
    <row r="144" spans="1:2" x14ac:dyDescent="0.25">
      <c r="A144" s="2">
        <v>43984</v>
      </c>
      <c r="B144" s="9">
        <v>10700</v>
      </c>
    </row>
    <row r="145" spans="1:2" x14ac:dyDescent="0.25">
      <c r="A145" s="2">
        <v>43985</v>
      </c>
      <c r="B145" s="9">
        <v>6500</v>
      </c>
    </row>
    <row r="146" spans="1:2" x14ac:dyDescent="0.25">
      <c r="A146" s="2">
        <v>43986</v>
      </c>
      <c r="B146" s="9">
        <v>5100</v>
      </c>
    </row>
    <row r="147" spans="1:2" x14ac:dyDescent="0.25">
      <c r="A147" s="2">
        <v>43987</v>
      </c>
      <c r="B147" s="9">
        <v>14700</v>
      </c>
    </row>
    <row r="148" spans="1:2" x14ac:dyDescent="0.25">
      <c r="A148" s="2">
        <v>43988</v>
      </c>
      <c r="B148" s="9">
        <v>9600</v>
      </c>
    </row>
    <row r="149" spans="1:2" x14ac:dyDescent="0.25">
      <c r="A149" s="2">
        <v>43989</v>
      </c>
      <c r="B149" s="9">
        <v>8900</v>
      </c>
    </row>
    <row r="150" spans="1:2" x14ac:dyDescent="0.25">
      <c r="A150" s="2">
        <v>43990</v>
      </c>
      <c r="B150" s="9">
        <v>5000</v>
      </c>
    </row>
    <row r="151" spans="1:2" x14ac:dyDescent="0.25">
      <c r="A151" s="2">
        <v>43991</v>
      </c>
      <c r="B151" s="9">
        <v>9200</v>
      </c>
    </row>
    <row r="152" spans="1:2" x14ac:dyDescent="0.25">
      <c r="A152" s="2">
        <v>43992</v>
      </c>
      <c r="B152" s="9">
        <v>4400</v>
      </c>
    </row>
    <row r="153" spans="1:2" x14ac:dyDescent="0.25">
      <c r="A153" s="2">
        <v>43993</v>
      </c>
      <c r="B153" s="9">
        <v>5700</v>
      </c>
    </row>
    <row r="154" spans="1:2" x14ac:dyDescent="0.25">
      <c r="A154" s="2">
        <v>43994</v>
      </c>
      <c r="B154" s="9">
        <v>8800</v>
      </c>
    </row>
    <row r="155" spans="1:2" x14ac:dyDescent="0.25">
      <c r="A155" s="2">
        <v>43995</v>
      </c>
      <c r="B155" s="9">
        <v>8300</v>
      </c>
    </row>
    <row r="156" spans="1:2" x14ac:dyDescent="0.25">
      <c r="A156" s="2">
        <v>43996</v>
      </c>
      <c r="B156" s="9">
        <v>6000</v>
      </c>
    </row>
    <row r="157" spans="1:2" x14ac:dyDescent="0.25">
      <c r="A157" s="2">
        <v>43997</v>
      </c>
      <c r="B157" s="9">
        <v>6800</v>
      </c>
    </row>
    <row r="158" spans="1:2" x14ac:dyDescent="0.25">
      <c r="A158" s="2">
        <v>43998</v>
      </c>
      <c r="B158" s="9">
        <v>12300</v>
      </c>
    </row>
    <row r="159" spans="1:2" x14ac:dyDescent="0.25">
      <c r="A159" s="2">
        <v>43999</v>
      </c>
      <c r="B159" s="9">
        <v>8600</v>
      </c>
    </row>
    <row r="160" spans="1:2" x14ac:dyDescent="0.25">
      <c r="A160" s="2">
        <v>44000</v>
      </c>
      <c r="B160" s="9">
        <v>7200</v>
      </c>
    </row>
    <row r="161" spans="1:2" x14ac:dyDescent="0.25">
      <c r="A161" s="2">
        <v>44001</v>
      </c>
      <c r="B161" s="9">
        <v>8300</v>
      </c>
    </row>
    <row r="162" spans="1:2" x14ac:dyDescent="0.25">
      <c r="A162" s="2">
        <v>44002</v>
      </c>
      <c r="B162" s="9">
        <v>9000</v>
      </c>
    </row>
    <row r="163" spans="1:2" x14ac:dyDescent="0.25">
      <c r="A163" s="2">
        <v>44003</v>
      </c>
      <c r="B163" s="9">
        <v>10300</v>
      </c>
    </row>
    <row r="164" spans="1:2" x14ac:dyDescent="0.25">
      <c r="A164" s="2">
        <v>44004</v>
      </c>
      <c r="B164" s="9">
        <v>10100</v>
      </c>
    </row>
    <row r="165" spans="1:2" x14ac:dyDescent="0.25">
      <c r="A165" s="2">
        <v>44005</v>
      </c>
      <c r="B165" s="9">
        <v>7700</v>
      </c>
    </row>
    <row r="166" spans="1:2" x14ac:dyDescent="0.25">
      <c r="A166" s="2">
        <v>44006</v>
      </c>
      <c r="B166" s="9">
        <v>14000</v>
      </c>
    </row>
    <row r="167" spans="1:2" x14ac:dyDescent="0.25">
      <c r="A167" s="2">
        <v>44007</v>
      </c>
      <c r="B167" s="9">
        <v>13400</v>
      </c>
    </row>
    <row r="168" spans="1:2" x14ac:dyDescent="0.25">
      <c r="A168" s="2">
        <v>44008</v>
      </c>
      <c r="B168" s="9">
        <v>4600</v>
      </c>
    </row>
    <row r="169" spans="1:2" x14ac:dyDescent="0.25">
      <c r="A169" s="2">
        <v>44009</v>
      </c>
      <c r="B169" s="9">
        <v>12400</v>
      </c>
    </row>
    <row r="170" spans="1:2" x14ac:dyDescent="0.25">
      <c r="A170" s="2">
        <v>44010</v>
      </c>
      <c r="B170" s="9">
        <v>14000</v>
      </c>
    </row>
    <row r="171" spans="1:2" x14ac:dyDescent="0.25">
      <c r="A171" s="2">
        <v>44011</v>
      </c>
      <c r="B171" s="9">
        <v>7200</v>
      </c>
    </row>
    <row r="172" spans="1:2" x14ac:dyDescent="0.25">
      <c r="A172" s="2">
        <v>44012</v>
      </c>
      <c r="B172" s="9">
        <v>10700</v>
      </c>
    </row>
    <row r="173" spans="1:2" x14ac:dyDescent="0.25">
      <c r="A173" s="2">
        <v>44013</v>
      </c>
      <c r="B173" s="9">
        <v>6900</v>
      </c>
    </row>
    <row r="174" spans="1:2" x14ac:dyDescent="0.25">
      <c r="A174" s="2">
        <v>44014</v>
      </c>
      <c r="B174" s="9">
        <v>8500</v>
      </c>
    </row>
    <row r="175" spans="1:2" x14ac:dyDescent="0.25">
      <c r="A175" s="2">
        <v>44015</v>
      </c>
      <c r="B175" s="9">
        <v>13500</v>
      </c>
    </row>
    <row r="176" spans="1:2" x14ac:dyDescent="0.25">
      <c r="A176" s="2">
        <v>44016</v>
      </c>
      <c r="B176" s="9">
        <v>7900</v>
      </c>
    </row>
    <row r="177" spans="1:2" x14ac:dyDescent="0.25">
      <c r="A177" s="2">
        <v>44017</v>
      </c>
      <c r="B177" s="9">
        <v>12100</v>
      </c>
    </row>
    <row r="178" spans="1:2" x14ac:dyDescent="0.25">
      <c r="A178" s="2">
        <v>44018</v>
      </c>
      <c r="B178" s="9">
        <v>13800</v>
      </c>
    </row>
    <row r="179" spans="1:2" x14ac:dyDescent="0.25">
      <c r="A179" s="2">
        <v>44019</v>
      </c>
      <c r="B179" s="9">
        <v>6100</v>
      </c>
    </row>
    <row r="180" spans="1:2" x14ac:dyDescent="0.25">
      <c r="A180" s="2">
        <v>44020</v>
      </c>
      <c r="B180" s="9">
        <v>13000</v>
      </c>
    </row>
    <row r="181" spans="1:2" x14ac:dyDescent="0.25">
      <c r="A181" s="2">
        <v>44021</v>
      </c>
      <c r="B181" s="9">
        <v>6500</v>
      </c>
    </row>
    <row r="182" spans="1:2" x14ac:dyDescent="0.25">
      <c r="A182" s="2">
        <v>44022</v>
      </c>
      <c r="B182" s="9">
        <v>8500</v>
      </c>
    </row>
    <row r="183" spans="1:2" x14ac:dyDescent="0.25">
      <c r="A183" s="2">
        <v>44023</v>
      </c>
      <c r="B183" s="9">
        <v>9400</v>
      </c>
    </row>
    <row r="184" spans="1:2" x14ac:dyDescent="0.25">
      <c r="A184" s="2">
        <v>44024</v>
      </c>
      <c r="B184" s="9">
        <v>12900</v>
      </c>
    </row>
    <row r="185" spans="1:2" x14ac:dyDescent="0.25">
      <c r="A185" s="2">
        <v>44025</v>
      </c>
      <c r="B185" s="9">
        <v>14200</v>
      </c>
    </row>
    <row r="186" spans="1:2" x14ac:dyDescent="0.25">
      <c r="A186" s="2">
        <v>44026</v>
      </c>
      <c r="B186" s="9">
        <v>7200</v>
      </c>
    </row>
    <row r="187" spans="1:2" x14ac:dyDescent="0.25">
      <c r="A187" s="2">
        <v>44027</v>
      </c>
      <c r="B187" s="9">
        <v>7300</v>
      </c>
    </row>
    <row r="188" spans="1:2" x14ac:dyDescent="0.25">
      <c r="A188" s="2">
        <v>44028</v>
      </c>
      <c r="B188" s="9">
        <v>10600</v>
      </c>
    </row>
    <row r="189" spans="1:2" x14ac:dyDescent="0.25">
      <c r="A189" s="2">
        <v>44029</v>
      </c>
      <c r="B189" s="9">
        <v>14000</v>
      </c>
    </row>
    <row r="190" spans="1:2" x14ac:dyDescent="0.25">
      <c r="A190" s="2">
        <v>44030</v>
      </c>
      <c r="B190" s="9">
        <v>11200</v>
      </c>
    </row>
    <row r="191" spans="1:2" x14ac:dyDescent="0.25">
      <c r="A191" s="2">
        <v>44031</v>
      </c>
      <c r="B191" s="9">
        <v>14800</v>
      </c>
    </row>
    <row r="192" spans="1:2" x14ac:dyDescent="0.25">
      <c r="A192" s="2">
        <v>44032</v>
      </c>
      <c r="B192" s="9">
        <v>8700</v>
      </c>
    </row>
    <row r="193" spans="1:2" x14ac:dyDescent="0.25">
      <c r="A193" s="2">
        <v>44033</v>
      </c>
      <c r="B193" s="9">
        <v>8700</v>
      </c>
    </row>
    <row r="194" spans="1:2" x14ac:dyDescent="0.25">
      <c r="A194" s="2">
        <v>44034</v>
      </c>
      <c r="B194" s="9">
        <v>14800</v>
      </c>
    </row>
    <row r="195" spans="1:2" x14ac:dyDescent="0.25">
      <c r="A195" s="2">
        <v>44035</v>
      </c>
      <c r="B195" s="9">
        <v>12700</v>
      </c>
    </row>
    <row r="196" spans="1:2" x14ac:dyDescent="0.25">
      <c r="A196" s="2">
        <v>44036</v>
      </c>
      <c r="B196" s="9">
        <v>10300</v>
      </c>
    </row>
    <row r="197" spans="1:2" x14ac:dyDescent="0.25">
      <c r="A197" s="2">
        <v>44037</v>
      </c>
      <c r="B197" s="9">
        <v>8500</v>
      </c>
    </row>
    <row r="198" spans="1:2" x14ac:dyDescent="0.25">
      <c r="A198" s="2">
        <v>44038</v>
      </c>
      <c r="B198" s="9">
        <v>11900</v>
      </c>
    </row>
    <row r="199" spans="1:2" x14ac:dyDescent="0.25">
      <c r="A199" s="2">
        <v>44039</v>
      </c>
      <c r="B199" s="9">
        <v>10300</v>
      </c>
    </row>
    <row r="200" spans="1:2" x14ac:dyDescent="0.25">
      <c r="A200" s="2">
        <v>44040</v>
      </c>
      <c r="B200" s="9">
        <v>5600</v>
      </c>
    </row>
    <row r="201" spans="1:2" x14ac:dyDescent="0.25">
      <c r="A201" s="2">
        <v>44041</v>
      </c>
      <c r="B201" s="9">
        <v>10900</v>
      </c>
    </row>
    <row r="202" spans="1:2" x14ac:dyDescent="0.25">
      <c r="A202" s="2">
        <v>44042</v>
      </c>
      <c r="B202" s="9">
        <v>8600</v>
      </c>
    </row>
    <row r="203" spans="1:2" x14ac:dyDescent="0.25">
      <c r="A203" s="2">
        <v>44043</v>
      </c>
      <c r="B203" s="9">
        <v>9400</v>
      </c>
    </row>
    <row r="204" spans="1:2" x14ac:dyDescent="0.25">
      <c r="A204" s="2">
        <v>44044</v>
      </c>
      <c r="B204" s="9">
        <v>11800</v>
      </c>
    </row>
    <row r="205" spans="1:2" x14ac:dyDescent="0.25">
      <c r="A205" s="2">
        <v>44045</v>
      </c>
      <c r="B205" s="9">
        <v>10800</v>
      </c>
    </row>
    <row r="206" spans="1:2" x14ac:dyDescent="0.25">
      <c r="A206" s="2">
        <v>44046</v>
      </c>
      <c r="B206" s="9">
        <v>6500</v>
      </c>
    </row>
    <row r="207" spans="1:2" x14ac:dyDescent="0.25">
      <c r="A207" s="2">
        <v>44047</v>
      </c>
      <c r="B207" s="9">
        <v>5000</v>
      </c>
    </row>
    <row r="208" spans="1:2" x14ac:dyDescent="0.25">
      <c r="A208" s="2">
        <v>44048</v>
      </c>
      <c r="B208" s="9">
        <v>4300</v>
      </c>
    </row>
    <row r="209" spans="1:2" x14ac:dyDescent="0.25">
      <c r="A209" s="2">
        <v>44049</v>
      </c>
      <c r="B209" s="9">
        <v>11700</v>
      </c>
    </row>
    <row r="210" spans="1:2" x14ac:dyDescent="0.25">
      <c r="A210" s="2">
        <v>44050</v>
      </c>
      <c r="B210" s="9">
        <v>10600</v>
      </c>
    </row>
    <row r="211" spans="1:2" x14ac:dyDescent="0.25">
      <c r="A211" s="2">
        <v>44051</v>
      </c>
      <c r="B211" s="9">
        <v>14500</v>
      </c>
    </row>
    <row r="212" spans="1:2" x14ac:dyDescent="0.25">
      <c r="A212" s="2">
        <v>44052</v>
      </c>
      <c r="B212" s="9">
        <v>14600</v>
      </c>
    </row>
    <row r="213" spans="1:2" x14ac:dyDescent="0.25">
      <c r="A213" s="2">
        <v>44053</v>
      </c>
      <c r="B213" s="9">
        <v>11700</v>
      </c>
    </row>
    <row r="214" spans="1:2" x14ac:dyDescent="0.25">
      <c r="A214" s="2">
        <v>44054</v>
      </c>
      <c r="B214" s="9">
        <v>11000</v>
      </c>
    </row>
    <row r="215" spans="1:2" x14ac:dyDescent="0.25">
      <c r="A215" s="2">
        <v>44055</v>
      </c>
      <c r="B215" s="9">
        <v>6700</v>
      </c>
    </row>
    <row r="216" spans="1:2" x14ac:dyDescent="0.25">
      <c r="A216" s="2">
        <v>44056</v>
      </c>
      <c r="B216" s="9">
        <v>10600</v>
      </c>
    </row>
    <row r="217" spans="1:2" x14ac:dyDescent="0.25">
      <c r="A217" s="2">
        <v>44057</v>
      </c>
      <c r="B217" s="9">
        <v>11300</v>
      </c>
    </row>
    <row r="218" spans="1:2" x14ac:dyDescent="0.25">
      <c r="A218" s="2">
        <v>44058</v>
      </c>
      <c r="B218" s="9">
        <v>6400</v>
      </c>
    </row>
    <row r="219" spans="1:2" x14ac:dyDescent="0.25">
      <c r="A219" s="2">
        <v>44059</v>
      </c>
      <c r="B219" s="9">
        <v>6600</v>
      </c>
    </row>
    <row r="220" spans="1:2" x14ac:dyDescent="0.25">
      <c r="A220" s="2">
        <v>44060</v>
      </c>
      <c r="B220" s="9">
        <v>11700</v>
      </c>
    </row>
    <row r="221" spans="1:2" x14ac:dyDescent="0.25">
      <c r="A221" s="2">
        <v>44061</v>
      </c>
      <c r="B221" s="9">
        <v>13300</v>
      </c>
    </row>
    <row r="222" spans="1:2" x14ac:dyDescent="0.25">
      <c r="A222" s="2">
        <v>44062</v>
      </c>
      <c r="B222" s="9">
        <v>9100</v>
      </c>
    </row>
    <row r="223" spans="1:2" x14ac:dyDescent="0.25">
      <c r="A223" s="2">
        <v>44063</v>
      </c>
      <c r="B223" s="9">
        <v>10100</v>
      </c>
    </row>
    <row r="224" spans="1:2" x14ac:dyDescent="0.25">
      <c r="A224" s="2">
        <v>44064</v>
      </c>
      <c r="B224" s="9">
        <v>4200</v>
      </c>
    </row>
    <row r="225" spans="1:2" x14ac:dyDescent="0.25">
      <c r="A225" s="2">
        <v>44065</v>
      </c>
      <c r="B225" s="9">
        <v>13000</v>
      </c>
    </row>
    <row r="226" spans="1:2" x14ac:dyDescent="0.25">
      <c r="A226" s="2">
        <v>44066</v>
      </c>
      <c r="B226" s="9">
        <v>11500</v>
      </c>
    </row>
    <row r="227" spans="1:2" x14ac:dyDescent="0.25">
      <c r="A227" s="2">
        <v>44067</v>
      </c>
      <c r="B227" s="9">
        <v>6700</v>
      </c>
    </row>
    <row r="228" spans="1:2" x14ac:dyDescent="0.25">
      <c r="A228" s="2">
        <v>44068</v>
      </c>
      <c r="B228" s="9">
        <v>8400</v>
      </c>
    </row>
    <row r="229" spans="1:2" x14ac:dyDescent="0.25">
      <c r="A229" s="2">
        <v>44069</v>
      </c>
      <c r="B229" s="9">
        <v>12400</v>
      </c>
    </row>
    <row r="230" spans="1:2" x14ac:dyDescent="0.25">
      <c r="A230" s="2">
        <v>44070</v>
      </c>
      <c r="B230" s="9">
        <v>12300</v>
      </c>
    </row>
    <row r="231" spans="1:2" x14ac:dyDescent="0.25">
      <c r="A231" s="2">
        <v>44071</v>
      </c>
      <c r="B231" s="9">
        <v>14500</v>
      </c>
    </row>
    <row r="232" spans="1:2" x14ac:dyDescent="0.25">
      <c r="A232" s="2">
        <v>44072</v>
      </c>
      <c r="B232" s="9">
        <v>9800</v>
      </c>
    </row>
    <row r="233" spans="1:2" x14ac:dyDescent="0.25">
      <c r="A233" s="2">
        <v>44073</v>
      </c>
      <c r="B233" s="9">
        <v>12200</v>
      </c>
    </row>
    <row r="234" spans="1:2" x14ac:dyDescent="0.25">
      <c r="A234" s="2">
        <v>44074</v>
      </c>
      <c r="B234" s="9">
        <v>4200</v>
      </c>
    </row>
    <row r="235" spans="1:2" x14ac:dyDescent="0.25">
      <c r="A235" s="2">
        <v>44075</v>
      </c>
      <c r="B235" s="9">
        <v>5800</v>
      </c>
    </row>
    <row r="236" spans="1:2" x14ac:dyDescent="0.25">
      <c r="A236" s="2">
        <v>44076</v>
      </c>
      <c r="B236" s="9">
        <v>6800</v>
      </c>
    </row>
    <row r="237" spans="1:2" x14ac:dyDescent="0.25">
      <c r="A237" s="2">
        <v>44077</v>
      </c>
      <c r="B237" s="9">
        <v>10300</v>
      </c>
    </row>
    <row r="238" spans="1:2" x14ac:dyDescent="0.25">
      <c r="A238" s="2">
        <v>44078</v>
      </c>
      <c r="B238" s="9">
        <v>10800</v>
      </c>
    </row>
    <row r="239" spans="1:2" x14ac:dyDescent="0.25">
      <c r="A239" s="2">
        <v>44079</v>
      </c>
      <c r="B239" s="9">
        <v>7500</v>
      </c>
    </row>
    <row r="240" spans="1:2" x14ac:dyDescent="0.25">
      <c r="A240" s="2">
        <v>44080</v>
      </c>
      <c r="B240" s="9">
        <v>6800</v>
      </c>
    </row>
    <row r="241" spans="1:2" x14ac:dyDescent="0.25">
      <c r="A241" s="2">
        <v>44081</v>
      </c>
      <c r="B241" s="9">
        <v>4900</v>
      </c>
    </row>
    <row r="242" spans="1:2" x14ac:dyDescent="0.25">
      <c r="A242" s="2">
        <v>44082</v>
      </c>
      <c r="B242" s="9">
        <v>8700</v>
      </c>
    </row>
    <row r="243" spans="1:2" x14ac:dyDescent="0.25">
      <c r="A243" s="2">
        <v>44083</v>
      </c>
      <c r="B243" s="9">
        <v>5500</v>
      </c>
    </row>
    <row r="244" spans="1:2" x14ac:dyDescent="0.25">
      <c r="A244" s="2">
        <v>44084</v>
      </c>
      <c r="B244" s="9">
        <v>14500</v>
      </c>
    </row>
    <row r="245" spans="1:2" x14ac:dyDescent="0.25">
      <c r="A245" s="2">
        <v>44085</v>
      </c>
      <c r="B245" s="9">
        <v>10700</v>
      </c>
    </row>
    <row r="246" spans="1:2" x14ac:dyDescent="0.25">
      <c r="A246" s="2">
        <v>44086</v>
      </c>
      <c r="B246" s="9">
        <v>6800</v>
      </c>
    </row>
    <row r="247" spans="1:2" x14ac:dyDescent="0.25">
      <c r="A247" s="2">
        <v>44087</v>
      </c>
      <c r="B247" s="9">
        <v>5700</v>
      </c>
    </row>
    <row r="248" spans="1:2" x14ac:dyDescent="0.25">
      <c r="A248" s="2">
        <v>44088</v>
      </c>
      <c r="B248" s="9">
        <v>4300</v>
      </c>
    </row>
    <row r="249" spans="1:2" x14ac:dyDescent="0.25">
      <c r="A249" s="2">
        <v>44089</v>
      </c>
      <c r="B249" s="9">
        <v>14600</v>
      </c>
    </row>
    <row r="250" spans="1:2" x14ac:dyDescent="0.25">
      <c r="A250" s="2">
        <v>44090</v>
      </c>
      <c r="B250" s="9">
        <v>11400</v>
      </c>
    </row>
    <row r="251" spans="1:2" x14ac:dyDescent="0.25">
      <c r="A251" s="2">
        <v>44091</v>
      </c>
      <c r="B251" s="9">
        <v>12500</v>
      </c>
    </row>
    <row r="252" spans="1:2" x14ac:dyDescent="0.25">
      <c r="A252" s="2">
        <v>44092</v>
      </c>
      <c r="B252" s="9">
        <v>9400</v>
      </c>
    </row>
    <row r="253" spans="1:2" x14ac:dyDescent="0.25">
      <c r="A253" s="2">
        <v>44093</v>
      </c>
      <c r="B253" s="9">
        <v>10400</v>
      </c>
    </row>
    <row r="254" spans="1:2" x14ac:dyDescent="0.25">
      <c r="A254" s="2">
        <v>44094</v>
      </c>
      <c r="B254" s="9">
        <v>12500</v>
      </c>
    </row>
    <row r="255" spans="1:2" x14ac:dyDescent="0.25">
      <c r="A255" s="2">
        <v>44095</v>
      </c>
      <c r="B255" s="9">
        <v>5600</v>
      </c>
    </row>
    <row r="256" spans="1:2" x14ac:dyDescent="0.25">
      <c r="A256" s="2">
        <v>44096</v>
      </c>
      <c r="B256" s="9">
        <v>4700</v>
      </c>
    </row>
    <row r="257" spans="1:2" x14ac:dyDescent="0.25">
      <c r="A257" s="2">
        <v>44097</v>
      </c>
      <c r="B257" s="9">
        <v>11500</v>
      </c>
    </row>
    <row r="258" spans="1:2" x14ac:dyDescent="0.25">
      <c r="A258" s="2">
        <v>44098</v>
      </c>
      <c r="B258" s="9">
        <v>12500</v>
      </c>
    </row>
    <row r="259" spans="1:2" x14ac:dyDescent="0.25">
      <c r="A259" s="2">
        <v>44099</v>
      </c>
      <c r="B259" s="9">
        <v>11900</v>
      </c>
    </row>
    <row r="260" spans="1:2" x14ac:dyDescent="0.25">
      <c r="A260" s="2">
        <v>44100</v>
      </c>
      <c r="B260" s="9">
        <v>14400</v>
      </c>
    </row>
    <row r="261" spans="1:2" x14ac:dyDescent="0.25">
      <c r="A261" s="2">
        <v>44101</v>
      </c>
      <c r="B261" s="9">
        <v>11900</v>
      </c>
    </row>
    <row r="262" spans="1:2" x14ac:dyDescent="0.25">
      <c r="A262" s="2">
        <v>44102</v>
      </c>
      <c r="B262" s="9">
        <v>11900</v>
      </c>
    </row>
    <row r="263" spans="1:2" x14ac:dyDescent="0.25">
      <c r="A263" s="2">
        <v>44103</v>
      </c>
      <c r="B263" s="9">
        <v>9000</v>
      </c>
    </row>
    <row r="264" spans="1:2" x14ac:dyDescent="0.25">
      <c r="A264" s="2">
        <v>44104</v>
      </c>
      <c r="B264" s="9">
        <v>8100</v>
      </c>
    </row>
    <row r="265" spans="1:2" x14ac:dyDescent="0.25">
      <c r="A265" s="2">
        <v>44105</v>
      </c>
      <c r="B265" s="9">
        <v>12800</v>
      </c>
    </row>
    <row r="266" spans="1:2" x14ac:dyDescent="0.25">
      <c r="A266" s="2">
        <v>44106</v>
      </c>
      <c r="B266" s="9">
        <v>4200</v>
      </c>
    </row>
    <row r="267" spans="1:2" x14ac:dyDescent="0.25">
      <c r="A267" s="2">
        <v>44107</v>
      </c>
      <c r="B267" s="9">
        <v>13400</v>
      </c>
    </row>
    <row r="268" spans="1:2" x14ac:dyDescent="0.25">
      <c r="A268" s="2">
        <v>44108</v>
      </c>
      <c r="B268" s="9">
        <v>4200</v>
      </c>
    </row>
    <row r="269" spans="1:2" x14ac:dyDescent="0.25">
      <c r="A269" s="2">
        <v>44109</v>
      </c>
      <c r="B269" s="9">
        <v>13800</v>
      </c>
    </row>
    <row r="270" spans="1:2" x14ac:dyDescent="0.25">
      <c r="A270" s="2">
        <v>44110</v>
      </c>
      <c r="B270" s="9">
        <v>7400</v>
      </c>
    </row>
    <row r="271" spans="1:2" x14ac:dyDescent="0.25">
      <c r="A271" s="2">
        <v>44111</v>
      </c>
      <c r="B271" s="9">
        <v>10900</v>
      </c>
    </row>
    <row r="272" spans="1:2" x14ac:dyDescent="0.25">
      <c r="A272" s="2">
        <v>44112</v>
      </c>
      <c r="B272" s="9">
        <v>11000</v>
      </c>
    </row>
    <row r="273" spans="1:2" x14ac:dyDescent="0.25">
      <c r="A273" s="2">
        <v>44113</v>
      </c>
      <c r="B273" s="9">
        <v>7400</v>
      </c>
    </row>
    <row r="274" spans="1:2" x14ac:dyDescent="0.25">
      <c r="A274" s="2">
        <v>44114</v>
      </c>
      <c r="B274" s="9">
        <v>7100</v>
      </c>
    </row>
    <row r="275" spans="1:2" x14ac:dyDescent="0.25">
      <c r="A275" s="2">
        <v>44115</v>
      </c>
      <c r="B275" s="9">
        <v>10000</v>
      </c>
    </row>
    <row r="276" spans="1:2" x14ac:dyDescent="0.25">
      <c r="A276" s="2">
        <v>44116</v>
      </c>
      <c r="B276" s="9">
        <v>12800</v>
      </c>
    </row>
    <row r="277" spans="1:2" x14ac:dyDescent="0.25">
      <c r="A277" s="2">
        <v>44117</v>
      </c>
      <c r="B277" s="9">
        <v>4900</v>
      </c>
    </row>
    <row r="278" spans="1:2" x14ac:dyDescent="0.25">
      <c r="A278" s="2">
        <v>44118</v>
      </c>
      <c r="B278" s="9">
        <v>7400</v>
      </c>
    </row>
    <row r="279" spans="1:2" x14ac:dyDescent="0.25">
      <c r="A279" s="2">
        <v>44119</v>
      </c>
      <c r="B279" s="9">
        <v>4200</v>
      </c>
    </row>
    <row r="280" spans="1:2" x14ac:dyDescent="0.25">
      <c r="A280" s="2">
        <v>44120</v>
      </c>
      <c r="B280" s="9">
        <v>5600</v>
      </c>
    </row>
    <row r="281" spans="1:2" x14ac:dyDescent="0.25">
      <c r="A281" s="2">
        <v>44121</v>
      </c>
      <c r="B281" s="9">
        <v>9200</v>
      </c>
    </row>
    <row r="282" spans="1:2" x14ac:dyDescent="0.25">
      <c r="A282" s="2">
        <v>44122</v>
      </c>
      <c r="B282" s="9">
        <v>6800</v>
      </c>
    </row>
    <row r="283" spans="1:2" x14ac:dyDescent="0.25">
      <c r="A283" s="2">
        <v>44123</v>
      </c>
      <c r="B283" s="9">
        <v>6300</v>
      </c>
    </row>
    <row r="284" spans="1:2" x14ac:dyDescent="0.25">
      <c r="A284" s="2">
        <v>44124</v>
      </c>
      <c r="B284" s="9">
        <v>11800</v>
      </c>
    </row>
    <row r="285" spans="1:2" x14ac:dyDescent="0.25">
      <c r="A285" s="2">
        <v>44125</v>
      </c>
      <c r="B285" s="9">
        <v>5500</v>
      </c>
    </row>
    <row r="286" spans="1:2" x14ac:dyDescent="0.25">
      <c r="A286" s="2">
        <v>44126</v>
      </c>
      <c r="B286" s="9">
        <v>4700</v>
      </c>
    </row>
    <row r="287" spans="1:2" x14ac:dyDescent="0.25">
      <c r="A287" s="2">
        <v>44127</v>
      </c>
      <c r="B287" s="9">
        <v>6000</v>
      </c>
    </row>
    <row r="288" spans="1:2" x14ac:dyDescent="0.25">
      <c r="A288" s="2">
        <v>44128</v>
      </c>
      <c r="B288" s="9">
        <v>13600</v>
      </c>
    </row>
    <row r="289" spans="1:2" x14ac:dyDescent="0.25">
      <c r="A289" s="2">
        <v>44129</v>
      </c>
      <c r="B289" s="9">
        <v>11300</v>
      </c>
    </row>
    <row r="290" spans="1:2" x14ac:dyDescent="0.25">
      <c r="A290" s="2">
        <v>44130</v>
      </c>
      <c r="B290" s="9">
        <v>9900</v>
      </c>
    </row>
    <row r="291" spans="1:2" x14ac:dyDescent="0.25">
      <c r="A291" s="2">
        <v>44131</v>
      </c>
      <c r="B291" s="9">
        <v>5000</v>
      </c>
    </row>
    <row r="292" spans="1:2" x14ac:dyDescent="0.25">
      <c r="A292" s="2">
        <v>44132</v>
      </c>
      <c r="B292" s="9">
        <v>11300</v>
      </c>
    </row>
    <row r="293" spans="1:2" x14ac:dyDescent="0.25">
      <c r="A293" s="2">
        <v>44133</v>
      </c>
      <c r="B293" s="9">
        <v>7700</v>
      </c>
    </row>
    <row r="294" spans="1:2" x14ac:dyDescent="0.25">
      <c r="A294" s="2">
        <v>44134</v>
      </c>
      <c r="B294" s="9">
        <v>7900</v>
      </c>
    </row>
    <row r="295" spans="1:2" x14ac:dyDescent="0.25">
      <c r="A295" s="2">
        <v>44135</v>
      </c>
      <c r="B295" s="9">
        <v>9600</v>
      </c>
    </row>
    <row r="296" spans="1:2" x14ac:dyDescent="0.25">
      <c r="A296" s="2">
        <v>44136</v>
      </c>
      <c r="B296" s="9">
        <v>4700</v>
      </c>
    </row>
    <row r="297" spans="1:2" x14ac:dyDescent="0.25">
      <c r="A297" s="2">
        <v>44137</v>
      </c>
      <c r="B297" s="9">
        <v>4700</v>
      </c>
    </row>
    <row r="298" spans="1:2" x14ac:dyDescent="0.25">
      <c r="A298" s="2">
        <v>44138</v>
      </c>
      <c r="B298" s="9">
        <v>11900</v>
      </c>
    </row>
    <row r="299" spans="1:2" x14ac:dyDescent="0.25">
      <c r="A299" s="2">
        <v>44139</v>
      </c>
      <c r="B299" s="9">
        <v>14300</v>
      </c>
    </row>
    <row r="300" spans="1:2" x14ac:dyDescent="0.25">
      <c r="A300" s="2">
        <v>44140</v>
      </c>
      <c r="B300" s="9">
        <v>13300</v>
      </c>
    </row>
    <row r="301" spans="1:2" x14ac:dyDescent="0.25">
      <c r="A301" s="2">
        <v>44141</v>
      </c>
      <c r="B301" s="9">
        <v>7500</v>
      </c>
    </row>
    <row r="302" spans="1:2" x14ac:dyDescent="0.25">
      <c r="A302" s="2">
        <v>44142</v>
      </c>
      <c r="B302" s="9">
        <v>4900</v>
      </c>
    </row>
    <row r="303" spans="1:2" x14ac:dyDescent="0.25">
      <c r="A303" s="2">
        <v>44143</v>
      </c>
      <c r="B303" s="9">
        <v>5100</v>
      </c>
    </row>
    <row r="304" spans="1:2" x14ac:dyDescent="0.25">
      <c r="A304" s="2">
        <v>44144</v>
      </c>
      <c r="B304" s="9">
        <v>14300</v>
      </c>
    </row>
    <row r="305" spans="1:2" x14ac:dyDescent="0.25">
      <c r="A305" s="2">
        <v>44145</v>
      </c>
      <c r="B305" s="9">
        <v>7600</v>
      </c>
    </row>
    <row r="306" spans="1:2" x14ac:dyDescent="0.25">
      <c r="A306" s="2">
        <v>44146</v>
      </c>
      <c r="B306" s="9">
        <v>5900</v>
      </c>
    </row>
    <row r="307" spans="1:2" x14ac:dyDescent="0.25">
      <c r="A307" s="2">
        <v>44147</v>
      </c>
      <c r="B307" s="9">
        <v>4100</v>
      </c>
    </row>
    <row r="308" spans="1:2" x14ac:dyDescent="0.25">
      <c r="A308" s="2">
        <v>44148</v>
      </c>
      <c r="B308" s="9">
        <v>10700</v>
      </c>
    </row>
    <row r="309" spans="1:2" x14ac:dyDescent="0.25">
      <c r="A309" s="2">
        <v>44149</v>
      </c>
      <c r="B309" s="9">
        <v>6600</v>
      </c>
    </row>
    <row r="310" spans="1:2" x14ac:dyDescent="0.25">
      <c r="A310" s="2">
        <v>44150</v>
      </c>
      <c r="B310" s="9">
        <v>7400</v>
      </c>
    </row>
    <row r="311" spans="1:2" x14ac:dyDescent="0.25">
      <c r="A311" s="2">
        <v>44151</v>
      </c>
      <c r="B311" s="9">
        <v>13800</v>
      </c>
    </row>
    <row r="312" spans="1:2" x14ac:dyDescent="0.25">
      <c r="A312" s="2">
        <v>44152</v>
      </c>
      <c r="B312" s="9">
        <v>9500</v>
      </c>
    </row>
    <row r="313" spans="1:2" x14ac:dyDescent="0.25">
      <c r="A313" s="2">
        <v>44153</v>
      </c>
      <c r="B313" s="9">
        <v>12100</v>
      </c>
    </row>
    <row r="314" spans="1:2" x14ac:dyDescent="0.25">
      <c r="A314" s="2">
        <v>44154</v>
      </c>
      <c r="B314" s="9">
        <v>11900</v>
      </c>
    </row>
    <row r="315" spans="1:2" x14ac:dyDescent="0.25">
      <c r="A315" s="2">
        <v>44155</v>
      </c>
      <c r="B315" s="9">
        <v>14200</v>
      </c>
    </row>
    <row r="316" spans="1:2" x14ac:dyDescent="0.25">
      <c r="A316" s="2">
        <v>44156</v>
      </c>
      <c r="B316" s="9">
        <v>15000</v>
      </c>
    </row>
    <row r="317" spans="1:2" x14ac:dyDescent="0.25">
      <c r="A317" s="2">
        <v>44157</v>
      </c>
      <c r="B317" s="9">
        <v>12800</v>
      </c>
    </row>
    <row r="318" spans="1:2" x14ac:dyDescent="0.25">
      <c r="A318" s="2">
        <v>44158</v>
      </c>
      <c r="B318" s="9">
        <v>5000</v>
      </c>
    </row>
    <row r="319" spans="1:2" x14ac:dyDescent="0.25">
      <c r="A319" s="2">
        <v>44159</v>
      </c>
      <c r="B319" s="9">
        <v>12700</v>
      </c>
    </row>
    <row r="320" spans="1:2" x14ac:dyDescent="0.25">
      <c r="A320" s="2">
        <v>44160</v>
      </c>
      <c r="B320" s="9">
        <v>11600</v>
      </c>
    </row>
    <row r="321" spans="1:2" x14ac:dyDescent="0.25">
      <c r="A321" s="2">
        <v>44161</v>
      </c>
      <c r="B321" s="9">
        <v>10200</v>
      </c>
    </row>
    <row r="322" spans="1:2" x14ac:dyDescent="0.25">
      <c r="A322" s="2">
        <v>44162</v>
      </c>
      <c r="B322" s="9">
        <v>14100</v>
      </c>
    </row>
    <row r="323" spans="1:2" x14ac:dyDescent="0.25">
      <c r="A323" s="2">
        <v>44163</v>
      </c>
      <c r="B323" s="9">
        <v>7900</v>
      </c>
    </row>
    <row r="324" spans="1:2" x14ac:dyDescent="0.25">
      <c r="A324" s="2">
        <v>44164</v>
      </c>
      <c r="B324" s="9">
        <v>14600</v>
      </c>
    </row>
    <row r="325" spans="1:2" x14ac:dyDescent="0.25">
      <c r="A325" s="2">
        <v>44165</v>
      </c>
      <c r="B325" s="9">
        <v>7100</v>
      </c>
    </row>
    <row r="326" spans="1:2" x14ac:dyDescent="0.25">
      <c r="A326" s="2">
        <v>44166</v>
      </c>
      <c r="B326" s="9">
        <v>5700</v>
      </c>
    </row>
    <row r="327" spans="1:2" x14ac:dyDescent="0.25">
      <c r="A327" s="2">
        <v>44167</v>
      </c>
      <c r="B327" s="9">
        <v>11500</v>
      </c>
    </row>
    <row r="328" spans="1:2" x14ac:dyDescent="0.25">
      <c r="A328" s="2">
        <v>44168</v>
      </c>
      <c r="B328" s="9">
        <v>10900</v>
      </c>
    </row>
    <row r="329" spans="1:2" x14ac:dyDescent="0.25">
      <c r="A329" s="2">
        <v>44169</v>
      </c>
      <c r="B329" s="9">
        <v>12800</v>
      </c>
    </row>
    <row r="330" spans="1:2" x14ac:dyDescent="0.25">
      <c r="A330" s="2">
        <v>44170</v>
      </c>
      <c r="B330" s="9">
        <v>4600</v>
      </c>
    </row>
    <row r="331" spans="1:2" x14ac:dyDescent="0.25">
      <c r="A331" s="2">
        <v>44171</v>
      </c>
      <c r="B331" s="9">
        <v>11100</v>
      </c>
    </row>
    <row r="332" spans="1:2" x14ac:dyDescent="0.25">
      <c r="A332" s="2">
        <v>44172</v>
      </c>
      <c r="B332" s="9">
        <v>7400</v>
      </c>
    </row>
    <row r="333" spans="1:2" x14ac:dyDescent="0.25">
      <c r="A333" s="2">
        <v>44173</v>
      </c>
      <c r="B333" s="9">
        <v>6900</v>
      </c>
    </row>
    <row r="334" spans="1:2" x14ac:dyDescent="0.25">
      <c r="A334" s="2">
        <v>44174</v>
      </c>
      <c r="B334" s="9">
        <v>6700</v>
      </c>
    </row>
    <row r="335" spans="1:2" x14ac:dyDescent="0.25">
      <c r="A335" s="2">
        <v>44175</v>
      </c>
      <c r="B335" s="9">
        <v>4900</v>
      </c>
    </row>
    <row r="336" spans="1:2" x14ac:dyDescent="0.25">
      <c r="A336" s="2">
        <v>44176</v>
      </c>
      <c r="B336" s="9">
        <v>11100</v>
      </c>
    </row>
    <row r="337" spans="1:2" x14ac:dyDescent="0.25">
      <c r="A337" s="2">
        <v>44177</v>
      </c>
      <c r="B337" s="9">
        <v>13200</v>
      </c>
    </row>
    <row r="338" spans="1:2" x14ac:dyDescent="0.25">
      <c r="A338" s="2">
        <v>44178</v>
      </c>
      <c r="B338" s="9">
        <v>5000</v>
      </c>
    </row>
    <row r="339" spans="1:2" x14ac:dyDescent="0.25">
      <c r="A339" s="2">
        <v>44179</v>
      </c>
      <c r="B339" s="9">
        <v>5600</v>
      </c>
    </row>
    <row r="340" spans="1:2" x14ac:dyDescent="0.25">
      <c r="A340" s="2">
        <v>44180</v>
      </c>
      <c r="B340" s="9">
        <v>10100</v>
      </c>
    </row>
    <row r="341" spans="1:2" x14ac:dyDescent="0.25">
      <c r="A341" s="2">
        <v>44181</v>
      </c>
      <c r="B341" s="9">
        <v>7600</v>
      </c>
    </row>
    <row r="342" spans="1:2" x14ac:dyDescent="0.25">
      <c r="A342" s="2">
        <v>44182</v>
      </c>
      <c r="B342" s="9">
        <v>14200</v>
      </c>
    </row>
    <row r="343" spans="1:2" x14ac:dyDescent="0.25">
      <c r="A343" s="2">
        <v>44183</v>
      </c>
      <c r="B343" s="9">
        <v>4200</v>
      </c>
    </row>
    <row r="344" spans="1:2" x14ac:dyDescent="0.25">
      <c r="A344" s="2">
        <v>44184</v>
      </c>
      <c r="B344" s="9">
        <v>8600</v>
      </c>
    </row>
    <row r="345" spans="1:2" x14ac:dyDescent="0.25">
      <c r="A345" s="2">
        <v>44185</v>
      </c>
      <c r="B345" s="9">
        <v>6600</v>
      </c>
    </row>
    <row r="346" spans="1:2" x14ac:dyDescent="0.25">
      <c r="A346" s="2">
        <v>44186</v>
      </c>
      <c r="B346" s="9">
        <v>4100</v>
      </c>
    </row>
    <row r="347" spans="1:2" x14ac:dyDescent="0.25">
      <c r="A347" s="2">
        <v>44187</v>
      </c>
      <c r="B347" s="9">
        <v>11400</v>
      </c>
    </row>
    <row r="348" spans="1:2" x14ac:dyDescent="0.25">
      <c r="A348" s="2">
        <v>44188</v>
      </c>
      <c r="B348" s="9">
        <v>12300</v>
      </c>
    </row>
    <row r="349" spans="1:2" x14ac:dyDescent="0.25">
      <c r="A349" s="2">
        <v>44189</v>
      </c>
      <c r="B349" s="9">
        <v>5700</v>
      </c>
    </row>
    <row r="350" spans="1:2" x14ac:dyDescent="0.25">
      <c r="A350" s="2">
        <v>44190</v>
      </c>
      <c r="B350" s="9">
        <v>7200</v>
      </c>
    </row>
    <row r="351" spans="1:2" x14ac:dyDescent="0.25">
      <c r="A351" s="2">
        <v>44191</v>
      </c>
      <c r="B351" s="9">
        <v>4100</v>
      </c>
    </row>
    <row r="352" spans="1:2" x14ac:dyDescent="0.25">
      <c r="A352" s="2">
        <v>44192</v>
      </c>
      <c r="B352" s="9">
        <v>14100</v>
      </c>
    </row>
    <row r="353" spans="1:2" x14ac:dyDescent="0.25">
      <c r="A353" s="2">
        <v>44193</v>
      </c>
      <c r="B353" s="9">
        <v>7900</v>
      </c>
    </row>
    <row r="354" spans="1:2" x14ac:dyDescent="0.25">
      <c r="A354" s="2">
        <v>44194</v>
      </c>
      <c r="B354" s="9">
        <v>5600</v>
      </c>
    </row>
    <row r="355" spans="1:2" x14ac:dyDescent="0.25">
      <c r="A355" s="2">
        <v>44195</v>
      </c>
      <c r="B355" s="9">
        <v>9400</v>
      </c>
    </row>
    <row r="356" spans="1:2" x14ac:dyDescent="0.25">
      <c r="A356" s="2">
        <v>44196</v>
      </c>
      <c r="B356" s="9">
        <v>13500</v>
      </c>
    </row>
    <row r="357" spans="1:2" x14ac:dyDescent="0.25">
      <c r="A357" s="2">
        <v>44197</v>
      </c>
      <c r="B357" s="9">
        <v>14700</v>
      </c>
    </row>
    <row r="358" spans="1:2" x14ac:dyDescent="0.25">
      <c r="A358" s="2">
        <v>44198</v>
      </c>
      <c r="B358" s="9">
        <v>7200</v>
      </c>
    </row>
    <row r="359" spans="1:2" x14ac:dyDescent="0.25">
      <c r="A359" s="2">
        <v>44199</v>
      </c>
      <c r="B359" s="9">
        <v>11900</v>
      </c>
    </row>
    <row r="360" spans="1:2" x14ac:dyDescent="0.25">
      <c r="A360" s="2">
        <v>44200</v>
      </c>
      <c r="B360" s="9">
        <v>4600</v>
      </c>
    </row>
    <row r="361" spans="1:2" x14ac:dyDescent="0.25">
      <c r="A361" s="2">
        <v>44201</v>
      </c>
      <c r="B361" s="9">
        <v>10800</v>
      </c>
    </row>
    <row r="362" spans="1:2" x14ac:dyDescent="0.25">
      <c r="A362" s="2">
        <v>44202</v>
      </c>
      <c r="B362" s="9">
        <v>10600</v>
      </c>
    </row>
    <row r="363" spans="1:2" x14ac:dyDescent="0.25">
      <c r="A363" s="2">
        <v>44203</v>
      </c>
      <c r="B363" s="9">
        <v>4600</v>
      </c>
    </row>
    <row r="364" spans="1:2" x14ac:dyDescent="0.25">
      <c r="A364" s="2">
        <v>44204</v>
      </c>
      <c r="B364" s="9">
        <v>12100</v>
      </c>
    </row>
    <row r="365" spans="1:2" x14ac:dyDescent="0.25">
      <c r="A365" s="2">
        <v>44205</v>
      </c>
      <c r="B365" s="9">
        <v>14700</v>
      </c>
    </row>
    <row r="366" spans="1:2" x14ac:dyDescent="0.25">
      <c r="A366" s="2">
        <v>44206</v>
      </c>
      <c r="B366" s="9">
        <v>12200</v>
      </c>
    </row>
    <row r="367" spans="1:2" x14ac:dyDescent="0.25">
      <c r="A367" s="2">
        <v>44207</v>
      </c>
      <c r="B367" s="9">
        <v>13500</v>
      </c>
    </row>
    <row r="368" spans="1:2" x14ac:dyDescent="0.25">
      <c r="A368" s="2">
        <v>44208</v>
      </c>
      <c r="B368" s="9">
        <v>11500</v>
      </c>
    </row>
    <row r="369" spans="1:2" x14ac:dyDescent="0.25">
      <c r="A369" s="2">
        <v>44209</v>
      </c>
      <c r="B369" s="9">
        <v>13900</v>
      </c>
    </row>
    <row r="370" spans="1:2" x14ac:dyDescent="0.25">
      <c r="A370" s="2">
        <v>44210</v>
      </c>
      <c r="B370" s="9">
        <v>8600</v>
      </c>
    </row>
    <row r="371" spans="1:2" x14ac:dyDescent="0.25">
      <c r="A371" s="2">
        <v>44211</v>
      </c>
      <c r="B371" s="9">
        <v>9500</v>
      </c>
    </row>
    <row r="372" spans="1:2" x14ac:dyDescent="0.25">
      <c r="A372" s="2">
        <v>44212</v>
      </c>
      <c r="B372" s="9">
        <v>13800</v>
      </c>
    </row>
    <row r="373" spans="1:2" x14ac:dyDescent="0.25">
      <c r="A373" s="2">
        <v>44213</v>
      </c>
      <c r="B373" s="9">
        <v>6000</v>
      </c>
    </row>
    <row r="374" spans="1:2" x14ac:dyDescent="0.25">
      <c r="A374" s="2">
        <v>44214</v>
      </c>
      <c r="B374" s="9">
        <v>5500</v>
      </c>
    </row>
    <row r="375" spans="1:2" x14ac:dyDescent="0.25">
      <c r="A375" s="2">
        <v>44215</v>
      </c>
      <c r="B375" s="9">
        <v>9900</v>
      </c>
    </row>
    <row r="376" spans="1:2" x14ac:dyDescent="0.25">
      <c r="A376" s="2">
        <v>44216</v>
      </c>
      <c r="B376" s="9">
        <v>6700</v>
      </c>
    </row>
    <row r="377" spans="1:2" x14ac:dyDescent="0.25">
      <c r="A377" s="2">
        <v>44217</v>
      </c>
      <c r="B377" s="9">
        <v>7000</v>
      </c>
    </row>
    <row r="378" spans="1:2" x14ac:dyDescent="0.25">
      <c r="A378" s="2">
        <v>44218</v>
      </c>
      <c r="B378" s="9">
        <v>14800</v>
      </c>
    </row>
    <row r="379" spans="1:2" x14ac:dyDescent="0.25">
      <c r="A379" s="2">
        <v>44219</v>
      </c>
      <c r="B379" s="9">
        <v>13800</v>
      </c>
    </row>
    <row r="380" spans="1:2" x14ac:dyDescent="0.25">
      <c r="A380" s="2">
        <v>44220</v>
      </c>
      <c r="B380" s="9">
        <v>11300</v>
      </c>
    </row>
    <row r="381" spans="1:2" x14ac:dyDescent="0.25">
      <c r="A381" s="2">
        <v>44221</v>
      </c>
      <c r="B381" s="9">
        <v>8400</v>
      </c>
    </row>
    <row r="382" spans="1:2" x14ac:dyDescent="0.25">
      <c r="A382" s="2">
        <v>44222</v>
      </c>
      <c r="B382" s="9">
        <v>5400</v>
      </c>
    </row>
    <row r="383" spans="1:2" x14ac:dyDescent="0.25">
      <c r="A383" s="2">
        <v>44223</v>
      </c>
      <c r="B383" s="9">
        <v>15000</v>
      </c>
    </row>
    <row r="384" spans="1:2" x14ac:dyDescent="0.25">
      <c r="A384" s="2">
        <v>44224</v>
      </c>
      <c r="B384" s="9">
        <v>14300</v>
      </c>
    </row>
    <row r="385" spans="1:2" x14ac:dyDescent="0.25">
      <c r="A385" s="2">
        <v>44225</v>
      </c>
      <c r="B385" s="9">
        <v>8700</v>
      </c>
    </row>
    <row r="386" spans="1:2" x14ac:dyDescent="0.25">
      <c r="A386" s="2">
        <v>44226</v>
      </c>
      <c r="B386" s="9">
        <v>8600</v>
      </c>
    </row>
    <row r="387" spans="1:2" x14ac:dyDescent="0.25">
      <c r="A387" s="2">
        <v>44227</v>
      </c>
      <c r="B387" s="9">
        <v>10300</v>
      </c>
    </row>
    <row r="388" spans="1:2" x14ac:dyDescent="0.25">
      <c r="A388" s="2">
        <v>44228</v>
      </c>
      <c r="B388" s="9">
        <v>13700</v>
      </c>
    </row>
    <row r="389" spans="1:2" x14ac:dyDescent="0.25">
      <c r="A389" s="2">
        <v>44229</v>
      </c>
      <c r="B389" s="9">
        <v>13500</v>
      </c>
    </row>
    <row r="390" spans="1:2" x14ac:dyDescent="0.25">
      <c r="A390" s="2">
        <v>44230</v>
      </c>
      <c r="B390" s="9">
        <v>8000</v>
      </c>
    </row>
    <row r="391" spans="1:2" x14ac:dyDescent="0.25">
      <c r="A391" s="2">
        <v>44231</v>
      </c>
      <c r="B391" s="9">
        <v>9900</v>
      </c>
    </row>
    <row r="392" spans="1:2" x14ac:dyDescent="0.25">
      <c r="A392" s="2">
        <v>44232</v>
      </c>
      <c r="B392" s="9">
        <v>6100</v>
      </c>
    </row>
    <row r="393" spans="1:2" x14ac:dyDescent="0.25">
      <c r="A393" s="2">
        <v>44233</v>
      </c>
      <c r="B393" s="9">
        <v>10000</v>
      </c>
    </row>
    <row r="394" spans="1:2" x14ac:dyDescent="0.25">
      <c r="A394" s="2">
        <v>44234</v>
      </c>
      <c r="B394" s="9">
        <v>13300</v>
      </c>
    </row>
    <row r="395" spans="1:2" x14ac:dyDescent="0.25">
      <c r="A395" s="2">
        <v>44235</v>
      </c>
      <c r="B395" s="9">
        <v>6200</v>
      </c>
    </row>
    <row r="396" spans="1:2" x14ac:dyDescent="0.25">
      <c r="A396" s="2">
        <v>44236</v>
      </c>
      <c r="B396" s="9">
        <v>14800</v>
      </c>
    </row>
    <row r="397" spans="1:2" x14ac:dyDescent="0.25">
      <c r="A397" s="2">
        <v>44237</v>
      </c>
      <c r="B397" s="9">
        <v>13300</v>
      </c>
    </row>
    <row r="398" spans="1:2" x14ac:dyDescent="0.25">
      <c r="A398" s="2">
        <v>44238</v>
      </c>
      <c r="B398" s="9">
        <v>8900</v>
      </c>
    </row>
    <row r="399" spans="1:2" x14ac:dyDescent="0.25">
      <c r="A399" s="2">
        <v>44239</v>
      </c>
      <c r="B399" s="9">
        <v>11800</v>
      </c>
    </row>
    <row r="400" spans="1:2" x14ac:dyDescent="0.25">
      <c r="A400" s="2">
        <v>44240</v>
      </c>
      <c r="B400" s="9">
        <v>13700</v>
      </c>
    </row>
    <row r="401" spans="1:2" x14ac:dyDescent="0.25">
      <c r="A401" s="2">
        <v>44241</v>
      </c>
      <c r="B401" s="9">
        <v>10600</v>
      </c>
    </row>
    <row r="402" spans="1:2" x14ac:dyDescent="0.25">
      <c r="A402" s="2">
        <v>44242</v>
      </c>
      <c r="B402" s="9">
        <v>12600</v>
      </c>
    </row>
    <row r="403" spans="1:2" x14ac:dyDescent="0.25">
      <c r="A403" s="2">
        <v>44243</v>
      </c>
      <c r="B403" s="9">
        <v>9200</v>
      </c>
    </row>
    <row r="404" spans="1:2" x14ac:dyDescent="0.25">
      <c r="A404" s="2">
        <v>44244</v>
      </c>
      <c r="B404" s="9">
        <v>7400</v>
      </c>
    </row>
    <row r="405" spans="1:2" x14ac:dyDescent="0.25">
      <c r="A405" s="2">
        <v>44245</v>
      </c>
      <c r="B405" s="9">
        <v>9900</v>
      </c>
    </row>
    <row r="406" spans="1:2" x14ac:dyDescent="0.25">
      <c r="A406" s="2">
        <v>44246</v>
      </c>
      <c r="B406" s="9">
        <v>8200</v>
      </c>
    </row>
    <row r="407" spans="1:2" x14ac:dyDescent="0.25">
      <c r="A407" s="2">
        <v>44247</v>
      </c>
      <c r="B407" s="9">
        <v>12600</v>
      </c>
    </row>
    <row r="408" spans="1:2" x14ac:dyDescent="0.25">
      <c r="A408" s="2">
        <v>44248</v>
      </c>
      <c r="B408" s="9">
        <v>12800</v>
      </c>
    </row>
    <row r="409" spans="1:2" x14ac:dyDescent="0.25">
      <c r="A409" s="2">
        <v>44249</v>
      </c>
      <c r="B409" s="9">
        <v>6100</v>
      </c>
    </row>
    <row r="410" spans="1:2" x14ac:dyDescent="0.25">
      <c r="A410" s="2">
        <v>44250</v>
      </c>
      <c r="B410" s="9">
        <v>6800</v>
      </c>
    </row>
    <row r="411" spans="1:2" x14ac:dyDescent="0.25">
      <c r="A411" s="2">
        <v>44251</v>
      </c>
      <c r="B411" s="9">
        <v>5800</v>
      </c>
    </row>
    <row r="412" spans="1:2" x14ac:dyDescent="0.25">
      <c r="A412" s="2">
        <v>44252</v>
      </c>
      <c r="B412" s="9">
        <v>10800</v>
      </c>
    </row>
    <row r="413" spans="1:2" x14ac:dyDescent="0.25">
      <c r="A413" s="2">
        <v>44253</v>
      </c>
      <c r="B413" s="9">
        <v>8300</v>
      </c>
    </row>
    <row r="414" spans="1:2" x14ac:dyDescent="0.25">
      <c r="A414" s="2">
        <v>44254</v>
      </c>
      <c r="B414" s="9">
        <v>13800</v>
      </c>
    </row>
    <row r="415" spans="1:2" x14ac:dyDescent="0.25">
      <c r="A415" s="2">
        <v>44255</v>
      </c>
      <c r="B415" s="9">
        <v>7600</v>
      </c>
    </row>
    <row r="416" spans="1:2" x14ac:dyDescent="0.25">
      <c r="A416" s="2">
        <v>44256</v>
      </c>
      <c r="B416" s="9">
        <v>13700</v>
      </c>
    </row>
    <row r="417" spans="1:2" x14ac:dyDescent="0.25">
      <c r="A417" s="2">
        <v>44257</v>
      </c>
      <c r="B417" s="9">
        <v>13600</v>
      </c>
    </row>
    <row r="418" spans="1:2" x14ac:dyDescent="0.25">
      <c r="A418" s="2">
        <v>44258</v>
      </c>
      <c r="B418" s="9">
        <v>7500</v>
      </c>
    </row>
    <row r="419" spans="1:2" x14ac:dyDescent="0.25">
      <c r="A419" s="2">
        <v>44259</v>
      </c>
      <c r="B419" s="9">
        <v>7400</v>
      </c>
    </row>
    <row r="420" spans="1:2" x14ac:dyDescent="0.25">
      <c r="A420" s="2">
        <v>44260</v>
      </c>
      <c r="B420" s="9">
        <v>6100</v>
      </c>
    </row>
    <row r="421" spans="1:2" x14ac:dyDescent="0.25">
      <c r="A421" s="2">
        <v>44261</v>
      </c>
      <c r="B421" s="9">
        <v>7800</v>
      </c>
    </row>
    <row r="422" spans="1:2" x14ac:dyDescent="0.25">
      <c r="A422" s="2">
        <v>44262</v>
      </c>
      <c r="B422" s="9">
        <v>8100</v>
      </c>
    </row>
    <row r="423" spans="1:2" x14ac:dyDescent="0.25">
      <c r="A423" s="2">
        <v>44263</v>
      </c>
      <c r="B423" s="9">
        <v>6000</v>
      </c>
    </row>
    <row r="424" spans="1:2" x14ac:dyDescent="0.25">
      <c r="A424" s="2">
        <v>44264</v>
      </c>
      <c r="B424" s="9">
        <v>7500</v>
      </c>
    </row>
    <row r="425" spans="1:2" x14ac:dyDescent="0.25">
      <c r="A425" s="2">
        <v>44265</v>
      </c>
      <c r="B425" s="9">
        <v>14200</v>
      </c>
    </row>
    <row r="426" spans="1:2" x14ac:dyDescent="0.25">
      <c r="A426" s="2">
        <v>44266</v>
      </c>
      <c r="B426" s="9">
        <v>14600</v>
      </c>
    </row>
    <row r="427" spans="1:2" x14ac:dyDescent="0.25">
      <c r="A427" s="2">
        <v>44267</v>
      </c>
      <c r="B427" s="9">
        <v>11300</v>
      </c>
    </row>
    <row r="428" spans="1:2" x14ac:dyDescent="0.25">
      <c r="A428" s="2">
        <v>44268</v>
      </c>
      <c r="B428" s="9">
        <v>13400</v>
      </c>
    </row>
    <row r="429" spans="1:2" x14ac:dyDescent="0.25">
      <c r="A429" s="2">
        <v>44269</v>
      </c>
      <c r="B429" s="9">
        <v>8200</v>
      </c>
    </row>
    <row r="430" spans="1:2" x14ac:dyDescent="0.25">
      <c r="A430" s="2">
        <v>44270</v>
      </c>
      <c r="B430" s="9">
        <v>11900</v>
      </c>
    </row>
    <row r="431" spans="1:2" x14ac:dyDescent="0.25">
      <c r="A431" s="2">
        <v>44271</v>
      </c>
      <c r="B431" s="9">
        <v>7000</v>
      </c>
    </row>
    <row r="432" spans="1:2" x14ac:dyDescent="0.25">
      <c r="A432" s="2">
        <v>44272</v>
      </c>
      <c r="B432" s="9">
        <v>13300</v>
      </c>
    </row>
    <row r="433" spans="1:2" x14ac:dyDescent="0.25">
      <c r="A433" s="2">
        <v>44273</v>
      </c>
      <c r="B433" s="9">
        <v>8800</v>
      </c>
    </row>
    <row r="434" spans="1:2" x14ac:dyDescent="0.25">
      <c r="A434" s="2">
        <v>44274</v>
      </c>
      <c r="B434" s="9">
        <v>5500</v>
      </c>
    </row>
    <row r="435" spans="1:2" x14ac:dyDescent="0.25">
      <c r="A435" s="2">
        <v>44275</v>
      </c>
      <c r="B435" s="9">
        <v>9200</v>
      </c>
    </row>
    <row r="436" spans="1:2" x14ac:dyDescent="0.25">
      <c r="A436" s="2">
        <v>44276</v>
      </c>
      <c r="B436" s="9">
        <v>12100</v>
      </c>
    </row>
    <row r="437" spans="1:2" x14ac:dyDescent="0.25">
      <c r="A437" s="2">
        <v>44277</v>
      </c>
      <c r="B437" s="9">
        <v>11100</v>
      </c>
    </row>
    <row r="438" spans="1:2" x14ac:dyDescent="0.25">
      <c r="A438" s="2">
        <v>44278</v>
      </c>
      <c r="B438" s="9">
        <v>14800</v>
      </c>
    </row>
    <row r="439" spans="1:2" x14ac:dyDescent="0.25">
      <c r="A439" s="2">
        <v>44279</v>
      </c>
      <c r="B439" s="9">
        <v>12400</v>
      </c>
    </row>
    <row r="440" spans="1:2" x14ac:dyDescent="0.25">
      <c r="A440" s="2">
        <v>44280</v>
      </c>
      <c r="B440" s="9">
        <v>9700</v>
      </c>
    </row>
    <row r="441" spans="1:2" x14ac:dyDescent="0.25">
      <c r="A441" s="2">
        <v>44281</v>
      </c>
      <c r="B441" s="9">
        <v>13900</v>
      </c>
    </row>
    <row r="442" spans="1:2" x14ac:dyDescent="0.25">
      <c r="A442" s="2">
        <v>44282</v>
      </c>
      <c r="B442" s="9">
        <v>13100</v>
      </c>
    </row>
    <row r="443" spans="1:2" x14ac:dyDescent="0.25">
      <c r="A443" s="2">
        <v>44283</v>
      </c>
      <c r="B443" s="9">
        <v>9800</v>
      </c>
    </row>
    <row r="444" spans="1:2" x14ac:dyDescent="0.25">
      <c r="A444" s="2">
        <v>44284</v>
      </c>
      <c r="B444" s="9">
        <v>5400</v>
      </c>
    </row>
    <row r="445" spans="1:2" x14ac:dyDescent="0.25">
      <c r="A445" s="2">
        <v>44285</v>
      </c>
      <c r="B445" s="9">
        <v>4300</v>
      </c>
    </row>
    <row r="446" spans="1:2" x14ac:dyDescent="0.25">
      <c r="A446" s="2">
        <v>44286</v>
      </c>
      <c r="B446" s="9">
        <v>6700</v>
      </c>
    </row>
    <row r="447" spans="1:2" x14ac:dyDescent="0.25">
      <c r="A447" s="2">
        <v>44287</v>
      </c>
      <c r="B447" s="9">
        <v>6800</v>
      </c>
    </row>
    <row r="448" spans="1:2" x14ac:dyDescent="0.25">
      <c r="A448" s="2">
        <v>44288</v>
      </c>
      <c r="B448" s="9">
        <v>11700</v>
      </c>
    </row>
    <row r="449" spans="1:2" x14ac:dyDescent="0.25">
      <c r="A449" s="2">
        <v>44289</v>
      </c>
      <c r="B449" s="9">
        <v>12300</v>
      </c>
    </row>
    <row r="450" spans="1:2" x14ac:dyDescent="0.25">
      <c r="A450" s="2">
        <v>44290</v>
      </c>
      <c r="B450" s="9">
        <v>5700</v>
      </c>
    </row>
    <row r="451" spans="1:2" x14ac:dyDescent="0.25">
      <c r="A451" s="2">
        <v>44291</v>
      </c>
      <c r="B451" s="9">
        <v>9700</v>
      </c>
    </row>
    <row r="452" spans="1:2" x14ac:dyDescent="0.25">
      <c r="A452" s="2">
        <v>44292</v>
      </c>
      <c r="B452" s="9">
        <v>4400</v>
      </c>
    </row>
    <row r="453" spans="1:2" x14ac:dyDescent="0.25">
      <c r="A453" s="2">
        <v>44293</v>
      </c>
      <c r="B453" s="9">
        <v>4200</v>
      </c>
    </row>
    <row r="454" spans="1:2" x14ac:dyDescent="0.25">
      <c r="A454" s="2">
        <v>44294</v>
      </c>
      <c r="B454" s="9">
        <v>14200</v>
      </c>
    </row>
    <row r="455" spans="1:2" x14ac:dyDescent="0.25">
      <c r="A455" s="2">
        <v>44295</v>
      </c>
      <c r="B455" s="9">
        <v>8600</v>
      </c>
    </row>
    <row r="456" spans="1:2" x14ac:dyDescent="0.25">
      <c r="A456" s="2">
        <v>44296</v>
      </c>
      <c r="B456" s="9">
        <v>7300</v>
      </c>
    </row>
    <row r="457" spans="1:2" x14ac:dyDescent="0.25">
      <c r="A457" s="2">
        <v>44297</v>
      </c>
      <c r="B457" s="9">
        <v>9800</v>
      </c>
    </row>
    <row r="458" spans="1:2" x14ac:dyDescent="0.25">
      <c r="A458" s="2">
        <v>44298</v>
      </c>
      <c r="B458" s="9">
        <v>6900</v>
      </c>
    </row>
    <row r="459" spans="1:2" x14ac:dyDescent="0.25">
      <c r="A459" s="2">
        <v>44299</v>
      </c>
      <c r="B459" s="9">
        <v>11100</v>
      </c>
    </row>
    <row r="460" spans="1:2" x14ac:dyDescent="0.25">
      <c r="A460" s="2">
        <v>44300</v>
      </c>
      <c r="B460" s="9">
        <v>11700</v>
      </c>
    </row>
    <row r="461" spans="1:2" x14ac:dyDescent="0.25">
      <c r="A461" s="2">
        <v>44301</v>
      </c>
      <c r="B461" s="9">
        <v>14100</v>
      </c>
    </row>
    <row r="462" spans="1:2" x14ac:dyDescent="0.25">
      <c r="A462" s="2">
        <v>44302</v>
      </c>
      <c r="B462" s="9">
        <v>11100</v>
      </c>
    </row>
    <row r="463" spans="1:2" x14ac:dyDescent="0.25">
      <c r="A463" s="2">
        <v>44303</v>
      </c>
      <c r="B463" s="9">
        <v>8700</v>
      </c>
    </row>
    <row r="464" spans="1:2" x14ac:dyDescent="0.25">
      <c r="A464" s="2">
        <v>44304</v>
      </c>
      <c r="B464" s="9">
        <v>8900</v>
      </c>
    </row>
    <row r="465" spans="1:2" x14ac:dyDescent="0.25">
      <c r="A465" s="2">
        <v>44305</v>
      </c>
      <c r="B465" s="9">
        <v>5300</v>
      </c>
    </row>
    <row r="466" spans="1:2" x14ac:dyDescent="0.25">
      <c r="A466" s="2">
        <v>44306</v>
      </c>
      <c r="B466" s="9">
        <v>7300</v>
      </c>
    </row>
    <row r="467" spans="1:2" x14ac:dyDescent="0.25">
      <c r="A467" s="2">
        <v>44307</v>
      </c>
      <c r="B467" s="9">
        <v>11300</v>
      </c>
    </row>
    <row r="468" spans="1:2" x14ac:dyDescent="0.25">
      <c r="A468" s="2">
        <v>44308</v>
      </c>
      <c r="B468" s="9">
        <v>6900</v>
      </c>
    </row>
    <row r="469" spans="1:2" x14ac:dyDescent="0.25">
      <c r="A469" s="2">
        <v>44309</v>
      </c>
      <c r="B469" s="9">
        <v>4600</v>
      </c>
    </row>
    <row r="470" spans="1:2" x14ac:dyDescent="0.25">
      <c r="A470" s="2">
        <v>44310</v>
      </c>
      <c r="B470" s="9">
        <v>4600</v>
      </c>
    </row>
    <row r="471" spans="1:2" x14ac:dyDescent="0.25">
      <c r="A471" s="2">
        <v>44311</v>
      </c>
      <c r="B471" s="9">
        <v>12500</v>
      </c>
    </row>
    <row r="472" spans="1:2" x14ac:dyDescent="0.25">
      <c r="A472" s="2">
        <v>44312</v>
      </c>
      <c r="B472" s="9">
        <v>12700</v>
      </c>
    </row>
    <row r="473" spans="1:2" x14ac:dyDescent="0.25">
      <c r="A473" s="2">
        <v>44313</v>
      </c>
      <c r="B473" s="9">
        <v>4000</v>
      </c>
    </row>
    <row r="474" spans="1:2" x14ac:dyDescent="0.25">
      <c r="A474" s="2">
        <v>44314</v>
      </c>
      <c r="B474" s="9">
        <v>12700</v>
      </c>
    </row>
    <row r="475" spans="1:2" x14ac:dyDescent="0.25">
      <c r="A475" s="2">
        <v>44315</v>
      </c>
      <c r="B475" s="9">
        <v>6900</v>
      </c>
    </row>
    <row r="476" spans="1:2" x14ac:dyDescent="0.25">
      <c r="A476" s="2">
        <v>44316</v>
      </c>
      <c r="B476" s="9">
        <v>4000</v>
      </c>
    </row>
    <row r="477" spans="1:2" x14ac:dyDescent="0.25">
      <c r="A477" s="2">
        <v>44317</v>
      </c>
      <c r="B477" s="9">
        <v>12900</v>
      </c>
    </row>
    <row r="478" spans="1:2" x14ac:dyDescent="0.25">
      <c r="A478" s="2">
        <v>44318</v>
      </c>
      <c r="B478" s="9">
        <v>9200</v>
      </c>
    </row>
    <row r="479" spans="1:2" x14ac:dyDescent="0.25">
      <c r="A479" s="2">
        <v>44319</v>
      </c>
      <c r="B479" s="9">
        <v>12300</v>
      </c>
    </row>
    <row r="480" spans="1:2" x14ac:dyDescent="0.25">
      <c r="A480" s="2">
        <v>44320</v>
      </c>
      <c r="B480" s="9">
        <v>4100</v>
      </c>
    </row>
    <row r="481" spans="1:2" x14ac:dyDescent="0.25">
      <c r="A481" s="2">
        <v>44321</v>
      </c>
      <c r="B481" s="9">
        <v>10600</v>
      </c>
    </row>
    <row r="482" spans="1:2" x14ac:dyDescent="0.25">
      <c r="A482" s="2">
        <v>44322</v>
      </c>
      <c r="B482" s="9">
        <v>9600</v>
      </c>
    </row>
    <row r="483" spans="1:2" x14ac:dyDescent="0.25">
      <c r="A483" s="2">
        <v>44323</v>
      </c>
      <c r="B483" s="9">
        <v>13100</v>
      </c>
    </row>
    <row r="484" spans="1:2" x14ac:dyDescent="0.25">
      <c r="A484" s="2">
        <v>44324</v>
      </c>
      <c r="B484" s="9">
        <v>12500</v>
      </c>
    </row>
    <row r="485" spans="1:2" x14ac:dyDescent="0.25">
      <c r="A485" s="2">
        <v>44325</v>
      </c>
      <c r="B485" s="9">
        <v>9300</v>
      </c>
    </row>
    <row r="486" spans="1:2" x14ac:dyDescent="0.25">
      <c r="A486" s="2">
        <v>44326</v>
      </c>
      <c r="B486" s="9">
        <v>11100</v>
      </c>
    </row>
    <row r="487" spans="1:2" x14ac:dyDescent="0.25">
      <c r="A487" s="2">
        <v>44327</v>
      </c>
      <c r="B487" s="9">
        <v>10600</v>
      </c>
    </row>
    <row r="488" spans="1:2" x14ac:dyDescent="0.25">
      <c r="A488" s="2">
        <v>44328</v>
      </c>
      <c r="B488" s="9">
        <v>10600</v>
      </c>
    </row>
    <row r="489" spans="1:2" x14ac:dyDescent="0.25">
      <c r="A489" s="2">
        <v>44329</v>
      </c>
      <c r="B489" s="9">
        <v>11800</v>
      </c>
    </row>
    <row r="490" spans="1:2" x14ac:dyDescent="0.25">
      <c r="A490" s="2">
        <v>44330</v>
      </c>
      <c r="B490" s="9">
        <v>5100</v>
      </c>
    </row>
    <row r="491" spans="1:2" x14ac:dyDescent="0.25">
      <c r="A491" s="2">
        <v>44331</v>
      </c>
      <c r="B491" s="9">
        <v>11300</v>
      </c>
    </row>
    <row r="492" spans="1:2" x14ac:dyDescent="0.25">
      <c r="A492" s="2">
        <v>44332</v>
      </c>
      <c r="B492" s="9">
        <v>13500</v>
      </c>
    </row>
    <row r="493" spans="1:2" x14ac:dyDescent="0.25">
      <c r="A493" s="2">
        <v>44333</v>
      </c>
      <c r="B493" s="9">
        <v>12600</v>
      </c>
    </row>
    <row r="494" spans="1:2" x14ac:dyDescent="0.25">
      <c r="A494" s="2">
        <v>44334</v>
      </c>
      <c r="B494" s="9">
        <v>9100</v>
      </c>
    </row>
    <row r="495" spans="1:2" x14ac:dyDescent="0.25">
      <c r="A495" s="2">
        <v>44335</v>
      </c>
      <c r="B495" s="9">
        <v>4500</v>
      </c>
    </row>
    <row r="496" spans="1:2" x14ac:dyDescent="0.25">
      <c r="A496" s="2">
        <v>44336</v>
      </c>
      <c r="B496" s="9">
        <v>13900</v>
      </c>
    </row>
    <row r="497" spans="1:2" x14ac:dyDescent="0.25">
      <c r="A497" s="2">
        <v>44337</v>
      </c>
      <c r="B497" s="9">
        <v>10700</v>
      </c>
    </row>
    <row r="498" spans="1:2" x14ac:dyDescent="0.25">
      <c r="A498" s="2">
        <v>44338</v>
      </c>
      <c r="B498" s="9">
        <v>4000</v>
      </c>
    </row>
    <row r="499" spans="1:2" x14ac:dyDescent="0.25">
      <c r="A499" s="2">
        <v>44339</v>
      </c>
      <c r="B499" s="9">
        <v>9900</v>
      </c>
    </row>
    <row r="500" spans="1:2" x14ac:dyDescent="0.25">
      <c r="A500" s="2">
        <v>44340</v>
      </c>
      <c r="B500" s="9">
        <v>14900</v>
      </c>
    </row>
    <row r="501" spans="1:2" x14ac:dyDescent="0.25">
      <c r="A501" s="2">
        <v>44341</v>
      </c>
      <c r="B501" s="9">
        <v>5000</v>
      </c>
    </row>
    <row r="502" spans="1:2" x14ac:dyDescent="0.25">
      <c r="A502" s="2">
        <v>44342</v>
      </c>
      <c r="B502" s="9">
        <v>14900</v>
      </c>
    </row>
    <row r="503" spans="1:2" x14ac:dyDescent="0.25">
      <c r="A503" s="2">
        <v>44343</v>
      </c>
      <c r="B503" s="9">
        <v>5400</v>
      </c>
    </row>
    <row r="504" spans="1:2" x14ac:dyDescent="0.25">
      <c r="A504" s="2">
        <v>44344</v>
      </c>
      <c r="B504" s="9">
        <v>12000</v>
      </c>
    </row>
    <row r="505" spans="1:2" x14ac:dyDescent="0.25">
      <c r="A505" s="2">
        <v>44345</v>
      </c>
      <c r="B505" s="9">
        <v>6600</v>
      </c>
    </row>
    <row r="506" spans="1:2" x14ac:dyDescent="0.25">
      <c r="A506" s="2">
        <v>44346</v>
      </c>
      <c r="B506" s="9">
        <v>9100</v>
      </c>
    </row>
    <row r="507" spans="1:2" x14ac:dyDescent="0.25">
      <c r="A507" s="2">
        <v>44347</v>
      </c>
      <c r="B507" s="9">
        <v>5300</v>
      </c>
    </row>
    <row r="508" spans="1:2" x14ac:dyDescent="0.25">
      <c r="A508" s="2">
        <v>44348</v>
      </c>
      <c r="B508" s="9">
        <v>10800</v>
      </c>
    </row>
    <row r="509" spans="1:2" x14ac:dyDescent="0.25">
      <c r="A509" s="2">
        <v>44349</v>
      </c>
      <c r="B509" s="9">
        <v>11600</v>
      </c>
    </row>
    <row r="510" spans="1:2" x14ac:dyDescent="0.25">
      <c r="A510" s="2">
        <v>44350</v>
      </c>
      <c r="B510" s="9">
        <v>11000</v>
      </c>
    </row>
    <row r="511" spans="1:2" x14ac:dyDescent="0.25">
      <c r="A511" s="2">
        <v>44351</v>
      </c>
      <c r="B511" s="9">
        <v>5900</v>
      </c>
    </row>
    <row r="512" spans="1:2" x14ac:dyDescent="0.25">
      <c r="A512" s="2">
        <v>44352</v>
      </c>
      <c r="B512" s="9">
        <v>12000</v>
      </c>
    </row>
    <row r="513" spans="1:2" x14ac:dyDescent="0.25">
      <c r="A513" s="2">
        <v>44353</v>
      </c>
      <c r="B513" s="9">
        <v>5300</v>
      </c>
    </row>
    <row r="514" spans="1:2" x14ac:dyDescent="0.25">
      <c r="A514" s="2">
        <v>44354</v>
      </c>
      <c r="B514" s="9">
        <v>11700</v>
      </c>
    </row>
    <row r="515" spans="1:2" x14ac:dyDescent="0.25">
      <c r="A515" s="2">
        <v>44355</v>
      </c>
      <c r="B515" s="9">
        <v>9800</v>
      </c>
    </row>
    <row r="516" spans="1:2" x14ac:dyDescent="0.25">
      <c r="A516" s="2">
        <v>44356</v>
      </c>
      <c r="B516" s="9">
        <v>11000</v>
      </c>
    </row>
    <row r="517" spans="1:2" x14ac:dyDescent="0.25">
      <c r="A517" s="2">
        <v>44357</v>
      </c>
      <c r="B517" s="9">
        <v>12000</v>
      </c>
    </row>
    <row r="518" spans="1:2" x14ac:dyDescent="0.25">
      <c r="A518" s="2">
        <v>44358</v>
      </c>
      <c r="B518" s="9">
        <v>11400</v>
      </c>
    </row>
    <row r="519" spans="1:2" x14ac:dyDescent="0.25">
      <c r="A519" s="2">
        <v>44359</v>
      </c>
      <c r="B519" s="9">
        <v>10000</v>
      </c>
    </row>
    <row r="520" spans="1:2" x14ac:dyDescent="0.25">
      <c r="A520" s="2">
        <v>44360</v>
      </c>
      <c r="B520" s="9">
        <v>7300</v>
      </c>
    </row>
    <row r="521" spans="1:2" x14ac:dyDescent="0.25">
      <c r="A521" s="2">
        <v>44361</v>
      </c>
      <c r="B521" s="9">
        <v>5300</v>
      </c>
    </row>
    <row r="522" spans="1:2" x14ac:dyDescent="0.25">
      <c r="A522" s="2">
        <v>44362</v>
      </c>
      <c r="B522" s="9">
        <v>12400</v>
      </c>
    </row>
    <row r="523" spans="1:2" x14ac:dyDescent="0.25">
      <c r="A523" s="2">
        <v>44363</v>
      </c>
      <c r="B523" s="9">
        <v>13800</v>
      </c>
    </row>
    <row r="524" spans="1:2" x14ac:dyDescent="0.25">
      <c r="A524" s="2">
        <v>44364</v>
      </c>
      <c r="B524" s="9">
        <v>11500</v>
      </c>
    </row>
    <row r="525" spans="1:2" x14ac:dyDescent="0.25">
      <c r="A525" s="2">
        <v>44365</v>
      </c>
      <c r="B525" s="9">
        <v>8300</v>
      </c>
    </row>
    <row r="526" spans="1:2" x14ac:dyDescent="0.25">
      <c r="A526" s="2">
        <v>44366</v>
      </c>
      <c r="B526" s="9">
        <v>14300</v>
      </c>
    </row>
    <row r="527" spans="1:2" x14ac:dyDescent="0.25">
      <c r="A527" s="2">
        <v>44367</v>
      </c>
      <c r="B527" s="9">
        <v>7200</v>
      </c>
    </row>
    <row r="528" spans="1:2" x14ac:dyDescent="0.25">
      <c r="A528" s="2">
        <v>44368</v>
      </c>
      <c r="B528" s="9">
        <v>9700</v>
      </c>
    </row>
    <row r="529" spans="1:2" x14ac:dyDescent="0.25">
      <c r="A529" s="2">
        <v>44369</v>
      </c>
      <c r="B529" s="9">
        <v>7200</v>
      </c>
    </row>
    <row r="530" spans="1:2" x14ac:dyDescent="0.25">
      <c r="A530" s="2">
        <v>44370</v>
      </c>
      <c r="B530" s="9">
        <v>6000</v>
      </c>
    </row>
    <row r="531" spans="1:2" x14ac:dyDescent="0.25">
      <c r="A531" s="2">
        <v>44371</v>
      </c>
      <c r="B531" s="9">
        <v>6200</v>
      </c>
    </row>
    <row r="532" spans="1:2" x14ac:dyDescent="0.25">
      <c r="A532" s="2">
        <v>44372</v>
      </c>
      <c r="B532" s="9">
        <v>13600</v>
      </c>
    </row>
    <row r="533" spans="1:2" x14ac:dyDescent="0.25">
      <c r="A533" s="2">
        <v>44373</v>
      </c>
      <c r="B533" s="9">
        <v>7700</v>
      </c>
    </row>
    <row r="534" spans="1:2" x14ac:dyDescent="0.25">
      <c r="A534" s="2">
        <v>44374</v>
      </c>
      <c r="B534" s="9">
        <v>13500</v>
      </c>
    </row>
    <row r="535" spans="1:2" x14ac:dyDescent="0.25">
      <c r="A535" s="2">
        <v>44375</v>
      </c>
      <c r="B535" s="9">
        <v>9400</v>
      </c>
    </row>
    <row r="536" spans="1:2" x14ac:dyDescent="0.25">
      <c r="A536" s="2">
        <v>44376</v>
      </c>
      <c r="B536" s="9">
        <v>5600</v>
      </c>
    </row>
    <row r="537" spans="1:2" x14ac:dyDescent="0.25">
      <c r="A537" s="2">
        <v>44377</v>
      </c>
      <c r="B537" s="9">
        <v>13100</v>
      </c>
    </row>
    <row r="538" spans="1:2" x14ac:dyDescent="0.25">
      <c r="A538" s="2">
        <v>44378</v>
      </c>
      <c r="B538" s="9">
        <v>4600</v>
      </c>
    </row>
    <row r="539" spans="1:2" x14ac:dyDescent="0.25">
      <c r="A539" s="2">
        <v>44379</v>
      </c>
      <c r="B539" s="9">
        <v>12400</v>
      </c>
    </row>
    <row r="540" spans="1:2" x14ac:dyDescent="0.25">
      <c r="A540" s="2">
        <v>44380</v>
      </c>
      <c r="B540" s="9">
        <v>5800</v>
      </c>
    </row>
    <row r="541" spans="1:2" x14ac:dyDescent="0.25">
      <c r="A541" s="2">
        <v>44381</v>
      </c>
      <c r="B541" s="9">
        <v>12200</v>
      </c>
    </row>
    <row r="542" spans="1:2" x14ac:dyDescent="0.25">
      <c r="A542" s="2">
        <v>44382</v>
      </c>
      <c r="B542" s="9">
        <v>7100</v>
      </c>
    </row>
    <row r="543" spans="1:2" x14ac:dyDescent="0.25">
      <c r="A543" s="2">
        <v>44383</v>
      </c>
      <c r="B543" s="9">
        <v>8500</v>
      </c>
    </row>
    <row r="544" spans="1:2" x14ac:dyDescent="0.25">
      <c r="A544" s="2">
        <v>44384</v>
      </c>
      <c r="B544" s="9">
        <v>9600</v>
      </c>
    </row>
    <row r="545" spans="1:2" x14ac:dyDescent="0.25">
      <c r="A545" s="2">
        <v>44385</v>
      </c>
      <c r="B545" s="9">
        <v>12600</v>
      </c>
    </row>
    <row r="546" spans="1:2" x14ac:dyDescent="0.25">
      <c r="A546" s="2">
        <v>44386</v>
      </c>
      <c r="B546" s="9">
        <v>11800</v>
      </c>
    </row>
    <row r="547" spans="1:2" x14ac:dyDescent="0.25">
      <c r="A547" s="2">
        <v>44387</v>
      </c>
      <c r="B547" s="9">
        <v>14800</v>
      </c>
    </row>
    <row r="548" spans="1:2" x14ac:dyDescent="0.25">
      <c r="A548" s="2">
        <v>44388</v>
      </c>
      <c r="B548" s="9">
        <v>14200</v>
      </c>
    </row>
    <row r="549" spans="1:2" x14ac:dyDescent="0.25">
      <c r="A549" s="2">
        <v>44389</v>
      </c>
      <c r="B549" s="9">
        <v>7100</v>
      </c>
    </row>
    <row r="550" spans="1:2" x14ac:dyDescent="0.25">
      <c r="A550" s="2">
        <v>44390</v>
      </c>
      <c r="B550" s="9">
        <v>11800</v>
      </c>
    </row>
    <row r="551" spans="1:2" x14ac:dyDescent="0.25">
      <c r="A551" s="2">
        <v>44391</v>
      </c>
      <c r="B551" s="9">
        <v>14400</v>
      </c>
    </row>
    <row r="552" spans="1:2" x14ac:dyDescent="0.25">
      <c r="A552" s="2">
        <v>44392</v>
      </c>
      <c r="B552" s="9">
        <v>5400</v>
      </c>
    </row>
    <row r="553" spans="1:2" x14ac:dyDescent="0.25">
      <c r="A553" s="2">
        <v>44393</v>
      </c>
      <c r="B553" s="9">
        <v>12900</v>
      </c>
    </row>
    <row r="554" spans="1:2" x14ac:dyDescent="0.25">
      <c r="A554" s="2">
        <v>44394</v>
      </c>
      <c r="B554" s="9">
        <v>6500</v>
      </c>
    </row>
    <row r="555" spans="1:2" x14ac:dyDescent="0.25">
      <c r="A555" s="2">
        <v>44395</v>
      </c>
      <c r="B555" s="9">
        <v>7300</v>
      </c>
    </row>
    <row r="556" spans="1:2" x14ac:dyDescent="0.25">
      <c r="A556" s="2">
        <v>44396</v>
      </c>
      <c r="B556" s="9">
        <v>14100</v>
      </c>
    </row>
    <row r="557" spans="1:2" x14ac:dyDescent="0.25">
      <c r="A557" s="2">
        <v>44397</v>
      </c>
      <c r="B557" s="9">
        <v>13500</v>
      </c>
    </row>
    <row r="558" spans="1:2" x14ac:dyDescent="0.25">
      <c r="A558" s="2">
        <v>44398</v>
      </c>
      <c r="B558" s="9">
        <v>13600</v>
      </c>
    </row>
    <row r="559" spans="1:2" x14ac:dyDescent="0.25">
      <c r="A559" s="2">
        <v>44399</v>
      </c>
      <c r="B559" s="9">
        <v>7100</v>
      </c>
    </row>
    <row r="560" spans="1:2" x14ac:dyDescent="0.25">
      <c r="A560" s="2">
        <v>44400</v>
      </c>
      <c r="B560" s="9">
        <v>13000</v>
      </c>
    </row>
    <row r="561" spans="1:2" x14ac:dyDescent="0.25">
      <c r="A561" s="2">
        <v>44401</v>
      </c>
      <c r="B561" s="9">
        <v>6900</v>
      </c>
    </row>
    <row r="562" spans="1:2" x14ac:dyDescent="0.25">
      <c r="A562" s="2">
        <v>44402</v>
      </c>
      <c r="B562" s="9">
        <v>11900</v>
      </c>
    </row>
    <row r="563" spans="1:2" x14ac:dyDescent="0.25">
      <c r="A563" s="2">
        <v>44403</v>
      </c>
      <c r="B563" s="9">
        <v>13600</v>
      </c>
    </row>
    <row r="564" spans="1:2" x14ac:dyDescent="0.25">
      <c r="A564" s="2">
        <v>44404</v>
      </c>
      <c r="B564" s="9">
        <v>12500</v>
      </c>
    </row>
    <row r="565" spans="1:2" x14ac:dyDescent="0.25">
      <c r="A565" s="2">
        <v>44405</v>
      </c>
      <c r="B565" s="9">
        <v>7200</v>
      </c>
    </row>
    <row r="566" spans="1:2" x14ac:dyDescent="0.25">
      <c r="A566" s="2">
        <v>44406</v>
      </c>
      <c r="B566" s="9">
        <v>11000</v>
      </c>
    </row>
    <row r="567" spans="1:2" x14ac:dyDescent="0.25">
      <c r="A567" s="2">
        <v>44407</v>
      </c>
      <c r="B567" s="9">
        <v>10800</v>
      </c>
    </row>
    <row r="568" spans="1:2" x14ac:dyDescent="0.25">
      <c r="A568" s="2">
        <v>44408</v>
      </c>
      <c r="B568" s="9">
        <v>13900</v>
      </c>
    </row>
    <row r="569" spans="1:2" x14ac:dyDescent="0.25">
      <c r="A569" s="2">
        <v>44409</v>
      </c>
      <c r="B569" s="9">
        <v>12700</v>
      </c>
    </row>
    <row r="570" spans="1:2" x14ac:dyDescent="0.25">
      <c r="A570" s="2">
        <v>44410</v>
      </c>
      <c r="B570" s="9">
        <v>11500</v>
      </c>
    </row>
    <row r="571" spans="1:2" x14ac:dyDescent="0.25">
      <c r="A571" s="2">
        <v>44411</v>
      </c>
      <c r="B571" s="9">
        <v>7600</v>
      </c>
    </row>
    <row r="572" spans="1:2" x14ac:dyDescent="0.25">
      <c r="A572" s="2">
        <v>44412</v>
      </c>
      <c r="B572" s="9">
        <v>14500</v>
      </c>
    </row>
    <row r="573" spans="1:2" x14ac:dyDescent="0.25">
      <c r="A573" s="2">
        <v>44413</v>
      </c>
      <c r="B573" s="9">
        <v>5800</v>
      </c>
    </row>
    <row r="574" spans="1:2" x14ac:dyDescent="0.25">
      <c r="A574" s="2">
        <v>44414</v>
      </c>
      <c r="B574" s="9">
        <v>10700</v>
      </c>
    </row>
    <row r="575" spans="1:2" x14ac:dyDescent="0.25">
      <c r="A575" s="2">
        <v>44415</v>
      </c>
      <c r="B575" s="9">
        <v>4900</v>
      </c>
    </row>
    <row r="576" spans="1:2" x14ac:dyDescent="0.25">
      <c r="A576" s="2">
        <v>44416</v>
      </c>
      <c r="B576" s="9">
        <v>8400</v>
      </c>
    </row>
    <row r="577" spans="1:2" x14ac:dyDescent="0.25">
      <c r="A577" s="2">
        <v>44417</v>
      </c>
      <c r="B577" s="9">
        <v>10800</v>
      </c>
    </row>
    <row r="578" spans="1:2" x14ac:dyDescent="0.25">
      <c r="A578" s="2">
        <v>44418</v>
      </c>
      <c r="B578" s="9">
        <v>13500</v>
      </c>
    </row>
    <row r="579" spans="1:2" x14ac:dyDescent="0.25">
      <c r="A579" s="2">
        <v>44419</v>
      </c>
      <c r="B579" s="9">
        <v>9600</v>
      </c>
    </row>
    <row r="580" spans="1:2" x14ac:dyDescent="0.25">
      <c r="A580" s="2">
        <v>44420</v>
      </c>
      <c r="B580" s="9">
        <v>8100</v>
      </c>
    </row>
    <row r="581" spans="1:2" x14ac:dyDescent="0.25">
      <c r="A581" s="2">
        <v>44421</v>
      </c>
      <c r="B581" s="9">
        <v>5400</v>
      </c>
    </row>
    <row r="582" spans="1:2" x14ac:dyDescent="0.25">
      <c r="A582" s="2">
        <v>44422</v>
      </c>
      <c r="B582" s="9">
        <v>5200</v>
      </c>
    </row>
    <row r="583" spans="1:2" x14ac:dyDescent="0.25">
      <c r="A583" s="2">
        <v>44423</v>
      </c>
      <c r="B583" s="9">
        <v>6300</v>
      </c>
    </row>
    <row r="584" spans="1:2" x14ac:dyDescent="0.25">
      <c r="A584" s="2">
        <v>44424</v>
      </c>
      <c r="B584" s="9">
        <v>8200</v>
      </c>
    </row>
    <row r="585" spans="1:2" x14ac:dyDescent="0.25">
      <c r="A585" s="2">
        <v>44425</v>
      </c>
      <c r="B585" s="9">
        <v>13000</v>
      </c>
    </row>
    <row r="586" spans="1:2" x14ac:dyDescent="0.25">
      <c r="A586" s="2">
        <v>44426</v>
      </c>
      <c r="B586" s="9">
        <v>11500</v>
      </c>
    </row>
    <row r="587" spans="1:2" x14ac:dyDescent="0.25">
      <c r="A587" s="2">
        <v>44427</v>
      </c>
      <c r="B587" s="9">
        <v>8300</v>
      </c>
    </row>
    <row r="588" spans="1:2" x14ac:dyDescent="0.25">
      <c r="A588" s="2">
        <v>44428</v>
      </c>
      <c r="B588" s="9">
        <v>6700</v>
      </c>
    </row>
    <row r="589" spans="1:2" x14ac:dyDescent="0.25">
      <c r="A589" s="2">
        <v>44429</v>
      </c>
      <c r="B589" s="9">
        <v>13300</v>
      </c>
    </row>
    <row r="590" spans="1:2" x14ac:dyDescent="0.25">
      <c r="A590" s="2">
        <v>44430</v>
      </c>
      <c r="B590" s="9">
        <v>6100</v>
      </c>
    </row>
    <row r="591" spans="1:2" x14ac:dyDescent="0.25">
      <c r="A591" s="2">
        <v>44431</v>
      </c>
      <c r="B591" s="9">
        <v>12500</v>
      </c>
    </row>
    <row r="592" spans="1:2" x14ac:dyDescent="0.25">
      <c r="A592" s="2">
        <v>44432</v>
      </c>
      <c r="B592" s="9">
        <v>4100</v>
      </c>
    </row>
    <row r="593" spans="1:2" x14ac:dyDescent="0.25">
      <c r="A593" s="2">
        <v>44433</v>
      </c>
      <c r="B593" s="9">
        <v>9300</v>
      </c>
    </row>
    <row r="594" spans="1:2" x14ac:dyDescent="0.25">
      <c r="A594" s="2">
        <v>44434</v>
      </c>
      <c r="B594" s="9">
        <v>14100</v>
      </c>
    </row>
    <row r="595" spans="1:2" x14ac:dyDescent="0.25">
      <c r="A595" s="2">
        <v>44435</v>
      </c>
      <c r="B595" s="9">
        <v>13100</v>
      </c>
    </row>
    <row r="596" spans="1:2" x14ac:dyDescent="0.25">
      <c r="A596" s="2">
        <v>44436</v>
      </c>
      <c r="B596" s="9">
        <v>14400</v>
      </c>
    </row>
    <row r="597" spans="1:2" x14ac:dyDescent="0.25">
      <c r="A597" s="2">
        <v>44437</v>
      </c>
      <c r="B597" s="9">
        <v>14900</v>
      </c>
    </row>
    <row r="598" spans="1:2" x14ac:dyDescent="0.25">
      <c r="A598" s="2">
        <v>44438</v>
      </c>
      <c r="B598" s="9">
        <v>4700</v>
      </c>
    </row>
    <row r="599" spans="1:2" x14ac:dyDescent="0.25">
      <c r="A599" s="2">
        <v>44439</v>
      </c>
      <c r="B599" s="9">
        <v>14400</v>
      </c>
    </row>
    <row r="600" spans="1:2" x14ac:dyDescent="0.25">
      <c r="A600" s="2">
        <v>44440</v>
      </c>
      <c r="B600" s="9">
        <v>13800</v>
      </c>
    </row>
    <row r="601" spans="1:2" x14ac:dyDescent="0.25">
      <c r="A601" s="2">
        <v>44441</v>
      </c>
      <c r="B601" s="9">
        <v>4000</v>
      </c>
    </row>
    <row r="602" spans="1:2" x14ac:dyDescent="0.25">
      <c r="A602" s="2">
        <v>44442</v>
      </c>
      <c r="B602" s="9">
        <v>12100</v>
      </c>
    </row>
    <row r="603" spans="1:2" x14ac:dyDescent="0.25">
      <c r="A603" s="2">
        <v>44443</v>
      </c>
      <c r="B603" s="9">
        <v>8700</v>
      </c>
    </row>
    <row r="604" spans="1:2" x14ac:dyDescent="0.25">
      <c r="A604" s="2">
        <v>44444</v>
      </c>
      <c r="B604" s="9">
        <v>11100</v>
      </c>
    </row>
    <row r="605" spans="1:2" x14ac:dyDescent="0.25">
      <c r="A605" s="2">
        <v>44445</v>
      </c>
      <c r="B605" s="9">
        <v>11700</v>
      </c>
    </row>
    <row r="606" spans="1:2" x14ac:dyDescent="0.25">
      <c r="A606" s="2">
        <v>44446</v>
      </c>
      <c r="B606" s="9">
        <v>13200</v>
      </c>
    </row>
    <row r="607" spans="1:2" x14ac:dyDescent="0.25">
      <c r="A607" s="2">
        <v>44447</v>
      </c>
      <c r="B607" s="9">
        <v>5700</v>
      </c>
    </row>
    <row r="608" spans="1:2" x14ac:dyDescent="0.25">
      <c r="A608" s="2">
        <v>44448</v>
      </c>
      <c r="B608" s="9">
        <v>7800</v>
      </c>
    </row>
    <row r="609" spans="1:2" x14ac:dyDescent="0.25">
      <c r="A609" s="2">
        <v>44449</v>
      </c>
      <c r="B609" s="9">
        <v>10600</v>
      </c>
    </row>
    <row r="610" spans="1:2" x14ac:dyDescent="0.25">
      <c r="A610" s="2">
        <v>44450</v>
      </c>
      <c r="B610" s="9">
        <v>9200</v>
      </c>
    </row>
    <row r="611" spans="1:2" x14ac:dyDescent="0.25">
      <c r="A611" s="2">
        <v>44451</v>
      </c>
      <c r="B611" s="9">
        <v>5900</v>
      </c>
    </row>
    <row r="612" spans="1:2" x14ac:dyDescent="0.25">
      <c r="A612" s="2">
        <v>44452</v>
      </c>
      <c r="B612" s="9">
        <v>4400</v>
      </c>
    </row>
    <row r="613" spans="1:2" x14ac:dyDescent="0.25">
      <c r="A613" s="2">
        <v>44453</v>
      </c>
      <c r="B613" s="9">
        <v>6400</v>
      </c>
    </row>
    <row r="614" spans="1:2" x14ac:dyDescent="0.25">
      <c r="A614" s="2">
        <v>44454</v>
      </c>
      <c r="B614" s="9">
        <v>7500</v>
      </c>
    </row>
    <row r="615" spans="1:2" x14ac:dyDescent="0.25">
      <c r="A615" s="2">
        <v>44455</v>
      </c>
      <c r="B615" s="9">
        <v>14100</v>
      </c>
    </row>
    <row r="616" spans="1:2" x14ac:dyDescent="0.25">
      <c r="A616" s="2">
        <v>44456</v>
      </c>
      <c r="B616" s="9">
        <v>4500</v>
      </c>
    </row>
    <row r="617" spans="1:2" x14ac:dyDescent="0.25">
      <c r="A617" s="2">
        <v>44457</v>
      </c>
      <c r="B617" s="9">
        <v>12500</v>
      </c>
    </row>
    <row r="618" spans="1:2" x14ac:dyDescent="0.25">
      <c r="A618" s="2">
        <v>44458</v>
      </c>
      <c r="B618" s="9">
        <v>7400</v>
      </c>
    </row>
    <row r="619" spans="1:2" x14ac:dyDescent="0.25">
      <c r="A619" s="2">
        <v>44459</v>
      </c>
      <c r="B619" s="9">
        <v>6800</v>
      </c>
    </row>
    <row r="620" spans="1:2" x14ac:dyDescent="0.25">
      <c r="A620" s="2">
        <v>44460</v>
      </c>
      <c r="B620" s="9">
        <v>14600</v>
      </c>
    </row>
    <row r="621" spans="1:2" x14ac:dyDescent="0.25">
      <c r="A621" s="2">
        <v>44461</v>
      </c>
      <c r="B621" s="9">
        <v>12300</v>
      </c>
    </row>
    <row r="622" spans="1:2" x14ac:dyDescent="0.25">
      <c r="A622" s="2">
        <v>44462</v>
      </c>
      <c r="B622" s="9">
        <v>11600</v>
      </c>
    </row>
    <row r="623" spans="1:2" x14ac:dyDescent="0.25">
      <c r="A623" s="2">
        <v>44463</v>
      </c>
      <c r="B623" s="9">
        <v>14700</v>
      </c>
    </row>
    <row r="624" spans="1:2" x14ac:dyDescent="0.25">
      <c r="A624" s="2">
        <v>44464</v>
      </c>
      <c r="B624" s="9">
        <v>14100</v>
      </c>
    </row>
    <row r="625" spans="1:2" x14ac:dyDescent="0.25">
      <c r="A625" s="2">
        <v>44465</v>
      </c>
      <c r="B625" s="9">
        <v>11500</v>
      </c>
    </row>
    <row r="626" spans="1:2" x14ac:dyDescent="0.25">
      <c r="A626" s="2">
        <v>44466</v>
      </c>
      <c r="B626" s="9">
        <v>7600</v>
      </c>
    </row>
    <row r="627" spans="1:2" x14ac:dyDescent="0.25">
      <c r="A627" s="2">
        <v>44467</v>
      </c>
      <c r="B627" s="9">
        <v>7100</v>
      </c>
    </row>
    <row r="628" spans="1:2" x14ac:dyDescent="0.25">
      <c r="A628" s="2">
        <v>44468</v>
      </c>
      <c r="B628" s="9">
        <v>4700</v>
      </c>
    </row>
    <row r="629" spans="1:2" x14ac:dyDescent="0.25">
      <c r="A629" s="2">
        <v>44469</v>
      </c>
      <c r="B629" s="9">
        <v>10400</v>
      </c>
    </row>
    <row r="630" spans="1:2" x14ac:dyDescent="0.25">
      <c r="A630" s="2">
        <v>44470</v>
      </c>
      <c r="B630" s="9">
        <v>9900</v>
      </c>
    </row>
    <row r="631" spans="1:2" x14ac:dyDescent="0.25">
      <c r="A631" s="2">
        <v>44471</v>
      </c>
      <c r="B631" s="9">
        <v>8400</v>
      </c>
    </row>
    <row r="632" spans="1:2" x14ac:dyDescent="0.25">
      <c r="A632" s="2">
        <v>44472</v>
      </c>
      <c r="B632" s="9">
        <v>4300</v>
      </c>
    </row>
    <row r="633" spans="1:2" x14ac:dyDescent="0.25">
      <c r="A633" s="2">
        <v>44473</v>
      </c>
      <c r="B633" s="9">
        <v>7400</v>
      </c>
    </row>
    <row r="634" spans="1:2" x14ac:dyDescent="0.25">
      <c r="A634" s="2">
        <v>44474</v>
      </c>
      <c r="B634" s="9">
        <v>5500</v>
      </c>
    </row>
    <row r="635" spans="1:2" x14ac:dyDescent="0.25">
      <c r="A635" s="2">
        <v>44475</v>
      </c>
      <c r="B635" s="9">
        <v>12800</v>
      </c>
    </row>
    <row r="636" spans="1:2" x14ac:dyDescent="0.25">
      <c r="A636" s="2">
        <v>44476</v>
      </c>
      <c r="B636" s="9">
        <v>13700</v>
      </c>
    </row>
    <row r="637" spans="1:2" x14ac:dyDescent="0.25">
      <c r="A637" s="2">
        <v>44477</v>
      </c>
      <c r="B637" s="9">
        <v>10800</v>
      </c>
    </row>
    <row r="638" spans="1:2" x14ac:dyDescent="0.25">
      <c r="A638" s="2">
        <v>44478</v>
      </c>
      <c r="B638" s="9">
        <v>5600</v>
      </c>
    </row>
    <row r="639" spans="1:2" x14ac:dyDescent="0.25">
      <c r="A639" s="2">
        <v>44479</v>
      </c>
      <c r="B639" s="9">
        <v>12500</v>
      </c>
    </row>
    <row r="640" spans="1:2" x14ac:dyDescent="0.25">
      <c r="A640" s="2">
        <v>44480</v>
      </c>
      <c r="B640" s="9">
        <v>9000</v>
      </c>
    </row>
    <row r="641" spans="1:2" x14ac:dyDescent="0.25">
      <c r="A641" s="2">
        <v>44481</v>
      </c>
      <c r="B641" s="9">
        <v>12000</v>
      </c>
    </row>
    <row r="642" spans="1:2" x14ac:dyDescent="0.25">
      <c r="A642" s="2">
        <v>44482</v>
      </c>
      <c r="B642" s="9">
        <v>8200</v>
      </c>
    </row>
    <row r="643" spans="1:2" x14ac:dyDescent="0.25">
      <c r="A643" s="2">
        <v>44483</v>
      </c>
      <c r="B643" s="9">
        <v>9400</v>
      </c>
    </row>
    <row r="644" spans="1:2" x14ac:dyDescent="0.25">
      <c r="A644" s="2">
        <v>44484</v>
      </c>
      <c r="B644" s="9">
        <v>12400</v>
      </c>
    </row>
    <row r="645" spans="1:2" x14ac:dyDescent="0.25">
      <c r="A645" s="2">
        <v>44485</v>
      </c>
      <c r="B645" s="9">
        <v>10200</v>
      </c>
    </row>
    <row r="646" spans="1:2" x14ac:dyDescent="0.25">
      <c r="A646" s="2">
        <v>44486</v>
      </c>
      <c r="B646" s="9">
        <v>11000</v>
      </c>
    </row>
    <row r="647" spans="1:2" x14ac:dyDescent="0.25">
      <c r="A647" s="2">
        <v>44487</v>
      </c>
      <c r="B647" s="9">
        <v>13100</v>
      </c>
    </row>
    <row r="648" spans="1:2" x14ac:dyDescent="0.25">
      <c r="A648" s="2">
        <v>44488</v>
      </c>
      <c r="B648" s="9">
        <v>13700</v>
      </c>
    </row>
    <row r="649" spans="1:2" x14ac:dyDescent="0.25">
      <c r="A649" s="2">
        <v>44489</v>
      </c>
      <c r="B649" s="9">
        <v>12100</v>
      </c>
    </row>
    <row r="650" spans="1:2" x14ac:dyDescent="0.25">
      <c r="A650" s="2">
        <v>44490</v>
      </c>
      <c r="B650" s="9">
        <v>9600</v>
      </c>
    </row>
    <row r="651" spans="1:2" x14ac:dyDescent="0.25">
      <c r="A651" s="2">
        <v>44491</v>
      </c>
      <c r="B651" s="9">
        <v>9000</v>
      </c>
    </row>
    <row r="652" spans="1:2" x14ac:dyDescent="0.25">
      <c r="A652" s="2">
        <v>44492</v>
      </c>
      <c r="B652" s="9">
        <v>6800</v>
      </c>
    </row>
    <row r="653" spans="1:2" x14ac:dyDescent="0.25">
      <c r="A653" s="2">
        <v>44493</v>
      </c>
      <c r="B653" s="9">
        <v>8200</v>
      </c>
    </row>
    <row r="654" spans="1:2" x14ac:dyDescent="0.25">
      <c r="A654" s="2">
        <v>44494</v>
      </c>
      <c r="B654" s="9">
        <v>7400</v>
      </c>
    </row>
    <row r="655" spans="1:2" x14ac:dyDescent="0.25">
      <c r="A655" s="2">
        <v>44495</v>
      </c>
      <c r="B655" s="9">
        <v>8800</v>
      </c>
    </row>
    <row r="656" spans="1:2" x14ac:dyDescent="0.25">
      <c r="A656" s="2">
        <v>44496</v>
      </c>
      <c r="B656" s="9">
        <v>9300</v>
      </c>
    </row>
    <row r="657" spans="1:2" x14ac:dyDescent="0.25">
      <c r="A657" s="2">
        <v>44497</v>
      </c>
      <c r="B657" s="9">
        <v>7900</v>
      </c>
    </row>
    <row r="658" spans="1:2" x14ac:dyDescent="0.25">
      <c r="A658" s="2">
        <v>44498</v>
      </c>
      <c r="B658" s="9">
        <v>15000</v>
      </c>
    </row>
    <row r="659" spans="1:2" x14ac:dyDescent="0.25">
      <c r="A659" s="2">
        <v>44499</v>
      </c>
      <c r="B659" s="9">
        <v>11100</v>
      </c>
    </row>
    <row r="660" spans="1:2" x14ac:dyDescent="0.25">
      <c r="A660" s="2">
        <v>44500</v>
      </c>
      <c r="B660" s="9">
        <v>5000</v>
      </c>
    </row>
    <row r="661" spans="1:2" x14ac:dyDescent="0.25">
      <c r="A661" s="2">
        <v>44501</v>
      </c>
      <c r="B661" s="9">
        <v>11500</v>
      </c>
    </row>
    <row r="662" spans="1:2" x14ac:dyDescent="0.25">
      <c r="A662" s="2">
        <v>44502</v>
      </c>
      <c r="B662" s="9">
        <v>8500</v>
      </c>
    </row>
    <row r="663" spans="1:2" x14ac:dyDescent="0.25">
      <c r="A663" s="2">
        <v>44503</v>
      </c>
      <c r="B663" s="9">
        <v>12000</v>
      </c>
    </row>
    <row r="664" spans="1:2" x14ac:dyDescent="0.25">
      <c r="A664" s="2">
        <v>44504</v>
      </c>
      <c r="B664" s="9">
        <v>5300</v>
      </c>
    </row>
    <row r="665" spans="1:2" x14ac:dyDescent="0.25">
      <c r="A665" s="2">
        <v>44505</v>
      </c>
      <c r="B665" s="9">
        <v>4800</v>
      </c>
    </row>
    <row r="666" spans="1:2" x14ac:dyDescent="0.25">
      <c r="A666" s="2">
        <v>44506</v>
      </c>
      <c r="B666" s="9">
        <v>14200</v>
      </c>
    </row>
    <row r="667" spans="1:2" x14ac:dyDescent="0.25">
      <c r="A667" s="2">
        <v>44507</v>
      </c>
      <c r="B667" s="9">
        <v>13700</v>
      </c>
    </row>
    <row r="668" spans="1:2" x14ac:dyDescent="0.25">
      <c r="A668" s="2">
        <v>44508</v>
      </c>
      <c r="B668" s="9">
        <v>12800</v>
      </c>
    </row>
    <row r="669" spans="1:2" x14ac:dyDescent="0.25">
      <c r="A669" s="2">
        <v>44509</v>
      </c>
      <c r="B669" s="9">
        <v>8800</v>
      </c>
    </row>
    <row r="670" spans="1:2" x14ac:dyDescent="0.25">
      <c r="A670" s="2">
        <v>44510</v>
      </c>
      <c r="B670" s="9">
        <v>9100</v>
      </c>
    </row>
    <row r="671" spans="1:2" x14ac:dyDescent="0.25">
      <c r="A671" s="2">
        <v>44511</v>
      </c>
      <c r="B671" s="9">
        <v>8000</v>
      </c>
    </row>
    <row r="672" spans="1:2" x14ac:dyDescent="0.25">
      <c r="A672" s="2">
        <v>44512</v>
      </c>
      <c r="B672" s="9">
        <v>12400</v>
      </c>
    </row>
    <row r="673" spans="1:2" x14ac:dyDescent="0.25">
      <c r="A673" s="2">
        <v>44513</v>
      </c>
      <c r="B673" s="9">
        <v>9100</v>
      </c>
    </row>
    <row r="674" spans="1:2" x14ac:dyDescent="0.25">
      <c r="A674" s="2">
        <v>44514</v>
      </c>
      <c r="B674" s="9">
        <v>7700</v>
      </c>
    </row>
    <row r="675" spans="1:2" x14ac:dyDescent="0.25">
      <c r="A675" s="2">
        <v>44515</v>
      </c>
      <c r="B675" s="9">
        <v>15000</v>
      </c>
    </row>
    <row r="676" spans="1:2" x14ac:dyDescent="0.25">
      <c r="A676" s="2">
        <v>44516</v>
      </c>
      <c r="B676" s="9">
        <v>10900</v>
      </c>
    </row>
    <row r="677" spans="1:2" x14ac:dyDescent="0.25">
      <c r="A677" s="2">
        <v>44517</v>
      </c>
      <c r="B677" s="9">
        <v>10700</v>
      </c>
    </row>
    <row r="678" spans="1:2" x14ac:dyDescent="0.25">
      <c r="A678" s="2">
        <v>44518</v>
      </c>
      <c r="B678" s="9">
        <v>7700</v>
      </c>
    </row>
    <row r="679" spans="1:2" x14ac:dyDescent="0.25">
      <c r="A679" s="2">
        <v>44519</v>
      </c>
      <c r="B679" s="9">
        <v>4400</v>
      </c>
    </row>
    <row r="680" spans="1:2" x14ac:dyDescent="0.25">
      <c r="A680" s="2">
        <v>44520</v>
      </c>
      <c r="B680" s="9">
        <v>9000</v>
      </c>
    </row>
    <row r="681" spans="1:2" x14ac:dyDescent="0.25">
      <c r="A681" s="2">
        <v>44521</v>
      </c>
      <c r="B681" s="9">
        <v>4900</v>
      </c>
    </row>
    <row r="682" spans="1:2" x14ac:dyDescent="0.25">
      <c r="A682" s="2">
        <v>44522</v>
      </c>
      <c r="B682" s="9">
        <v>10400</v>
      </c>
    </row>
    <row r="683" spans="1:2" x14ac:dyDescent="0.25">
      <c r="A683" s="2">
        <v>44523</v>
      </c>
      <c r="B683" s="9">
        <v>11100</v>
      </c>
    </row>
    <row r="684" spans="1:2" x14ac:dyDescent="0.25">
      <c r="A684" s="2">
        <v>44524</v>
      </c>
      <c r="B684" s="9">
        <v>6900</v>
      </c>
    </row>
    <row r="685" spans="1:2" x14ac:dyDescent="0.25">
      <c r="A685" s="2">
        <v>44525</v>
      </c>
      <c r="B685" s="9">
        <v>14500</v>
      </c>
    </row>
    <row r="686" spans="1:2" x14ac:dyDescent="0.25">
      <c r="A686" s="2">
        <v>44526</v>
      </c>
      <c r="B686" s="9">
        <v>10200</v>
      </c>
    </row>
    <row r="687" spans="1:2" x14ac:dyDescent="0.25">
      <c r="A687" s="2">
        <v>44527</v>
      </c>
      <c r="B687" s="9">
        <v>5000</v>
      </c>
    </row>
    <row r="688" spans="1:2" x14ac:dyDescent="0.25">
      <c r="A688" s="2">
        <v>44528</v>
      </c>
      <c r="B688" s="9">
        <v>13600</v>
      </c>
    </row>
    <row r="689" spans="1:2" x14ac:dyDescent="0.25">
      <c r="A689" s="2">
        <v>44529</v>
      </c>
      <c r="B689" s="9">
        <v>13100</v>
      </c>
    </row>
    <row r="690" spans="1:2" x14ac:dyDescent="0.25">
      <c r="A690" s="2">
        <v>44530</v>
      </c>
      <c r="B690" s="9">
        <v>11600</v>
      </c>
    </row>
    <row r="691" spans="1:2" x14ac:dyDescent="0.25">
      <c r="A691" s="2">
        <v>44531</v>
      </c>
      <c r="B691" s="9">
        <v>4800</v>
      </c>
    </row>
    <row r="692" spans="1:2" x14ac:dyDescent="0.25">
      <c r="A692" s="2">
        <v>44532</v>
      </c>
      <c r="B692" s="9">
        <v>13000</v>
      </c>
    </row>
    <row r="693" spans="1:2" x14ac:dyDescent="0.25">
      <c r="A693" s="2">
        <v>44533</v>
      </c>
      <c r="B693" s="9">
        <v>7100</v>
      </c>
    </row>
    <row r="694" spans="1:2" x14ac:dyDescent="0.25">
      <c r="A694" s="2">
        <v>44534</v>
      </c>
      <c r="B694" s="9">
        <v>13200</v>
      </c>
    </row>
    <row r="695" spans="1:2" x14ac:dyDescent="0.25">
      <c r="A695" s="2">
        <v>44535</v>
      </c>
      <c r="B695" s="9">
        <v>8400</v>
      </c>
    </row>
    <row r="696" spans="1:2" x14ac:dyDescent="0.25">
      <c r="A696" s="2">
        <v>44536</v>
      </c>
      <c r="B696" s="9">
        <v>12600</v>
      </c>
    </row>
    <row r="697" spans="1:2" x14ac:dyDescent="0.25">
      <c r="A697" s="2">
        <v>44537</v>
      </c>
      <c r="B697" s="9">
        <v>4800</v>
      </c>
    </row>
    <row r="698" spans="1:2" x14ac:dyDescent="0.25">
      <c r="A698" s="2">
        <v>44538</v>
      </c>
      <c r="B698" s="9">
        <v>12900</v>
      </c>
    </row>
    <row r="699" spans="1:2" x14ac:dyDescent="0.25">
      <c r="A699" s="2">
        <v>44539</v>
      </c>
      <c r="B699" s="9">
        <v>6000</v>
      </c>
    </row>
    <row r="700" spans="1:2" x14ac:dyDescent="0.25">
      <c r="A700" s="2">
        <v>44540</v>
      </c>
      <c r="B700" s="9">
        <v>11000</v>
      </c>
    </row>
    <row r="701" spans="1:2" x14ac:dyDescent="0.25">
      <c r="A701" s="2">
        <v>44541</v>
      </c>
      <c r="B701" s="9">
        <v>6100</v>
      </c>
    </row>
    <row r="702" spans="1:2" x14ac:dyDescent="0.25">
      <c r="A702" s="2">
        <v>44542</v>
      </c>
      <c r="B702" s="9">
        <v>6200</v>
      </c>
    </row>
    <row r="703" spans="1:2" x14ac:dyDescent="0.25">
      <c r="A703" s="2">
        <v>44543</v>
      </c>
      <c r="B703" s="9">
        <v>5000</v>
      </c>
    </row>
    <row r="704" spans="1:2" x14ac:dyDescent="0.25">
      <c r="A704" s="2">
        <v>44544</v>
      </c>
      <c r="B704" s="9">
        <v>7000</v>
      </c>
    </row>
    <row r="705" spans="1:2" x14ac:dyDescent="0.25">
      <c r="A705" s="2">
        <v>44545</v>
      </c>
      <c r="B705" s="9">
        <v>12000</v>
      </c>
    </row>
    <row r="706" spans="1:2" x14ac:dyDescent="0.25">
      <c r="A706" s="2">
        <v>44546</v>
      </c>
      <c r="B706" s="9">
        <v>6400</v>
      </c>
    </row>
    <row r="707" spans="1:2" x14ac:dyDescent="0.25">
      <c r="A707" s="2">
        <v>44547</v>
      </c>
      <c r="B707" s="9">
        <v>4500</v>
      </c>
    </row>
    <row r="708" spans="1:2" x14ac:dyDescent="0.25">
      <c r="A708" s="2">
        <v>44548</v>
      </c>
      <c r="B708" s="9">
        <v>7700</v>
      </c>
    </row>
    <row r="709" spans="1:2" x14ac:dyDescent="0.25">
      <c r="A709" s="2">
        <v>44549</v>
      </c>
      <c r="B709" s="9">
        <v>6800</v>
      </c>
    </row>
    <row r="710" spans="1:2" x14ac:dyDescent="0.25">
      <c r="A710" s="2">
        <v>44550</v>
      </c>
      <c r="B710" s="9">
        <v>9700</v>
      </c>
    </row>
    <row r="711" spans="1:2" x14ac:dyDescent="0.25">
      <c r="A711" s="2">
        <v>44551</v>
      </c>
      <c r="B711" s="9">
        <v>13800</v>
      </c>
    </row>
    <row r="712" spans="1:2" x14ac:dyDescent="0.25">
      <c r="A712" s="2">
        <v>44552</v>
      </c>
      <c r="B712" s="9">
        <v>12700</v>
      </c>
    </row>
    <row r="713" spans="1:2" x14ac:dyDescent="0.25">
      <c r="A713" s="2">
        <v>44553</v>
      </c>
      <c r="B713" s="9">
        <v>9600</v>
      </c>
    </row>
    <row r="714" spans="1:2" x14ac:dyDescent="0.25">
      <c r="A714" s="2">
        <v>44554</v>
      </c>
      <c r="B714" s="9">
        <v>8500</v>
      </c>
    </row>
    <row r="715" spans="1:2" x14ac:dyDescent="0.25">
      <c r="A715" s="2">
        <v>44555</v>
      </c>
      <c r="B715" s="9">
        <v>10800</v>
      </c>
    </row>
    <row r="716" spans="1:2" x14ac:dyDescent="0.25">
      <c r="A716" s="2">
        <v>44556</v>
      </c>
      <c r="B716" s="9">
        <v>7700</v>
      </c>
    </row>
    <row r="717" spans="1:2" x14ac:dyDescent="0.25">
      <c r="A717" s="2">
        <v>44557</v>
      </c>
      <c r="B717" s="9">
        <v>12500</v>
      </c>
    </row>
    <row r="718" spans="1:2" x14ac:dyDescent="0.25">
      <c r="A718" s="2">
        <v>44558</v>
      </c>
      <c r="B718" s="9">
        <v>8500</v>
      </c>
    </row>
    <row r="719" spans="1:2" x14ac:dyDescent="0.25">
      <c r="A719" s="2">
        <v>44559</v>
      </c>
      <c r="B719" s="9">
        <v>6800</v>
      </c>
    </row>
    <row r="720" spans="1:2" x14ac:dyDescent="0.25">
      <c r="A720" s="2">
        <v>44560</v>
      </c>
      <c r="B720" s="9">
        <v>14100</v>
      </c>
    </row>
    <row r="721" spans="1:2" x14ac:dyDescent="0.25">
      <c r="A721" s="2">
        <v>44561</v>
      </c>
      <c r="B721" s="9">
        <v>7300</v>
      </c>
    </row>
    <row r="722" spans="1:2" x14ac:dyDescent="0.25">
      <c r="A722" s="2">
        <v>44562</v>
      </c>
      <c r="B722" s="9">
        <v>6900</v>
      </c>
    </row>
    <row r="723" spans="1:2" x14ac:dyDescent="0.25">
      <c r="A723" s="2">
        <v>44563</v>
      </c>
      <c r="B723" s="9">
        <v>7400</v>
      </c>
    </row>
    <row r="724" spans="1:2" x14ac:dyDescent="0.25">
      <c r="A724" s="2">
        <v>44564</v>
      </c>
      <c r="B724" s="9">
        <v>12500</v>
      </c>
    </row>
    <row r="725" spans="1:2" x14ac:dyDescent="0.25">
      <c r="A725" s="2">
        <v>44565</v>
      </c>
      <c r="B725" s="9">
        <v>14100</v>
      </c>
    </row>
    <row r="726" spans="1:2" x14ac:dyDescent="0.25">
      <c r="A726" s="2">
        <v>44566</v>
      </c>
      <c r="B726" s="9">
        <v>8900</v>
      </c>
    </row>
    <row r="727" spans="1:2" x14ac:dyDescent="0.25">
      <c r="A727" s="2">
        <v>44567</v>
      </c>
      <c r="B727" s="9">
        <v>10400</v>
      </c>
    </row>
    <row r="728" spans="1:2" x14ac:dyDescent="0.25">
      <c r="A728" s="2">
        <v>44568</v>
      </c>
      <c r="B728" s="9">
        <v>7700</v>
      </c>
    </row>
    <row r="729" spans="1:2" x14ac:dyDescent="0.25">
      <c r="A729" s="2">
        <v>44569</v>
      </c>
      <c r="B729" s="9">
        <v>9300</v>
      </c>
    </row>
    <row r="730" spans="1:2" x14ac:dyDescent="0.25">
      <c r="A730" s="2">
        <v>44570</v>
      </c>
      <c r="B730" s="9">
        <v>12600</v>
      </c>
    </row>
    <row r="731" spans="1:2" x14ac:dyDescent="0.25">
      <c r="A731" s="2">
        <v>44571</v>
      </c>
      <c r="B731" s="9">
        <v>7600</v>
      </c>
    </row>
    <row r="732" spans="1:2" x14ac:dyDescent="0.25">
      <c r="A732" s="2">
        <v>44572</v>
      </c>
      <c r="B732" s="9">
        <v>5900</v>
      </c>
    </row>
    <row r="733" spans="1:2" x14ac:dyDescent="0.25">
      <c r="A733" s="2">
        <v>44573</v>
      </c>
      <c r="B733" s="9">
        <v>13200</v>
      </c>
    </row>
    <row r="734" spans="1:2" x14ac:dyDescent="0.25">
      <c r="A734" s="2">
        <v>44574</v>
      </c>
      <c r="B734" s="9">
        <v>12400</v>
      </c>
    </row>
    <row r="735" spans="1:2" x14ac:dyDescent="0.25">
      <c r="A735" s="2">
        <v>44575</v>
      </c>
      <c r="B735" s="9">
        <v>12600</v>
      </c>
    </row>
    <row r="736" spans="1:2" x14ac:dyDescent="0.25">
      <c r="A736" s="2">
        <v>44576</v>
      </c>
      <c r="B736" s="9">
        <v>10300</v>
      </c>
    </row>
    <row r="737" spans="1:2" x14ac:dyDescent="0.25">
      <c r="A737" s="2">
        <v>44577</v>
      </c>
      <c r="B737" s="9">
        <v>4300</v>
      </c>
    </row>
    <row r="738" spans="1:2" x14ac:dyDescent="0.25">
      <c r="A738" s="2">
        <v>44578</v>
      </c>
      <c r="B738" s="9">
        <v>10300</v>
      </c>
    </row>
    <row r="739" spans="1:2" x14ac:dyDescent="0.25">
      <c r="A739" s="2">
        <v>44579</v>
      </c>
      <c r="B739" s="9">
        <v>14500</v>
      </c>
    </row>
    <row r="740" spans="1:2" x14ac:dyDescent="0.25">
      <c r="A740" s="2">
        <v>44580</v>
      </c>
      <c r="B740" s="9">
        <v>9500</v>
      </c>
    </row>
    <row r="741" spans="1:2" x14ac:dyDescent="0.25">
      <c r="A741" s="2">
        <v>44581</v>
      </c>
      <c r="B741" s="9">
        <v>6300</v>
      </c>
    </row>
    <row r="742" spans="1:2" x14ac:dyDescent="0.25">
      <c r="A742" s="2">
        <v>44582</v>
      </c>
      <c r="B742" s="9">
        <v>5900</v>
      </c>
    </row>
    <row r="743" spans="1:2" x14ac:dyDescent="0.25">
      <c r="A743" s="2">
        <v>44583</v>
      </c>
      <c r="B743" s="9">
        <v>10800</v>
      </c>
    </row>
    <row r="744" spans="1:2" x14ac:dyDescent="0.25">
      <c r="A744" s="2">
        <v>44584</v>
      </c>
      <c r="B744" s="9">
        <v>11000</v>
      </c>
    </row>
    <row r="745" spans="1:2" x14ac:dyDescent="0.25">
      <c r="A745" s="2">
        <v>44585</v>
      </c>
      <c r="B745" s="9">
        <v>5000</v>
      </c>
    </row>
    <row r="746" spans="1:2" x14ac:dyDescent="0.25">
      <c r="A746" s="2">
        <v>44586</v>
      </c>
      <c r="B746" s="9">
        <v>10200</v>
      </c>
    </row>
    <row r="747" spans="1:2" x14ac:dyDescent="0.25">
      <c r="A747" s="2">
        <v>44587</v>
      </c>
      <c r="B747" s="9">
        <v>4600</v>
      </c>
    </row>
    <row r="748" spans="1:2" x14ac:dyDescent="0.25">
      <c r="A748" s="2">
        <v>44588</v>
      </c>
      <c r="B748" s="9">
        <v>6900</v>
      </c>
    </row>
    <row r="749" spans="1:2" x14ac:dyDescent="0.25">
      <c r="A749" s="2">
        <v>44589</v>
      </c>
      <c r="B749" s="9">
        <v>12200</v>
      </c>
    </row>
    <row r="750" spans="1:2" x14ac:dyDescent="0.25">
      <c r="A750" s="2">
        <v>44590</v>
      </c>
      <c r="B750" s="9">
        <v>8600</v>
      </c>
    </row>
    <row r="751" spans="1:2" x14ac:dyDescent="0.25">
      <c r="A751" s="2">
        <v>44591</v>
      </c>
      <c r="B751" s="9">
        <v>6900</v>
      </c>
    </row>
    <row r="752" spans="1:2" x14ac:dyDescent="0.25">
      <c r="A752" s="2">
        <v>44592</v>
      </c>
      <c r="B752" s="9">
        <v>4200</v>
      </c>
    </row>
    <row r="753" spans="1:2" x14ac:dyDescent="0.25">
      <c r="A753" s="2">
        <v>44593</v>
      </c>
      <c r="B753" s="9">
        <v>9500</v>
      </c>
    </row>
    <row r="754" spans="1:2" x14ac:dyDescent="0.25">
      <c r="A754" s="2">
        <v>44594</v>
      </c>
      <c r="B754" s="9">
        <v>4200</v>
      </c>
    </row>
    <row r="755" spans="1:2" x14ac:dyDescent="0.25">
      <c r="A755" s="2">
        <v>44595</v>
      </c>
      <c r="B755" s="9">
        <v>6400</v>
      </c>
    </row>
    <row r="756" spans="1:2" x14ac:dyDescent="0.25">
      <c r="A756" s="2">
        <v>44596</v>
      </c>
      <c r="B756" s="9">
        <v>4500</v>
      </c>
    </row>
    <row r="757" spans="1:2" x14ac:dyDescent="0.25">
      <c r="A757" s="2">
        <v>44597</v>
      </c>
      <c r="B757" s="9">
        <v>11500</v>
      </c>
    </row>
    <row r="758" spans="1:2" x14ac:dyDescent="0.25">
      <c r="A758" s="2">
        <v>44598</v>
      </c>
      <c r="B758" s="9">
        <v>6600</v>
      </c>
    </row>
    <row r="759" spans="1:2" x14ac:dyDescent="0.25">
      <c r="A759" s="2">
        <v>44599</v>
      </c>
      <c r="B759" s="9">
        <v>10000</v>
      </c>
    </row>
    <row r="760" spans="1:2" x14ac:dyDescent="0.25">
      <c r="A760" s="2">
        <v>44600</v>
      </c>
      <c r="B760" s="9">
        <v>10000</v>
      </c>
    </row>
    <row r="761" spans="1:2" x14ac:dyDescent="0.25">
      <c r="A761" s="2">
        <v>44601</v>
      </c>
      <c r="B761" s="9">
        <v>8200</v>
      </c>
    </row>
    <row r="762" spans="1:2" x14ac:dyDescent="0.25">
      <c r="A762" s="2">
        <v>44602</v>
      </c>
      <c r="B762" s="9">
        <v>13700</v>
      </c>
    </row>
    <row r="763" spans="1:2" x14ac:dyDescent="0.25">
      <c r="A763" s="2">
        <v>44603</v>
      </c>
      <c r="B763" s="9">
        <v>13800</v>
      </c>
    </row>
    <row r="764" spans="1:2" x14ac:dyDescent="0.25">
      <c r="A764" s="2">
        <v>44604</v>
      </c>
      <c r="B764" s="9">
        <v>7800</v>
      </c>
    </row>
    <row r="765" spans="1:2" x14ac:dyDescent="0.25">
      <c r="A765" s="2">
        <v>44605</v>
      </c>
      <c r="B765" s="9">
        <v>4300</v>
      </c>
    </row>
    <row r="766" spans="1:2" x14ac:dyDescent="0.25">
      <c r="A766" s="2">
        <v>44606</v>
      </c>
      <c r="B766" s="9">
        <v>8900</v>
      </c>
    </row>
    <row r="767" spans="1:2" x14ac:dyDescent="0.25">
      <c r="A767" s="2">
        <v>44607</v>
      </c>
      <c r="B767" s="9">
        <v>10700</v>
      </c>
    </row>
    <row r="768" spans="1:2" x14ac:dyDescent="0.25">
      <c r="A768" s="2">
        <v>44608</v>
      </c>
      <c r="B768" s="9">
        <v>13100</v>
      </c>
    </row>
    <row r="769" spans="1:2" x14ac:dyDescent="0.25">
      <c r="A769" s="2">
        <v>44609</v>
      </c>
      <c r="B769" s="9">
        <v>6300</v>
      </c>
    </row>
    <row r="770" spans="1:2" x14ac:dyDescent="0.25">
      <c r="A770" s="2">
        <v>44610</v>
      </c>
      <c r="B770" s="9">
        <v>14500</v>
      </c>
    </row>
    <row r="771" spans="1:2" x14ac:dyDescent="0.25">
      <c r="A771" s="2">
        <v>44611</v>
      </c>
      <c r="B771" s="9">
        <v>10900</v>
      </c>
    </row>
    <row r="772" spans="1:2" x14ac:dyDescent="0.25">
      <c r="A772" s="2">
        <v>44612</v>
      </c>
      <c r="B772" s="9">
        <v>11100</v>
      </c>
    </row>
    <row r="773" spans="1:2" x14ac:dyDescent="0.25">
      <c r="A773" s="2">
        <v>44613</v>
      </c>
      <c r="B773" s="9">
        <v>5300</v>
      </c>
    </row>
    <row r="774" spans="1:2" x14ac:dyDescent="0.25">
      <c r="A774" s="2">
        <v>44614</v>
      </c>
      <c r="B774" s="9">
        <v>13500</v>
      </c>
    </row>
    <row r="775" spans="1:2" x14ac:dyDescent="0.25">
      <c r="A775" s="2">
        <v>44615</v>
      </c>
      <c r="B775" s="9">
        <v>6100</v>
      </c>
    </row>
    <row r="776" spans="1:2" x14ac:dyDescent="0.25">
      <c r="A776" s="2">
        <v>44616</v>
      </c>
      <c r="B776" s="9">
        <v>6600</v>
      </c>
    </row>
    <row r="777" spans="1:2" x14ac:dyDescent="0.25">
      <c r="A777" s="2">
        <v>44617</v>
      </c>
      <c r="B777" s="9">
        <v>7500</v>
      </c>
    </row>
    <row r="778" spans="1:2" x14ac:dyDescent="0.25">
      <c r="A778" s="2">
        <v>44618</v>
      </c>
      <c r="B778" s="9">
        <v>10800</v>
      </c>
    </row>
    <row r="779" spans="1:2" x14ac:dyDescent="0.25">
      <c r="A779" s="2">
        <v>44619</v>
      </c>
      <c r="B779" s="9">
        <v>9000</v>
      </c>
    </row>
    <row r="780" spans="1:2" x14ac:dyDescent="0.25">
      <c r="A780" s="2">
        <v>44620</v>
      </c>
      <c r="B780" s="9">
        <v>8900</v>
      </c>
    </row>
    <row r="781" spans="1:2" x14ac:dyDescent="0.25">
      <c r="A781" s="2">
        <v>44621</v>
      </c>
      <c r="B781" s="9">
        <v>10100</v>
      </c>
    </row>
    <row r="782" spans="1:2" x14ac:dyDescent="0.25">
      <c r="A782" s="2">
        <v>44622</v>
      </c>
      <c r="B782" s="9">
        <v>6500</v>
      </c>
    </row>
    <row r="783" spans="1:2" x14ac:dyDescent="0.25">
      <c r="A783" s="2">
        <v>44623</v>
      </c>
      <c r="B783" s="9">
        <v>11600</v>
      </c>
    </row>
    <row r="784" spans="1:2" x14ac:dyDescent="0.25">
      <c r="A784" s="2">
        <v>44624</v>
      </c>
      <c r="B784" s="9">
        <v>11600</v>
      </c>
    </row>
    <row r="785" spans="1:2" x14ac:dyDescent="0.25">
      <c r="A785" s="2">
        <v>44625</v>
      </c>
      <c r="B785" s="9">
        <v>11200</v>
      </c>
    </row>
    <row r="786" spans="1:2" x14ac:dyDescent="0.25">
      <c r="A786" s="2">
        <v>44626</v>
      </c>
      <c r="B786" s="9">
        <v>12600</v>
      </c>
    </row>
    <row r="787" spans="1:2" x14ac:dyDescent="0.25">
      <c r="A787" s="2">
        <v>44627</v>
      </c>
      <c r="B787" s="9">
        <v>12400</v>
      </c>
    </row>
    <row r="788" spans="1:2" x14ac:dyDescent="0.25">
      <c r="A788" s="2">
        <v>44628</v>
      </c>
      <c r="B788" s="9">
        <v>14600</v>
      </c>
    </row>
    <row r="789" spans="1:2" x14ac:dyDescent="0.25">
      <c r="A789" s="2">
        <v>44629</v>
      </c>
      <c r="B789" s="9">
        <v>5600</v>
      </c>
    </row>
    <row r="790" spans="1:2" x14ac:dyDescent="0.25">
      <c r="A790" s="2">
        <v>44630</v>
      </c>
      <c r="B790" s="9">
        <v>7400</v>
      </c>
    </row>
    <row r="791" spans="1:2" x14ac:dyDescent="0.25">
      <c r="A791" s="2">
        <v>44631</v>
      </c>
      <c r="B791" s="9">
        <v>4600</v>
      </c>
    </row>
    <row r="792" spans="1:2" x14ac:dyDescent="0.25">
      <c r="A792" s="2">
        <v>44632</v>
      </c>
      <c r="B792" s="9">
        <v>10800</v>
      </c>
    </row>
    <row r="793" spans="1:2" x14ac:dyDescent="0.25">
      <c r="A793" s="2">
        <v>44633</v>
      </c>
      <c r="B793" s="9">
        <v>8000</v>
      </c>
    </row>
    <row r="794" spans="1:2" x14ac:dyDescent="0.25">
      <c r="A794" s="2">
        <v>44634</v>
      </c>
      <c r="B794" s="9">
        <v>12600</v>
      </c>
    </row>
    <row r="795" spans="1:2" x14ac:dyDescent="0.25">
      <c r="A795" s="2">
        <v>44635</v>
      </c>
      <c r="B795" s="9">
        <v>6900</v>
      </c>
    </row>
    <row r="796" spans="1:2" x14ac:dyDescent="0.25">
      <c r="A796" s="2">
        <v>44636</v>
      </c>
      <c r="B796" s="9">
        <v>8400</v>
      </c>
    </row>
    <row r="797" spans="1:2" x14ac:dyDescent="0.25">
      <c r="A797" s="2">
        <v>44637</v>
      </c>
      <c r="B797" s="9">
        <v>10900</v>
      </c>
    </row>
    <row r="798" spans="1:2" x14ac:dyDescent="0.25">
      <c r="A798" s="2">
        <v>44638</v>
      </c>
      <c r="B798" s="9">
        <v>8000</v>
      </c>
    </row>
    <row r="799" spans="1:2" x14ac:dyDescent="0.25">
      <c r="A799" s="2">
        <v>44639</v>
      </c>
      <c r="B799" s="9">
        <v>11900</v>
      </c>
    </row>
    <row r="800" spans="1:2" x14ac:dyDescent="0.25">
      <c r="A800" s="2">
        <v>44640</v>
      </c>
      <c r="B800" s="9">
        <v>8000</v>
      </c>
    </row>
    <row r="801" spans="1:2" x14ac:dyDescent="0.25">
      <c r="A801" s="2">
        <v>44641</v>
      </c>
      <c r="B801" s="9">
        <v>10000</v>
      </c>
    </row>
    <row r="802" spans="1:2" x14ac:dyDescent="0.25">
      <c r="A802" s="2">
        <v>44642</v>
      </c>
      <c r="B802" s="9">
        <v>11300</v>
      </c>
    </row>
    <row r="803" spans="1:2" x14ac:dyDescent="0.25">
      <c r="A803" s="2">
        <v>44643</v>
      </c>
      <c r="B803" s="9">
        <v>7100</v>
      </c>
    </row>
    <row r="804" spans="1:2" x14ac:dyDescent="0.25">
      <c r="A804" s="2">
        <v>44644</v>
      </c>
      <c r="B804" s="9">
        <v>4300</v>
      </c>
    </row>
    <row r="805" spans="1:2" x14ac:dyDescent="0.25">
      <c r="A805" s="2">
        <v>44645</v>
      </c>
      <c r="B805" s="9">
        <v>7900</v>
      </c>
    </row>
    <row r="806" spans="1:2" x14ac:dyDescent="0.25">
      <c r="A806" s="2">
        <v>44646</v>
      </c>
      <c r="B806" s="9">
        <v>5400</v>
      </c>
    </row>
    <row r="807" spans="1:2" x14ac:dyDescent="0.25">
      <c r="A807" s="2">
        <v>44647</v>
      </c>
      <c r="B807" s="9">
        <v>10900</v>
      </c>
    </row>
    <row r="808" spans="1:2" x14ac:dyDescent="0.25">
      <c r="A808" s="2">
        <v>44648</v>
      </c>
      <c r="B808" s="9">
        <v>9800</v>
      </c>
    </row>
    <row r="809" spans="1:2" x14ac:dyDescent="0.25">
      <c r="A809" s="2">
        <v>44649</v>
      </c>
      <c r="B809" s="9">
        <v>9500</v>
      </c>
    </row>
    <row r="810" spans="1:2" x14ac:dyDescent="0.25">
      <c r="A810" s="2">
        <v>44650</v>
      </c>
      <c r="B810" s="9">
        <v>10600</v>
      </c>
    </row>
    <row r="811" spans="1:2" x14ac:dyDescent="0.25">
      <c r="A811" s="2">
        <v>44651</v>
      </c>
      <c r="B811" s="9">
        <v>5400</v>
      </c>
    </row>
    <row r="812" spans="1:2" x14ac:dyDescent="0.25">
      <c r="A812" s="2">
        <v>44652</v>
      </c>
      <c r="B812" s="9">
        <v>9200</v>
      </c>
    </row>
    <row r="813" spans="1:2" x14ac:dyDescent="0.25">
      <c r="A813" s="2">
        <v>44653</v>
      </c>
      <c r="B813" s="9">
        <v>5700</v>
      </c>
    </row>
    <row r="814" spans="1:2" x14ac:dyDescent="0.25">
      <c r="A814" s="2">
        <v>44654</v>
      </c>
      <c r="B814" s="9">
        <v>9600</v>
      </c>
    </row>
    <row r="815" spans="1:2" x14ac:dyDescent="0.25">
      <c r="A815" s="2">
        <v>44655</v>
      </c>
      <c r="B815" s="9">
        <v>13600</v>
      </c>
    </row>
    <row r="816" spans="1:2" x14ac:dyDescent="0.25">
      <c r="A816" s="2">
        <v>44656</v>
      </c>
      <c r="B816" s="9">
        <v>5600</v>
      </c>
    </row>
    <row r="817" spans="1:2" x14ac:dyDescent="0.25">
      <c r="A817" s="2">
        <v>44657</v>
      </c>
      <c r="B817" s="9">
        <v>8400</v>
      </c>
    </row>
    <row r="818" spans="1:2" x14ac:dyDescent="0.25">
      <c r="A818" s="2">
        <v>44658</v>
      </c>
      <c r="B818" s="9">
        <v>10000</v>
      </c>
    </row>
    <row r="819" spans="1:2" x14ac:dyDescent="0.25">
      <c r="A819" s="2">
        <v>44659</v>
      </c>
      <c r="B819" s="9">
        <v>14100</v>
      </c>
    </row>
    <row r="820" spans="1:2" x14ac:dyDescent="0.25">
      <c r="A820" s="2">
        <v>44660</v>
      </c>
      <c r="B820" s="9">
        <v>10200</v>
      </c>
    </row>
    <row r="821" spans="1:2" x14ac:dyDescent="0.25">
      <c r="A821" s="2">
        <v>44661</v>
      </c>
      <c r="B821" s="9">
        <v>11200</v>
      </c>
    </row>
    <row r="822" spans="1:2" x14ac:dyDescent="0.25">
      <c r="A822" s="2">
        <v>44662</v>
      </c>
      <c r="B822" s="9">
        <v>11200</v>
      </c>
    </row>
    <row r="823" spans="1:2" x14ac:dyDescent="0.25">
      <c r="A823" s="2">
        <v>44663</v>
      </c>
      <c r="B823" s="9">
        <v>8700</v>
      </c>
    </row>
    <row r="824" spans="1:2" x14ac:dyDescent="0.25">
      <c r="A824" s="2">
        <v>44664</v>
      </c>
      <c r="B824" s="9">
        <v>4600</v>
      </c>
    </row>
    <row r="825" spans="1:2" x14ac:dyDescent="0.25">
      <c r="A825" s="2">
        <v>44665</v>
      </c>
      <c r="B825" s="9">
        <v>6100</v>
      </c>
    </row>
    <row r="826" spans="1:2" x14ac:dyDescent="0.25">
      <c r="A826" s="2">
        <v>44666</v>
      </c>
      <c r="B826" s="9">
        <v>14900</v>
      </c>
    </row>
    <row r="827" spans="1:2" x14ac:dyDescent="0.25">
      <c r="A827" s="2">
        <v>44667</v>
      </c>
      <c r="B827" s="9">
        <v>14200</v>
      </c>
    </row>
    <row r="828" spans="1:2" x14ac:dyDescent="0.25">
      <c r="A828" s="2">
        <v>44668</v>
      </c>
      <c r="B828" s="9">
        <v>7700</v>
      </c>
    </row>
    <row r="829" spans="1:2" x14ac:dyDescent="0.25">
      <c r="A829" s="2">
        <v>44669</v>
      </c>
      <c r="B829" s="9">
        <v>11900</v>
      </c>
    </row>
    <row r="830" spans="1:2" x14ac:dyDescent="0.25">
      <c r="A830" s="2">
        <v>44670</v>
      </c>
      <c r="B830" s="9">
        <v>12300</v>
      </c>
    </row>
    <row r="831" spans="1:2" x14ac:dyDescent="0.25">
      <c r="A831" s="2">
        <v>44671</v>
      </c>
      <c r="B831" s="9">
        <v>12600</v>
      </c>
    </row>
    <row r="832" spans="1:2" x14ac:dyDescent="0.25">
      <c r="A832" s="2">
        <v>44672</v>
      </c>
      <c r="B832" s="9">
        <v>5100</v>
      </c>
    </row>
    <row r="833" spans="1:2" x14ac:dyDescent="0.25">
      <c r="A833" s="2">
        <v>44673</v>
      </c>
      <c r="B833" s="9">
        <v>5400</v>
      </c>
    </row>
    <row r="834" spans="1:2" x14ac:dyDescent="0.25">
      <c r="A834" s="2">
        <v>44674</v>
      </c>
      <c r="B834" s="9">
        <v>6100</v>
      </c>
    </row>
    <row r="835" spans="1:2" x14ac:dyDescent="0.25">
      <c r="A835" s="2">
        <v>44675</v>
      </c>
      <c r="B835" s="9">
        <v>12900</v>
      </c>
    </row>
    <row r="836" spans="1:2" x14ac:dyDescent="0.25">
      <c r="A836" s="2">
        <v>44676</v>
      </c>
      <c r="B836" s="9">
        <v>9500</v>
      </c>
    </row>
    <row r="837" spans="1:2" x14ac:dyDescent="0.25">
      <c r="A837" s="2">
        <v>44677</v>
      </c>
      <c r="B837" s="9">
        <v>11400</v>
      </c>
    </row>
    <row r="838" spans="1:2" x14ac:dyDescent="0.25">
      <c r="A838" s="2">
        <v>44678</v>
      </c>
      <c r="B838" s="9">
        <v>5100</v>
      </c>
    </row>
    <row r="839" spans="1:2" x14ac:dyDescent="0.25">
      <c r="A839" s="2">
        <v>44679</v>
      </c>
      <c r="B839" s="9">
        <v>12700</v>
      </c>
    </row>
    <row r="840" spans="1:2" x14ac:dyDescent="0.25">
      <c r="A840" s="2">
        <v>44680</v>
      </c>
      <c r="B840" s="9">
        <v>5100</v>
      </c>
    </row>
    <row r="841" spans="1:2" x14ac:dyDescent="0.25">
      <c r="A841" s="2">
        <v>44681</v>
      </c>
      <c r="B841" s="9">
        <v>7800</v>
      </c>
    </row>
    <row r="842" spans="1:2" x14ac:dyDescent="0.25">
      <c r="A842" s="2">
        <v>44682</v>
      </c>
      <c r="B842" s="9">
        <v>9000</v>
      </c>
    </row>
    <row r="843" spans="1:2" x14ac:dyDescent="0.25">
      <c r="A843" s="2">
        <v>44683</v>
      </c>
      <c r="B843" s="9">
        <v>13700</v>
      </c>
    </row>
    <row r="844" spans="1:2" x14ac:dyDescent="0.25">
      <c r="A844" s="2">
        <v>44684</v>
      </c>
      <c r="B844" s="9">
        <v>13100</v>
      </c>
    </row>
    <row r="845" spans="1:2" x14ac:dyDescent="0.25">
      <c r="A845" s="2">
        <v>44685</v>
      </c>
      <c r="B845" s="9">
        <v>7000</v>
      </c>
    </row>
    <row r="846" spans="1:2" x14ac:dyDescent="0.25">
      <c r="A846" s="2">
        <v>44686</v>
      </c>
      <c r="B846" s="9">
        <v>13400</v>
      </c>
    </row>
    <row r="847" spans="1:2" x14ac:dyDescent="0.25">
      <c r="A847" s="2">
        <v>44687</v>
      </c>
      <c r="B847" s="9">
        <v>9400</v>
      </c>
    </row>
    <row r="848" spans="1:2" x14ac:dyDescent="0.25">
      <c r="A848" s="2">
        <v>44688</v>
      </c>
      <c r="B848" s="9">
        <v>14000</v>
      </c>
    </row>
    <row r="849" spans="1:2" x14ac:dyDescent="0.25">
      <c r="A849" s="2">
        <v>44689</v>
      </c>
      <c r="B849" s="9">
        <v>4000</v>
      </c>
    </row>
    <row r="850" spans="1:2" x14ac:dyDescent="0.25">
      <c r="A850" s="2">
        <v>44690</v>
      </c>
      <c r="B850" s="9">
        <v>12600</v>
      </c>
    </row>
    <row r="851" spans="1:2" x14ac:dyDescent="0.25">
      <c r="A851" s="2">
        <v>44691</v>
      </c>
      <c r="B851" s="9">
        <v>11800</v>
      </c>
    </row>
    <row r="852" spans="1:2" x14ac:dyDescent="0.25">
      <c r="A852" s="2">
        <v>44692</v>
      </c>
      <c r="B852" s="9">
        <v>4900</v>
      </c>
    </row>
    <row r="853" spans="1:2" x14ac:dyDescent="0.25">
      <c r="A853" s="2">
        <v>44693</v>
      </c>
      <c r="B853" s="9">
        <v>4600</v>
      </c>
    </row>
    <row r="854" spans="1:2" x14ac:dyDescent="0.25">
      <c r="A854" s="2">
        <v>44694</v>
      </c>
      <c r="B854" s="9">
        <v>7700</v>
      </c>
    </row>
    <row r="855" spans="1:2" x14ac:dyDescent="0.25">
      <c r="A855" s="2">
        <v>44695</v>
      </c>
      <c r="B855" s="9">
        <v>8600</v>
      </c>
    </row>
    <row r="856" spans="1:2" x14ac:dyDescent="0.25">
      <c r="A856" s="2">
        <v>44696</v>
      </c>
      <c r="B856" s="9">
        <v>6200</v>
      </c>
    </row>
    <row r="857" spans="1:2" x14ac:dyDescent="0.25">
      <c r="A857" s="2">
        <v>44697</v>
      </c>
      <c r="B857" s="9">
        <v>5800</v>
      </c>
    </row>
    <row r="858" spans="1:2" x14ac:dyDescent="0.25">
      <c r="A858" s="2">
        <v>44698</v>
      </c>
      <c r="B858" s="9">
        <v>6900</v>
      </c>
    </row>
    <row r="859" spans="1:2" x14ac:dyDescent="0.25">
      <c r="A859" s="2">
        <v>44699</v>
      </c>
      <c r="B859" s="9">
        <v>14200</v>
      </c>
    </row>
    <row r="860" spans="1:2" x14ac:dyDescent="0.25">
      <c r="A860" s="2">
        <v>44700</v>
      </c>
      <c r="B860" s="9">
        <v>10100</v>
      </c>
    </row>
    <row r="861" spans="1:2" x14ac:dyDescent="0.25">
      <c r="A861" s="2">
        <v>44701</v>
      </c>
      <c r="B861" s="9">
        <v>4300</v>
      </c>
    </row>
    <row r="862" spans="1:2" x14ac:dyDescent="0.25">
      <c r="A862" s="2">
        <v>44702</v>
      </c>
      <c r="B862" s="9">
        <v>9800</v>
      </c>
    </row>
    <row r="863" spans="1:2" x14ac:dyDescent="0.25">
      <c r="A863" s="2">
        <v>44703</v>
      </c>
      <c r="B863" s="9">
        <v>6100</v>
      </c>
    </row>
    <row r="864" spans="1:2" x14ac:dyDescent="0.25">
      <c r="A864" s="2">
        <v>44704</v>
      </c>
      <c r="B864" s="9">
        <v>7600</v>
      </c>
    </row>
    <row r="865" spans="1:2" x14ac:dyDescent="0.25">
      <c r="A865" s="2">
        <v>44705</v>
      </c>
      <c r="B865" s="9">
        <v>13000</v>
      </c>
    </row>
    <row r="866" spans="1:2" x14ac:dyDescent="0.25">
      <c r="A866" s="2">
        <v>44706</v>
      </c>
      <c r="B866" s="9">
        <v>9600</v>
      </c>
    </row>
    <row r="867" spans="1:2" x14ac:dyDescent="0.25">
      <c r="A867" s="2">
        <v>44707</v>
      </c>
      <c r="B867" s="9">
        <v>9600</v>
      </c>
    </row>
    <row r="868" spans="1:2" x14ac:dyDescent="0.25">
      <c r="A868" s="2">
        <v>44708</v>
      </c>
      <c r="B868" s="9">
        <v>4600</v>
      </c>
    </row>
    <row r="869" spans="1:2" x14ac:dyDescent="0.25">
      <c r="A869" s="2">
        <v>44709</v>
      </c>
      <c r="B869" s="9">
        <v>7600</v>
      </c>
    </row>
    <row r="870" spans="1:2" x14ac:dyDescent="0.25">
      <c r="A870" s="2">
        <v>44710</v>
      </c>
      <c r="B870" s="9">
        <v>7000</v>
      </c>
    </row>
    <row r="871" spans="1:2" x14ac:dyDescent="0.25">
      <c r="A871" s="2">
        <v>44711</v>
      </c>
      <c r="B871" s="9">
        <v>7000</v>
      </c>
    </row>
    <row r="872" spans="1:2" x14ac:dyDescent="0.25">
      <c r="A872" s="2">
        <v>44712</v>
      </c>
      <c r="B872" s="9">
        <v>11600</v>
      </c>
    </row>
    <row r="873" spans="1:2" x14ac:dyDescent="0.25">
      <c r="A873" s="2">
        <v>44713</v>
      </c>
      <c r="B873" s="9">
        <v>14600</v>
      </c>
    </row>
    <row r="874" spans="1:2" x14ac:dyDescent="0.25">
      <c r="A874" s="2">
        <v>44714</v>
      </c>
      <c r="B874" s="9">
        <v>14000</v>
      </c>
    </row>
    <row r="875" spans="1:2" x14ac:dyDescent="0.25">
      <c r="A875" s="2">
        <v>44715</v>
      </c>
      <c r="B875" s="9">
        <v>9100</v>
      </c>
    </row>
    <row r="876" spans="1:2" x14ac:dyDescent="0.25">
      <c r="A876" s="2">
        <v>44716</v>
      </c>
      <c r="B876" s="9">
        <v>6900</v>
      </c>
    </row>
    <row r="877" spans="1:2" x14ac:dyDescent="0.25">
      <c r="A877" s="2">
        <v>44717</v>
      </c>
      <c r="B877" s="9">
        <v>11500</v>
      </c>
    </row>
    <row r="878" spans="1:2" x14ac:dyDescent="0.25">
      <c r="A878" s="2">
        <v>44718</v>
      </c>
      <c r="B878" s="9">
        <v>14000</v>
      </c>
    </row>
    <row r="879" spans="1:2" x14ac:dyDescent="0.25">
      <c r="A879" s="2">
        <v>44719</v>
      </c>
      <c r="B879" s="9">
        <v>14700</v>
      </c>
    </row>
    <row r="880" spans="1:2" x14ac:dyDescent="0.25">
      <c r="A880" s="2">
        <v>44720</v>
      </c>
      <c r="B880" s="9">
        <v>13900</v>
      </c>
    </row>
    <row r="881" spans="1:2" x14ac:dyDescent="0.25">
      <c r="A881" s="2">
        <v>44721</v>
      </c>
      <c r="B881" s="9">
        <v>7800</v>
      </c>
    </row>
    <row r="882" spans="1:2" x14ac:dyDescent="0.25">
      <c r="A882" s="2">
        <v>44722</v>
      </c>
      <c r="B882" s="9">
        <v>11600</v>
      </c>
    </row>
    <row r="883" spans="1:2" x14ac:dyDescent="0.25">
      <c r="A883" s="2">
        <v>44723</v>
      </c>
      <c r="B883" s="9">
        <v>4100</v>
      </c>
    </row>
    <row r="884" spans="1:2" x14ac:dyDescent="0.25">
      <c r="A884" s="2">
        <v>44724</v>
      </c>
      <c r="B884" s="9">
        <v>6300</v>
      </c>
    </row>
    <row r="885" spans="1:2" x14ac:dyDescent="0.25">
      <c r="A885" s="2">
        <v>44725</v>
      </c>
      <c r="B885" s="9">
        <v>8600</v>
      </c>
    </row>
    <row r="886" spans="1:2" x14ac:dyDescent="0.25">
      <c r="A886" s="2">
        <v>44726</v>
      </c>
      <c r="B886" s="9">
        <v>14300</v>
      </c>
    </row>
    <row r="887" spans="1:2" x14ac:dyDescent="0.25">
      <c r="A887" s="2">
        <v>44727</v>
      </c>
      <c r="B887" s="9">
        <v>7900</v>
      </c>
    </row>
    <row r="888" spans="1:2" x14ac:dyDescent="0.25">
      <c r="A888" s="2">
        <v>44728</v>
      </c>
      <c r="B888" s="9">
        <v>4100</v>
      </c>
    </row>
    <row r="889" spans="1:2" x14ac:dyDescent="0.25">
      <c r="A889" s="2">
        <v>44729</v>
      </c>
      <c r="B889" s="9">
        <v>14600</v>
      </c>
    </row>
    <row r="890" spans="1:2" x14ac:dyDescent="0.25">
      <c r="A890" s="2">
        <v>44730</v>
      </c>
      <c r="B890" s="9">
        <v>4800</v>
      </c>
    </row>
    <row r="891" spans="1:2" x14ac:dyDescent="0.25">
      <c r="A891" s="2">
        <v>44731</v>
      </c>
      <c r="B891" s="9">
        <v>6600</v>
      </c>
    </row>
    <row r="892" spans="1:2" x14ac:dyDescent="0.25">
      <c r="A892" s="2">
        <v>44732</v>
      </c>
      <c r="B892" s="9">
        <v>6700</v>
      </c>
    </row>
    <row r="893" spans="1:2" x14ac:dyDescent="0.25">
      <c r="A893" s="2">
        <v>44733</v>
      </c>
      <c r="B893" s="9">
        <v>4900</v>
      </c>
    </row>
    <row r="894" spans="1:2" x14ac:dyDescent="0.25">
      <c r="A894" s="2">
        <v>44734</v>
      </c>
      <c r="B894" s="9">
        <v>10300</v>
      </c>
    </row>
    <row r="895" spans="1:2" x14ac:dyDescent="0.25">
      <c r="A895" s="2">
        <v>44735</v>
      </c>
      <c r="B895" s="9">
        <v>5400</v>
      </c>
    </row>
    <row r="896" spans="1:2" x14ac:dyDescent="0.25">
      <c r="A896" s="2">
        <v>44736</v>
      </c>
      <c r="B896" s="9">
        <v>14100</v>
      </c>
    </row>
    <row r="897" spans="1:2" x14ac:dyDescent="0.25">
      <c r="A897" s="2">
        <v>44737</v>
      </c>
      <c r="B897" s="9">
        <v>9600</v>
      </c>
    </row>
    <row r="898" spans="1:2" x14ac:dyDescent="0.25">
      <c r="A898" s="2">
        <v>44738</v>
      </c>
      <c r="B898" s="9">
        <v>7500</v>
      </c>
    </row>
    <row r="899" spans="1:2" x14ac:dyDescent="0.25">
      <c r="A899" s="2">
        <v>44739</v>
      </c>
      <c r="B899" s="9">
        <v>14300</v>
      </c>
    </row>
    <row r="900" spans="1:2" x14ac:dyDescent="0.25">
      <c r="A900" s="2">
        <v>44740</v>
      </c>
      <c r="B900" s="9">
        <v>11400</v>
      </c>
    </row>
    <row r="901" spans="1:2" x14ac:dyDescent="0.25">
      <c r="A901" s="2">
        <v>44741</v>
      </c>
      <c r="B901" s="9">
        <v>6200</v>
      </c>
    </row>
    <row r="902" spans="1:2" x14ac:dyDescent="0.25">
      <c r="A902" s="2">
        <v>44742</v>
      </c>
      <c r="B902" s="9">
        <v>9900</v>
      </c>
    </row>
    <row r="903" spans="1:2" x14ac:dyDescent="0.25">
      <c r="A903" s="2">
        <v>44743</v>
      </c>
      <c r="B903" s="9">
        <v>8900</v>
      </c>
    </row>
    <row r="904" spans="1:2" x14ac:dyDescent="0.25">
      <c r="A904" s="2">
        <v>44744</v>
      </c>
      <c r="B904" s="9">
        <v>12500</v>
      </c>
    </row>
    <row r="905" spans="1:2" x14ac:dyDescent="0.25">
      <c r="A905" s="2">
        <v>44745</v>
      </c>
      <c r="B905" s="9">
        <v>10200</v>
      </c>
    </row>
    <row r="906" spans="1:2" x14ac:dyDescent="0.25">
      <c r="A906" s="2">
        <v>44746</v>
      </c>
      <c r="B906" s="9">
        <v>5300</v>
      </c>
    </row>
    <row r="907" spans="1:2" x14ac:dyDescent="0.25">
      <c r="A907" s="2">
        <v>44747</v>
      </c>
      <c r="B907" s="9">
        <v>12000</v>
      </c>
    </row>
    <row r="908" spans="1:2" x14ac:dyDescent="0.25">
      <c r="A908" s="2">
        <v>44748</v>
      </c>
      <c r="B908" s="9">
        <v>12300</v>
      </c>
    </row>
    <row r="909" spans="1:2" x14ac:dyDescent="0.25">
      <c r="A909" s="2">
        <v>44749</v>
      </c>
      <c r="B909" s="9">
        <v>11400</v>
      </c>
    </row>
    <row r="910" spans="1:2" x14ac:dyDescent="0.25">
      <c r="A910" s="2">
        <v>44750</v>
      </c>
      <c r="B910" s="9">
        <v>13600</v>
      </c>
    </row>
    <row r="911" spans="1:2" x14ac:dyDescent="0.25">
      <c r="A911" s="2">
        <v>44751</v>
      </c>
      <c r="B911" s="9">
        <v>7000</v>
      </c>
    </row>
    <row r="912" spans="1:2" x14ac:dyDescent="0.25">
      <c r="A912" s="2">
        <v>44752</v>
      </c>
      <c r="B912" s="9">
        <v>10300</v>
      </c>
    </row>
    <row r="913" spans="1:2" x14ac:dyDescent="0.25">
      <c r="A913" s="2">
        <v>44753</v>
      </c>
      <c r="B913" s="9">
        <v>5600</v>
      </c>
    </row>
    <row r="914" spans="1:2" x14ac:dyDescent="0.25">
      <c r="A914" s="2">
        <v>44754</v>
      </c>
      <c r="B914" s="9">
        <v>14900</v>
      </c>
    </row>
    <row r="915" spans="1:2" x14ac:dyDescent="0.25">
      <c r="A915" s="2">
        <v>44755</v>
      </c>
      <c r="B915" s="9">
        <v>11100</v>
      </c>
    </row>
    <row r="916" spans="1:2" x14ac:dyDescent="0.25">
      <c r="A916" s="2">
        <v>44756</v>
      </c>
      <c r="B916" s="9">
        <v>10300</v>
      </c>
    </row>
    <row r="917" spans="1:2" x14ac:dyDescent="0.25">
      <c r="A917" s="2">
        <v>44757</v>
      </c>
      <c r="B917" s="9">
        <v>11500</v>
      </c>
    </row>
    <row r="918" spans="1:2" x14ac:dyDescent="0.25">
      <c r="A918" s="2">
        <v>44758</v>
      </c>
      <c r="B918" s="9">
        <v>8700</v>
      </c>
    </row>
    <row r="919" spans="1:2" x14ac:dyDescent="0.25">
      <c r="A919" s="2">
        <v>44759</v>
      </c>
      <c r="B919" s="9">
        <v>4100</v>
      </c>
    </row>
    <row r="920" spans="1:2" x14ac:dyDescent="0.25">
      <c r="A920" s="2">
        <v>44760</v>
      </c>
      <c r="B920" s="9">
        <v>5500</v>
      </c>
    </row>
    <row r="921" spans="1:2" x14ac:dyDescent="0.25">
      <c r="A921" s="2">
        <v>44761</v>
      </c>
      <c r="B921" s="9">
        <v>12000</v>
      </c>
    </row>
    <row r="922" spans="1:2" x14ac:dyDescent="0.25">
      <c r="A922" s="2">
        <v>44762</v>
      </c>
      <c r="B922" s="9">
        <v>8800</v>
      </c>
    </row>
    <row r="923" spans="1:2" x14ac:dyDescent="0.25">
      <c r="A923" s="2">
        <v>44763</v>
      </c>
      <c r="B923" s="9">
        <v>9400</v>
      </c>
    </row>
    <row r="924" spans="1:2" x14ac:dyDescent="0.25">
      <c r="A924" s="2">
        <v>44764</v>
      </c>
      <c r="B924" s="9">
        <v>11800</v>
      </c>
    </row>
    <row r="925" spans="1:2" x14ac:dyDescent="0.25">
      <c r="A925" s="2">
        <v>44765</v>
      </c>
      <c r="B925" s="9">
        <v>4000</v>
      </c>
    </row>
    <row r="926" spans="1:2" x14ac:dyDescent="0.25">
      <c r="A926" s="2">
        <v>44766</v>
      </c>
      <c r="B926" s="9">
        <v>5300</v>
      </c>
    </row>
    <row r="927" spans="1:2" x14ac:dyDescent="0.25">
      <c r="A927" s="2">
        <v>44767</v>
      </c>
      <c r="B927" s="9">
        <v>11000</v>
      </c>
    </row>
    <row r="928" spans="1:2" x14ac:dyDescent="0.25">
      <c r="A928" s="2">
        <v>44768</v>
      </c>
      <c r="B928" s="9">
        <v>8200</v>
      </c>
    </row>
    <row r="929" spans="1:2" x14ac:dyDescent="0.25">
      <c r="A929" s="2">
        <v>44769</v>
      </c>
      <c r="B929" s="9">
        <v>8600</v>
      </c>
    </row>
    <row r="930" spans="1:2" x14ac:dyDescent="0.25">
      <c r="A930" s="2">
        <v>44770</v>
      </c>
      <c r="B930" s="9">
        <v>8100</v>
      </c>
    </row>
    <row r="931" spans="1:2" x14ac:dyDescent="0.25">
      <c r="A931" s="2">
        <v>44771</v>
      </c>
      <c r="B931" s="9">
        <v>11100</v>
      </c>
    </row>
    <row r="932" spans="1:2" x14ac:dyDescent="0.25">
      <c r="A932" s="2">
        <v>44772</v>
      </c>
      <c r="B932" s="9">
        <v>9300</v>
      </c>
    </row>
    <row r="933" spans="1:2" x14ac:dyDescent="0.25">
      <c r="A933" s="2">
        <v>44773</v>
      </c>
      <c r="B933" s="9">
        <v>7300</v>
      </c>
    </row>
    <row r="934" spans="1:2" x14ac:dyDescent="0.25">
      <c r="A934" s="2">
        <v>44774</v>
      </c>
      <c r="B934" s="9">
        <v>13300</v>
      </c>
    </row>
    <row r="935" spans="1:2" x14ac:dyDescent="0.25">
      <c r="A935" s="2">
        <v>44775</v>
      </c>
      <c r="B935" s="9">
        <v>8300</v>
      </c>
    </row>
    <row r="936" spans="1:2" x14ac:dyDescent="0.25">
      <c r="A936" s="2">
        <v>44776</v>
      </c>
      <c r="B936" s="9">
        <v>14800</v>
      </c>
    </row>
    <row r="937" spans="1:2" x14ac:dyDescent="0.25">
      <c r="A937" s="2">
        <v>44777</v>
      </c>
      <c r="B937" s="9">
        <v>12500</v>
      </c>
    </row>
    <row r="938" spans="1:2" x14ac:dyDescent="0.25">
      <c r="A938" s="2">
        <v>44778</v>
      </c>
      <c r="B938" s="9">
        <v>8300</v>
      </c>
    </row>
    <row r="939" spans="1:2" x14ac:dyDescent="0.25">
      <c r="A939" s="2">
        <v>44779</v>
      </c>
      <c r="B939" s="9">
        <v>13800</v>
      </c>
    </row>
    <row r="940" spans="1:2" x14ac:dyDescent="0.25">
      <c r="A940" s="2">
        <v>44780</v>
      </c>
      <c r="B940" s="9">
        <v>6400</v>
      </c>
    </row>
    <row r="941" spans="1:2" x14ac:dyDescent="0.25">
      <c r="A941" s="2">
        <v>44781</v>
      </c>
      <c r="B941" s="9">
        <v>4900</v>
      </c>
    </row>
    <row r="942" spans="1:2" x14ac:dyDescent="0.25">
      <c r="A942" s="2">
        <v>44782</v>
      </c>
      <c r="B942" s="9">
        <v>9600</v>
      </c>
    </row>
    <row r="943" spans="1:2" x14ac:dyDescent="0.25">
      <c r="A943" s="2">
        <v>44783</v>
      </c>
      <c r="B943" s="9">
        <v>4400</v>
      </c>
    </row>
    <row r="944" spans="1:2" x14ac:dyDescent="0.25">
      <c r="A944" s="2">
        <v>44784</v>
      </c>
      <c r="B944" s="9">
        <v>10200</v>
      </c>
    </row>
    <row r="945" spans="1:2" x14ac:dyDescent="0.25">
      <c r="A945" s="2">
        <v>44785</v>
      </c>
      <c r="B945" s="9">
        <v>8600</v>
      </c>
    </row>
    <row r="946" spans="1:2" x14ac:dyDescent="0.25">
      <c r="A946" s="2">
        <v>44786</v>
      </c>
      <c r="B946" s="9">
        <v>10400</v>
      </c>
    </row>
    <row r="947" spans="1:2" x14ac:dyDescent="0.25">
      <c r="A947" s="2">
        <v>44787</v>
      </c>
      <c r="B947" s="9">
        <v>12000</v>
      </c>
    </row>
    <row r="948" spans="1:2" x14ac:dyDescent="0.25">
      <c r="A948" s="2">
        <v>44788</v>
      </c>
      <c r="B948" s="9">
        <v>12400</v>
      </c>
    </row>
    <row r="949" spans="1:2" x14ac:dyDescent="0.25">
      <c r="A949" s="2">
        <v>44789</v>
      </c>
      <c r="B949" s="9">
        <v>14700</v>
      </c>
    </row>
    <row r="950" spans="1:2" x14ac:dyDescent="0.25">
      <c r="A950" s="2">
        <v>44790</v>
      </c>
      <c r="B950" s="9">
        <v>13400</v>
      </c>
    </row>
    <row r="951" spans="1:2" x14ac:dyDescent="0.25">
      <c r="A951" s="2">
        <v>44791</v>
      </c>
      <c r="B951" s="9">
        <v>9000</v>
      </c>
    </row>
    <row r="952" spans="1:2" x14ac:dyDescent="0.25">
      <c r="A952" s="2">
        <v>44792</v>
      </c>
      <c r="B952" s="9">
        <v>5100</v>
      </c>
    </row>
    <row r="953" spans="1:2" x14ac:dyDescent="0.25">
      <c r="A953" s="2">
        <v>44793</v>
      </c>
      <c r="B953" s="9">
        <v>14000</v>
      </c>
    </row>
    <row r="954" spans="1:2" x14ac:dyDescent="0.25">
      <c r="A954" s="2">
        <v>44794</v>
      </c>
      <c r="B954" s="9">
        <v>11900</v>
      </c>
    </row>
    <row r="955" spans="1:2" x14ac:dyDescent="0.25">
      <c r="A955" s="2">
        <v>44795</v>
      </c>
      <c r="B955" s="9">
        <v>9000</v>
      </c>
    </row>
    <row r="956" spans="1:2" x14ac:dyDescent="0.25">
      <c r="A956" s="2">
        <v>44796</v>
      </c>
      <c r="B956" s="9">
        <v>4800</v>
      </c>
    </row>
    <row r="957" spans="1:2" x14ac:dyDescent="0.25">
      <c r="A957" s="2">
        <v>44797</v>
      </c>
      <c r="B957" s="9">
        <v>7400</v>
      </c>
    </row>
    <row r="958" spans="1:2" x14ac:dyDescent="0.25">
      <c r="A958" s="2">
        <v>44798</v>
      </c>
      <c r="B958" s="9">
        <v>4200</v>
      </c>
    </row>
    <row r="959" spans="1:2" x14ac:dyDescent="0.25">
      <c r="A959" s="2">
        <v>44799</v>
      </c>
      <c r="B959" s="9">
        <v>8700</v>
      </c>
    </row>
    <row r="960" spans="1:2" x14ac:dyDescent="0.25">
      <c r="A960" s="2">
        <v>44800</v>
      </c>
      <c r="B960" s="9">
        <v>14700</v>
      </c>
    </row>
    <row r="961" spans="1:2" x14ac:dyDescent="0.25">
      <c r="A961" s="2">
        <v>44801</v>
      </c>
      <c r="B961" s="9">
        <v>9500</v>
      </c>
    </row>
    <row r="962" spans="1:2" x14ac:dyDescent="0.25">
      <c r="A962" s="2">
        <v>44802</v>
      </c>
      <c r="B962" s="9">
        <v>12600</v>
      </c>
    </row>
    <row r="963" spans="1:2" x14ac:dyDescent="0.25">
      <c r="A963" s="2">
        <v>44803</v>
      </c>
      <c r="B963" s="9">
        <v>9500</v>
      </c>
    </row>
    <row r="964" spans="1:2" x14ac:dyDescent="0.25">
      <c r="A964" s="2">
        <v>44804</v>
      </c>
      <c r="B964" s="9">
        <v>4300</v>
      </c>
    </row>
    <row r="965" spans="1:2" x14ac:dyDescent="0.25">
      <c r="A965" s="2">
        <v>44805</v>
      </c>
      <c r="B965" s="9">
        <v>12700</v>
      </c>
    </row>
    <row r="966" spans="1:2" x14ac:dyDescent="0.25">
      <c r="A966" s="2">
        <v>44806</v>
      </c>
      <c r="B966" s="9">
        <v>11600</v>
      </c>
    </row>
    <row r="967" spans="1:2" x14ac:dyDescent="0.25">
      <c r="A967" s="2">
        <v>44807</v>
      </c>
      <c r="B967" s="9">
        <v>12000</v>
      </c>
    </row>
    <row r="968" spans="1:2" x14ac:dyDescent="0.25">
      <c r="A968" s="2">
        <v>44808</v>
      </c>
      <c r="B968" s="9">
        <v>11600</v>
      </c>
    </row>
    <row r="969" spans="1:2" x14ac:dyDescent="0.25">
      <c r="A969" s="2">
        <v>44809</v>
      </c>
      <c r="B969" s="9">
        <v>9500</v>
      </c>
    </row>
    <row r="970" spans="1:2" x14ac:dyDescent="0.25">
      <c r="A970" s="2">
        <v>44810</v>
      </c>
      <c r="B970" s="9">
        <v>12100</v>
      </c>
    </row>
    <row r="971" spans="1:2" x14ac:dyDescent="0.25">
      <c r="A971" s="2">
        <v>44811</v>
      </c>
      <c r="B971" s="9">
        <v>6700</v>
      </c>
    </row>
    <row r="972" spans="1:2" x14ac:dyDescent="0.25">
      <c r="A972" s="2">
        <v>44812</v>
      </c>
      <c r="B972" s="9">
        <v>7100</v>
      </c>
    </row>
    <row r="973" spans="1:2" x14ac:dyDescent="0.25">
      <c r="A973" s="2">
        <v>44813</v>
      </c>
      <c r="B973" s="9">
        <v>12700</v>
      </c>
    </row>
    <row r="974" spans="1:2" x14ac:dyDescent="0.25">
      <c r="A974" s="2">
        <v>44814</v>
      </c>
      <c r="B974" s="9">
        <v>5400</v>
      </c>
    </row>
    <row r="975" spans="1:2" x14ac:dyDescent="0.25">
      <c r="A975" s="2">
        <v>44815</v>
      </c>
      <c r="B975" s="9">
        <v>9200</v>
      </c>
    </row>
    <row r="976" spans="1:2" x14ac:dyDescent="0.25">
      <c r="A976" s="2">
        <v>44816</v>
      </c>
      <c r="B976" s="9">
        <v>5000</v>
      </c>
    </row>
    <row r="977" spans="1:2" x14ac:dyDescent="0.25">
      <c r="A977" s="2">
        <v>44817</v>
      </c>
      <c r="B977" s="9">
        <v>11600</v>
      </c>
    </row>
    <row r="978" spans="1:2" x14ac:dyDescent="0.25">
      <c r="A978" s="2">
        <v>44818</v>
      </c>
      <c r="B978" s="9">
        <v>9000</v>
      </c>
    </row>
    <row r="979" spans="1:2" x14ac:dyDescent="0.25">
      <c r="A979" s="2">
        <v>44819</v>
      </c>
      <c r="B979" s="9">
        <v>11700</v>
      </c>
    </row>
    <row r="980" spans="1:2" x14ac:dyDescent="0.25">
      <c r="A980" s="2">
        <v>44820</v>
      </c>
      <c r="B980" s="9">
        <v>14400</v>
      </c>
    </row>
    <row r="981" spans="1:2" x14ac:dyDescent="0.25">
      <c r="A981" s="2">
        <v>44821</v>
      </c>
      <c r="B981" s="9">
        <v>8800</v>
      </c>
    </row>
    <row r="982" spans="1:2" x14ac:dyDescent="0.25">
      <c r="A982" s="2">
        <v>44822</v>
      </c>
      <c r="B982" s="9">
        <v>8700</v>
      </c>
    </row>
    <row r="983" spans="1:2" x14ac:dyDescent="0.25">
      <c r="A983" s="2">
        <v>44823</v>
      </c>
      <c r="B983" s="9">
        <v>13900</v>
      </c>
    </row>
    <row r="984" spans="1:2" x14ac:dyDescent="0.25">
      <c r="A984" s="2">
        <v>44824</v>
      </c>
      <c r="B984" s="9">
        <v>14000</v>
      </c>
    </row>
    <row r="985" spans="1:2" x14ac:dyDescent="0.25">
      <c r="A985" s="2">
        <v>44825</v>
      </c>
      <c r="B985" s="9">
        <v>6500</v>
      </c>
    </row>
    <row r="986" spans="1:2" x14ac:dyDescent="0.25">
      <c r="A986" s="2">
        <v>44826</v>
      </c>
      <c r="B986" s="9">
        <v>6500</v>
      </c>
    </row>
    <row r="987" spans="1:2" x14ac:dyDescent="0.25">
      <c r="A987" s="2">
        <v>44827</v>
      </c>
      <c r="B987" s="9">
        <v>12700</v>
      </c>
    </row>
    <row r="988" spans="1:2" x14ac:dyDescent="0.25">
      <c r="A988" s="2">
        <v>44828</v>
      </c>
      <c r="B988" s="9">
        <v>13800</v>
      </c>
    </row>
    <row r="989" spans="1:2" x14ac:dyDescent="0.25">
      <c r="A989" s="2">
        <v>44829</v>
      </c>
      <c r="B989" s="9">
        <v>5800</v>
      </c>
    </row>
    <row r="990" spans="1:2" x14ac:dyDescent="0.25">
      <c r="A990" s="2">
        <v>44830</v>
      </c>
      <c r="B990" s="9">
        <v>13300</v>
      </c>
    </row>
    <row r="991" spans="1:2" x14ac:dyDescent="0.25">
      <c r="A991" s="2">
        <v>44831</v>
      </c>
      <c r="B991" s="9">
        <v>10800</v>
      </c>
    </row>
    <row r="992" spans="1:2" x14ac:dyDescent="0.25">
      <c r="A992" s="2">
        <v>44832</v>
      </c>
      <c r="B992" s="9">
        <v>6700</v>
      </c>
    </row>
    <row r="993" spans="1:2" x14ac:dyDescent="0.25">
      <c r="A993" s="2">
        <v>44833</v>
      </c>
      <c r="B993" s="9">
        <v>8600</v>
      </c>
    </row>
    <row r="994" spans="1:2" x14ac:dyDescent="0.25">
      <c r="A994" s="2">
        <v>44834</v>
      </c>
      <c r="B994" s="9">
        <v>12500</v>
      </c>
    </row>
    <row r="995" spans="1:2" x14ac:dyDescent="0.25">
      <c r="A995" s="2">
        <v>44835</v>
      </c>
      <c r="B995" s="9">
        <v>14400</v>
      </c>
    </row>
    <row r="996" spans="1:2" x14ac:dyDescent="0.25">
      <c r="A996" s="2">
        <v>44836</v>
      </c>
      <c r="B996" s="9">
        <v>8900</v>
      </c>
    </row>
    <row r="997" spans="1:2" x14ac:dyDescent="0.25">
      <c r="A997" s="2">
        <v>44837</v>
      </c>
      <c r="B997" s="9">
        <v>5100</v>
      </c>
    </row>
    <row r="998" spans="1:2" x14ac:dyDescent="0.25">
      <c r="A998" s="2">
        <v>44838</v>
      </c>
      <c r="B998" s="9">
        <v>6500</v>
      </c>
    </row>
    <row r="999" spans="1:2" x14ac:dyDescent="0.25">
      <c r="A999" s="2">
        <v>44839</v>
      </c>
      <c r="B999" s="9">
        <v>12500</v>
      </c>
    </row>
    <row r="1000" spans="1:2" x14ac:dyDescent="0.25">
      <c r="A1000" s="2">
        <v>44840</v>
      </c>
      <c r="B1000" s="9">
        <v>13100</v>
      </c>
    </row>
    <row r="1001" spans="1:2" x14ac:dyDescent="0.25">
      <c r="A1001" s="2">
        <v>44841</v>
      </c>
      <c r="B1001" s="9">
        <v>12200</v>
      </c>
    </row>
    <row r="1002" spans="1:2" x14ac:dyDescent="0.25">
      <c r="A1002" s="2">
        <v>44842</v>
      </c>
      <c r="B1002" s="9">
        <v>4800</v>
      </c>
    </row>
    <row r="1003" spans="1:2" x14ac:dyDescent="0.25">
      <c r="A1003" s="2">
        <v>44843</v>
      </c>
      <c r="B1003" s="9">
        <v>7000</v>
      </c>
    </row>
    <row r="1004" spans="1:2" x14ac:dyDescent="0.25">
      <c r="A1004" s="2">
        <v>44844</v>
      </c>
      <c r="B1004" s="9">
        <v>9700</v>
      </c>
    </row>
    <row r="1005" spans="1:2" x14ac:dyDescent="0.25">
      <c r="A1005" s="2">
        <v>44845</v>
      </c>
      <c r="B1005" s="9">
        <v>14300</v>
      </c>
    </row>
    <row r="1006" spans="1:2" x14ac:dyDescent="0.25">
      <c r="A1006" s="2">
        <v>44846</v>
      </c>
      <c r="B1006" s="9">
        <v>13000</v>
      </c>
    </row>
    <row r="1007" spans="1:2" x14ac:dyDescent="0.25">
      <c r="A1007" s="2">
        <v>44847</v>
      </c>
      <c r="B1007" s="9">
        <v>8600</v>
      </c>
    </row>
    <row r="1008" spans="1:2" x14ac:dyDescent="0.25">
      <c r="A1008" s="2">
        <v>44848</v>
      </c>
      <c r="B1008" s="9">
        <v>8400</v>
      </c>
    </row>
    <row r="1009" spans="1:2" x14ac:dyDescent="0.25">
      <c r="A1009" s="2">
        <v>44849</v>
      </c>
      <c r="B1009" s="9">
        <v>6800</v>
      </c>
    </row>
    <row r="1010" spans="1:2" x14ac:dyDescent="0.25">
      <c r="A1010" s="2">
        <v>44850</v>
      </c>
      <c r="B1010" s="9">
        <v>6100</v>
      </c>
    </row>
    <row r="1011" spans="1:2" x14ac:dyDescent="0.25">
      <c r="A1011" s="2">
        <v>44851</v>
      </c>
      <c r="B1011" s="9">
        <v>8100</v>
      </c>
    </row>
    <row r="1012" spans="1:2" x14ac:dyDescent="0.25">
      <c r="A1012" s="2">
        <v>44852</v>
      </c>
      <c r="B1012" s="9">
        <v>14800</v>
      </c>
    </row>
    <row r="1013" spans="1:2" x14ac:dyDescent="0.25">
      <c r="A1013" s="2">
        <v>44853</v>
      </c>
      <c r="B1013" s="9">
        <v>7000</v>
      </c>
    </row>
    <row r="1014" spans="1:2" x14ac:dyDescent="0.25">
      <c r="A1014" s="2">
        <v>44854</v>
      </c>
      <c r="B1014" s="9">
        <v>6500</v>
      </c>
    </row>
    <row r="1015" spans="1:2" x14ac:dyDescent="0.25">
      <c r="A1015" s="2">
        <v>44855</v>
      </c>
      <c r="B1015" s="9">
        <v>6600</v>
      </c>
    </row>
    <row r="1016" spans="1:2" x14ac:dyDescent="0.25">
      <c r="A1016" s="2">
        <v>44856</v>
      </c>
      <c r="B1016" s="9">
        <v>4900</v>
      </c>
    </row>
    <row r="1017" spans="1:2" x14ac:dyDescent="0.25">
      <c r="A1017" s="2">
        <v>44857</v>
      </c>
      <c r="B1017" s="9">
        <v>11100</v>
      </c>
    </row>
    <row r="1018" spans="1:2" x14ac:dyDescent="0.25">
      <c r="A1018" s="2">
        <v>44858</v>
      </c>
      <c r="B1018" s="9">
        <v>13700</v>
      </c>
    </row>
    <row r="1019" spans="1:2" x14ac:dyDescent="0.25">
      <c r="A1019" s="2">
        <v>44859</v>
      </c>
      <c r="B1019" s="9">
        <v>11900</v>
      </c>
    </row>
    <row r="1020" spans="1:2" x14ac:dyDescent="0.25">
      <c r="A1020" s="2">
        <v>44860</v>
      </c>
      <c r="B1020" s="9">
        <v>6100</v>
      </c>
    </row>
    <row r="1021" spans="1:2" x14ac:dyDescent="0.25">
      <c r="A1021" s="2">
        <v>44861</v>
      </c>
      <c r="B1021" s="9">
        <v>8900</v>
      </c>
    </row>
    <row r="1022" spans="1:2" x14ac:dyDescent="0.25">
      <c r="A1022" s="2">
        <v>44862</v>
      </c>
      <c r="B1022" s="9">
        <v>9400</v>
      </c>
    </row>
    <row r="1023" spans="1:2" x14ac:dyDescent="0.25">
      <c r="A1023" s="2">
        <v>44863</v>
      </c>
      <c r="B1023" s="9">
        <v>8500</v>
      </c>
    </row>
    <row r="1024" spans="1:2" x14ac:dyDescent="0.25">
      <c r="A1024" s="2">
        <v>44864</v>
      </c>
      <c r="B1024" s="9">
        <v>11300</v>
      </c>
    </row>
    <row r="1025" spans="1:2" x14ac:dyDescent="0.25">
      <c r="A1025" s="2">
        <v>44865</v>
      </c>
      <c r="B1025" s="9">
        <v>5900</v>
      </c>
    </row>
    <row r="1026" spans="1:2" x14ac:dyDescent="0.25">
      <c r="A1026" s="2">
        <v>44866</v>
      </c>
      <c r="B1026" s="9">
        <v>10200</v>
      </c>
    </row>
    <row r="1027" spans="1:2" x14ac:dyDescent="0.25">
      <c r="A1027" s="2">
        <v>44867</v>
      </c>
      <c r="B1027" s="9">
        <v>6600</v>
      </c>
    </row>
    <row r="1028" spans="1:2" x14ac:dyDescent="0.25">
      <c r="A1028" s="2">
        <v>44868</v>
      </c>
      <c r="B1028" s="9">
        <v>7500</v>
      </c>
    </row>
    <row r="1029" spans="1:2" x14ac:dyDescent="0.25">
      <c r="A1029" s="2">
        <v>44869</v>
      </c>
      <c r="B1029" s="9">
        <v>13500</v>
      </c>
    </row>
    <row r="1030" spans="1:2" x14ac:dyDescent="0.25">
      <c r="A1030" s="2">
        <v>44870</v>
      </c>
      <c r="B1030" s="9">
        <v>5700</v>
      </c>
    </row>
    <row r="1031" spans="1:2" x14ac:dyDescent="0.25">
      <c r="A1031" s="2">
        <v>44871</v>
      </c>
      <c r="B1031" s="9">
        <v>12000</v>
      </c>
    </row>
    <row r="1032" spans="1:2" x14ac:dyDescent="0.25">
      <c r="A1032" s="2">
        <v>44872</v>
      </c>
      <c r="B1032" s="9">
        <v>5400</v>
      </c>
    </row>
    <row r="1033" spans="1:2" x14ac:dyDescent="0.25">
      <c r="A1033" s="2">
        <v>44873</v>
      </c>
      <c r="B1033" s="9">
        <v>11300</v>
      </c>
    </row>
    <row r="1034" spans="1:2" x14ac:dyDescent="0.25">
      <c r="A1034" s="2">
        <v>44874</v>
      </c>
      <c r="B1034" s="9">
        <v>4100</v>
      </c>
    </row>
    <row r="1035" spans="1:2" x14ac:dyDescent="0.25">
      <c r="A1035" s="2">
        <v>44875</v>
      </c>
      <c r="B1035" s="9">
        <v>11500</v>
      </c>
    </row>
    <row r="1036" spans="1:2" x14ac:dyDescent="0.25">
      <c r="A1036" s="2">
        <v>44876</v>
      </c>
      <c r="B1036" s="9">
        <v>4200</v>
      </c>
    </row>
    <row r="1037" spans="1:2" x14ac:dyDescent="0.25">
      <c r="A1037" s="2">
        <v>44877</v>
      </c>
      <c r="B1037" s="9">
        <v>5700</v>
      </c>
    </row>
    <row r="1038" spans="1:2" x14ac:dyDescent="0.25">
      <c r="A1038" s="2">
        <v>44878</v>
      </c>
      <c r="B1038" s="9">
        <v>6800</v>
      </c>
    </row>
    <row r="1039" spans="1:2" x14ac:dyDescent="0.25">
      <c r="A1039" s="2">
        <v>44879</v>
      </c>
      <c r="B1039" s="9">
        <v>4900</v>
      </c>
    </row>
    <row r="1040" spans="1:2" x14ac:dyDescent="0.25">
      <c r="A1040" s="2">
        <v>44880</v>
      </c>
      <c r="B1040" s="9">
        <v>12800</v>
      </c>
    </row>
    <row r="1041" spans="1:2" x14ac:dyDescent="0.25">
      <c r="A1041" s="2">
        <v>44881</v>
      </c>
      <c r="B1041" s="9">
        <v>11000</v>
      </c>
    </row>
    <row r="1042" spans="1:2" x14ac:dyDescent="0.25">
      <c r="A1042" s="2">
        <v>44882</v>
      </c>
      <c r="B1042" s="9">
        <v>10500</v>
      </c>
    </row>
    <row r="1043" spans="1:2" x14ac:dyDescent="0.25">
      <c r="A1043" s="2">
        <v>44883</v>
      </c>
      <c r="B1043" s="9">
        <v>12000</v>
      </c>
    </row>
    <row r="1044" spans="1:2" x14ac:dyDescent="0.25">
      <c r="A1044" s="2">
        <v>44884</v>
      </c>
      <c r="B1044" s="9">
        <v>12900</v>
      </c>
    </row>
    <row r="1045" spans="1:2" x14ac:dyDescent="0.25">
      <c r="A1045" s="2">
        <v>44885</v>
      </c>
      <c r="B1045" s="9">
        <v>8700</v>
      </c>
    </row>
    <row r="1046" spans="1:2" x14ac:dyDescent="0.25">
      <c r="A1046" s="2">
        <v>44886</v>
      </c>
      <c r="B1046" s="9">
        <v>4200</v>
      </c>
    </row>
    <row r="1047" spans="1:2" x14ac:dyDescent="0.25">
      <c r="A1047" s="2">
        <v>44887</v>
      </c>
      <c r="B1047" s="9">
        <v>7800</v>
      </c>
    </row>
    <row r="1048" spans="1:2" x14ac:dyDescent="0.25">
      <c r="A1048" s="2">
        <v>44888</v>
      </c>
      <c r="B1048" s="9">
        <v>13500</v>
      </c>
    </row>
    <row r="1049" spans="1:2" x14ac:dyDescent="0.25">
      <c r="A1049" s="2">
        <v>44889</v>
      </c>
      <c r="B1049" s="9">
        <v>10800</v>
      </c>
    </row>
    <row r="1050" spans="1:2" x14ac:dyDescent="0.25">
      <c r="A1050" s="2">
        <v>44890</v>
      </c>
      <c r="B1050" s="9">
        <v>10500</v>
      </c>
    </row>
    <row r="1051" spans="1:2" x14ac:dyDescent="0.25">
      <c r="A1051" s="2">
        <v>44891</v>
      </c>
      <c r="B1051" s="9">
        <v>13100</v>
      </c>
    </row>
    <row r="1052" spans="1:2" x14ac:dyDescent="0.25">
      <c r="A1052" s="2">
        <v>44892</v>
      </c>
      <c r="B1052" s="9">
        <v>11000</v>
      </c>
    </row>
    <row r="1053" spans="1:2" x14ac:dyDescent="0.25">
      <c r="A1053" s="2">
        <v>44893</v>
      </c>
      <c r="B1053" s="9">
        <v>11000</v>
      </c>
    </row>
    <row r="1054" spans="1:2" x14ac:dyDescent="0.25">
      <c r="A1054" s="2">
        <v>44894</v>
      </c>
      <c r="B1054" s="9">
        <v>12100</v>
      </c>
    </row>
    <row r="1055" spans="1:2" x14ac:dyDescent="0.25">
      <c r="A1055" s="2">
        <v>44895</v>
      </c>
      <c r="B1055" s="9">
        <v>8400</v>
      </c>
    </row>
    <row r="1056" spans="1:2" x14ac:dyDescent="0.25">
      <c r="A1056" s="2">
        <v>44896</v>
      </c>
      <c r="B1056" s="9">
        <v>8300</v>
      </c>
    </row>
    <row r="1057" spans="1:2" x14ac:dyDescent="0.25">
      <c r="A1057" s="2">
        <v>44897</v>
      </c>
      <c r="B1057" s="9">
        <v>14300</v>
      </c>
    </row>
    <row r="1058" spans="1:2" x14ac:dyDescent="0.25">
      <c r="A1058" s="2">
        <v>44898</v>
      </c>
      <c r="B1058" s="9">
        <v>9300</v>
      </c>
    </row>
    <row r="1059" spans="1:2" x14ac:dyDescent="0.25">
      <c r="A1059" s="2">
        <v>44899</v>
      </c>
      <c r="B1059" s="9">
        <v>11100</v>
      </c>
    </row>
    <row r="1060" spans="1:2" x14ac:dyDescent="0.25">
      <c r="A1060" s="2">
        <v>44900</v>
      </c>
      <c r="B1060" s="9">
        <v>4600</v>
      </c>
    </row>
    <row r="1061" spans="1:2" x14ac:dyDescent="0.25">
      <c r="A1061" s="2">
        <v>44901</v>
      </c>
      <c r="B1061" s="9">
        <v>10300</v>
      </c>
    </row>
    <row r="1062" spans="1:2" x14ac:dyDescent="0.25">
      <c r="A1062" s="2">
        <v>44902</v>
      </c>
      <c r="B1062" s="9">
        <v>14800</v>
      </c>
    </row>
    <row r="1063" spans="1:2" x14ac:dyDescent="0.25">
      <c r="A1063" s="2">
        <v>44903</v>
      </c>
      <c r="B1063" s="9">
        <v>11400</v>
      </c>
    </row>
    <row r="1064" spans="1:2" x14ac:dyDescent="0.25">
      <c r="A1064" s="2">
        <v>44904</v>
      </c>
      <c r="B1064" s="9">
        <v>6800</v>
      </c>
    </row>
    <row r="1065" spans="1:2" x14ac:dyDescent="0.25">
      <c r="A1065" s="2">
        <v>44905</v>
      </c>
      <c r="B1065" s="9">
        <v>8400</v>
      </c>
    </row>
    <row r="1066" spans="1:2" x14ac:dyDescent="0.25">
      <c r="A1066" s="2">
        <v>44906</v>
      </c>
      <c r="B1066" s="9">
        <v>12600</v>
      </c>
    </row>
    <row r="1067" spans="1:2" x14ac:dyDescent="0.25">
      <c r="A1067" s="2">
        <v>44907</v>
      </c>
      <c r="B1067" s="9">
        <v>4900</v>
      </c>
    </row>
    <row r="1068" spans="1:2" x14ac:dyDescent="0.25">
      <c r="A1068" s="2">
        <v>44908</v>
      </c>
      <c r="B1068" s="9">
        <v>5200</v>
      </c>
    </row>
    <row r="1069" spans="1:2" x14ac:dyDescent="0.25">
      <c r="A1069" s="2">
        <v>44909</v>
      </c>
      <c r="B1069" s="9">
        <v>12300</v>
      </c>
    </row>
    <row r="1070" spans="1:2" x14ac:dyDescent="0.25">
      <c r="A1070" s="2">
        <v>44910</v>
      </c>
      <c r="B1070" s="9">
        <v>8100</v>
      </c>
    </row>
    <row r="1071" spans="1:2" x14ac:dyDescent="0.25">
      <c r="A1071" s="2">
        <v>44911</v>
      </c>
      <c r="B1071" s="9">
        <v>10900</v>
      </c>
    </row>
    <row r="1072" spans="1:2" x14ac:dyDescent="0.25">
      <c r="A1072" s="2">
        <v>44912</v>
      </c>
      <c r="B1072" s="9">
        <v>11500</v>
      </c>
    </row>
    <row r="1073" spans="1:2" x14ac:dyDescent="0.25">
      <c r="A1073" s="2">
        <v>44913</v>
      </c>
      <c r="B1073" s="9">
        <v>13800</v>
      </c>
    </row>
    <row r="1074" spans="1:2" x14ac:dyDescent="0.25">
      <c r="A1074" s="2">
        <v>44914</v>
      </c>
      <c r="B1074" s="9">
        <v>5800</v>
      </c>
    </row>
    <row r="1075" spans="1:2" x14ac:dyDescent="0.25">
      <c r="A1075" s="2">
        <v>44915</v>
      </c>
      <c r="B1075" s="9">
        <v>13700</v>
      </c>
    </row>
    <row r="1076" spans="1:2" x14ac:dyDescent="0.25">
      <c r="A1076" s="2">
        <v>44916</v>
      </c>
      <c r="B1076" s="9">
        <v>5500</v>
      </c>
    </row>
    <row r="1077" spans="1:2" x14ac:dyDescent="0.25">
      <c r="A1077" s="2">
        <v>44917</v>
      </c>
      <c r="B1077" s="9">
        <v>4100</v>
      </c>
    </row>
    <row r="1078" spans="1:2" x14ac:dyDescent="0.25">
      <c r="A1078" s="2">
        <v>44918</v>
      </c>
      <c r="B1078" s="9">
        <v>8400</v>
      </c>
    </row>
    <row r="1079" spans="1:2" x14ac:dyDescent="0.25">
      <c r="A1079" s="2">
        <v>44919</v>
      </c>
      <c r="B1079" s="9">
        <v>11600</v>
      </c>
    </row>
    <row r="1080" spans="1:2" x14ac:dyDescent="0.25">
      <c r="A1080" s="2">
        <v>44920</v>
      </c>
      <c r="B1080" s="9">
        <v>14900</v>
      </c>
    </row>
    <row r="1081" spans="1:2" x14ac:dyDescent="0.25">
      <c r="A1081" s="2">
        <v>44921</v>
      </c>
      <c r="B1081" s="9">
        <v>7000</v>
      </c>
    </row>
    <row r="1082" spans="1:2" x14ac:dyDescent="0.25">
      <c r="A1082" s="2">
        <v>44922</v>
      </c>
      <c r="B1082" s="9">
        <v>11700</v>
      </c>
    </row>
    <row r="1083" spans="1:2" x14ac:dyDescent="0.25">
      <c r="A1083" s="2">
        <v>44923</v>
      </c>
      <c r="B1083" s="9">
        <v>12500</v>
      </c>
    </row>
    <row r="1084" spans="1:2" x14ac:dyDescent="0.25">
      <c r="A1084" s="2">
        <v>44924</v>
      </c>
      <c r="B1084" s="9">
        <v>8300</v>
      </c>
    </row>
    <row r="1085" spans="1:2" x14ac:dyDescent="0.25">
      <c r="A1085" s="2">
        <v>44925</v>
      </c>
      <c r="B1085" s="9">
        <v>11000</v>
      </c>
    </row>
    <row r="1086" spans="1:2" x14ac:dyDescent="0.25">
      <c r="A1086" s="2">
        <v>44926</v>
      </c>
      <c r="B1086" s="9">
        <v>5600</v>
      </c>
    </row>
    <row r="1087" spans="1:2" x14ac:dyDescent="0.25">
      <c r="A1087" s="2">
        <v>44927</v>
      </c>
      <c r="B1087" s="9">
        <v>8400</v>
      </c>
    </row>
    <row r="1088" spans="1:2" x14ac:dyDescent="0.25">
      <c r="A1088" s="2">
        <v>44928</v>
      </c>
      <c r="B1088" s="9">
        <v>4600</v>
      </c>
    </row>
    <row r="1089" spans="1:2" x14ac:dyDescent="0.25">
      <c r="A1089" s="2">
        <v>44929</v>
      </c>
      <c r="B1089" s="9">
        <v>12400</v>
      </c>
    </row>
    <row r="1090" spans="1:2" x14ac:dyDescent="0.25">
      <c r="A1090" s="2">
        <v>44930</v>
      </c>
      <c r="B1090" s="9">
        <v>7400</v>
      </c>
    </row>
    <row r="1091" spans="1:2" x14ac:dyDescent="0.25">
      <c r="A1091" s="2">
        <v>44931</v>
      </c>
      <c r="B1091" s="9">
        <v>7500</v>
      </c>
    </row>
    <row r="1092" spans="1:2" x14ac:dyDescent="0.25">
      <c r="A1092" s="2">
        <v>44932</v>
      </c>
      <c r="B1092" s="9">
        <v>9300</v>
      </c>
    </row>
    <row r="1093" spans="1:2" x14ac:dyDescent="0.25">
      <c r="A1093" s="2">
        <v>44933</v>
      </c>
      <c r="B1093" s="9">
        <v>11100</v>
      </c>
    </row>
    <row r="1094" spans="1:2" x14ac:dyDescent="0.25">
      <c r="A1094" s="2">
        <v>44934</v>
      </c>
      <c r="B1094" s="9">
        <v>6300</v>
      </c>
    </row>
    <row r="1095" spans="1:2" x14ac:dyDescent="0.25">
      <c r="A1095" s="2">
        <v>44935</v>
      </c>
      <c r="B1095" s="9">
        <v>12600</v>
      </c>
    </row>
    <row r="1096" spans="1:2" x14ac:dyDescent="0.25">
      <c r="A1096" s="2">
        <v>44936</v>
      </c>
      <c r="B1096" s="9">
        <v>5100</v>
      </c>
    </row>
    <row r="1097" spans="1:2" x14ac:dyDescent="0.25">
      <c r="A1097" s="2">
        <v>44937</v>
      </c>
      <c r="B1097" s="9">
        <v>9600</v>
      </c>
    </row>
    <row r="1098" spans="1:2" x14ac:dyDescent="0.25">
      <c r="A1098" s="2">
        <v>44938</v>
      </c>
      <c r="B1098" s="9">
        <v>7200</v>
      </c>
    </row>
    <row r="1099" spans="1:2" x14ac:dyDescent="0.25">
      <c r="A1099" s="2">
        <v>44939</v>
      </c>
      <c r="B1099" s="9">
        <v>13300</v>
      </c>
    </row>
    <row r="1100" spans="1:2" x14ac:dyDescent="0.25">
      <c r="A1100" s="2">
        <v>44940</v>
      </c>
      <c r="B1100" s="9">
        <v>10300</v>
      </c>
    </row>
    <row r="1101" spans="1:2" x14ac:dyDescent="0.25">
      <c r="A1101" s="2">
        <v>44941</v>
      </c>
      <c r="B1101" s="9">
        <v>10800</v>
      </c>
    </row>
    <row r="1102" spans="1:2" x14ac:dyDescent="0.25">
      <c r="A1102" s="2">
        <v>44942</v>
      </c>
      <c r="B1102" s="9">
        <v>10600</v>
      </c>
    </row>
    <row r="1103" spans="1:2" x14ac:dyDescent="0.25">
      <c r="A1103" s="2">
        <v>44943</v>
      </c>
      <c r="B1103" s="9">
        <v>10000</v>
      </c>
    </row>
    <row r="1104" spans="1:2" x14ac:dyDescent="0.25">
      <c r="A1104" s="2">
        <v>44944</v>
      </c>
      <c r="B1104" s="9">
        <v>6700</v>
      </c>
    </row>
    <row r="1105" spans="1:2" x14ac:dyDescent="0.25">
      <c r="A1105" s="2">
        <v>44945</v>
      </c>
      <c r="B1105" s="9">
        <v>11700</v>
      </c>
    </row>
    <row r="1106" spans="1:2" x14ac:dyDescent="0.25">
      <c r="A1106" s="2">
        <v>44946</v>
      </c>
      <c r="B1106" s="9">
        <v>11100</v>
      </c>
    </row>
    <row r="1107" spans="1:2" x14ac:dyDescent="0.25">
      <c r="A1107" s="2">
        <v>44947</v>
      </c>
      <c r="B1107" s="9">
        <v>14100</v>
      </c>
    </row>
    <row r="1108" spans="1:2" x14ac:dyDescent="0.25">
      <c r="A1108" s="2">
        <v>44948</v>
      </c>
      <c r="B1108" s="9">
        <v>5700</v>
      </c>
    </row>
    <row r="1109" spans="1:2" x14ac:dyDescent="0.25">
      <c r="A1109" s="2">
        <v>44949</v>
      </c>
      <c r="B1109" s="9">
        <v>13800</v>
      </c>
    </row>
    <row r="1110" spans="1:2" x14ac:dyDescent="0.25">
      <c r="A1110" s="2">
        <v>44950</v>
      </c>
      <c r="B1110" s="9">
        <v>14500</v>
      </c>
    </row>
    <row r="1111" spans="1:2" x14ac:dyDescent="0.25">
      <c r="A1111" s="2">
        <v>44951</v>
      </c>
      <c r="B1111" s="9">
        <v>14900</v>
      </c>
    </row>
    <row r="1112" spans="1:2" x14ac:dyDescent="0.25">
      <c r="A1112" s="2">
        <v>44952</v>
      </c>
      <c r="B1112" s="9">
        <v>7500</v>
      </c>
    </row>
    <row r="1113" spans="1:2" x14ac:dyDescent="0.25">
      <c r="A1113" s="2">
        <v>44953</v>
      </c>
      <c r="B1113" s="9">
        <v>13200</v>
      </c>
    </row>
    <row r="1114" spans="1:2" x14ac:dyDescent="0.25">
      <c r="A1114" s="2">
        <v>44954</v>
      </c>
      <c r="B1114" s="9">
        <v>14900</v>
      </c>
    </row>
    <row r="1115" spans="1:2" x14ac:dyDescent="0.25">
      <c r="A1115" s="2">
        <v>44955</v>
      </c>
      <c r="B1115" s="9">
        <v>12600</v>
      </c>
    </row>
    <row r="1116" spans="1:2" x14ac:dyDescent="0.25">
      <c r="A1116" s="2">
        <v>44956</v>
      </c>
      <c r="B1116" s="9">
        <v>9800</v>
      </c>
    </row>
    <row r="1117" spans="1:2" x14ac:dyDescent="0.25">
      <c r="A1117" s="2">
        <v>44957</v>
      </c>
      <c r="B1117" s="9">
        <v>6400</v>
      </c>
    </row>
    <row r="1118" spans="1:2" x14ac:dyDescent="0.25">
      <c r="A1118" s="2">
        <v>44958</v>
      </c>
      <c r="B1118" s="9">
        <v>7800</v>
      </c>
    </row>
    <row r="1119" spans="1:2" x14ac:dyDescent="0.25">
      <c r="A1119" s="2">
        <v>44959</v>
      </c>
      <c r="B1119" s="9">
        <v>12900</v>
      </c>
    </row>
    <row r="1120" spans="1:2" x14ac:dyDescent="0.25">
      <c r="A1120" s="2">
        <v>44960</v>
      </c>
      <c r="B1120" s="9">
        <v>13400</v>
      </c>
    </row>
    <row r="1121" spans="1:2" x14ac:dyDescent="0.25">
      <c r="A1121" s="2">
        <v>44961</v>
      </c>
      <c r="B1121" s="9">
        <v>10200</v>
      </c>
    </row>
    <row r="1122" spans="1:2" x14ac:dyDescent="0.25">
      <c r="A1122" s="2">
        <v>44962</v>
      </c>
      <c r="B1122" s="9">
        <v>14400</v>
      </c>
    </row>
    <row r="1123" spans="1:2" x14ac:dyDescent="0.25">
      <c r="A1123" s="2">
        <v>44963</v>
      </c>
      <c r="B1123" s="9">
        <v>12300</v>
      </c>
    </row>
    <row r="1124" spans="1:2" x14ac:dyDescent="0.25">
      <c r="A1124" s="2">
        <v>44964</v>
      </c>
      <c r="B1124" s="9">
        <v>13500</v>
      </c>
    </row>
    <row r="1125" spans="1:2" x14ac:dyDescent="0.25">
      <c r="A1125" s="2">
        <v>44965</v>
      </c>
      <c r="B1125" s="9">
        <v>7400</v>
      </c>
    </row>
    <row r="1126" spans="1:2" x14ac:dyDescent="0.25">
      <c r="A1126" s="2">
        <v>44966</v>
      </c>
      <c r="B1126" s="9">
        <v>11300</v>
      </c>
    </row>
    <row r="1127" spans="1:2" x14ac:dyDescent="0.25">
      <c r="A1127" s="2">
        <v>44967</v>
      </c>
      <c r="B1127" s="9">
        <v>7900</v>
      </c>
    </row>
    <row r="1128" spans="1:2" x14ac:dyDescent="0.25">
      <c r="A1128" s="2">
        <v>44968</v>
      </c>
      <c r="B1128" s="9">
        <v>14900</v>
      </c>
    </row>
    <row r="1129" spans="1:2" x14ac:dyDescent="0.25">
      <c r="A1129" s="2">
        <v>44969</v>
      </c>
      <c r="B1129" s="9">
        <v>10900</v>
      </c>
    </row>
    <row r="1130" spans="1:2" x14ac:dyDescent="0.25">
      <c r="A1130" s="2">
        <v>44970</v>
      </c>
      <c r="B1130" s="9">
        <v>13400</v>
      </c>
    </row>
    <row r="1131" spans="1:2" x14ac:dyDescent="0.25">
      <c r="A1131" s="2">
        <v>44971</v>
      </c>
      <c r="B1131" s="9">
        <v>10800</v>
      </c>
    </row>
    <row r="1132" spans="1:2" x14ac:dyDescent="0.25">
      <c r="A1132" s="2">
        <v>44972</v>
      </c>
      <c r="B1132" s="9">
        <v>11800</v>
      </c>
    </row>
    <row r="1133" spans="1:2" x14ac:dyDescent="0.25">
      <c r="A1133" s="2">
        <v>44973</v>
      </c>
      <c r="B1133" s="9">
        <v>5200</v>
      </c>
    </row>
    <row r="1134" spans="1:2" x14ac:dyDescent="0.25">
      <c r="A1134" s="2">
        <v>44974</v>
      </c>
      <c r="B1134" s="9">
        <v>5600</v>
      </c>
    </row>
    <row r="1135" spans="1:2" x14ac:dyDescent="0.25">
      <c r="A1135" s="2">
        <v>44975</v>
      </c>
      <c r="B1135" s="9">
        <v>11100</v>
      </c>
    </row>
    <row r="1136" spans="1:2" x14ac:dyDescent="0.25">
      <c r="A1136" s="2">
        <v>44976</v>
      </c>
      <c r="B1136" s="9">
        <v>7100</v>
      </c>
    </row>
    <row r="1137" spans="1:2" x14ac:dyDescent="0.25">
      <c r="A1137" s="2">
        <v>44977</v>
      </c>
      <c r="B1137" s="9">
        <v>7900</v>
      </c>
    </row>
    <row r="1138" spans="1:2" x14ac:dyDescent="0.25">
      <c r="A1138" s="2">
        <v>44978</v>
      </c>
      <c r="B1138" s="9">
        <v>4100</v>
      </c>
    </row>
    <row r="1139" spans="1:2" x14ac:dyDescent="0.25">
      <c r="A1139" s="2">
        <v>44979</v>
      </c>
      <c r="B1139" s="9">
        <v>7500</v>
      </c>
    </row>
    <row r="1140" spans="1:2" x14ac:dyDescent="0.25">
      <c r="A1140" s="2">
        <v>44980</v>
      </c>
      <c r="B1140" s="9">
        <v>11800</v>
      </c>
    </row>
    <row r="1141" spans="1:2" x14ac:dyDescent="0.25">
      <c r="A1141" s="2">
        <v>44981</v>
      </c>
      <c r="B1141" s="9">
        <v>5400</v>
      </c>
    </row>
    <row r="1142" spans="1:2" x14ac:dyDescent="0.25">
      <c r="A1142" s="2">
        <v>44982</v>
      </c>
      <c r="B1142" s="9">
        <v>8400</v>
      </c>
    </row>
    <row r="1143" spans="1:2" x14ac:dyDescent="0.25">
      <c r="A1143" s="2">
        <v>44983</v>
      </c>
      <c r="B1143" s="9">
        <v>11400</v>
      </c>
    </row>
    <row r="1144" spans="1:2" x14ac:dyDescent="0.25">
      <c r="A1144" s="2">
        <v>44984</v>
      </c>
      <c r="B1144" s="9">
        <v>14000</v>
      </c>
    </row>
    <row r="1145" spans="1:2" x14ac:dyDescent="0.25">
      <c r="A1145" s="2">
        <v>44985</v>
      </c>
      <c r="B1145" s="9">
        <v>14000</v>
      </c>
    </row>
    <row r="1146" spans="1:2" x14ac:dyDescent="0.25">
      <c r="A1146" s="2">
        <v>44986</v>
      </c>
      <c r="B1146" s="9">
        <v>10900</v>
      </c>
    </row>
    <row r="1147" spans="1:2" x14ac:dyDescent="0.25">
      <c r="A1147" s="2">
        <v>44987</v>
      </c>
      <c r="B1147" s="9">
        <v>4200</v>
      </c>
    </row>
    <row r="1148" spans="1:2" x14ac:dyDescent="0.25">
      <c r="A1148" s="2">
        <v>44988</v>
      </c>
      <c r="B1148" s="9">
        <v>9000</v>
      </c>
    </row>
    <row r="1149" spans="1:2" x14ac:dyDescent="0.25">
      <c r="A1149" s="2">
        <v>44989</v>
      </c>
      <c r="B1149" s="9">
        <v>9000</v>
      </c>
    </row>
    <row r="1150" spans="1:2" x14ac:dyDescent="0.25">
      <c r="A1150" s="2">
        <v>44990</v>
      </c>
      <c r="B1150" s="9">
        <v>10100</v>
      </c>
    </row>
    <row r="1151" spans="1:2" x14ac:dyDescent="0.25">
      <c r="A1151" s="2">
        <v>44991</v>
      </c>
      <c r="B1151" s="9">
        <v>15000</v>
      </c>
    </row>
    <row r="1152" spans="1:2" x14ac:dyDescent="0.25">
      <c r="A1152" s="2">
        <v>44992</v>
      </c>
      <c r="B1152" s="9">
        <v>14500</v>
      </c>
    </row>
    <row r="1153" spans="1:2" x14ac:dyDescent="0.25">
      <c r="A1153" s="2">
        <v>44993</v>
      </c>
      <c r="B1153" s="9">
        <v>5600</v>
      </c>
    </row>
    <row r="1154" spans="1:2" x14ac:dyDescent="0.25">
      <c r="A1154" s="2">
        <v>44994</v>
      </c>
      <c r="B1154" s="9">
        <v>6800</v>
      </c>
    </row>
    <row r="1155" spans="1:2" x14ac:dyDescent="0.25">
      <c r="A1155" s="2">
        <v>44995</v>
      </c>
      <c r="B1155" s="9">
        <v>7500</v>
      </c>
    </row>
    <row r="1156" spans="1:2" x14ac:dyDescent="0.25">
      <c r="A1156" s="2">
        <v>44996</v>
      </c>
      <c r="B1156" s="9">
        <v>4600</v>
      </c>
    </row>
    <row r="1157" spans="1:2" x14ac:dyDescent="0.25">
      <c r="A1157" s="2">
        <v>44997</v>
      </c>
      <c r="B1157" s="9">
        <v>4600</v>
      </c>
    </row>
    <row r="1158" spans="1:2" x14ac:dyDescent="0.25">
      <c r="A1158" s="2">
        <v>44998</v>
      </c>
      <c r="B1158" s="9">
        <v>13500</v>
      </c>
    </row>
    <row r="1159" spans="1:2" x14ac:dyDescent="0.25">
      <c r="A1159" s="2">
        <v>44999</v>
      </c>
      <c r="B1159" s="9">
        <v>12900</v>
      </c>
    </row>
    <row r="1160" spans="1:2" x14ac:dyDescent="0.25">
      <c r="A1160" s="2">
        <v>45000</v>
      </c>
      <c r="B1160" s="9">
        <v>10300</v>
      </c>
    </row>
    <row r="1161" spans="1:2" x14ac:dyDescent="0.25">
      <c r="A1161" s="2">
        <v>45001</v>
      </c>
      <c r="B1161" s="9">
        <v>13400</v>
      </c>
    </row>
    <row r="1162" spans="1:2" x14ac:dyDescent="0.25">
      <c r="A1162" s="2">
        <v>45002</v>
      </c>
      <c r="B1162" s="9">
        <v>6600</v>
      </c>
    </row>
    <row r="1163" spans="1:2" x14ac:dyDescent="0.25">
      <c r="A1163" s="2">
        <v>45003</v>
      </c>
      <c r="B1163" s="9">
        <v>14800</v>
      </c>
    </row>
    <row r="1164" spans="1:2" x14ac:dyDescent="0.25">
      <c r="A1164" s="2">
        <v>45004</v>
      </c>
      <c r="B1164" s="9">
        <v>5500</v>
      </c>
    </row>
    <row r="1165" spans="1:2" x14ac:dyDescent="0.25">
      <c r="A1165" s="2">
        <v>45005</v>
      </c>
      <c r="B1165" s="9">
        <v>4300</v>
      </c>
    </row>
    <row r="1166" spans="1:2" x14ac:dyDescent="0.25">
      <c r="A1166" s="2">
        <v>45006</v>
      </c>
      <c r="B1166" s="9">
        <v>9300</v>
      </c>
    </row>
    <row r="1167" spans="1:2" x14ac:dyDescent="0.25">
      <c r="A1167" s="2">
        <v>45007</v>
      </c>
      <c r="B1167" s="9">
        <v>14700</v>
      </c>
    </row>
    <row r="1168" spans="1:2" x14ac:dyDescent="0.25">
      <c r="A1168" s="2">
        <v>45008</v>
      </c>
      <c r="B1168" s="9">
        <v>5200</v>
      </c>
    </row>
    <row r="1169" spans="1:2" x14ac:dyDescent="0.25">
      <c r="A1169" s="2">
        <v>45009</v>
      </c>
      <c r="B1169" s="9">
        <v>8400</v>
      </c>
    </row>
    <row r="1170" spans="1:2" x14ac:dyDescent="0.25">
      <c r="A1170" s="2">
        <v>45010</v>
      </c>
      <c r="B1170" s="9">
        <v>7600</v>
      </c>
    </row>
    <row r="1171" spans="1:2" x14ac:dyDescent="0.25">
      <c r="A1171" s="2">
        <v>45011</v>
      </c>
      <c r="B1171" s="9">
        <v>13400</v>
      </c>
    </row>
    <row r="1172" spans="1:2" x14ac:dyDescent="0.25">
      <c r="A1172" s="2">
        <v>45012</v>
      </c>
      <c r="B1172" s="9">
        <v>6800</v>
      </c>
    </row>
    <row r="1173" spans="1:2" x14ac:dyDescent="0.25">
      <c r="A1173" s="2">
        <v>45013</v>
      </c>
      <c r="B1173" s="9">
        <v>12100</v>
      </c>
    </row>
    <row r="1174" spans="1:2" x14ac:dyDescent="0.25">
      <c r="A1174" s="2">
        <v>45014</v>
      </c>
      <c r="B1174" s="9">
        <v>11000</v>
      </c>
    </row>
    <row r="1175" spans="1:2" x14ac:dyDescent="0.25">
      <c r="A1175" s="2">
        <v>45015</v>
      </c>
      <c r="B1175" s="9">
        <v>13100</v>
      </c>
    </row>
    <row r="1176" spans="1:2" x14ac:dyDescent="0.25">
      <c r="A1176" s="2">
        <v>45016</v>
      </c>
      <c r="B1176" s="9">
        <v>11100</v>
      </c>
    </row>
    <row r="1177" spans="1:2" x14ac:dyDescent="0.25">
      <c r="A1177" s="2">
        <v>45017</v>
      </c>
      <c r="B1177" s="9">
        <v>6800</v>
      </c>
    </row>
    <row r="1178" spans="1:2" x14ac:dyDescent="0.25">
      <c r="A1178" s="2">
        <v>45018</v>
      </c>
      <c r="B1178" s="9">
        <v>6200</v>
      </c>
    </row>
    <row r="1179" spans="1:2" x14ac:dyDescent="0.25">
      <c r="A1179" s="2">
        <v>45019</v>
      </c>
      <c r="B1179" s="9">
        <v>11400</v>
      </c>
    </row>
    <row r="1180" spans="1:2" x14ac:dyDescent="0.25">
      <c r="A1180" s="2">
        <v>45020</v>
      </c>
      <c r="B1180" s="9">
        <v>14400</v>
      </c>
    </row>
    <row r="1181" spans="1:2" x14ac:dyDescent="0.25">
      <c r="A1181" s="2">
        <v>45021</v>
      </c>
      <c r="B1181" s="9">
        <v>14900</v>
      </c>
    </row>
    <row r="1182" spans="1:2" x14ac:dyDescent="0.25">
      <c r="A1182" s="2">
        <v>45022</v>
      </c>
      <c r="B1182" s="9">
        <v>14300</v>
      </c>
    </row>
    <row r="1183" spans="1:2" x14ac:dyDescent="0.25">
      <c r="A1183" s="2">
        <v>45023</v>
      </c>
      <c r="B1183" s="9">
        <v>11900</v>
      </c>
    </row>
    <row r="1184" spans="1:2" x14ac:dyDescent="0.25">
      <c r="A1184" s="2">
        <v>45024</v>
      </c>
      <c r="B1184" s="9">
        <v>5000</v>
      </c>
    </row>
    <row r="1185" spans="1:2" x14ac:dyDescent="0.25">
      <c r="A1185" s="2">
        <v>45025</v>
      </c>
      <c r="B1185" s="9">
        <v>9200</v>
      </c>
    </row>
    <row r="1186" spans="1:2" x14ac:dyDescent="0.25">
      <c r="A1186" s="2">
        <v>45026</v>
      </c>
      <c r="B1186" s="9">
        <v>7100</v>
      </c>
    </row>
    <row r="1187" spans="1:2" x14ac:dyDescent="0.25">
      <c r="A1187" s="2">
        <v>45027</v>
      </c>
      <c r="B1187" s="9">
        <v>12700</v>
      </c>
    </row>
    <row r="1188" spans="1:2" x14ac:dyDescent="0.25">
      <c r="A1188" s="2">
        <v>45028</v>
      </c>
      <c r="B1188" s="9">
        <v>13000</v>
      </c>
    </row>
    <row r="1189" spans="1:2" x14ac:dyDescent="0.25">
      <c r="A1189" s="2">
        <v>45029</v>
      </c>
      <c r="B1189" s="9">
        <v>5900</v>
      </c>
    </row>
    <row r="1190" spans="1:2" x14ac:dyDescent="0.25">
      <c r="A1190" s="2">
        <v>45030</v>
      </c>
      <c r="B1190" s="9">
        <v>6000</v>
      </c>
    </row>
    <row r="1191" spans="1:2" x14ac:dyDescent="0.25">
      <c r="A1191" s="2">
        <v>45031</v>
      </c>
      <c r="B1191" s="9">
        <v>13900</v>
      </c>
    </row>
    <row r="1192" spans="1:2" x14ac:dyDescent="0.25">
      <c r="A1192" s="2">
        <v>45032</v>
      </c>
      <c r="B1192" s="9">
        <v>4000</v>
      </c>
    </row>
    <row r="1193" spans="1:2" x14ac:dyDescent="0.25">
      <c r="A1193" s="2">
        <v>45033</v>
      </c>
      <c r="B1193" s="9">
        <v>6100</v>
      </c>
    </row>
    <row r="1194" spans="1:2" x14ac:dyDescent="0.25">
      <c r="A1194" s="2">
        <v>45034</v>
      </c>
      <c r="B1194" s="9">
        <v>6200</v>
      </c>
    </row>
    <row r="1195" spans="1:2" x14ac:dyDescent="0.25">
      <c r="A1195" s="2">
        <v>45035</v>
      </c>
      <c r="B1195" s="9">
        <v>8900</v>
      </c>
    </row>
    <row r="1196" spans="1:2" x14ac:dyDescent="0.25">
      <c r="A1196" s="2">
        <v>45036</v>
      </c>
      <c r="B1196" s="9">
        <v>8100</v>
      </c>
    </row>
    <row r="1197" spans="1:2" x14ac:dyDescent="0.25">
      <c r="A1197" s="2">
        <v>45037</v>
      </c>
      <c r="B1197" s="9">
        <v>14600</v>
      </c>
    </row>
    <row r="1198" spans="1:2" x14ac:dyDescent="0.25">
      <c r="A1198" s="2">
        <v>45038</v>
      </c>
      <c r="B1198" s="9">
        <v>9900</v>
      </c>
    </row>
    <row r="1199" spans="1:2" x14ac:dyDescent="0.25">
      <c r="A1199" s="2">
        <v>45039</v>
      </c>
      <c r="B1199" s="9">
        <v>5500</v>
      </c>
    </row>
    <row r="1200" spans="1:2" x14ac:dyDescent="0.25">
      <c r="A1200" s="2">
        <v>45040</v>
      </c>
      <c r="B1200" s="9">
        <v>11400</v>
      </c>
    </row>
    <row r="1201" spans="1:2" x14ac:dyDescent="0.25">
      <c r="A1201" s="2">
        <v>45041</v>
      </c>
      <c r="B1201" s="9">
        <v>7600</v>
      </c>
    </row>
    <row r="1202" spans="1:2" x14ac:dyDescent="0.25">
      <c r="A1202" s="2">
        <v>45042</v>
      </c>
      <c r="B1202" s="9">
        <v>11300</v>
      </c>
    </row>
    <row r="1203" spans="1:2" x14ac:dyDescent="0.25">
      <c r="A1203" s="2">
        <v>45043</v>
      </c>
      <c r="B1203" s="9">
        <v>11200</v>
      </c>
    </row>
    <row r="1204" spans="1:2" x14ac:dyDescent="0.25">
      <c r="A1204" s="2">
        <v>45044</v>
      </c>
      <c r="B1204" s="9">
        <v>9000</v>
      </c>
    </row>
    <row r="1205" spans="1:2" x14ac:dyDescent="0.25">
      <c r="A1205" s="2">
        <v>45045</v>
      </c>
      <c r="B1205" s="9">
        <v>14400</v>
      </c>
    </row>
    <row r="1206" spans="1:2" x14ac:dyDescent="0.25">
      <c r="A1206" s="2">
        <v>45046</v>
      </c>
      <c r="B1206" s="9">
        <v>10700</v>
      </c>
    </row>
    <row r="1207" spans="1:2" x14ac:dyDescent="0.25">
      <c r="A1207" s="2">
        <v>45047</v>
      </c>
      <c r="B1207" s="9">
        <v>7100</v>
      </c>
    </row>
    <row r="1208" spans="1:2" x14ac:dyDescent="0.25">
      <c r="A1208" s="2">
        <v>45048</v>
      </c>
      <c r="B1208" s="9">
        <v>14800</v>
      </c>
    </row>
    <row r="1209" spans="1:2" x14ac:dyDescent="0.25">
      <c r="A1209" s="2">
        <v>45049</v>
      </c>
      <c r="B1209" s="9">
        <v>7200</v>
      </c>
    </row>
    <row r="1210" spans="1:2" x14ac:dyDescent="0.25">
      <c r="A1210" s="2">
        <v>45050</v>
      </c>
      <c r="B1210" s="9">
        <v>14500</v>
      </c>
    </row>
    <row r="1211" spans="1:2" x14ac:dyDescent="0.25">
      <c r="A1211" s="2">
        <v>45051</v>
      </c>
      <c r="B1211" s="9">
        <v>5100</v>
      </c>
    </row>
    <row r="1212" spans="1:2" x14ac:dyDescent="0.25">
      <c r="A1212" s="2">
        <v>45052</v>
      </c>
      <c r="B1212" s="9">
        <v>4200</v>
      </c>
    </row>
    <row r="1213" spans="1:2" x14ac:dyDescent="0.25">
      <c r="A1213" s="2">
        <v>45053</v>
      </c>
      <c r="B1213" s="9">
        <v>4900</v>
      </c>
    </row>
    <row r="1214" spans="1:2" x14ac:dyDescent="0.25">
      <c r="A1214" s="2">
        <v>45054</v>
      </c>
      <c r="B1214" s="9">
        <v>8000</v>
      </c>
    </row>
    <row r="1215" spans="1:2" x14ac:dyDescent="0.25">
      <c r="A1215" s="2">
        <v>45055</v>
      </c>
      <c r="B1215" s="9">
        <v>9900</v>
      </c>
    </row>
    <row r="1216" spans="1:2" x14ac:dyDescent="0.25">
      <c r="A1216" s="2">
        <v>45056</v>
      </c>
      <c r="B1216" s="9">
        <v>8600</v>
      </c>
    </row>
    <row r="1217" spans="1:2" x14ac:dyDescent="0.25">
      <c r="A1217" s="2">
        <v>45057</v>
      </c>
      <c r="B1217" s="9">
        <v>6200</v>
      </c>
    </row>
    <row r="1218" spans="1:2" x14ac:dyDescent="0.25">
      <c r="A1218" s="2">
        <v>45058</v>
      </c>
      <c r="B1218" s="9">
        <v>4100</v>
      </c>
    </row>
    <row r="1219" spans="1:2" x14ac:dyDescent="0.25">
      <c r="A1219" s="2">
        <v>45059</v>
      </c>
      <c r="B1219" s="9">
        <v>4200</v>
      </c>
    </row>
    <row r="1220" spans="1:2" x14ac:dyDescent="0.25">
      <c r="A1220" s="2">
        <v>45060</v>
      </c>
      <c r="B1220" s="9">
        <v>10700</v>
      </c>
    </row>
    <row r="1221" spans="1:2" x14ac:dyDescent="0.25">
      <c r="A1221" s="2">
        <v>45061</v>
      </c>
      <c r="B1221" s="9">
        <v>8500</v>
      </c>
    </row>
    <row r="1222" spans="1:2" x14ac:dyDescent="0.25">
      <c r="A1222" s="2">
        <v>45062</v>
      </c>
      <c r="B1222" s="9">
        <v>11000</v>
      </c>
    </row>
    <row r="1223" spans="1:2" x14ac:dyDescent="0.25">
      <c r="A1223" s="2">
        <v>45063</v>
      </c>
      <c r="B1223" s="9">
        <v>6100</v>
      </c>
    </row>
    <row r="1224" spans="1:2" x14ac:dyDescent="0.25">
      <c r="A1224" s="2">
        <v>45064</v>
      </c>
      <c r="B1224" s="9">
        <v>5900</v>
      </c>
    </row>
    <row r="1225" spans="1:2" x14ac:dyDescent="0.25">
      <c r="A1225" s="2">
        <v>45065</v>
      </c>
      <c r="B1225" s="9">
        <v>5800</v>
      </c>
    </row>
    <row r="1226" spans="1:2" x14ac:dyDescent="0.25">
      <c r="A1226" s="2">
        <v>45066</v>
      </c>
      <c r="B1226" s="9">
        <v>14700</v>
      </c>
    </row>
    <row r="1227" spans="1:2" x14ac:dyDescent="0.25">
      <c r="A1227" s="2">
        <v>45067</v>
      </c>
      <c r="B1227" s="9">
        <v>9800</v>
      </c>
    </row>
    <row r="1228" spans="1:2" x14ac:dyDescent="0.25">
      <c r="A1228" s="2">
        <v>45068</v>
      </c>
      <c r="B1228" s="9">
        <v>5500</v>
      </c>
    </row>
    <row r="1229" spans="1:2" x14ac:dyDescent="0.25">
      <c r="A1229" s="2">
        <v>45069</v>
      </c>
      <c r="B1229" s="9">
        <v>6200</v>
      </c>
    </row>
    <row r="1230" spans="1:2" x14ac:dyDescent="0.25">
      <c r="A1230" s="2">
        <v>45070</v>
      </c>
      <c r="B1230" s="9">
        <v>11500</v>
      </c>
    </row>
    <row r="1231" spans="1:2" x14ac:dyDescent="0.25">
      <c r="A1231" s="2">
        <v>45071</v>
      </c>
      <c r="B1231" s="9">
        <v>13600</v>
      </c>
    </row>
    <row r="1232" spans="1:2" x14ac:dyDescent="0.25">
      <c r="A1232" s="2">
        <v>45072</v>
      </c>
      <c r="B1232" s="9">
        <v>9800</v>
      </c>
    </row>
    <row r="1233" spans="1:2" x14ac:dyDescent="0.25">
      <c r="A1233" s="2">
        <v>45073</v>
      </c>
      <c r="B1233" s="9">
        <v>11100</v>
      </c>
    </row>
    <row r="1234" spans="1:2" x14ac:dyDescent="0.25">
      <c r="A1234" s="2">
        <v>45074</v>
      </c>
      <c r="B1234" s="9">
        <v>12400</v>
      </c>
    </row>
    <row r="1235" spans="1:2" x14ac:dyDescent="0.25">
      <c r="A1235" s="2">
        <v>45075</v>
      </c>
      <c r="B1235" s="9">
        <v>5400</v>
      </c>
    </row>
    <row r="1236" spans="1:2" x14ac:dyDescent="0.25">
      <c r="A1236" s="2">
        <v>45076</v>
      </c>
      <c r="B1236" s="9">
        <v>9800</v>
      </c>
    </row>
    <row r="1237" spans="1:2" x14ac:dyDescent="0.25">
      <c r="A1237" s="2">
        <v>45077</v>
      </c>
      <c r="B1237" s="9">
        <v>4600</v>
      </c>
    </row>
    <row r="1238" spans="1:2" x14ac:dyDescent="0.25">
      <c r="A1238" s="2">
        <v>45078</v>
      </c>
      <c r="B1238" s="9">
        <v>4100</v>
      </c>
    </row>
    <row r="1239" spans="1:2" x14ac:dyDescent="0.25">
      <c r="A1239" s="2">
        <v>45079</v>
      </c>
      <c r="B1239" s="9">
        <v>5100</v>
      </c>
    </row>
    <row r="1240" spans="1:2" x14ac:dyDescent="0.25">
      <c r="A1240" s="2">
        <v>45080</v>
      </c>
      <c r="B1240" s="9">
        <v>4900</v>
      </c>
    </row>
    <row r="1241" spans="1:2" x14ac:dyDescent="0.25">
      <c r="A1241" s="2">
        <v>45081</v>
      </c>
      <c r="B1241" s="9">
        <v>8200</v>
      </c>
    </row>
    <row r="1242" spans="1:2" x14ac:dyDescent="0.25">
      <c r="A1242" s="2">
        <v>45082</v>
      </c>
      <c r="B1242" s="9">
        <v>5400</v>
      </c>
    </row>
    <row r="1243" spans="1:2" x14ac:dyDescent="0.25">
      <c r="A1243" s="2">
        <v>45083</v>
      </c>
      <c r="B1243" s="9">
        <v>4300</v>
      </c>
    </row>
    <row r="1244" spans="1:2" x14ac:dyDescent="0.25">
      <c r="A1244" s="2">
        <v>45084</v>
      </c>
      <c r="B1244" s="9">
        <v>8400</v>
      </c>
    </row>
    <row r="1245" spans="1:2" x14ac:dyDescent="0.25">
      <c r="A1245" s="2">
        <v>45085</v>
      </c>
      <c r="B1245" s="9">
        <v>7200</v>
      </c>
    </row>
    <row r="1246" spans="1:2" x14ac:dyDescent="0.25">
      <c r="A1246" s="2">
        <v>45086</v>
      </c>
      <c r="B1246" s="9">
        <v>6600</v>
      </c>
    </row>
    <row r="1247" spans="1:2" x14ac:dyDescent="0.25">
      <c r="A1247" s="2">
        <v>45087</v>
      </c>
      <c r="B1247" s="9">
        <v>7500</v>
      </c>
    </row>
    <row r="1248" spans="1:2" x14ac:dyDescent="0.25">
      <c r="A1248" s="2">
        <v>45088</v>
      </c>
      <c r="B1248" s="9">
        <v>11800</v>
      </c>
    </row>
    <row r="1249" spans="1:2" x14ac:dyDescent="0.25">
      <c r="A1249" s="2">
        <v>45089</v>
      </c>
      <c r="B1249" s="9">
        <v>8800</v>
      </c>
    </row>
    <row r="1250" spans="1:2" x14ac:dyDescent="0.25">
      <c r="A1250" s="2">
        <v>45090</v>
      </c>
      <c r="B1250" s="9">
        <v>14100</v>
      </c>
    </row>
    <row r="1251" spans="1:2" x14ac:dyDescent="0.25">
      <c r="A1251" s="2">
        <v>45091</v>
      </c>
      <c r="B1251" s="9">
        <v>14100</v>
      </c>
    </row>
    <row r="1252" spans="1:2" x14ac:dyDescent="0.25">
      <c r="A1252" s="2">
        <v>45092</v>
      </c>
      <c r="B1252" s="9">
        <v>14600</v>
      </c>
    </row>
    <row r="1253" spans="1:2" x14ac:dyDescent="0.25">
      <c r="A1253" s="2">
        <v>45093</v>
      </c>
      <c r="B1253" s="9">
        <v>4800</v>
      </c>
    </row>
    <row r="1254" spans="1:2" x14ac:dyDescent="0.25">
      <c r="A1254" s="2">
        <v>45094</v>
      </c>
      <c r="B1254" s="9">
        <v>10600</v>
      </c>
    </row>
    <row r="1255" spans="1:2" x14ac:dyDescent="0.25">
      <c r="A1255" s="2">
        <v>45095</v>
      </c>
      <c r="B1255" s="9">
        <v>5500</v>
      </c>
    </row>
    <row r="1256" spans="1:2" x14ac:dyDescent="0.25">
      <c r="A1256" s="2">
        <v>45096</v>
      </c>
      <c r="B1256" s="9">
        <v>7000</v>
      </c>
    </row>
    <row r="1257" spans="1:2" x14ac:dyDescent="0.25">
      <c r="A1257" s="2">
        <v>45097</v>
      </c>
      <c r="B1257" s="9">
        <v>10700</v>
      </c>
    </row>
    <row r="1258" spans="1:2" x14ac:dyDescent="0.25">
      <c r="A1258" s="2">
        <v>45098</v>
      </c>
      <c r="B1258" s="9">
        <v>7900</v>
      </c>
    </row>
    <row r="1259" spans="1:2" x14ac:dyDescent="0.25">
      <c r="A1259" s="2">
        <v>45099</v>
      </c>
      <c r="B1259" s="9">
        <v>11000</v>
      </c>
    </row>
    <row r="1260" spans="1:2" x14ac:dyDescent="0.25">
      <c r="A1260" s="2">
        <v>45100</v>
      </c>
      <c r="B1260" s="9">
        <v>11200</v>
      </c>
    </row>
    <row r="1261" spans="1:2" x14ac:dyDescent="0.25">
      <c r="A1261" s="2">
        <v>45101</v>
      </c>
      <c r="B1261" s="9">
        <v>14200</v>
      </c>
    </row>
    <row r="1262" spans="1:2" x14ac:dyDescent="0.25">
      <c r="A1262" s="2">
        <v>45102</v>
      </c>
      <c r="B1262" s="9">
        <v>8300</v>
      </c>
    </row>
    <row r="1263" spans="1:2" x14ac:dyDescent="0.25">
      <c r="A1263" s="2">
        <v>45103</v>
      </c>
      <c r="B1263" s="9">
        <v>11400</v>
      </c>
    </row>
    <row r="1264" spans="1:2" x14ac:dyDescent="0.25">
      <c r="A1264" s="2">
        <v>45104</v>
      </c>
      <c r="B1264" s="9">
        <v>13400</v>
      </c>
    </row>
    <row r="1265" spans="1:2" x14ac:dyDescent="0.25">
      <c r="A1265" s="2">
        <v>45105</v>
      </c>
      <c r="B1265" s="9">
        <v>5800</v>
      </c>
    </row>
    <row r="1266" spans="1:2" x14ac:dyDescent="0.25">
      <c r="A1266" s="2">
        <v>45106</v>
      </c>
      <c r="B1266" s="9">
        <v>11000</v>
      </c>
    </row>
    <row r="1267" spans="1:2" x14ac:dyDescent="0.25">
      <c r="A1267" s="2">
        <v>45107</v>
      </c>
      <c r="B1267" s="9">
        <v>14200</v>
      </c>
    </row>
    <row r="1268" spans="1:2" x14ac:dyDescent="0.25">
      <c r="A1268" s="2">
        <v>45108</v>
      </c>
      <c r="B1268" s="9">
        <v>5500</v>
      </c>
    </row>
    <row r="1269" spans="1:2" x14ac:dyDescent="0.25">
      <c r="A1269" s="2">
        <v>45109</v>
      </c>
      <c r="B1269" s="9">
        <v>10400</v>
      </c>
    </row>
    <row r="1270" spans="1:2" x14ac:dyDescent="0.25">
      <c r="A1270" s="2">
        <v>45110</v>
      </c>
      <c r="B1270" s="9">
        <v>6400</v>
      </c>
    </row>
    <row r="1271" spans="1:2" x14ac:dyDescent="0.25">
      <c r="A1271" s="2">
        <v>45111</v>
      </c>
      <c r="B1271" s="9">
        <v>12300</v>
      </c>
    </row>
    <row r="1272" spans="1:2" x14ac:dyDescent="0.25">
      <c r="A1272" s="2">
        <v>45112</v>
      </c>
      <c r="B1272" s="9">
        <v>10300</v>
      </c>
    </row>
    <row r="1273" spans="1:2" x14ac:dyDescent="0.25">
      <c r="A1273" s="2">
        <v>45113</v>
      </c>
      <c r="B1273" s="9">
        <v>9500</v>
      </c>
    </row>
    <row r="1274" spans="1:2" x14ac:dyDescent="0.25">
      <c r="A1274" s="2">
        <v>45114</v>
      </c>
      <c r="B1274" s="9">
        <v>14500</v>
      </c>
    </row>
    <row r="1275" spans="1:2" x14ac:dyDescent="0.25">
      <c r="A1275" s="2">
        <v>45115</v>
      </c>
      <c r="B1275" s="9">
        <v>14500</v>
      </c>
    </row>
    <row r="1276" spans="1:2" x14ac:dyDescent="0.25">
      <c r="A1276" s="2">
        <v>45116</v>
      </c>
      <c r="B1276" s="9">
        <v>10200</v>
      </c>
    </row>
    <row r="1277" spans="1:2" x14ac:dyDescent="0.25">
      <c r="A1277" s="2">
        <v>45117</v>
      </c>
      <c r="B1277" s="9">
        <v>12200</v>
      </c>
    </row>
    <row r="1278" spans="1:2" x14ac:dyDescent="0.25">
      <c r="A1278" s="2">
        <v>45118</v>
      </c>
      <c r="B1278" s="9">
        <v>5800</v>
      </c>
    </row>
    <row r="1279" spans="1:2" x14ac:dyDescent="0.25">
      <c r="A1279" s="2">
        <v>45119</v>
      </c>
      <c r="B1279" s="9">
        <v>6300</v>
      </c>
    </row>
    <row r="1280" spans="1:2" x14ac:dyDescent="0.25">
      <c r="A1280" s="2">
        <v>45120</v>
      </c>
      <c r="B1280" s="9">
        <v>14300</v>
      </c>
    </row>
    <row r="1281" spans="1:2" x14ac:dyDescent="0.25">
      <c r="A1281" s="2">
        <v>45121</v>
      </c>
      <c r="B1281" s="9">
        <v>6500</v>
      </c>
    </row>
    <row r="1282" spans="1:2" x14ac:dyDescent="0.25">
      <c r="A1282" s="2">
        <v>45122</v>
      </c>
      <c r="B1282" s="9">
        <v>10300</v>
      </c>
    </row>
    <row r="1283" spans="1:2" x14ac:dyDescent="0.25">
      <c r="A1283" s="2">
        <v>45123</v>
      </c>
      <c r="B1283" s="9">
        <v>7200</v>
      </c>
    </row>
    <row r="1284" spans="1:2" x14ac:dyDescent="0.25">
      <c r="A1284" s="2">
        <v>45124</v>
      </c>
      <c r="B1284" s="9">
        <v>13400</v>
      </c>
    </row>
    <row r="1285" spans="1:2" x14ac:dyDescent="0.25">
      <c r="A1285" s="2">
        <v>45125</v>
      </c>
      <c r="B1285" s="9">
        <v>9200</v>
      </c>
    </row>
    <row r="1286" spans="1:2" x14ac:dyDescent="0.25">
      <c r="A1286" s="2">
        <v>45126</v>
      </c>
      <c r="B1286" s="9">
        <v>8800</v>
      </c>
    </row>
    <row r="1287" spans="1:2" x14ac:dyDescent="0.25">
      <c r="A1287" s="2">
        <v>45127</v>
      </c>
      <c r="B1287" s="9">
        <v>13000</v>
      </c>
    </row>
    <row r="1288" spans="1:2" x14ac:dyDescent="0.25">
      <c r="A1288" s="2">
        <v>45128</v>
      </c>
      <c r="B1288" s="9">
        <v>4500</v>
      </c>
    </row>
    <row r="1289" spans="1:2" x14ac:dyDescent="0.25">
      <c r="A1289" s="2">
        <v>45129</v>
      </c>
      <c r="B1289" s="9">
        <v>10600</v>
      </c>
    </row>
    <row r="1290" spans="1:2" x14ac:dyDescent="0.25">
      <c r="A1290" s="2">
        <v>45130</v>
      </c>
      <c r="B1290" s="9">
        <v>4000</v>
      </c>
    </row>
    <row r="1291" spans="1:2" x14ac:dyDescent="0.25">
      <c r="A1291" s="2">
        <v>45131</v>
      </c>
      <c r="B1291" s="9">
        <v>8000</v>
      </c>
    </row>
    <row r="1292" spans="1:2" x14ac:dyDescent="0.25">
      <c r="A1292" s="2">
        <v>45132</v>
      </c>
      <c r="B1292" s="9">
        <v>7600</v>
      </c>
    </row>
    <row r="1293" spans="1:2" x14ac:dyDescent="0.25">
      <c r="A1293" s="2">
        <v>45133</v>
      </c>
      <c r="B1293" s="9">
        <v>8800</v>
      </c>
    </row>
    <row r="1294" spans="1:2" x14ac:dyDescent="0.25">
      <c r="A1294" s="2">
        <v>45134</v>
      </c>
      <c r="B1294" s="9">
        <v>10500</v>
      </c>
    </row>
    <row r="1295" spans="1:2" x14ac:dyDescent="0.25">
      <c r="A1295" s="2">
        <v>45135</v>
      </c>
      <c r="B1295" s="9">
        <v>6500</v>
      </c>
    </row>
    <row r="1296" spans="1:2" x14ac:dyDescent="0.25">
      <c r="A1296" s="2">
        <v>45136</v>
      </c>
      <c r="B1296" s="9">
        <v>9500</v>
      </c>
    </row>
    <row r="1297" spans="1:2" x14ac:dyDescent="0.25">
      <c r="A1297" s="2">
        <v>45137</v>
      </c>
      <c r="B1297" s="9">
        <v>7500</v>
      </c>
    </row>
    <row r="1298" spans="1:2" x14ac:dyDescent="0.25">
      <c r="A1298" s="2">
        <v>45138</v>
      </c>
      <c r="B1298" s="9">
        <v>14800</v>
      </c>
    </row>
    <row r="1299" spans="1:2" x14ac:dyDescent="0.25">
      <c r="A1299" s="2">
        <v>45139</v>
      </c>
      <c r="B1299" s="9">
        <v>4800</v>
      </c>
    </row>
    <row r="1300" spans="1:2" x14ac:dyDescent="0.25">
      <c r="A1300" s="2">
        <v>45140</v>
      </c>
      <c r="B1300" s="9">
        <v>11600</v>
      </c>
    </row>
    <row r="1301" spans="1:2" x14ac:dyDescent="0.25">
      <c r="A1301" s="2">
        <v>45141</v>
      </c>
      <c r="B1301" s="9">
        <v>9700</v>
      </c>
    </row>
    <row r="1302" spans="1:2" x14ac:dyDescent="0.25">
      <c r="A1302" s="2">
        <v>45142</v>
      </c>
      <c r="B1302" s="9">
        <v>7200</v>
      </c>
    </row>
    <row r="1303" spans="1:2" x14ac:dyDescent="0.25">
      <c r="A1303" s="2">
        <v>45143</v>
      </c>
      <c r="B1303" s="9">
        <v>5900</v>
      </c>
    </row>
    <row r="1304" spans="1:2" x14ac:dyDescent="0.25">
      <c r="A1304" s="2">
        <v>45144</v>
      </c>
      <c r="B1304" s="9">
        <v>12500</v>
      </c>
    </row>
    <row r="1305" spans="1:2" x14ac:dyDescent="0.25">
      <c r="A1305" s="2">
        <v>45145</v>
      </c>
      <c r="B1305" s="9">
        <v>14100</v>
      </c>
    </row>
    <row r="1306" spans="1:2" x14ac:dyDescent="0.25">
      <c r="A1306" s="2">
        <v>45146</v>
      </c>
      <c r="B1306" s="9">
        <v>4400</v>
      </c>
    </row>
    <row r="1307" spans="1:2" x14ac:dyDescent="0.25">
      <c r="A1307" s="2">
        <v>45147</v>
      </c>
      <c r="B1307" s="9">
        <v>12900</v>
      </c>
    </row>
    <row r="1308" spans="1:2" x14ac:dyDescent="0.25">
      <c r="A1308" s="2">
        <v>45148</v>
      </c>
      <c r="B1308" s="9">
        <v>6900</v>
      </c>
    </row>
    <row r="1309" spans="1:2" x14ac:dyDescent="0.25">
      <c r="A1309" s="2">
        <v>45149</v>
      </c>
      <c r="B1309" s="9">
        <v>10700</v>
      </c>
    </row>
    <row r="1310" spans="1:2" x14ac:dyDescent="0.25">
      <c r="A1310" s="2">
        <v>45150</v>
      </c>
      <c r="B1310" s="9">
        <v>5200</v>
      </c>
    </row>
    <row r="1311" spans="1:2" x14ac:dyDescent="0.25">
      <c r="A1311" s="2">
        <v>45151</v>
      </c>
      <c r="B1311" s="9">
        <v>7200</v>
      </c>
    </row>
    <row r="1312" spans="1:2" x14ac:dyDescent="0.25">
      <c r="A1312" s="2">
        <v>45152</v>
      </c>
      <c r="B1312" s="9">
        <v>14600</v>
      </c>
    </row>
    <row r="1313" spans="1:2" x14ac:dyDescent="0.25">
      <c r="A1313" s="2">
        <v>45153</v>
      </c>
      <c r="B1313" s="9">
        <v>10700</v>
      </c>
    </row>
    <row r="1314" spans="1:2" x14ac:dyDescent="0.25">
      <c r="A1314" s="2">
        <v>45154</v>
      </c>
      <c r="B1314" s="9">
        <v>13000</v>
      </c>
    </row>
    <row r="1315" spans="1:2" x14ac:dyDescent="0.25">
      <c r="A1315" s="2">
        <v>45155</v>
      </c>
      <c r="B1315" s="9">
        <v>12900</v>
      </c>
    </row>
    <row r="1316" spans="1:2" x14ac:dyDescent="0.25">
      <c r="A1316" s="2">
        <v>45156</v>
      </c>
      <c r="B1316" s="9">
        <v>5800</v>
      </c>
    </row>
    <row r="1317" spans="1:2" x14ac:dyDescent="0.25">
      <c r="A1317" s="2">
        <v>45157</v>
      </c>
      <c r="B1317" s="9">
        <v>9200</v>
      </c>
    </row>
    <row r="1318" spans="1:2" x14ac:dyDescent="0.25">
      <c r="A1318" s="2">
        <v>45158</v>
      </c>
      <c r="B1318" s="9">
        <v>12600</v>
      </c>
    </row>
    <row r="1319" spans="1:2" x14ac:dyDescent="0.25">
      <c r="A1319" s="2">
        <v>45159</v>
      </c>
      <c r="B1319" s="9">
        <v>10000</v>
      </c>
    </row>
    <row r="1320" spans="1:2" x14ac:dyDescent="0.25">
      <c r="A1320" s="2">
        <v>45160</v>
      </c>
      <c r="B1320" s="9">
        <v>13200</v>
      </c>
    </row>
    <row r="1321" spans="1:2" x14ac:dyDescent="0.25">
      <c r="A1321" s="2">
        <v>45161</v>
      </c>
      <c r="B1321" s="9">
        <v>14700</v>
      </c>
    </row>
    <row r="1322" spans="1:2" x14ac:dyDescent="0.25">
      <c r="A1322" s="2">
        <v>45162</v>
      </c>
      <c r="B1322" s="9">
        <v>14800</v>
      </c>
    </row>
    <row r="1323" spans="1:2" x14ac:dyDescent="0.25">
      <c r="A1323" s="2">
        <v>45163</v>
      </c>
      <c r="B1323" s="9">
        <v>13500</v>
      </c>
    </row>
    <row r="1324" spans="1:2" x14ac:dyDescent="0.25">
      <c r="A1324" s="2">
        <v>45164</v>
      </c>
      <c r="B1324" s="9">
        <v>13300</v>
      </c>
    </row>
    <row r="1325" spans="1:2" x14ac:dyDescent="0.25">
      <c r="A1325" s="2">
        <v>45165</v>
      </c>
      <c r="B1325" s="9">
        <v>14100</v>
      </c>
    </row>
    <row r="1326" spans="1:2" x14ac:dyDescent="0.25">
      <c r="A1326" s="2">
        <v>45166</v>
      </c>
      <c r="B1326" s="9">
        <v>7400</v>
      </c>
    </row>
    <row r="1327" spans="1:2" x14ac:dyDescent="0.25">
      <c r="A1327" s="2">
        <v>45167</v>
      </c>
      <c r="B1327" s="9">
        <v>8500</v>
      </c>
    </row>
    <row r="1328" spans="1:2" x14ac:dyDescent="0.25">
      <c r="A1328" s="2">
        <v>45168</v>
      </c>
      <c r="B1328" s="9">
        <v>10700</v>
      </c>
    </row>
    <row r="1329" spans="1:2" x14ac:dyDescent="0.25">
      <c r="A1329" s="2">
        <v>45169</v>
      </c>
      <c r="B1329" s="9">
        <v>10100</v>
      </c>
    </row>
    <row r="1330" spans="1:2" x14ac:dyDescent="0.25">
      <c r="A1330" s="2">
        <v>45170</v>
      </c>
      <c r="B1330" s="9">
        <v>5500</v>
      </c>
    </row>
    <row r="1331" spans="1:2" x14ac:dyDescent="0.25">
      <c r="A1331" s="2">
        <v>45171</v>
      </c>
      <c r="B1331" s="9">
        <v>9100</v>
      </c>
    </row>
    <row r="1332" spans="1:2" x14ac:dyDescent="0.25">
      <c r="A1332" s="2">
        <v>45172</v>
      </c>
      <c r="B1332" s="9">
        <v>5700</v>
      </c>
    </row>
    <row r="1333" spans="1:2" x14ac:dyDescent="0.25">
      <c r="A1333" s="2">
        <v>45173</v>
      </c>
      <c r="B1333" s="9">
        <v>5200</v>
      </c>
    </row>
    <row r="1334" spans="1:2" x14ac:dyDescent="0.25">
      <c r="A1334" s="2">
        <v>45174</v>
      </c>
      <c r="B1334" s="9">
        <v>4800</v>
      </c>
    </row>
    <row r="1335" spans="1:2" x14ac:dyDescent="0.25">
      <c r="A1335" s="2">
        <v>45175</v>
      </c>
      <c r="B1335" s="9">
        <v>12200</v>
      </c>
    </row>
    <row r="1336" spans="1:2" x14ac:dyDescent="0.25">
      <c r="A1336" s="2">
        <v>45176</v>
      </c>
      <c r="B1336" s="9">
        <v>12300</v>
      </c>
    </row>
    <row r="1337" spans="1:2" x14ac:dyDescent="0.25">
      <c r="A1337" s="2">
        <v>45177</v>
      </c>
      <c r="B1337" s="9">
        <v>10500</v>
      </c>
    </row>
    <row r="1338" spans="1:2" x14ac:dyDescent="0.25">
      <c r="A1338" s="2">
        <v>45178</v>
      </c>
      <c r="B1338" s="9">
        <v>10000</v>
      </c>
    </row>
    <row r="1339" spans="1:2" x14ac:dyDescent="0.25">
      <c r="A1339" s="2">
        <v>45179</v>
      </c>
      <c r="B1339" s="9">
        <v>9600</v>
      </c>
    </row>
    <row r="1340" spans="1:2" x14ac:dyDescent="0.25">
      <c r="A1340" s="2">
        <v>45180</v>
      </c>
      <c r="B1340" s="9">
        <v>4600</v>
      </c>
    </row>
    <row r="1341" spans="1:2" x14ac:dyDescent="0.25">
      <c r="A1341" s="2">
        <v>45181</v>
      </c>
      <c r="B1341" s="9">
        <v>7900</v>
      </c>
    </row>
    <row r="1342" spans="1:2" x14ac:dyDescent="0.25">
      <c r="A1342" s="2">
        <v>45182</v>
      </c>
      <c r="B1342" s="9">
        <v>15000</v>
      </c>
    </row>
    <row r="1343" spans="1:2" x14ac:dyDescent="0.25">
      <c r="A1343" s="2">
        <v>45183</v>
      </c>
      <c r="B1343" s="9">
        <v>5900</v>
      </c>
    </row>
    <row r="1344" spans="1:2" x14ac:dyDescent="0.25">
      <c r="A1344" s="2">
        <v>45184</v>
      </c>
      <c r="B1344" s="9">
        <v>14200</v>
      </c>
    </row>
    <row r="1345" spans="1:2" x14ac:dyDescent="0.25">
      <c r="A1345" s="2">
        <v>45185</v>
      </c>
      <c r="B1345" s="9">
        <v>9200</v>
      </c>
    </row>
    <row r="1346" spans="1:2" x14ac:dyDescent="0.25">
      <c r="A1346" s="2">
        <v>45186</v>
      </c>
      <c r="B1346" s="9">
        <v>10700</v>
      </c>
    </row>
    <row r="1347" spans="1:2" x14ac:dyDescent="0.25">
      <c r="A1347" s="2">
        <v>45187</v>
      </c>
      <c r="B1347" s="9">
        <v>9500</v>
      </c>
    </row>
    <row r="1348" spans="1:2" x14ac:dyDescent="0.25">
      <c r="A1348" s="2">
        <v>45188</v>
      </c>
      <c r="B1348" s="9">
        <v>7300</v>
      </c>
    </row>
    <row r="1349" spans="1:2" x14ac:dyDescent="0.25">
      <c r="A1349" s="2">
        <v>45189</v>
      </c>
      <c r="B1349" s="9">
        <v>4600</v>
      </c>
    </row>
    <row r="1350" spans="1:2" x14ac:dyDescent="0.25">
      <c r="A1350" s="2">
        <v>45190</v>
      </c>
      <c r="B1350" s="9">
        <v>12700</v>
      </c>
    </row>
    <row r="1351" spans="1:2" x14ac:dyDescent="0.25">
      <c r="A1351" s="2">
        <v>45191</v>
      </c>
      <c r="B1351" s="9">
        <v>6900</v>
      </c>
    </row>
    <row r="1352" spans="1:2" x14ac:dyDescent="0.25">
      <c r="A1352" s="2">
        <v>45192</v>
      </c>
      <c r="B1352" s="9">
        <v>9000</v>
      </c>
    </row>
    <row r="1353" spans="1:2" x14ac:dyDescent="0.25">
      <c r="A1353" s="2">
        <v>45193</v>
      </c>
      <c r="B1353" s="9">
        <v>10100</v>
      </c>
    </row>
    <row r="1354" spans="1:2" x14ac:dyDescent="0.25">
      <c r="A1354" s="2">
        <v>45194</v>
      </c>
      <c r="B1354" s="9">
        <v>9900</v>
      </c>
    </row>
    <row r="1355" spans="1:2" x14ac:dyDescent="0.25">
      <c r="A1355" s="2">
        <v>45195</v>
      </c>
      <c r="B1355" s="9">
        <v>13000</v>
      </c>
    </row>
    <row r="1356" spans="1:2" x14ac:dyDescent="0.25">
      <c r="A1356" s="2">
        <v>45196</v>
      </c>
      <c r="B1356" s="9">
        <v>10100</v>
      </c>
    </row>
    <row r="1357" spans="1:2" x14ac:dyDescent="0.25">
      <c r="A1357" s="2">
        <v>45197</v>
      </c>
      <c r="B1357" s="9">
        <v>13500</v>
      </c>
    </row>
    <row r="1358" spans="1:2" x14ac:dyDescent="0.25">
      <c r="A1358" s="2">
        <v>45198</v>
      </c>
      <c r="B1358" s="9">
        <v>12700</v>
      </c>
    </row>
    <row r="1359" spans="1:2" x14ac:dyDescent="0.25">
      <c r="A1359" s="2">
        <v>45199</v>
      </c>
      <c r="B1359" s="9">
        <v>10300</v>
      </c>
    </row>
    <row r="1360" spans="1:2" x14ac:dyDescent="0.25">
      <c r="A1360" s="2">
        <v>45200</v>
      </c>
      <c r="B1360" s="9">
        <v>12100</v>
      </c>
    </row>
    <row r="1361" spans="1:2" x14ac:dyDescent="0.25">
      <c r="A1361" s="2">
        <v>45201</v>
      </c>
      <c r="B1361" s="9">
        <v>11700</v>
      </c>
    </row>
    <row r="1362" spans="1:2" x14ac:dyDescent="0.25">
      <c r="A1362" s="2">
        <v>45202</v>
      </c>
      <c r="B1362" s="9">
        <v>7500</v>
      </c>
    </row>
    <row r="1363" spans="1:2" x14ac:dyDescent="0.25">
      <c r="A1363" s="2">
        <v>45203</v>
      </c>
      <c r="B1363" s="9">
        <v>14600</v>
      </c>
    </row>
    <row r="1364" spans="1:2" x14ac:dyDescent="0.25">
      <c r="A1364" s="2">
        <v>45204</v>
      </c>
      <c r="B1364" s="9">
        <v>4200</v>
      </c>
    </row>
    <row r="1365" spans="1:2" x14ac:dyDescent="0.25">
      <c r="A1365" s="2">
        <v>45205</v>
      </c>
      <c r="B1365" s="9">
        <v>12300</v>
      </c>
    </row>
    <row r="1366" spans="1:2" x14ac:dyDescent="0.25">
      <c r="A1366" s="2">
        <v>45206</v>
      </c>
      <c r="B1366" s="9">
        <v>5600</v>
      </c>
    </row>
    <row r="1367" spans="1:2" x14ac:dyDescent="0.25">
      <c r="A1367" s="2">
        <v>45207</v>
      </c>
      <c r="B1367" s="9">
        <v>14200</v>
      </c>
    </row>
    <row r="1368" spans="1:2" x14ac:dyDescent="0.25">
      <c r="A1368" s="2">
        <v>45208</v>
      </c>
      <c r="B1368" s="9">
        <v>13400</v>
      </c>
    </row>
    <row r="1369" spans="1:2" x14ac:dyDescent="0.25">
      <c r="A1369" s="2">
        <v>45209</v>
      </c>
      <c r="B1369" s="9">
        <v>14700</v>
      </c>
    </row>
    <row r="1370" spans="1:2" x14ac:dyDescent="0.25">
      <c r="A1370" s="2">
        <v>45210</v>
      </c>
      <c r="B1370" s="9">
        <v>7600</v>
      </c>
    </row>
    <row r="1371" spans="1:2" x14ac:dyDescent="0.25">
      <c r="A1371" s="2">
        <v>45211</v>
      </c>
      <c r="B1371" s="9">
        <v>12200</v>
      </c>
    </row>
    <row r="1372" spans="1:2" x14ac:dyDescent="0.25">
      <c r="A1372" s="2">
        <v>45212</v>
      </c>
      <c r="B1372" s="9">
        <v>8300</v>
      </c>
    </row>
    <row r="1373" spans="1:2" x14ac:dyDescent="0.25">
      <c r="A1373" s="2">
        <v>45213</v>
      </c>
      <c r="B1373" s="9">
        <v>9800</v>
      </c>
    </row>
    <row r="1374" spans="1:2" x14ac:dyDescent="0.25">
      <c r="A1374" s="2">
        <v>45214</v>
      </c>
      <c r="B1374" s="9">
        <v>10300</v>
      </c>
    </row>
    <row r="1375" spans="1:2" x14ac:dyDescent="0.25">
      <c r="A1375" s="2">
        <v>45215</v>
      </c>
      <c r="B1375" s="9">
        <v>7400</v>
      </c>
    </row>
    <row r="1376" spans="1:2" x14ac:dyDescent="0.25">
      <c r="A1376" s="2">
        <v>45216</v>
      </c>
      <c r="B1376" s="9">
        <v>6200</v>
      </c>
    </row>
    <row r="1377" spans="1:2" x14ac:dyDescent="0.25">
      <c r="A1377" s="2">
        <v>45217</v>
      </c>
      <c r="B1377" s="9">
        <v>8800</v>
      </c>
    </row>
    <row r="1378" spans="1:2" x14ac:dyDescent="0.25">
      <c r="A1378" s="2">
        <v>45218</v>
      </c>
      <c r="B1378" s="9">
        <v>7300</v>
      </c>
    </row>
    <row r="1379" spans="1:2" x14ac:dyDescent="0.25">
      <c r="A1379" s="2">
        <v>45219</v>
      </c>
      <c r="B1379" s="9">
        <v>12600</v>
      </c>
    </row>
    <row r="1380" spans="1:2" x14ac:dyDescent="0.25">
      <c r="A1380" s="2">
        <v>45220</v>
      </c>
      <c r="B1380" s="9">
        <v>11000</v>
      </c>
    </row>
    <row r="1381" spans="1:2" x14ac:dyDescent="0.25">
      <c r="A1381" s="2">
        <v>45221</v>
      </c>
      <c r="B1381" s="9">
        <v>11200</v>
      </c>
    </row>
    <row r="1382" spans="1:2" x14ac:dyDescent="0.25">
      <c r="A1382" s="2">
        <v>45222</v>
      </c>
      <c r="B1382" s="9">
        <v>4400</v>
      </c>
    </row>
    <row r="1383" spans="1:2" x14ac:dyDescent="0.25">
      <c r="A1383" s="2">
        <v>45223</v>
      </c>
      <c r="B1383" s="9">
        <v>4800</v>
      </c>
    </row>
    <row r="1384" spans="1:2" x14ac:dyDescent="0.25">
      <c r="A1384" s="2">
        <v>45224</v>
      </c>
      <c r="B1384" s="9">
        <v>11700</v>
      </c>
    </row>
    <row r="1385" spans="1:2" x14ac:dyDescent="0.25">
      <c r="A1385" s="2">
        <v>45225</v>
      </c>
      <c r="B1385" s="9">
        <v>6400</v>
      </c>
    </row>
    <row r="1386" spans="1:2" x14ac:dyDescent="0.25">
      <c r="A1386" s="2">
        <v>45226</v>
      </c>
      <c r="B1386" s="9">
        <v>8000</v>
      </c>
    </row>
    <row r="1387" spans="1:2" x14ac:dyDescent="0.25">
      <c r="A1387" s="2">
        <v>45227</v>
      </c>
      <c r="B1387" s="9">
        <v>8100</v>
      </c>
    </row>
    <row r="1388" spans="1:2" x14ac:dyDescent="0.25">
      <c r="A1388" s="2">
        <v>45228</v>
      </c>
      <c r="B1388" s="9">
        <v>12700</v>
      </c>
    </row>
    <row r="1389" spans="1:2" x14ac:dyDescent="0.25">
      <c r="A1389" s="2">
        <v>45229</v>
      </c>
      <c r="B1389" s="9">
        <v>5200</v>
      </c>
    </row>
    <row r="1390" spans="1:2" x14ac:dyDescent="0.25">
      <c r="A1390" s="2">
        <v>45230</v>
      </c>
      <c r="B1390" s="9">
        <v>11400</v>
      </c>
    </row>
    <row r="1391" spans="1:2" x14ac:dyDescent="0.25">
      <c r="A1391" s="2">
        <v>45231</v>
      </c>
      <c r="B1391" s="9">
        <v>7000</v>
      </c>
    </row>
    <row r="1392" spans="1:2" x14ac:dyDescent="0.25">
      <c r="A1392" s="2">
        <v>45232</v>
      </c>
      <c r="B1392" s="9">
        <v>10000</v>
      </c>
    </row>
    <row r="1393" spans="1:2" x14ac:dyDescent="0.25">
      <c r="A1393" s="2">
        <v>45233</v>
      </c>
      <c r="B1393" s="9">
        <v>4700</v>
      </c>
    </row>
    <row r="1394" spans="1:2" x14ac:dyDescent="0.25">
      <c r="A1394" s="2">
        <v>45234</v>
      </c>
      <c r="B1394" s="9">
        <v>13300</v>
      </c>
    </row>
    <row r="1395" spans="1:2" x14ac:dyDescent="0.25">
      <c r="A1395" s="2">
        <v>45235</v>
      </c>
      <c r="B1395" s="9">
        <v>13400</v>
      </c>
    </row>
    <row r="1396" spans="1:2" x14ac:dyDescent="0.25">
      <c r="A1396" s="2">
        <v>45236</v>
      </c>
      <c r="B1396" s="9">
        <v>11200</v>
      </c>
    </row>
    <row r="1397" spans="1:2" x14ac:dyDescent="0.25">
      <c r="A1397" s="2">
        <v>45237</v>
      </c>
      <c r="B1397" s="9">
        <v>13200</v>
      </c>
    </row>
    <row r="1398" spans="1:2" x14ac:dyDescent="0.25">
      <c r="A1398" s="2">
        <v>45238</v>
      </c>
      <c r="B1398" s="9">
        <v>9400</v>
      </c>
    </row>
    <row r="1399" spans="1:2" x14ac:dyDescent="0.25">
      <c r="A1399" s="2">
        <v>45239</v>
      </c>
      <c r="B1399" s="9">
        <v>8600</v>
      </c>
    </row>
    <row r="1400" spans="1:2" x14ac:dyDescent="0.25">
      <c r="A1400" s="2">
        <v>45240</v>
      </c>
      <c r="B1400" s="9">
        <v>13000</v>
      </c>
    </row>
    <row r="1401" spans="1:2" x14ac:dyDescent="0.25">
      <c r="A1401" s="2">
        <v>45241</v>
      </c>
      <c r="B1401" s="9">
        <v>8500</v>
      </c>
    </row>
    <row r="1402" spans="1:2" x14ac:dyDescent="0.25">
      <c r="A1402" s="2">
        <v>45242</v>
      </c>
      <c r="B1402" s="9">
        <v>11400</v>
      </c>
    </row>
    <row r="1403" spans="1:2" x14ac:dyDescent="0.25">
      <c r="A1403" s="2">
        <v>45243</v>
      </c>
      <c r="B1403" s="9">
        <v>5500</v>
      </c>
    </row>
    <row r="1404" spans="1:2" x14ac:dyDescent="0.25">
      <c r="A1404" s="2">
        <v>45244</v>
      </c>
      <c r="B1404" s="9">
        <v>5000</v>
      </c>
    </row>
    <row r="1405" spans="1:2" x14ac:dyDescent="0.25">
      <c r="A1405" s="2">
        <v>45245</v>
      </c>
      <c r="B1405" s="9">
        <v>14900</v>
      </c>
    </row>
    <row r="1406" spans="1:2" x14ac:dyDescent="0.25">
      <c r="A1406" s="2">
        <v>45246</v>
      </c>
      <c r="B1406" s="9">
        <v>4500</v>
      </c>
    </row>
    <row r="1407" spans="1:2" x14ac:dyDescent="0.25">
      <c r="A1407" s="2">
        <v>45247</v>
      </c>
      <c r="B1407" s="9">
        <v>14500</v>
      </c>
    </row>
    <row r="1408" spans="1:2" x14ac:dyDescent="0.25">
      <c r="A1408" s="2">
        <v>45248</v>
      </c>
      <c r="B1408" s="9">
        <v>4300</v>
      </c>
    </row>
    <row r="1409" spans="1:2" x14ac:dyDescent="0.25">
      <c r="A1409" s="2">
        <v>45249</v>
      </c>
      <c r="B1409" s="9">
        <v>10700</v>
      </c>
    </row>
    <row r="1410" spans="1:2" x14ac:dyDescent="0.25">
      <c r="A1410" s="2">
        <v>45250</v>
      </c>
      <c r="B1410" s="9">
        <v>8600</v>
      </c>
    </row>
    <row r="1411" spans="1:2" x14ac:dyDescent="0.25">
      <c r="A1411" s="2">
        <v>45251</v>
      </c>
      <c r="B1411" s="9">
        <v>13700</v>
      </c>
    </row>
    <row r="1412" spans="1:2" x14ac:dyDescent="0.25">
      <c r="A1412" s="2">
        <v>45252</v>
      </c>
      <c r="B1412" s="9">
        <v>10100</v>
      </c>
    </row>
    <row r="1413" spans="1:2" x14ac:dyDescent="0.25">
      <c r="A1413" s="2">
        <v>45253</v>
      </c>
      <c r="B1413" s="9">
        <v>5400</v>
      </c>
    </row>
    <row r="1414" spans="1:2" x14ac:dyDescent="0.25">
      <c r="A1414" s="2">
        <v>45254</v>
      </c>
      <c r="B1414" s="9">
        <v>12300</v>
      </c>
    </row>
    <row r="1415" spans="1:2" x14ac:dyDescent="0.25">
      <c r="A1415" s="2">
        <v>45255</v>
      </c>
      <c r="B1415" s="9">
        <v>6400</v>
      </c>
    </row>
    <row r="1416" spans="1:2" x14ac:dyDescent="0.25">
      <c r="A1416" s="2">
        <v>45256</v>
      </c>
      <c r="B1416" s="9">
        <v>8500</v>
      </c>
    </row>
    <row r="1417" spans="1:2" x14ac:dyDescent="0.25">
      <c r="A1417" s="2">
        <v>45257</v>
      </c>
      <c r="B1417" s="9">
        <v>9900</v>
      </c>
    </row>
    <row r="1418" spans="1:2" x14ac:dyDescent="0.25">
      <c r="A1418" s="2">
        <v>45258</v>
      </c>
      <c r="B1418" s="9">
        <v>11900</v>
      </c>
    </row>
    <row r="1419" spans="1:2" x14ac:dyDescent="0.25">
      <c r="A1419" s="2">
        <v>45259</v>
      </c>
      <c r="B1419" s="9">
        <v>7900</v>
      </c>
    </row>
    <row r="1420" spans="1:2" x14ac:dyDescent="0.25">
      <c r="A1420" s="2">
        <v>45260</v>
      </c>
      <c r="B1420" s="9">
        <v>6800</v>
      </c>
    </row>
    <row r="1421" spans="1:2" x14ac:dyDescent="0.25">
      <c r="A1421" s="2">
        <v>45261</v>
      </c>
      <c r="B1421" s="9">
        <v>13400</v>
      </c>
    </row>
    <row r="1422" spans="1:2" x14ac:dyDescent="0.25">
      <c r="A1422" s="2">
        <v>45262</v>
      </c>
      <c r="B1422" s="9">
        <v>4400</v>
      </c>
    </row>
    <row r="1423" spans="1:2" x14ac:dyDescent="0.25">
      <c r="A1423" s="2">
        <v>45263</v>
      </c>
      <c r="B1423" s="9">
        <v>6900</v>
      </c>
    </row>
    <row r="1424" spans="1:2" x14ac:dyDescent="0.25">
      <c r="A1424" s="2">
        <v>45264</v>
      </c>
      <c r="B1424" s="9">
        <v>13000</v>
      </c>
    </row>
    <row r="1425" spans="1:2" x14ac:dyDescent="0.25">
      <c r="A1425" s="2">
        <v>45265</v>
      </c>
      <c r="B1425" s="9">
        <v>6000</v>
      </c>
    </row>
    <row r="1426" spans="1:2" x14ac:dyDescent="0.25">
      <c r="A1426" s="2">
        <v>45266</v>
      </c>
      <c r="B1426" s="9">
        <v>4800</v>
      </c>
    </row>
    <row r="1427" spans="1:2" x14ac:dyDescent="0.25">
      <c r="A1427" s="2">
        <v>45267</v>
      </c>
      <c r="B1427" s="9">
        <v>10200</v>
      </c>
    </row>
    <row r="1428" spans="1:2" x14ac:dyDescent="0.25">
      <c r="A1428" s="2">
        <v>45268</v>
      </c>
      <c r="B1428" s="9">
        <v>5600</v>
      </c>
    </row>
    <row r="1429" spans="1:2" x14ac:dyDescent="0.25">
      <c r="A1429" s="2">
        <v>45269</v>
      </c>
      <c r="B1429" s="9">
        <v>8000</v>
      </c>
    </row>
    <row r="1430" spans="1:2" x14ac:dyDescent="0.25">
      <c r="A1430" s="2">
        <v>45270</v>
      </c>
      <c r="B1430" s="9">
        <v>6000</v>
      </c>
    </row>
    <row r="1431" spans="1:2" x14ac:dyDescent="0.25">
      <c r="A1431" s="2">
        <v>45271</v>
      </c>
      <c r="B1431" s="9">
        <v>14800</v>
      </c>
    </row>
    <row r="1432" spans="1:2" x14ac:dyDescent="0.25">
      <c r="A1432" s="2">
        <v>45272</v>
      </c>
      <c r="B1432" s="9">
        <v>11100</v>
      </c>
    </row>
    <row r="1433" spans="1:2" x14ac:dyDescent="0.25">
      <c r="A1433" s="2">
        <v>45273</v>
      </c>
      <c r="B1433" s="9">
        <v>14500</v>
      </c>
    </row>
    <row r="1434" spans="1:2" x14ac:dyDescent="0.25">
      <c r="A1434" s="2">
        <v>45274</v>
      </c>
      <c r="B1434" s="9">
        <v>13600</v>
      </c>
    </row>
    <row r="1435" spans="1:2" x14ac:dyDescent="0.25">
      <c r="A1435" s="2">
        <v>45275</v>
      </c>
      <c r="B1435" s="9">
        <v>5400</v>
      </c>
    </row>
    <row r="1436" spans="1:2" x14ac:dyDescent="0.25">
      <c r="A1436" s="2">
        <v>45276</v>
      </c>
      <c r="B1436" s="9">
        <v>7100</v>
      </c>
    </row>
    <row r="1437" spans="1:2" x14ac:dyDescent="0.25">
      <c r="A1437" s="2">
        <v>45277</v>
      </c>
      <c r="B1437" s="9">
        <v>4600</v>
      </c>
    </row>
    <row r="1438" spans="1:2" x14ac:dyDescent="0.25">
      <c r="A1438" s="2">
        <v>45278</v>
      </c>
      <c r="B1438" s="9">
        <v>11300</v>
      </c>
    </row>
    <row r="1439" spans="1:2" x14ac:dyDescent="0.25">
      <c r="A1439" s="2">
        <v>45279</v>
      </c>
      <c r="B1439" s="9">
        <v>13300</v>
      </c>
    </row>
    <row r="1440" spans="1:2" x14ac:dyDescent="0.25">
      <c r="A1440" s="2">
        <v>45280</v>
      </c>
      <c r="B1440" s="9">
        <v>14900</v>
      </c>
    </row>
    <row r="1441" spans="1:2" x14ac:dyDescent="0.25">
      <c r="A1441" s="2">
        <v>45281</v>
      </c>
      <c r="B1441" s="9">
        <v>14600</v>
      </c>
    </row>
    <row r="1442" spans="1:2" x14ac:dyDescent="0.25">
      <c r="A1442" s="2">
        <v>45282</v>
      </c>
      <c r="B1442" s="9">
        <v>10100</v>
      </c>
    </row>
    <row r="1443" spans="1:2" x14ac:dyDescent="0.25">
      <c r="A1443" s="2">
        <v>45283</v>
      </c>
      <c r="B1443" s="9">
        <v>7500</v>
      </c>
    </row>
    <row r="1444" spans="1:2" x14ac:dyDescent="0.25">
      <c r="A1444" s="2">
        <v>45284</v>
      </c>
      <c r="B1444" s="9">
        <v>9900</v>
      </c>
    </row>
    <row r="1445" spans="1:2" x14ac:dyDescent="0.25">
      <c r="A1445" s="2">
        <v>45285</v>
      </c>
      <c r="B1445" s="9">
        <v>7200</v>
      </c>
    </row>
    <row r="1446" spans="1:2" x14ac:dyDescent="0.25">
      <c r="A1446" s="2">
        <v>45286</v>
      </c>
      <c r="B1446" s="9">
        <v>15000</v>
      </c>
    </row>
    <row r="1447" spans="1:2" x14ac:dyDescent="0.25">
      <c r="A1447" s="2">
        <v>45287</v>
      </c>
      <c r="B1447" s="9">
        <v>6900</v>
      </c>
    </row>
    <row r="1448" spans="1:2" x14ac:dyDescent="0.25">
      <c r="A1448" s="2">
        <v>45288</v>
      </c>
      <c r="B1448" s="9">
        <v>12400</v>
      </c>
    </row>
    <row r="1449" spans="1:2" x14ac:dyDescent="0.25">
      <c r="A1449" s="2">
        <v>45289</v>
      </c>
      <c r="B1449" s="9">
        <v>5000</v>
      </c>
    </row>
    <row r="1450" spans="1:2" x14ac:dyDescent="0.25">
      <c r="A1450" s="2">
        <v>45290</v>
      </c>
      <c r="B1450" s="9">
        <v>5800</v>
      </c>
    </row>
    <row r="1451" spans="1:2" x14ac:dyDescent="0.25">
      <c r="A1451" s="2">
        <v>45291</v>
      </c>
      <c r="B1451" s="9">
        <v>13800</v>
      </c>
    </row>
    <row r="1452" spans="1:2" x14ac:dyDescent="0.25">
      <c r="A1452" s="2">
        <v>45292</v>
      </c>
      <c r="B1452" s="9">
        <v>6100</v>
      </c>
    </row>
    <row r="1453" spans="1:2" x14ac:dyDescent="0.25">
      <c r="A1453" s="2">
        <v>45293</v>
      </c>
      <c r="B1453" s="9">
        <v>13300</v>
      </c>
    </row>
    <row r="1454" spans="1:2" x14ac:dyDescent="0.25">
      <c r="A1454" s="2">
        <v>45294</v>
      </c>
      <c r="B1454" s="9">
        <v>4100</v>
      </c>
    </row>
    <row r="1455" spans="1:2" x14ac:dyDescent="0.25">
      <c r="A1455" s="2">
        <v>45295</v>
      </c>
      <c r="B1455" s="9">
        <v>6700</v>
      </c>
    </row>
    <row r="1456" spans="1:2" x14ac:dyDescent="0.25">
      <c r="A1456" s="2">
        <v>45296</v>
      </c>
      <c r="B1456" s="9">
        <v>14800</v>
      </c>
    </row>
    <row r="1457" spans="1:2" x14ac:dyDescent="0.25">
      <c r="A1457" s="2">
        <v>45297</v>
      </c>
      <c r="B1457" s="9">
        <v>5800</v>
      </c>
    </row>
    <row r="1458" spans="1:2" x14ac:dyDescent="0.25">
      <c r="A1458" s="2">
        <v>45298</v>
      </c>
      <c r="B1458" s="9">
        <v>10700</v>
      </c>
    </row>
    <row r="1459" spans="1:2" x14ac:dyDescent="0.25">
      <c r="A1459" s="2">
        <v>45299</v>
      </c>
      <c r="B1459" s="9">
        <v>10000</v>
      </c>
    </row>
    <row r="1460" spans="1:2" x14ac:dyDescent="0.25">
      <c r="A1460" s="2">
        <v>45300</v>
      </c>
      <c r="B1460" s="9">
        <v>6200</v>
      </c>
    </row>
    <row r="1461" spans="1:2" x14ac:dyDescent="0.25">
      <c r="A1461" s="2">
        <v>45301</v>
      </c>
      <c r="B1461" s="9">
        <v>14800</v>
      </c>
    </row>
    <row r="1462" spans="1:2" x14ac:dyDescent="0.25">
      <c r="A1462" s="2">
        <v>45302</v>
      </c>
      <c r="B1462" s="9">
        <v>12500</v>
      </c>
    </row>
    <row r="1463" spans="1:2" x14ac:dyDescent="0.25">
      <c r="A1463" s="2">
        <v>45303</v>
      </c>
      <c r="B1463" s="9">
        <v>7000</v>
      </c>
    </row>
    <row r="1464" spans="1:2" x14ac:dyDescent="0.25">
      <c r="A1464" s="2">
        <v>45304</v>
      </c>
      <c r="B1464" s="9">
        <v>7300</v>
      </c>
    </row>
    <row r="1465" spans="1:2" x14ac:dyDescent="0.25">
      <c r="A1465" s="2">
        <v>45305</v>
      </c>
      <c r="B1465" s="9">
        <v>9900</v>
      </c>
    </row>
    <row r="1466" spans="1:2" x14ac:dyDescent="0.25">
      <c r="A1466" s="2">
        <v>45306</v>
      </c>
      <c r="B1466" s="9">
        <v>7800</v>
      </c>
    </row>
    <row r="1467" spans="1:2" x14ac:dyDescent="0.25">
      <c r="A1467" s="2">
        <v>45307</v>
      </c>
      <c r="B1467" s="9">
        <v>8100</v>
      </c>
    </row>
    <row r="1468" spans="1:2" x14ac:dyDescent="0.25">
      <c r="A1468" s="2">
        <v>45308</v>
      </c>
      <c r="B1468" s="9">
        <v>4500</v>
      </c>
    </row>
    <row r="1469" spans="1:2" x14ac:dyDescent="0.25">
      <c r="A1469" s="2">
        <v>45309</v>
      </c>
      <c r="B1469" s="9">
        <v>8300</v>
      </c>
    </row>
    <row r="1470" spans="1:2" x14ac:dyDescent="0.25">
      <c r="A1470" s="2">
        <v>45310</v>
      </c>
      <c r="B1470" s="9">
        <v>7500</v>
      </c>
    </row>
    <row r="1471" spans="1:2" x14ac:dyDescent="0.25">
      <c r="A1471" s="2">
        <v>45311</v>
      </c>
      <c r="B1471" s="9">
        <v>5800</v>
      </c>
    </row>
    <row r="1472" spans="1:2" x14ac:dyDescent="0.25">
      <c r="A1472" s="2">
        <v>45312</v>
      </c>
      <c r="B1472" s="9">
        <v>9900</v>
      </c>
    </row>
    <row r="1473" spans="1:2" x14ac:dyDescent="0.25">
      <c r="A1473" s="2">
        <v>45313</v>
      </c>
      <c r="B1473" s="9">
        <v>5500</v>
      </c>
    </row>
    <row r="1474" spans="1:2" x14ac:dyDescent="0.25">
      <c r="A1474" s="2">
        <v>45314</v>
      </c>
      <c r="B1474" s="9">
        <v>5700</v>
      </c>
    </row>
    <row r="1475" spans="1:2" x14ac:dyDescent="0.25">
      <c r="A1475" s="2">
        <v>45315</v>
      </c>
      <c r="B1475" s="9">
        <v>7200</v>
      </c>
    </row>
    <row r="1476" spans="1:2" x14ac:dyDescent="0.25">
      <c r="A1476" s="2">
        <v>45316</v>
      </c>
      <c r="B1476" s="9">
        <v>10800</v>
      </c>
    </row>
    <row r="1477" spans="1:2" x14ac:dyDescent="0.25">
      <c r="A1477" s="2">
        <v>45317</v>
      </c>
      <c r="B1477" s="9">
        <v>6800</v>
      </c>
    </row>
    <row r="1478" spans="1:2" x14ac:dyDescent="0.25">
      <c r="A1478" s="2">
        <v>45318</v>
      </c>
      <c r="B1478" s="9">
        <v>14500</v>
      </c>
    </row>
    <row r="1479" spans="1:2" x14ac:dyDescent="0.25">
      <c r="A1479" s="2">
        <v>45319</v>
      </c>
      <c r="B1479" s="9">
        <v>11300</v>
      </c>
    </row>
    <row r="1480" spans="1:2" x14ac:dyDescent="0.25">
      <c r="A1480" s="2">
        <v>45320</v>
      </c>
      <c r="B1480" s="9">
        <v>12600</v>
      </c>
    </row>
    <row r="1481" spans="1:2" x14ac:dyDescent="0.25">
      <c r="A1481" s="2">
        <v>45321</v>
      </c>
      <c r="B1481" s="9">
        <v>11800</v>
      </c>
    </row>
    <row r="1482" spans="1:2" x14ac:dyDescent="0.25">
      <c r="A1482" s="2">
        <v>45322</v>
      </c>
      <c r="B1482" s="9">
        <v>13000</v>
      </c>
    </row>
    <row r="1483" spans="1:2" x14ac:dyDescent="0.25">
      <c r="A1483" s="2">
        <v>45323</v>
      </c>
      <c r="B1483" s="9">
        <v>8600</v>
      </c>
    </row>
    <row r="1484" spans="1:2" x14ac:dyDescent="0.25">
      <c r="A1484" s="2">
        <v>45324</v>
      </c>
      <c r="B1484" s="9">
        <v>12800</v>
      </c>
    </row>
    <row r="1485" spans="1:2" x14ac:dyDescent="0.25">
      <c r="A1485" s="2">
        <v>45325</v>
      </c>
      <c r="B1485" s="9">
        <v>11600</v>
      </c>
    </row>
    <row r="1486" spans="1:2" x14ac:dyDescent="0.25">
      <c r="A1486" s="2">
        <v>45326</v>
      </c>
      <c r="B1486" s="9">
        <v>5200</v>
      </c>
    </row>
    <row r="1487" spans="1:2" x14ac:dyDescent="0.25">
      <c r="A1487" s="2">
        <v>45327</v>
      </c>
      <c r="B1487" s="9">
        <v>6600</v>
      </c>
    </row>
    <row r="1488" spans="1:2" x14ac:dyDescent="0.25">
      <c r="A1488" s="2">
        <v>45328</v>
      </c>
      <c r="B1488" s="9">
        <v>8600</v>
      </c>
    </row>
    <row r="1489" spans="1:2" x14ac:dyDescent="0.25">
      <c r="A1489" s="2">
        <v>45329</v>
      </c>
      <c r="B1489" s="9">
        <v>8400</v>
      </c>
    </row>
    <row r="1490" spans="1:2" x14ac:dyDescent="0.25">
      <c r="A1490" s="2">
        <v>45330</v>
      </c>
      <c r="B1490" s="9">
        <v>10400</v>
      </c>
    </row>
    <row r="1491" spans="1:2" x14ac:dyDescent="0.25">
      <c r="A1491" s="2">
        <v>45331</v>
      </c>
      <c r="B1491" s="9">
        <v>12200</v>
      </c>
    </row>
    <row r="1492" spans="1:2" x14ac:dyDescent="0.25">
      <c r="A1492" s="2">
        <v>45332</v>
      </c>
      <c r="B1492" s="9">
        <v>7200</v>
      </c>
    </row>
    <row r="1493" spans="1:2" x14ac:dyDescent="0.25">
      <c r="A1493" s="2">
        <v>45333</v>
      </c>
      <c r="B1493" s="9">
        <v>14400</v>
      </c>
    </row>
    <row r="1494" spans="1:2" x14ac:dyDescent="0.25">
      <c r="A1494" s="2">
        <v>45334</v>
      </c>
      <c r="B1494" s="9">
        <v>14300</v>
      </c>
    </row>
    <row r="1495" spans="1:2" x14ac:dyDescent="0.25">
      <c r="A1495" s="2">
        <v>45335</v>
      </c>
      <c r="B1495" s="9">
        <v>7300</v>
      </c>
    </row>
    <row r="1496" spans="1:2" x14ac:dyDescent="0.25">
      <c r="A1496" s="2">
        <v>45336</v>
      </c>
      <c r="B1496" s="9">
        <v>13500</v>
      </c>
    </row>
    <row r="1497" spans="1:2" x14ac:dyDescent="0.25">
      <c r="A1497" s="2">
        <v>45337</v>
      </c>
      <c r="B1497" s="9">
        <v>9400</v>
      </c>
    </row>
    <row r="1498" spans="1:2" x14ac:dyDescent="0.25">
      <c r="A1498" s="2">
        <v>45338</v>
      </c>
      <c r="B1498" s="9">
        <v>10800</v>
      </c>
    </row>
    <row r="1499" spans="1:2" x14ac:dyDescent="0.25">
      <c r="A1499" s="2">
        <v>45339</v>
      </c>
      <c r="B1499" s="9">
        <v>7200</v>
      </c>
    </row>
    <row r="1500" spans="1:2" x14ac:dyDescent="0.25">
      <c r="A1500" s="2">
        <v>45340</v>
      </c>
      <c r="B1500" s="9">
        <v>11100</v>
      </c>
    </row>
    <row r="1501" spans="1:2" x14ac:dyDescent="0.25">
      <c r="A1501" s="2">
        <v>45341</v>
      </c>
      <c r="B1501" s="9">
        <v>7900</v>
      </c>
    </row>
    <row r="1502" spans="1:2" x14ac:dyDescent="0.25">
      <c r="A1502" s="2">
        <v>45342</v>
      </c>
      <c r="B1502" s="9">
        <v>6600</v>
      </c>
    </row>
    <row r="1503" spans="1:2" x14ac:dyDescent="0.25">
      <c r="A1503" s="2">
        <v>45343</v>
      </c>
      <c r="B1503" s="9">
        <v>13400</v>
      </c>
    </row>
    <row r="1504" spans="1:2" x14ac:dyDescent="0.25">
      <c r="A1504" s="2">
        <v>45344</v>
      </c>
      <c r="B1504" s="9">
        <v>5800</v>
      </c>
    </row>
    <row r="1505" spans="1:2" x14ac:dyDescent="0.25">
      <c r="A1505" s="2">
        <v>45345</v>
      </c>
      <c r="B1505" s="9">
        <v>10900</v>
      </c>
    </row>
    <row r="1506" spans="1:2" x14ac:dyDescent="0.25">
      <c r="A1506" s="2">
        <v>45346</v>
      </c>
      <c r="B1506" s="9">
        <v>5300</v>
      </c>
    </row>
    <row r="1507" spans="1:2" x14ac:dyDescent="0.25">
      <c r="A1507" s="2">
        <v>45347</v>
      </c>
      <c r="B1507" s="9">
        <v>5100</v>
      </c>
    </row>
    <row r="1508" spans="1:2" x14ac:dyDescent="0.25">
      <c r="A1508" s="2">
        <v>45348</v>
      </c>
      <c r="B1508" s="9">
        <v>10200</v>
      </c>
    </row>
    <row r="1509" spans="1:2" x14ac:dyDescent="0.25">
      <c r="A1509" s="2">
        <v>45349</v>
      </c>
      <c r="B1509" s="9">
        <v>11900</v>
      </c>
    </row>
    <row r="1510" spans="1:2" x14ac:dyDescent="0.25">
      <c r="A1510" s="2">
        <v>45350</v>
      </c>
      <c r="B1510" s="9">
        <v>12300</v>
      </c>
    </row>
    <row r="1511" spans="1:2" x14ac:dyDescent="0.25">
      <c r="A1511" s="2">
        <v>45351</v>
      </c>
      <c r="B1511" s="9">
        <v>5600</v>
      </c>
    </row>
    <row r="1512" spans="1:2" x14ac:dyDescent="0.25">
      <c r="A1512" s="2">
        <v>45352</v>
      </c>
      <c r="B1512" s="9">
        <v>14700</v>
      </c>
    </row>
    <row r="1513" spans="1:2" x14ac:dyDescent="0.25">
      <c r="A1513" s="2">
        <v>45353</v>
      </c>
      <c r="B1513" s="9">
        <v>4900</v>
      </c>
    </row>
    <row r="1514" spans="1:2" x14ac:dyDescent="0.25">
      <c r="A1514" s="2">
        <v>45354</v>
      </c>
      <c r="B1514" s="9">
        <v>8500</v>
      </c>
    </row>
    <row r="1515" spans="1:2" x14ac:dyDescent="0.25">
      <c r="A1515" s="2">
        <v>45355</v>
      </c>
      <c r="B1515" s="9">
        <v>9200</v>
      </c>
    </row>
    <row r="1516" spans="1:2" x14ac:dyDescent="0.25">
      <c r="A1516" s="2">
        <v>45356</v>
      </c>
      <c r="B1516" s="9">
        <v>13400</v>
      </c>
    </row>
    <row r="1517" spans="1:2" x14ac:dyDescent="0.25">
      <c r="A1517" s="2">
        <v>45357</v>
      </c>
      <c r="B1517" s="9">
        <v>10800</v>
      </c>
    </row>
    <row r="1518" spans="1:2" x14ac:dyDescent="0.25">
      <c r="A1518" s="2">
        <v>45358</v>
      </c>
      <c r="B1518" s="9">
        <v>12400</v>
      </c>
    </row>
    <row r="1519" spans="1:2" x14ac:dyDescent="0.25">
      <c r="A1519" s="2">
        <v>45359</v>
      </c>
      <c r="B1519" s="9">
        <v>7800</v>
      </c>
    </row>
    <row r="1520" spans="1:2" x14ac:dyDescent="0.25">
      <c r="A1520" s="2">
        <v>45360</v>
      </c>
      <c r="B1520" s="9">
        <v>11300</v>
      </c>
    </row>
    <row r="1521" spans="1:2" x14ac:dyDescent="0.25">
      <c r="A1521" s="2">
        <v>45361</v>
      </c>
      <c r="B1521" s="9">
        <v>6300</v>
      </c>
    </row>
    <row r="1522" spans="1:2" x14ac:dyDescent="0.25">
      <c r="A1522" s="2">
        <v>45362</v>
      </c>
      <c r="B1522" s="9">
        <v>11500</v>
      </c>
    </row>
    <row r="1523" spans="1:2" x14ac:dyDescent="0.25">
      <c r="A1523" s="2">
        <v>45363</v>
      </c>
      <c r="B1523" s="9">
        <v>14100</v>
      </c>
    </row>
    <row r="1524" spans="1:2" x14ac:dyDescent="0.25">
      <c r="A1524" s="2">
        <v>45364</v>
      </c>
      <c r="B1524" s="9">
        <v>4500</v>
      </c>
    </row>
    <row r="1525" spans="1:2" x14ac:dyDescent="0.25">
      <c r="A1525" s="2">
        <v>45365</v>
      </c>
      <c r="B1525" s="9">
        <v>9500</v>
      </c>
    </row>
    <row r="1526" spans="1:2" x14ac:dyDescent="0.25">
      <c r="A1526" s="2">
        <v>45366</v>
      </c>
      <c r="B1526" s="9">
        <v>15000</v>
      </c>
    </row>
    <row r="1527" spans="1:2" x14ac:dyDescent="0.25">
      <c r="A1527" s="2">
        <v>45367</v>
      </c>
      <c r="B1527" s="9">
        <v>4500</v>
      </c>
    </row>
    <row r="1528" spans="1:2" x14ac:dyDescent="0.25">
      <c r="A1528" s="2">
        <v>45368</v>
      </c>
      <c r="B1528" s="9">
        <v>14500</v>
      </c>
    </row>
    <row r="1529" spans="1:2" x14ac:dyDescent="0.25">
      <c r="A1529" s="2">
        <v>45369</v>
      </c>
      <c r="B1529" s="9">
        <v>5800</v>
      </c>
    </row>
    <row r="1530" spans="1:2" x14ac:dyDescent="0.25">
      <c r="A1530" s="2">
        <v>45370</v>
      </c>
      <c r="B1530" s="9">
        <v>13900</v>
      </c>
    </row>
    <row r="1531" spans="1:2" x14ac:dyDescent="0.25">
      <c r="A1531" s="2">
        <v>45371</v>
      </c>
      <c r="B1531" s="9">
        <v>7400</v>
      </c>
    </row>
    <row r="1532" spans="1:2" x14ac:dyDescent="0.25">
      <c r="A1532" s="2">
        <v>45372</v>
      </c>
      <c r="B1532" s="9">
        <v>5000</v>
      </c>
    </row>
    <row r="1533" spans="1:2" x14ac:dyDescent="0.25">
      <c r="A1533" s="2">
        <v>45373</v>
      </c>
      <c r="B1533" s="9">
        <v>11700</v>
      </c>
    </row>
    <row r="1534" spans="1:2" x14ac:dyDescent="0.25">
      <c r="A1534" s="2">
        <v>45374</v>
      </c>
      <c r="B1534" s="9">
        <v>11600</v>
      </c>
    </row>
    <row r="1535" spans="1:2" x14ac:dyDescent="0.25">
      <c r="A1535" s="2">
        <v>45375</v>
      </c>
      <c r="B1535" s="9">
        <v>13800</v>
      </c>
    </row>
    <row r="1536" spans="1:2" x14ac:dyDescent="0.25">
      <c r="A1536" s="2">
        <v>45376</v>
      </c>
      <c r="B1536" s="9">
        <v>11200</v>
      </c>
    </row>
    <row r="1537" spans="1:2" x14ac:dyDescent="0.25">
      <c r="A1537" s="2">
        <v>45377</v>
      </c>
      <c r="B1537" s="9">
        <v>14500</v>
      </c>
    </row>
    <row r="1538" spans="1:2" x14ac:dyDescent="0.25">
      <c r="A1538" s="2">
        <v>45378</v>
      </c>
      <c r="B1538" s="9">
        <v>10600</v>
      </c>
    </row>
    <row r="1539" spans="1:2" x14ac:dyDescent="0.25">
      <c r="A1539" s="2">
        <v>45379</v>
      </c>
      <c r="B1539" s="9">
        <v>7900</v>
      </c>
    </row>
    <row r="1540" spans="1:2" x14ac:dyDescent="0.25">
      <c r="A1540" s="2">
        <v>45380</v>
      </c>
      <c r="B1540" s="9">
        <v>8200</v>
      </c>
    </row>
    <row r="1541" spans="1:2" x14ac:dyDescent="0.25">
      <c r="A1541" s="2">
        <v>45381</v>
      </c>
      <c r="B1541" s="9">
        <v>9200</v>
      </c>
    </row>
    <row r="1542" spans="1:2" x14ac:dyDescent="0.25">
      <c r="A1542" s="2">
        <v>45382</v>
      </c>
      <c r="B1542" s="9">
        <v>5500</v>
      </c>
    </row>
    <row r="1543" spans="1:2" x14ac:dyDescent="0.25">
      <c r="A1543" s="2">
        <v>45383</v>
      </c>
      <c r="B1543" s="9">
        <v>8600</v>
      </c>
    </row>
    <row r="1544" spans="1:2" x14ac:dyDescent="0.25">
      <c r="A1544" s="2">
        <v>45384</v>
      </c>
      <c r="B1544" s="9">
        <v>8200</v>
      </c>
    </row>
    <row r="1545" spans="1:2" x14ac:dyDescent="0.25">
      <c r="A1545" s="2">
        <v>45385</v>
      </c>
      <c r="B1545" s="9">
        <v>10800</v>
      </c>
    </row>
    <row r="1546" spans="1:2" x14ac:dyDescent="0.25">
      <c r="A1546" s="2">
        <v>45386</v>
      </c>
      <c r="B1546" s="9">
        <v>9800</v>
      </c>
    </row>
    <row r="1547" spans="1:2" x14ac:dyDescent="0.25">
      <c r="A1547" s="2">
        <v>45387</v>
      </c>
      <c r="B1547" s="9">
        <v>7100</v>
      </c>
    </row>
    <row r="1548" spans="1:2" x14ac:dyDescent="0.25">
      <c r="A1548" s="2">
        <v>45388</v>
      </c>
      <c r="B1548" s="9">
        <v>14400</v>
      </c>
    </row>
    <row r="1549" spans="1:2" x14ac:dyDescent="0.25">
      <c r="A1549" s="2">
        <v>45389</v>
      </c>
      <c r="B1549" s="9">
        <v>11400</v>
      </c>
    </row>
    <row r="1550" spans="1:2" x14ac:dyDescent="0.25">
      <c r="A1550" s="2">
        <v>45390</v>
      </c>
      <c r="B1550" s="9">
        <v>12600</v>
      </c>
    </row>
    <row r="1551" spans="1:2" x14ac:dyDescent="0.25">
      <c r="A1551" s="2">
        <v>45391</v>
      </c>
      <c r="B1551" s="9">
        <v>10100</v>
      </c>
    </row>
    <row r="1552" spans="1:2" x14ac:dyDescent="0.25">
      <c r="A1552" s="2">
        <v>45392</v>
      </c>
      <c r="B1552" s="9">
        <v>9900</v>
      </c>
    </row>
    <row r="1553" spans="1:2" x14ac:dyDescent="0.25">
      <c r="A1553" s="2">
        <v>45393</v>
      </c>
      <c r="B1553" s="9">
        <v>14900</v>
      </c>
    </row>
    <row r="1554" spans="1:2" x14ac:dyDescent="0.25">
      <c r="A1554" s="2">
        <v>45394</v>
      </c>
      <c r="B1554" s="9">
        <v>13700</v>
      </c>
    </row>
    <row r="1555" spans="1:2" x14ac:dyDescent="0.25">
      <c r="A1555" s="2">
        <v>45395</v>
      </c>
      <c r="B1555" s="9">
        <v>5300</v>
      </c>
    </row>
    <row r="1556" spans="1:2" x14ac:dyDescent="0.25">
      <c r="A1556" s="2">
        <v>45396</v>
      </c>
      <c r="B1556" s="9">
        <v>12700</v>
      </c>
    </row>
    <row r="1557" spans="1:2" x14ac:dyDescent="0.25">
      <c r="A1557" s="2">
        <v>45397</v>
      </c>
      <c r="B1557" s="9">
        <v>8900</v>
      </c>
    </row>
    <row r="1558" spans="1:2" x14ac:dyDescent="0.25">
      <c r="A1558" s="2">
        <v>45398</v>
      </c>
      <c r="B1558" s="9">
        <v>4300</v>
      </c>
    </row>
    <row r="1559" spans="1:2" x14ac:dyDescent="0.25">
      <c r="A1559" s="2">
        <v>45399</v>
      </c>
      <c r="B1559" s="9">
        <v>9200</v>
      </c>
    </row>
    <row r="1560" spans="1:2" x14ac:dyDescent="0.25">
      <c r="A1560" s="2">
        <v>45400</v>
      </c>
      <c r="B1560" s="9">
        <v>4300</v>
      </c>
    </row>
    <row r="1561" spans="1:2" x14ac:dyDescent="0.25">
      <c r="A1561" s="2">
        <v>45401</v>
      </c>
      <c r="B1561" s="9">
        <v>8000</v>
      </c>
    </row>
    <row r="1562" spans="1:2" x14ac:dyDescent="0.25">
      <c r="A1562" s="2">
        <v>45402</v>
      </c>
      <c r="B1562" s="9">
        <v>6300</v>
      </c>
    </row>
    <row r="1563" spans="1:2" x14ac:dyDescent="0.25">
      <c r="A1563" s="2">
        <v>45403</v>
      </c>
      <c r="B1563" s="9">
        <v>8600</v>
      </c>
    </row>
    <row r="1564" spans="1:2" x14ac:dyDescent="0.25">
      <c r="A1564" s="2">
        <v>45404</v>
      </c>
      <c r="B1564" s="9">
        <v>13100</v>
      </c>
    </row>
    <row r="1565" spans="1:2" x14ac:dyDescent="0.25">
      <c r="A1565" s="2">
        <v>45405</v>
      </c>
      <c r="B1565" s="9">
        <v>10700</v>
      </c>
    </row>
    <row r="1566" spans="1:2" x14ac:dyDescent="0.25">
      <c r="A1566" s="2">
        <v>45406</v>
      </c>
      <c r="B1566" s="9">
        <v>4100</v>
      </c>
    </row>
    <row r="1567" spans="1:2" x14ac:dyDescent="0.25">
      <c r="A1567" s="2">
        <v>45407</v>
      </c>
      <c r="B1567" s="9">
        <v>14800</v>
      </c>
    </row>
    <row r="1568" spans="1:2" x14ac:dyDescent="0.25">
      <c r="A1568" s="2">
        <v>45408</v>
      </c>
      <c r="B1568" s="9">
        <v>12900</v>
      </c>
    </row>
    <row r="1569" spans="1:2" x14ac:dyDescent="0.25">
      <c r="A1569" s="2">
        <v>45409</v>
      </c>
      <c r="B1569" s="9">
        <v>10100</v>
      </c>
    </row>
    <row r="1570" spans="1:2" x14ac:dyDescent="0.25">
      <c r="A1570" s="2">
        <v>45410</v>
      </c>
      <c r="B1570" s="9">
        <v>9500</v>
      </c>
    </row>
    <row r="1571" spans="1:2" x14ac:dyDescent="0.25">
      <c r="A1571" s="2">
        <v>45411</v>
      </c>
      <c r="B1571" s="9">
        <v>8200</v>
      </c>
    </row>
    <row r="1572" spans="1:2" x14ac:dyDescent="0.25">
      <c r="A1572" s="2">
        <v>45412</v>
      </c>
      <c r="B1572" s="9">
        <v>6600</v>
      </c>
    </row>
    <row r="1573" spans="1:2" x14ac:dyDescent="0.25">
      <c r="A1573" s="2">
        <v>45413</v>
      </c>
      <c r="B1573" s="9">
        <v>13400</v>
      </c>
    </row>
    <row r="1574" spans="1:2" x14ac:dyDescent="0.25">
      <c r="A1574" s="2">
        <v>45414</v>
      </c>
      <c r="B1574" s="9">
        <v>7500</v>
      </c>
    </row>
    <row r="1575" spans="1:2" x14ac:dyDescent="0.25">
      <c r="A1575" s="2">
        <v>45415</v>
      </c>
      <c r="B1575" s="9">
        <v>14300</v>
      </c>
    </row>
    <row r="1576" spans="1:2" x14ac:dyDescent="0.25">
      <c r="A1576" s="2">
        <v>45416</v>
      </c>
      <c r="B1576" s="9">
        <v>10000</v>
      </c>
    </row>
    <row r="1577" spans="1:2" x14ac:dyDescent="0.25">
      <c r="A1577" s="2">
        <v>45417</v>
      </c>
      <c r="B1577" s="9">
        <v>14500</v>
      </c>
    </row>
    <row r="1578" spans="1:2" x14ac:dyDescent="0.25">
      <c r="A1578" s="2">
        <v>45418</v>
      </c>
      <c r="B1578" s="9">
        <v>13600</v>
      </c>
    </row>
    <row r="1579" spans="1:2" x14ac:dyDescent="0.25">
      <c r="A1579" s="2">
        <v>45419</v>
      </c>
      <c r="B1579" s="9">
        <v>5000</v>
      </c>
    </row>
    <row r="1580" spans="1:2" x14ac:dyDescent="0.25">
      <c r="A1580" s="2">
        <v>45420</v>
      </c>
      <c r="B1580" s="9">
        <v>6200</v>
      </c>
    </row>
    <row r="1581" spans="1:2" x14ac:dyDescent="0.25">
      <c r="A1581" s="2">
        <v>45421</v>
      </c>
      <c r="B1581" s="9">
        <v>5300</v>
      </c>
    </row>
    <row r="1582" spans="1:2" x14ac:dyDescent="0.25">
      <c r="A1582" s="2">
        <v>45422</v>
      </c>
      <c r="B1582" s="9">
        <v>9600</v>
      </c>
    </row>
    <row r="1583" spans="1:2" x14ac:dyDescent="0.25">
      <c r="A1583" s="2">
        <v>45423</v>
      </c>
      <c r="B1583" s="9">
        <v>10000</v>
      </c>
    </row>
    <row r="1584" spans="1:2" x14ac:dyDescent="0.25">
      <c r="A1584" s="2">
        <v>45424</v>
      </c>
      <c r="B1584" s="9">
        <v>5900</v>
      </c>
    </row>
    <row r="1585" spans="1:2" x14ac:dyDescent="0.25">
      <c r="A1585" s="2">
        <v>45425</v>
      </c>
      <c r="B1585" s="9">
        <v>11900</v>
      </c>
    </row>
    <row r="1586" spans="1:2" x14ac:dyDescent="0.25">
      <c r="A1586" s="2">
        <v>45426</v>
      </c>
      <c r="B1586" s="9">
        <v>9900</v>
      </c>
    </row>
    <row r="1587" spans="1:2" x14ac:dyDescent="0.25">
      <c r="A1587" s="2">
        <v>45427</v>
      </c>
      <c r="B1587" s="9">
        <v>5500</v>
      </c>
    </row>
    <row r="1588" spans="1:2" x14ac:dyDescent="0.25">
      <c r="A1588" s="2">
        <v>45428</v>
      </c>
      <c r="B1588" s="9">
        <v>11900</v>
      </c>
    </row>
    <row r="1589" spans="1:2" x14ac:dyDescent="0.25">
      <c r="A1589" s="2">
        <v>45429</v>
      </c>
      <c r="B1589" s="9">
        <v>8100</v>
      </c>
    </row>
    <row r="1590" spans="1:2" x14ac:dyDescent="0.25">
      <c r="A1590" s="2">
        <v>45430</v>
      </c>
      <c r="B1590" s="9">
        <v>12400</v>
      </c>
    </row>
    <row r="1591" spans="1:2" x14ac:dyDescent="0.25">
      <c r="A1591" s="2">
        <v>45431</v>
      </c>
      <c r="B1591" s="9">
        <v>10800</v>
      </c>
    </row>
    <row r="1592" spans="1:2" x14ac:dyDescent="0.25">
      <c r="A1592" s="2">
        <v>45432</v>
      </c>
      <c r="B1592" s="9">
        <v>4300</v>
      </c>
    </row>
    <row r="1593" spans="1:2" x14ac:dyDescent="0.25">
      <c r="A1593" s="2">
        <v>45433</v>
      </c>
      <c r="B1593" s="9">
        <v>8600</v>
      </c>
    </row>
    <row r="1594" spans="1:2" x14ac:dyDescent="0.25">
      <c r="A1594" s="2">
        <v>45434</v>
      </c>
      <c r="B1594" s="9">
        <v>9200</v>
      </c>
    </row>
    <row r="1595" spans="1:2" x14ac:dyDescent="0.25">
      <c r="A1595" s="2">
        <v>45435</v>
      </c>
      <c r="B1595" s="9">
        <v>9500</v>
      </c>
    </row>
    <row r="1596" spans="1:2" x14ac:dyDescent="0.25">
      <c r="A1596" s="2">
        <v>45436</v>
      </c>
      <c r="B1596" s="9">
        <v>14400</v>
      </c>
    </row>
    <row r="1597" spans="1:2" x14ac:dyDescent="0.25">
      <c r="A1597" s="2">
        <v>45437</v>
      </c>
      <c r="B1597" s="9">
        <v>13700</v>
      </c>
    </row>
    <row r="1598" spans="1:2" x14ac:dyDescent="0.25">
      <c r="A1598" s="2">
        <v>45438</v>
      </c>
      <c r="B1598" s="9">
        <v>5500</v>
      </c>
    </row>
    <row r="1599" spans="1:2" x14ac:dyDescent="0.25">
      <c r="A1599" s="2">
        <v>45439</v>
      </c>
      <c r="B1599" s="9">
        <v>10400</v>
      </c>
    </row>
    <row r="1600" spans="1:2" x14ac:dyDescent="0.25">
      <c r="A1600" s="2">
        <v>45440</v>
      </c>
      <c r="B1600" s="9">
        <v>11100</v>
      </c>
    </row>
    <row r="1601" spans="1:2" x14ac:dyDescent="0.25">
      <c r="A1601" s="2">
        <v>45441</v>
      </c>
      <c r="B1601" s="9">
        <v>9400</v>
      </c>
    </row>
    <row r="1602" spans="1:2" x14ac:dyDescent="0.25">
      <c r="A1602" s="2">
        <v>45442</v>
      </c>
      <c r="B1602" s="9">
        <v>11300</v>
      </c>
    </row>
    <row r="1603" spans="1:2" x14ac:dyDescent="0.25">
      <c r="A1603" s="2">
        <v>45443</v>
      </c>
      <c r="B1603" s="9">
        <v>11900</v>
      </c>
    </row>
    <row r="1604" spans="1:2" x14ac:dyDescent="0.25">
      <c r="A1604" s="2">
        <v>45444</v>
      </c>
      <c r="B1604" s="9">
        <v>14400</v>
      </c>
    </row>
    <row r="1605" spans="1:2" x14ac:dyDescent="0.25">
      <c r="A1605" s="2">
        <v>45445</v>
      </c>
      <c r="B1605" s="9">
        <v>8000</v>
      </c>
    </row>
    <row r="1606" spans="1:2" x14ac:dyDescent="0.25">
      <c r="A1606" s="2">
        <v>45446</v>
      </c>
      <c r="B1606" s="9">
        <v>13300</v>
      </c>
    </row>
    <row r="1607" spans="1:2" x14ac:dyDescent="0.25">
      <c r="A1607" s="2">
        <v>45447</v>
      </c>
      <c r="B1607" s="9">
        <v>6400</v>
      </c>
    </row>
    <row r="1608" spans="1:2" x14ac:dyDescent="0.25">
      <c r="A1608" s="2">
        <v>45448</v>
      </c>
      <c r="B1608" s="9">
        <v>10400</v>
      </c>
    </row>
    <row r="1609" spans="1:2" x14ac:dyDescent="0.25">
      <c r="A1609" s="2">
        <v>45449</v>
      </c>
      <c r="B1609" s="9">
        <v>8200</v>
      </c>
    </row>
    <row r="1610" spans="1:2" x14ac:dyDescent="0.25">
      <c r="A1610" s="2">
        <v>45450</v>
      </c>
      <c r="B1610" s="9">
        <v>4900</v>
      </c>
    </row>
    <row r="1611" spans="1:2" x14ac:dyDescent="0.25">
      <c r="A1611" s="2">
        <v>45451</v>
      </c>
      <c r="B1611" s="9">
        <v>14300</v>
      </c>
    </row>
    <row r="1612" spans="1:2" x14ac:dyDescent="0.25">
      <c r="A1612" s="2">
        <v>45452</v>
      </c>
      <c r="B1612" s="9">
        <v>5900</v>
      </c>
    </row>
    <row r="1613" spans="1:2" x14ac:dyDescent="0.25">
      <c r="A1613" s="2">
        <v>45453</v>
      </c>
      <c r="B1613" s="9">
        <v>9000</v>
      </c>
    </row>
    <row r="1614" spans="1:2" x14ac:dyDescent="0.25">
      <c r="A1614" s="2">
        <v>45454</v>
      </c>
      <c r="B1614" s="9">
        <v>6400</v>
      </c>
    </row>
    <row r="1615" spans="1:2" x14ac:dyDescent="0.25">
      <c r="A1615" s="2">
        <v>45455</v>
      </c>
      <c r="B1615" s="9">
        <v>14400</v>
      </c>
    </row>
    <row r="1616" spans="1:2" x14ac:dyDescent="0.25">
      <c r="A1616" s="2">
        <v>45456</v>
      </c>
      <c r="B1616" s="9">
        <v>7200</v>
      </c>
    </row>
    <row r="1617" spans="1:2" x14ac:dyDescent="0.25">
      <c r="A1617" s="2">
        <v>45457</v>
      </c>
      <c r="B1617" s="9">
        <v>11800</v>
      </c>
    </row>
    <row r="1618" spans="1:2" x14ac:dyDescent="0.25">
      <c r="A1618" s="2">
        <v>45458</v>
      </c>
      <c r="B1618" s="9">
        <v>14500</v>
      </c>
    </row>
    <row r="1619" spans="1:2" x14ac:dyDescent="0.25">
      <c r="A1619" s="2">
        <v>45459</v>
      </c>
      <c r="B1619" s="9">
        <v>5600</v>
      </c>
    </row>
    <row r="1620" spans="1:2" x14ac:dyDescent="0.25">
      <c r="A1620" s="2">
        <v>45460</v>
      </c>
      <c r="B1620" s="9">
        <v>13100</v>
      </c>
    </row>
    <row r="1621" spans="1:2" x14ac:dyDescent="0.25">
      <c r="A1621" s="2">
        <v>45461</v>
      </c>
      <c r="B1621" s="9">
        <v>9400</v>
      </c>
    </row>
    <row r="1622" spans="1:2" x14ac:dyDescent="0.25">
      <c r="A1622" s="2">
        <v>45462</v>
      </c>
      <c r="B1622" s="9">
        <v>7700</v>
      </c>
    </row>
    <row r="1623" spans="1:2" x14ac:dyDescent="0.25">
      <c r="A1623" s="2">
        <v>45463</v>
      </c>
      <c r="B1623" s="9">
        <v>6400</v>
      </c>
    </row>
    <row r="1624" spans="1:2" x14ac:dyDescent="0.25">
      <c r="A1624" s="2">
        <v>45464</v>
      </c>
      <c r="B1624" s="9">
        <v>10900</v>
      </c>
    </row>
    <row r="1625" spans="1:2" x14ac:dyDescent="0.25">
      <c r="A1625" s="2">
        <v>45465</v>
      </c>
      <c r="B1625" s="9">
        <v>9600</v>
      </c>
    </row>
    <row r="1626" spans="1:2" x14ac:dyDescent="0.25">
      <c r="A1626" s="2">
        <v>45466</v>
      </c>
      <c r="B1626" s="9">
        <v>13300</v>
      </c>
    </row>
    <row r="1627" spans="1:2" x14ac:dyDescent="0.25">
      <c r="A1627" s="2">
        <v>45467</v>
      </c>
      <c r="B1627" s="9">
        <v>5800</v>
      </c>
    </row>
    <row r="1628" spans="1:2" x14ac:dyDescent="0.25">
      <c r="A1628" s="2">
        <v>45468</v>
      </c>
      <c r="B1628" s="9">
        <v>13100</v>
      </c>
    </row>
    <row r="1629" spans="1:2" x14ac:dyDescent="0.25">
      <c r="A1629" s="2">
        <v>45469</v>
      </c>
      <c r="B1629" s="9">
        <v>6700</v>
      </c>
    </row>
    <row r="1630" spans="1:2" x14ac:dyDescent="0.25">
      <c r="A1630" s="2">
        <v>45470</v>
      </c>
      <c r="B1630" s="9">
        <v>8200</v>
      </c>
    </row>
    <row r="1631" spans="1:2" x14ac:dyDescent="0.25">
      <c r="A1631" s="2">
        <v>45471</v>
      </c>
      <c r="B1631" s="9">
        <v>10700</v>
      </c>
    </row>
    <row r="1632" spans="1:2" x14ac:dyDescent="0.25">
      <c r="A1632" s="2">
        <v>45472</v>
      </c>
      <c r="B1632" s="9">
        <v>6300</v>
      </c>
    </row>
    <row r="1633" spans="1:2" x14ac:dyDescent="0.25">
      <c r="A1633" s="2">
        <v>45473</v>
      </c>
      <c r="B1633" s="9">
        <v>14600</v>
      </c>
    </row>
    <row r="1634" spans="1:2" x14ac:dyDescent="0.25">
      <c r="A1634" s="2">
        <v>45474</v>
      </c>
      <c r="B1634" s="9">
        <v>14800</v>
      </c>
    </row>
    <row r="1635" spans="1:2" x14ac:dyDescent="0.25">
      <c r="A1635" s="2">
        <v>45475</v>
      </c>
      <c r="B1635" s="9">
        <v>11700</v>
      </c>
    </row>
    <row r="1636" spans="1:2" x14ac:dyDescent="0.25">
      <c r="A1636" s="2">
        <v>45476</v>
      </c>
      <c r="B1636" s="9">
        <v>8300</v>
      </c>
    </row>
    <row r="1637" spans="1:2" x14ac:dyDescent="0.25">
      <c r="A1637" s="2">
        <v>45477</v>
      </c>
      <c r="B1637" s="9">
        <v>7600</v>
      </c>
    </row>
    <row r="1638" spans="1:2" x14ac:dyDescent="0.25">
      <c r="A1638" s="2">
        <v>45478</v>
      </c>
      <c r="B1638" s="9">
        <v>6200</v>
      </c>
    </row>
    <row r="1639" spans="1:2" x14ac:dyDescent="0.25">
      <c r="A1639" s="2">
        <v>45479</v>
      </c>
      <c r="B1639" s="9">
        <v>14100</v>
      </c>
    </row>
    <row r="1640" spans="1:2" x14ac:dyDescent="0.25">
      <c r="A1640" s="2">
        <v>45480</v>
      </c>
      <c r="B1640" s="9">
        <v>4100</v>
      </c>
    </row>
    <row r="1641" spans="1:2" x14ac:dyDescent="0.25">
      <c r="A1641" s="2">
        <v>45481</v>
      </c>
      <c r="B1641" s="9">
        <v>10500</v>
      </c>
    </row>
    <row r="1642" spans="1:2" x14ac:dyDescent="0.25">
      <c r="A1642" s="2">
        <v>45482</v>
      </c>
      <c r="B1642" s="9">
        <v>9300</v>
      </c>
    </row>
    <row r="1643" spans="1:2" x14ac:dyDescent="0.25">
      <c r="A1643" s="2">
        <v>45483</v>
      </c>
      <c r="B1643" s="9">
        <v>7400</v>
      </c>
    </row>
    <row r="1644" spans="1:2" x14ac:dyDescent="0.25">
      <c r="A1644" s="2">
        <v>45484</v>
      </c>
      <c r="B1644" s="9">
        <v>5900</v>
      </c>
    </row>
    <row r="1645" spans="1:2" x14ac:dyDescent="0.25">
      <c r="A1645" s="2">
        <v>45485</v>
      </c>
      <c r="B1645" s="9">
        <v>13900</v>
      </c>
    </row>
    <row r="1646" spans="1:2" x14ac:dyDescent="0.25">
      <c r="A1646" s="2">
        <v>45486</v>
      </c>
      <c r="B1646" s="9">
        <v>9400</v>
      </c>
    </row>
    <row r="1647" spans="1:2" x14ac:dyDescent="0.25">
      <c r="A1647" s="2">
        <v>45487</v>
      </c>
      <c r="B1647" s="9">
        <v>8100</v>
      </c>
    </row>
    <row r="1648" spans="1:2" x14ac:dyDescent="0.25">
      <c r="A1648" s="2">
        <v>45488</v>
      </c>
      <c r="B1648" s="9">
        <v>10200</v>
      </c>
    </row>
    <row r="1649" spans="1:2" x14ac:dyDescent="0.25">
      <c r="A1649" s="2">
        <v>45489</v>
      </c>
      <c r="B1649" s="9">
        <v>12700</v>
      </c>
    </row>
    <row r="1650" spans="1:2" x14ac:dyDescent="0.25">
      <c r="A1650" s="2">
        <v>45490</v>
      </c>
      <c r="B1650" s="9">
        <v>9900</v>
      </c>
    </row>
    <row r="1651" spans="1:2" x14ac:dyDescent="0.25">
      <c r="A1651" s="2">
        <v>45491</v>
      </c>
      <c r="B1651" s="9">
        <v>9800</v>
      </c>
    </row>
    <row r="1652" spans="1:2" x14ac:dyDescent="0.25">
      <c r="A1652" s="2">
        <v>45492</v>
      </c>
      <c r="B1652" s="9">
        <v>6900</v>
      </c>
    </row>
    <row r="1653" spans="1:2" x14ac:dyDescent="0.25">
      <c r="A1653" s="2">
        <v>45493</v>
      </c>
      <c r="B1653" s="9">
        <v>4700</v>
      </c>
    </row>
    <row r="1654" spans="1:2" x14ac:dyDescent="0.25">
      <c r="A1654" s="2">
        <v>45494</v>
      </c>
      <c r="B1654" s="9">
        <v>7400</v>
      </c>
    </row>
    <row r="1655" spans="1:2" x14ac:dyDescent="0.25">
      <c r="A1655" s="2">
        <v>45495</v>
      </c>
      <c r="B1655" s="9">
        <v>11700</v>
      </c>
    </row>
    <row r="1656" spans="1:2" x14ac:dyDescent="0.25">
      <c r="A1656" s="2">
        <v>45496</v>
      </c>
      <c r="B1656" s="9">
        <v>14000</v>
      </c>
    </row>
    <row r="1657" spans="1:2" x14ac:dyDescent="0.25">
      <c r="A1657" s="2">
        <v>45497</v>
      </c>
      <c r="B1657" s="9">
        <v>7200</v>
      </c>
    </row>
    <row r="1658" spans="1:2" x14ac:dyDescent="0.25">
      <c r="A1658" s="2">
        <v>45498</v>
      </c>
      <c r="B1658" s="9">
        <v>7600</v>
      </c>
    </row>
    <row r="1659" spans="1:2" x14ac:dyDescent="0.25">
      <c r="A1659" s="2">
        <v>45499</v>
      </c>
      <c r="B1659" s="9">
        <v>5500</v>
      </c>
    </row>
    <row r="1660" spans="1:2" x14ac:dyDescent="0.25">
      <c r="A1660" s="2">
        <v>45500</v>
      </c>
      <c r="B1660" s="9">
        <v>14100</v>
      </c>
    </row>
    <row r="1661" spans="1:2" x14ac:dyDescent="0.25">
      <c r="A1661" s="2">
        <v>45501</v>
      </c>
      <c r="B1661" s="9">
        <v>13800</v>
      </c>
    </row>
    <row r="1662" spans="1:2" x14ac:dyDescent="0.25">
      <c r="A1662" s="2">
        <v>45502</v>
      </c>
      <c r="B1662" s="9">
        <v>5300</v>
      </c>
    </row>
    <row r="1663" spans="1:2" x14ac:dyDescent="0.25">
      <c r="A1663" s="2">
        <v>45503</v>
      </c>
      <c r="B1663" s="9">
        <v>12400</v>
      </c>
    </row>
    <row r="1664" spans="1:2" x14ac:dyDescent="0.25">
      <c r="A1664" s="2">
        <v>45504</v>
      </c>
      <c r="B1664" s="9">
        <v>11100</v>
      </c>
    </row>
    <row r="1665" spans="1:2" x14ac:dyDescent="0.25">
      <c r="A1665" s="2">
        <v>45505</v>
      </c>
      <c r="B1665" s="9">
        <v>10100</v>
      </c>
    </row>
    <row r="1666" spans="1:2" x14ac:dyDescent="0.25">
      <c r="A1666" s="2">
        <v>45506</v>
      </c>
      <c r="B1666" s="9">
        <v>7900</v>
      </c>
    </row>
    <row r="1667" spans="1:2" x14ac:dyDescent="0.25">
      <c r="A1667" s="2">
        <v>45507</v>
      </c>
      <c r="B1667" s="9">
        <v>10300</v>
      </c>
    </row>
    <row r="1668" spans="1:2" x14ac:dyDescent="0.25">
      <c r="A1668" s="2">
        <v>45508</v>
      </c>
      <c r="B1668" s="9">
        <v>11100</v>
      </c>
    </row>
    <row r="1669" spans="1:2" x14ac:dyDescent="0.25">
      <c r="A1669" s="2">
        <v>45509</v>
      </c>
      <c r="B1669" s="9">
        <v>4500</v>
      </c>
    </row>
    <row r="1670" spans="1:2" x14ac:dyDescent="0.25">
      <c r="A1670" s="2">
        <v>45510</v>
      </c>
      <c r="B1670" s="9">
        <v>11900</v>
      </c>
    </row>
    <row r="1671" spans="1:2" x14ac:dyDescent="0.25">
      <c r="A1671" s="2">
        <v>45511</v>
      </c>
      <c r="B1671" s="9">
        <v>7600</v>
      </c>
    </row>
    <row r="1672" spans="1:2" x14ac:dyDescent="0.25">
      <c r="A1672" s="2">
        <v>45512</v>
      </c>
      <c r="B1672" s="9">
        <v>4400</v>
      </c>
    </row>
    <row r="1673" spans="1:2" x14ac:dyDescent="0.25">
      <c r="A1673" s="2">
        <v>45513</v>
      </c>
      <c r="B1673" s="9">
        <v>11800</v>
      </c>
    </row>
    <row r="1674" spans="1:2" x14ac:dyDescent="0.25">
      <c r="A1674" s="2">
        <v>45514</v>
      </c>
      <c r="B1674" s="9">
        <v>10700</v>
      </c>
    </row>
    <row r="1675" spans="1:2" x14ac:dyDescent="0.25">
      <c r="A1675" s="2">
        <v>45515</v>
      </c>
      <c r="B1675" s="9">
        <v>12800</v>
      </c>
    </row>
    <row r="1676" spans="1:2" x14ac:dyDescent="0.25">
      <c r="A1676" s="2">
        <v>45516</v>
      </c>
      <c r="B1676" s="9">
        <v>9400</v>
      </c>
    </row>
    <row r="1677" spans="1:2" x14ac:dyDescent="0.25">
      <c r="A1677" s="2">
        <v>45517</v>
      </c>
      <c r="B1677" s="9">
        <v>8300</v>
      </c>
    </row>
    <row r="1678" spans="1:2" x14ac:dyDescent="0.25">
      <c r="A1678" s="2">
        <v>45518</v>
      </c>
      <c r="B1678" s="9">
        <v>5400</v>
      </c>
    </row>
    <row r="1679" spans="1:2" x14ac:dyDescent="0.25">
      <c r="A1679" s="2">
        <v>45519</v>
      </c>
      <c r="B1679" s="9">
        <v>5800</v>
      </c>
    </row>
    <row r="1680" spans="1:2" x14ac:dyDescent="0.25">
      <c r="A1680" s="2">
        <v>45520</v>
      </c>
      <c r="B1680" s="9">
        <v>9800</v>
      </c>
    </row>
    <row r="1681" spans="1:2" x14ac:dyDescent="0.25">
      <c r="A1681" s="2">
        <v>45521</v>
      </c>
      <c r="B1681" s="9">
        <v>9800</v>
      </c>
    </row>
    <row r="1682" spans="1:2" x14ac:dyDescent="0.25">
      <c r="A1682" s="2">
        <v>45522</v>
      </c>
      <c r="B1682" s="9">
        <v>9500</v>
      </c>
    </row>
    <row r="1683" spans="1:2" x14ac:dyDescent="0.25">
      <c r="A1683" s="2">
        <v>45523</v>
      </c>
      <c r="B1683" s="9">
        <v>7400</v>
      </c>
    </row>
    <row r="1684" spans="1:2" x14ac:dyDescent="0.25">
      <c r="A1684" s="2">
        <v>45524</v>
      </c>
      <c r="B1684" s="9">
        <v>14000</v>
      </c>
    </row>
    <row r="1685" spans="1:2" x14ac:dyDescent="0.25">
      <c r="A1685" s="2">
        <v>45525</v>
      </c>
      <c r="B1685" s="9">
        <v>14000</v>
      </c>
    </row>
    <row r="1686" spans="1:2" x14ac:dyDescent="0.25">
      <c r="A1686" s="2">
        <v>45526</v>
      </c>
      <c r="B1686" s="9">
        <v>12000</v>
      </c>
    </row>
    <row r="1687" spans="1:2" x14ac:dyDescent="0.25">
      <c r="A1687" s="2">
        <v>45527</v>
      </c>
      <c r="B1687" s="9">
        <v>4500</v>
      </c>
    </row>
    <row r="1688" spans="1:2" x14ac:dyDescent="0.25">
      <c r="A1688" s="2">
        <v>45528</v>
      </c>
      <c r="B1688" s="9">
        <v>8600</v>
      </c>
    </row>
    <row r="1689" spans="1:2" x14ac:dyDescent="0.25">
      <c r="A1689" s="2">
        <v>45529</v>
      </c>
      <c r="B1689" s="9">
        <v>8900</v>
      </c>
    </row>
    <row r="1690" spans="1:2" x14ac:dyDescent="0.25">
      <c r="A1690" s="2">
        <v>45530</v>
      </c>
      <c r="B1690" s="9">
        <v>10700</v>
      </c>
    </row>
    <row r="1691" spans="1:2" x14ac:dyDescent="0.25">
      <c r="A1691" s="2">
        <v>45531</v>
      </c>
      <c r="B1691" s="9">
        <v>11400</v>
      </c>
    </row>
    <row r="1692" spans="1:2" x14ac:dyDescent="0.25">
      <c r="A1692" s="2">
        <v>45532</v>
      </c>
      <c r="B1692" s="9">
        <v>13900</v>
      </c>
    </row>
    <row r="1693" spans="1:2" x14ac:dyDescent="0.25">
      <c r="A1693" s="2">
        <v>45533</v>
      </c>
      <c r="B1693" s="9">
        <v>5900</v>
      </c>
    </row>
    <row r="1694" spans="1:2" x14ac:dyDescent="0.25">
      <c r="A1694" s="2">
        <v>45534</v>
      </c>
      <c r="B1694" s="9">
        <v>12000</v>
      </c>
    </row>
    <row r="1695" spans="1:2" x14ac:dyDescent="0.25">
      <c r="A1695" s="2">
        <v>45535</v>
      </c>
      <c r="B1695" s="9">
        <v>14100</v>
      </c>
    </row>
    <row r="1696" spans="1:2" x14ac:dyDescent="0.25">
      <c r="A1696" s="2">
        <v>45536</v>
      </c>
      <c r="B1696" s="9">
        <v>11800</v>
      </c>
    </row>
    <row r="1697" spans="1:2" x14ac:dyDescent="0.25">
      <c r="A1697" s="2">
        <v>45537</v>
      </c>
      <c r="B1697" s="9">
        <v>9800</v>
      </c>
    </row>
    <row r="1698" spans="1:2" x14ac:dyDescent="0.25">
      <c r="A1698" s="2">
        <v>45538</v>
      </c>
      <c r="B1698" s="9">
        <v>4500</v>
      </c>
    </row>
    <row r="1699" spans="1:2" x14ac:dyDescent="0.25">
      <c r="A1699" s="2">
        <v>45539</v>
      </c>
      <c r="B1699" s="9">
        <v>10200</v>
      </c>
    </row>
    <row r="1700" spans="1:2" x14ac:dyDescent="0.25">
      <c r="A1700" s="2">
        <v>45540</v>
      </c>
      <c r="B1700" s="9">
        <v>14500</v>
      </c>
    </row>
    <row r="1701" spans="1:2" x14ac:dyDescent="0.25">
      <c r="A1701" s="2">
        <v>45541</v>
      </c>
      <c r="B1701" s="9">
        <v>14400</v>
      </c>
    </row>
    <row r="1702" spans="1:2" x14ac:dyDescent="0.25">
      <c r="A1702" s="2">
        <v>45542</v>
      </c>
      <c r="B1702" s="9">
        <v>6600</v>
      </c>
    </row>
    <row r="1703" spans="1:2" x14ac:dyDescent="0.25">
      <c r="A1703" s="2">
        <v>45543</v>
      </c>
      <c r="B1703" s="9">
        <v>14500</v>
      </c>
    </row>
    <row r="1704" spans="1:2" x14ac:dyDescent="0.25">
      <c r="A1704" s="2">
        <v>45544</v>
      </c>
      <c r="B1704" s="9">
        <v>5300</v>
      </c>
    </row>
    <row r="1705" spans="1:2" x14ac:dyDescent="0.25">
      <c r="A1705" s="2">
        <v>45545</v>
      </c>
      <c r="B1705" s="9">
        <v>14800</v>
      </c>
    </row>
    <row r="1706" spans="1:2" x14ac:dyDescent="0.25">
      <c r="A1706" s="2">
        <v>45546</v>
      </c>
      <c r="B1706" s="9">
        <v>11600</v>
      </c>
    </row>
    <row r="1707" spans="1:2" x14ac:dyDescent="0.25">
      <c r="A1707" s="2">
        <v>45547</v>
      </c>
      <c r="B1707" s="9">
        <v>4200</v>
      </c>
    </row>
    <row r="1708" spans="1:2" x14ac:dyDescent="0.25">
      <c r="A1708" s="2">
        <v>45548</v>
      </c>
      <c r="B1708" s="9">
        <v>13100</v>
      </c>
    </row>
    <row r="1709" spans="1:2" x14ac:dyDescent="0.25">
      <c r="A1709" s="2">
        <v>45549</v>
      </c>
      <c r="B1709" s="9">
        <v>8200</v>
      </c>
    </row>
    <row r="1710" spans="1:2" x14ac:dyDescent="0.25">
      <c r="A1710" s="2">
        <v>45550</v>
      </c>
      <c r="B1710" s="9">
        <v>6000</v>
      </c>
    </row>
    <row r="1711" spans="1:2" x14ac:dyDescent="0.25">
      <c r="A1711" s="2">
        <v>45551</v>
      </c>
      <c r="B1711" s="9">
        <v>9000</v>
      </c>
    </row>
    <row r="1712" spans="1:2" x14ac:dyDescent="0.25">
      <c r="A1712" s="2">
        <v>45552</v>
      </c>
      <c r="B1712" s="9">
        <v>12700</v>
      </c>
    </row>
    <row r="1713" spans="1:2" x14ac:dyDescent="0.25">
      <c r="A1713" s="2">
        <v>45553</v>
      </c>
      <c r="B1713" s="9">
        <v>9500</v>
      </c>
    </row>
    <row r="1714" spans="1:2" x14ac:dyDescent="0.25">
      <c r="A1714" s="2">
        <v>45554</v>
      </c>
      <c r="B1714" s="9">
        <v>14500</v>
      </c>
    </row>
    <row r="1715" spans="1:2" x14ac:dyDescent="0.25">
      <c r="A1715" s="2">
        <v>45555</v>
      </c>
      <c r="B1715" s="9">
        <v>8200</v>
      </c>
    </row>
    <row r="1716" spans="1:2" x14ac:dyDescent="0.25">
      <c r="A1716" s="2">
        <v>45556</v>
      </c>
      <c r="B1716" s="9">
        <v>13400</v>
      </c>
    </row>
    <row r="1717" spans="1:2" x14ac:dyDescent="0.25">
      <c r="A1717" s="2">
        <v>45557</v>
      </c>
      <c r="B1717" s="9">
        <v>11900</v>
      </c>
    </row>
    <row r="1718" spans="1:2" x14ac:dyDescent="0.25">
      <c r="A1718" s="2">
        <v>45558</v>
      </c>
      <c r="B1718" s="9">
        <v>10300</v>
      </c>
    </row>
    <row r="1719" spans="1:2" x14ac:dyDescent="0.25">
      <c r="A1719" s="2">
        <v>45559</v>
      </c>
      <c r="B1719" s="9">
        <v>4500</v>
      </c>
    </row>
    <row r="1720" spans="1:2" x14ac:dyDescent="0.25">
      <c r="A1720" s="2">
        <v>45560</v>
      </c>
      <c r="B1720" s="9">
        <v>6800</v>
      </c>
    </row>
    <row r="1721" spans="1:2" x14ac:dyDescent="0.25">
      <c r="A1721" s="2">
        <v>45561</v>
      </c>
      <c r="B1721" s="9">
        <v>9800</v>
      </c>
    </row>
    <row r="1722" spans="1:2" x14ac:dyDescent="0.25">
      <c r="A1722" s="2">
        <v>45562</v>
      </c>
      <c r="B1722" s="9">
        <v>7300</v>
      </c>
    </row>
    <row r="1723" spans="1:2" x14ac:dyDescent="0.25">
      <c r="A1723" s="2">
        <v>45563</v>
      </c>
      <c r="B1723" s="9">
        <v>14800</v>
      </c>
    </row>
    <row r="1724" spans="1:2" x14ac:dyDescent="0.25">
      <c r="A1724" s="2">
        <v>45564</v>
      </c>
      <c r="B1724" s="9">
        <v>7600</v>
      </c>
    </row>
    <row r="1725" spans="1:2" x14ac:dyDescent="0.25">
      <c r="A1725" s="2">
        <v>45565</v>
      </c>
      <c r="B1725" s="9">
        <v>14000</v>
      </c>
    </row>
    <row r="1726" spans="1:2" x14ac:dyDescent="0.25">
      <c r="A1726" s="2">
        <v>45566</v>
      </c>
      <c r="B1726" s="9">
        <v>7000</v>
      </c>
    </row>
    <row r="1727" spans="1:2" x14ac:dyDescent="0.25">
      <c r="A1727" s="2">
        <v>45567</v>
      </c>
      <c r="B1727" s="9">
        <v>5600</v>
      </c>
    </row>
    <row r="1728" spans="1:2" x14ac:dyDescent="0.25">
      <c r="A1728" s="2">
        <v>45568</v>
      </c>
      <c r="B1728" s="9">
        <v>14100</v>
      </c>
    </row>
    <row r="1729" spans="1:2" x14ac:dyDescent="0.25">
      <c r="A1729" s="2">
        <v>45569</v>
      </c>
      <c r="B1729" s="9">
        <v>11100</v>
      </c>
    </row>
    <row r="1730" spans="1:2" x14ac:dyDescent="0.25">
      <c r="A1730" s="2">
        <v>45570</v>
      </c>
      <c r="B1730" s="9">
        <v>7900</v>
      </c>
    </row>
    <row r="1731" spans="1:2" x14ac:dyDescent="0.25">
      <c r="A1731" s="2">
        <v>45571</v>
      </c>
      <c r="B1731" s="9">
        <v>7400</v>
      </c>
    </row>
    <row r="1732" spans="1:2" x14ac:dyDescent="0.25">
      <c r="A1732" s="2">
        <v>45572</v>
      </c>
      <c r="B1732" s="9">
        <v>8200</v>
      </c>
    </row>
    <row r="1733" spans="1:2" x14ac:dyDescent="0.25">
      <c r="A1733" s="2">
        <v>45573</v>
      </c>
      <c r="B1733" s="9">
        <v>9400</v>
      </c>
    </row>
    <row r="1734" spans="1:2" x14ac:dyDescent="0.25">
      <c r="A1734" s="2">
        <v>45574</v>
      </c>
      <c r="B1734" s="9">
        <v>10900</v>
      </c>
    </row>
    <row r="1735" spans="1:2" x14ac:dyDescent="0.25">
      <c r="A1735" s="2">
        <v>45575</v>
      </c>
      <c r="B1735" s="9">
        <v>13700</v>
      </c>
    </row>
    <row r="1736" spans="1:2" x14ac:dyDescent="0.25">
      <c r="A1736" s="2">
        <v>45576</v>
      </c>
      <c r="B1736" s="9">
        <v>8100</v>
      </c>
    </row>
    <row r="1737" spans="1:2" x14ac:dyDescent="0.25">
      <c r="A1737" s="2">
        <v>45577</v>
      </c>
      <c r="B1737" s="9">
        <v>10600</v>
      </c>
    </row>
    <row r="1738" spans="1:2" x14ac:dyDescent="0.25">
      <c r="A1738" s="2">
        <v>45578</v>
      </c>
      <c r="B1738" s="9">
        <v>8300</v>
      </c>
    </row>
    <row r="1739" spans="1:2" x14ac:dyDescent="0.25">
      <c r="A1739" s="2">
        <v>45579</v>
      </c>
      <c r="B1739" s="9">
        <v>7400</v>
      </c>
    </row>
    <row r="1740" spans="1:2" x14ac:dyDescent="0.25">
      <c r="A1740" s="2">
        <v>45580</v>
      </c>
      <c r="B1740" s="9">
        <v>6500</v>
      </c>
    </row>
    <row r="1741" spans="1:2" x14ac:dyDescent="0.25">
      <c r="A1741" s="2">
        <v>45581</v>
      </c>
      <c r="B1741" s="9">
        <v>6500</v>
      </c>
    </row>
    <row r="1742" spans="1:2" x14ac:dyDescent="0.25">
      <c r="A1742" s="2">
        <v>45582</v>
      </c>
      <c r="B1742" s="9">
        <v>5000</v>
      </c>
    </row>
    <row r="1743" spans="1:2" x14ac:dyDescent="0.25">
      <c r="A1743" s="2">
        <v>45583</v>
      </c>
      <c r="B1743" s="9">
        <v>6300</v>
      </c>
    </row>
    <row r="1744" spans="1:2" x14ac:dyDescent="0.25">
      <c r="A1744" s="2">
        <v>45584</v>
      </c>
      <c r="B1744" s="9">
        <v>8000</v>
      </c>
    </row>
    <row r="1745" spans="1:2" x14ac:dyDescent="0.25">
      <c r="A1745" s="2">
        <v>45585</v>
      </c>
      <c r="B1745" s="9">
        <v>9300</v>
      </c>
    </row>
    <row r="1746" spans="1:2" x14ac:dyDescent="0.25">
      <c r="A1746" s="2">
        <v>45586</v>
      </c>
      <c r="B1746" s="9">
        <v>14600</v>
      </c>
    </row>
    <row r="1747" spans="1:2" x14ac:dyDescent="0.25">
      <c r="A1747" s="2">
        <v>45587</v>
      </c>
      <c r="B1747" s="9">
        <v>7600</v>
      </c>
    </row>
    <row r="1748" spans="1:2" x14ac:dyDescent="0.25">
      <c r="A1748" s="2">
        <v>45588</v>
      </c>
      <c r="B1748" s="9">
        <v>12300</v>
      </c>
    </row>
    <row r="1749" spans="1:2" x14ac:dyDescent="0.25">
      <c r="A1749" s="2">
        <v>45589</v>
      </c>
      <c r="B1749" s="9">
        <v>11300</v>
      </c>
    </row>
    <row r="1750" spans="1:2" x14ac:dyDescent="0.25">
      <c r="A1750" s="2">
        <v>45590</v>
      </c>
      <c r="B1750" s="9">
        <v>11800</v>
      </c>
    </row>
    <row r="1751" spans="1:2" x14ac:dyDescent="0.25">
      <c r="A1751" s="2">
        <v>45591</v>
      </c>
      <c r="B1751" s="9">
        <v>9000</v>
      </c>
    </row>
    <row r="1752" spans="1:2" x14ac:dyDescent="0.25">
      <c r="A1752" s="2">
        <v>45592</v>
      </c>
      <c r="B1752" s="9">
        <v>8700</v>
      </c>
    </row>
    <row r="1753" spans="1:2" x14ac:dyDescent="0.25">
      <c r="A1753" s="2">
        <v>45593</v>
      </c>
      <c r="B1753" s="9">
        <v>8100</v>
      </c>
    </row>
    <row r="1754" spans="1:2" x14ac:dyDescent="0.25">
      <c r="A1754" s="2">
        <v>45594</v>
      </c>
      <c r="B1754" s="9">
        <v>4500</v>
      </c>
    </row>
    <row r="1755" spans="1:2" x14ac:dyDescent="0.25">
      <c r="A1755" s="2">
        <v>45595</v>
      </c>
      <c r="B1755" s="9">
        <v>4000</v>
      </c>
    </row>
    <row r="1756" spans="1:2" x14ac:dyDescent="0.25">
      <c r="A1756" s="2">
        <v>45596</v>
      </c>
      <c r="B1756" s="9">
        <v>6100</v>
      </c>
    </row>
    <row r="1757" spans="1:2" x14ac:dyDescent="0.25">
      <c r="A1757" s="2">
        <v>45597</v>
      </c>
      <c r="B1757" s="9">
        <v>13700</v>
      </c>
    </row>
    <row r="1758" spans="1:2" x14ac:dyDescent="0.25">
      <c r="A1758" s="2">
        <v>45598</v>
      </c>
      <c r="B1758" s="9">
        <v>9500</v>
      </c>
    </row>
    <row r="1759" spans="1:2" x14ac:dyDescent="0.25">
      <c r="A1759" s="2">
        <v>45599</v>
      </c>
      <c r="B1759" s="9">
        <v>5100</v>
      </c>
    </row>
    <row r="1760" spans="1:2" x14ac:dyDescent="0.25">
      <c r="A1760" s="2">
        <v>45600</v>
      </c>
      <c r="B1760" s="9">
        <v>8700</v>
      </c>
    </row>
    <row r="1761" spans="1:2" x14ac:dyDescent="0.25">
      <c r="A1761" s="2">
        <v>45601</v>
      </c>
      <c r="B1761" s="9">
        <v>13900</v>
      </c>
    </row>
    <row r="1762" spans="1:2" x14ac:dyDescent="0.25">
      <c r="A1762" s="2">
        <v>45602</v>
      </c>
      <c r="B1762" s="9">
        <v>12700</v>
      </c>
    </row>
    <row r="1763" spans="1:2" x14ac:dyDescent="0.25">
      <c r="A1763" s="2">
        <v>45603</v>
      </c>
      <c r="B1763" s="9">
        <v>10600</v>
      </c>
    </row>
    <row r="1764" spans="1:2" x14ac:dyDescent="0.25">
      <c r="A1764" s="2">
        <v>45604</v>
      </c>
      <c r="B1764" s="9">
        <v>6700</v>
      </c>
    </row>
    <row r="1765" spans="1:2" x14ac:dyDescent="0.25">
      <c r="A1765" s="2">
        <v>45605</v>
      </c>
      <c r="B1765" s="9">
        <v>5300</v>
      </c>
    </row>
    <row r="1766" spans="1:2" x14ac:dyDescent="0.25">
      <c r="A1766" s="2">
        <v>45606</v>
      </c>
      <c r="B1766" s="9">
        <v>10100</v>
      </c>
    </row>
    <row r="1767" spans="1:2" x14ac:dyDescent="0.25">
      <c r="A1767" s="2">
        <v>45607</v>
      </c>
      <c r="B1767" s="9">
        <v>9400</v>
      </c>
    </row>
    <row r="1768" spans="1:2" x14ac:dyDescent="0.25">
      <c r="A1768" s="2">
        <v>45608</v>
      </c>
      <c r="B1768" s="9">
        <v>6400</v>
      </c>
    </row>
    <row r="1769" spans="1:2" x14ac:dyDescent="0.25">
      <c r="A1769" s="2">
        <v>45609</v>
      </c>
      <c r="B1769" s="9">
        <v>7100</v>
      </c>
    </row>
    <row r="1770" spans="1:2" x14ac:dyDescent="0.25">
      <c r="A1770" s="2">
        <v>45610</v>
      </c>
      <c r="B1770" s="9">
        <v>8500</v>
      </c>
    </row>
    <row r="1771" spans="1:2" x14ac:dyDescent="0.25">
      <c r="A1771" s="2">
        <v>45611</v>
      </c>
      <c r="B1771" s="9">
        <v>14600</v>
      </c>
    </row>
    <row r="1772" spans="1:2" x14ac:dyDescent="0.25">
      <c r="A1772" s="2">
        <v>45612</v>
      </c>
      <c r="B1772" s="9">
        <v>5800</v>
      </c>
    </row>
    <row r="1773" spans="1:2" x14ac:dyDescent="0.25">
      <c r="A1773" s="2">
        <v>45613</v>
      </c>
      <c r="B1773" s="9">
        <v>6100</v>
      </c>
    </row>
    <row r="1774" spans="1:2" x14ac:dyDescent="0.25">
      <c r="A1774" s="2">
        <v>45614</v>
      </c>
      <c r="B1774" s="9">
        <v>7600</v>
      </c>
    </row>
    <row r="1775" spans="1:2" x14ac:dyDescent="0.25">
      <c r="A1775" s="2">
        <v>45615</v>
      </c>
      <c r="B1775" s="9">
        <v>8700</v>
      </c>
    </row>
    <row r="1776" spans="1:2" x14ac:dyDescent="0.25">
      <c r="A1776" s="2">
        <v>45616</v>
      </c>
      <c r="B1776" s="9">
        <v>6000</v>
      </c>
    </row>
    <row r="1777" spans="1:2" x14ac:dyDescent="0.25">
      <c r="A1777" s="2">
        <v>45617</v>
      </c>
      <c r="B1777" s="9">
        <v>8300</v>
      </c>
    </row>
    <row r="1778" spans="1:2" x14ac:dyDescent="0.25">
      <c r="A1778" s="2">
        <v>45618</v>
      </c>
      <c r="B1778" s="9">
        <v>10100</v>
      </c>
    </row>
    <row r="1779" spans="1:2" x14ac:dyDescent="0.25">
      <c r="A1779" s="2">
        <v>45619</v>
      </c>
      <c r="B1779" s="9">
        <v>11400</v>
      </c>
    </row>
    <row r="1780" spans="1:2" x14ac:dyDescent="0.25">
      <c r="A1780" s="2">
        <v>45620</v>
      </c>
      <c r="B1780" s="9">
        <v>4500</v>
      </c>
    </row>
    <row r="1781" spans="1:2" x14ac:dyDescent="0.25">
      <c r="A1781" s="2">
        <v>45621</v>
      </c>
      <c r="B1781" s="9">
        <v>9100</v>
      </c>
    </row>
    <row r="1782" spans="1:2" x14ac:dyDescent="0.25">
      <c r="A1782" s="2">
        <v>45622</v>
      </c>
      <c r="B1782" s="9">
        <v>13400</v>
      </c>
    </row>
    <row r="1783" spans="1:2" x14ac:dyDescent="0.25">
      <c r="A1783" s="2">
        <v>45623</v>
      </c>
      <c r="B1783" s="9">
        <v>13700</v>
      </c>
    </row>
    <row r="1784" spans="1:2" x14ac:dyDescent="0.25">
      <c r="A1784" s="2">
        <v>45624</v>
      </c>
      <c r="B1784" s="9">
        <v>7400</v>
      </c>
    </row>
    <row r="1785" spans="1:2" x14ac:dyDescent="0.25">
      <c r="A1785" s="2">
        <v>45625</v>
      </c>
      <c r="B1785" s="9">
        <v>12000</v>
      </c>
    </row>
    <row r="1786" spans="1:2" x14ac:dyDescent="0.25">
      <c r="A1786" s="2">
        <v>45626</v>
      </c>
      <c r="B1786" s="9">
        <v>6300</v>
      </c>
    </row>
    <row r="1787" spans="1:2" x14ac:dyDescent="0.25">
      <c r="A1787" s="2">
        <v>45627</v>
      </c>
      <c r="B1787" s="9">
        <v>4100</v>
      </c>
    </row>
    <row r="1788" spans="1:2" x14ac:dyDescent="0.25">
      <c r="A1788" s="2">
        <v>45628</v>
      </c>
      <c r="B1788" s="9">
        <v>5800</v>
      </c>
    </row>
    <row r="1789" spans="1:2" x14ac:dyDescent="0.25">
      <c r="A1789" s="2">
        <v>45629</v>
      </c>
      <c r="B1789" s="9">
        <v>8500</v>
      </c>
    </row>
    <row r="1790" spans="1:2" x14ac:dyDescent="0.25">
      <c r="A1790" s="2">
        <v>45630</v>
      </c>
      <c r="B1790" s="9">
        <v>11200</v>
      </c>
    </row>
    <row r="1791" spans="1:2" x14ac:dyDescent="0.25">
      <c r="A1791" s="2">
        <v>45631</v>
      </c>
      <c r="B1791" s="9">
        <v>14700</v>
      </c>
    </row>
    <row r="1792" spans="1:2" x14ac:dyDescent="0.25">
      <c r="A1792" s="2">
        <v>45632</v>
      </c>
      <c r="B1792" s="9">
        <v>14200</v>
      </c>
    </row>
    <row r="1793" spans="1:2" x14ac:dyDescent="0.25">
      <c r="A1793" s="2">
        <v>45633</v>
      </c>
      <c r="B1793" s="9">
        <v>14500</v>
      </c>
    </row>
    <row r="1794" spans="1:2" x14ac:dyDescent="0.25">
      <c r="A1794" s="2">
        <v>45634</v>
      </c>
      <c r="B1794" s="9">
        <v>11300</v>
      </c>
    </row>
    <row r="1795" spans="1:2" x14ac:dyDescent="0.25">
      <c r="A1795" s="2">
        <v>45635</v>
      </c>
      <c r="B1795" s="9">
        <v>7800</v>
      </c>
    </row>
    <row r="1796" spans="1:2" x14ac:dyDescent="0.25">
      <c r="A1796" s="2">
        <v>45636</v>
      </c>
      <c r="B1796" s="9">
        <v>6600</v>
      </c>
    </row>
    <row r="1797" spans="1:2" x14ac:dyDescent="0.25">
      <c r="A1797" s="2">
        <v>45637</v>
      </c>
      <c r="B1797" s="9">
        <v>12300</v>
      </c>
    </row>
    <row r="1798" spans="1:2" x14ac:dyDescent="0.25">
      <c r="A1798" s="2">
        <v>45638</v>
      </c>
      <c r="B1798" s="9">
        <v>4000</v>
      </c>
    </row>
    <row r="1799" spans="1:2" x14ac:dyDescent="0.25">
      <c r="A1799" s="2">
        <v>45639</v>
      </c>
      <c r="B1799" s="9">
        <v>12100</v>
      </c>
    </row>
    <row r="1800" spans="1:2" x14ac:dyDescent="0.25">
      <c r="A1800" s="2">
        <v>45640</v>
      </c>
      <c r="B1800" s="9">
        <v>14700</v>
      </c>
    </row>
    <row r="1801" spans="1:2" x14ac:dyDescent="0.25">
      <c r="A1801" s="2">
        <v>45641</v>
      </c>
      <c r="B1801" s="9">
        <v>8400</v>
      </c>
    </row>
    <row r="1802" spans="1:2" x14ac:dyDescent="0.25">
      <c r="A1802" s="2">
        <v>45642</v>
      </c>
      <c r="B1802" s="9">
        <v>4700</v>
      </c>
    </row>
    <row r="1803" spans="1:2" x14ac:dyDescent="0.25">
      <c r="A1803" s="2">
        <v>45643</v>
      </c>
      <c r="B1803" s="9">
        <v>7000</v>
      </c>
    </row>
    <row r="1804" spans="1:2" x14ac:dyDescent="0.25">
      <c r="A1804" s="2">
        <v>45644</v>
      </c>
      <c r="B1804" s="9">
        <v>7900</v>
      </c>
    </row>
    <row r="1805" spans="1:2" x14ac:dyDescent="0.25">
      <c r="A1805" s="2">
        <v>45645</v>
      </c>
      <c r="B1805" s="9">
        <v>12100</v>
      </c>
    </row>
    <row r="1806" spans="1:2" x14ac:dyDescent="0.25">
      <c r="A1806" s="2">
        <v>45646</v>
      </c>
      <c r="B1806" s="9">
        <v>9200</v>
      </c>
    </row>
    <row r="1807" spans="1:2" x14ac:dyDescent="0.25">
      <c r="A1807" s="2">
        <v>45647</v>
      </c>
      <c r="B1807" s="9">
        <v>9700</v>
      </c>
    </row>
    <row r="1808" spans="1:2" x14ac:dyDescent="0.25">
      <c r="A1808" s="2">
        <v>45648</v>
      </c>
      <c r="B1808" s="9">
        <v>14600</v>
      </c>
    </row>
    <row r="1809" spans="1:2" x14ac:dyDescent="0.25">
      <c r="A1809" s="2">
        <v>45649</v>
      </c>
      <c r="B1809" s="9">
        <v>13700</v>
      </c>
    </row>
    <row r="1810" spans="1:2" x14ac:dyDescent="0.25">
      <c r="A1810" s="2">
        <v>45650</v>
      </c>
      <c r="B1810" s="9">
        <v>14800</v>
      </c>
    </row>
    <row r="1811" spans="1:2" x14ac:dyDescent="0.25">
      <c r="A1811" s="2">
        <v>45651</v>
      </c>
      <c r="B1811" s="9">
        <v>9000</v>
      </c>
    </row>
    <row r="1812" spans="1:2" x14ac:dyDescent="0.25">
      <c r="A1812" s="2">
        <v>45652</v>
      </c>
      <c r="B1812" s="9">
        <v>12100</v>
      </c>
    </row>
    <row r="1813" spans="1:2" x14ac:dyDescent="0.25">
      <c r="A1813" s="2">
        <v>45653</v>
      </c>
      <c r="B1813" s="9">
        <v>8000</v>
      </c>
    </row>
    <row r="1814" spans="1:2" x14ac:dyDescent="0.25">
      <c r="A1814" s="2">
        <v>45654</v>
      </c>
      <c r="B1814" s="9">
        <v>5700</v>
      </c>
    </row>
    <row r="1815" spans="1:2" x14ac:dyDescent="0.25">
      <c r="A1815" s="2">
        <v>45655</v>
      </c>
      <c r="B1815" s="9">
        <v>6000</v>
      </c>
    </row>
    <row r="1816" spans="1:2" x14ac:dyDescent="0.25">
      <c r="A1816" s="2">
        <v>45656</v>
      </c>
      <c r="B1816" s="9">
        <v>11900</v>
      </c>
    </row>
    <row r="1817" spans="1:2" x14ac:dyDescent="0.25">
      <c r="A1817" s="2">
        <v>45657</v>
      </c>
      <c r="B1817" s="9">
        <v>5300</v>
      </c>
    </row>
    <row r="1818" spans="1:2" x14ac:dyDescent="0.25">
      <c r="A1818" s="2">
        <v>45658</v>
      </c>
      <c r="B1818" s="9">
        <v>14600</v>
      </c>
    </row>
    <row r="1819" spans="1:2" x14ac:dyDescent="0.25">
      <c r="A1819" s="2">
        <v>45659</v>
      </c>
      <c r="B1819" s="9">
        <v>10800</v>
      </c>
    </row>
    <row r="1820" spans="1:2" x14ac:dyDescent="0.25">
      <c r="A1820" s="2">
        <v>45660</v>
      </c>
      <c r="B1820" s="9">
        <v>9700</v>
      </c>
    </row>
    <row r="1821" spans="1:2" x14ac:dyDescent="0.25">
      <c r="A1821" s="2">
        <v>45661</v>
      </c>
      <c r="B1821" s="9">
        <v>12500</v>
      </c>
    </row>
    <row r="1822" spans="1:2" x14ac:dyDescent="0.25">
      <c r="A1822" s="2">
        <v>45662</v>
      </c>
      <c r="B1822" s="9">
        <v>4600</v>
      </c>
    </row>
    <row r="1823" spans="1:2" x14ac:dyDescent="0.25">
      <c r="A1823" s="2">
        <v>45663</v>
      </c>
      <c r="B1823" s="9">
        <v>11900</v>
      </c>
    </row>
    <row r="1824" spans="1:2" x14ac:dyDescent="0.25">
      <c r="A1824" s="2">
        <v>45664</v>
      </c>
      <c r="B1824" s="9">
        <v>12600</v>
      </c>
    </row>
    <row r="1825" spans="1:2" x14ac:dyDescent="0.25">
      <c r="A1825" s="2">
        <v>45665</v>
      </c>
      <c r="B1825" s="9">
        <v>9100</v>
      </c>
    </row>
    <row r="1826" spans="1:2" x14ac:dyDescent="0.25">
      <c r="A1826" s="2">
        <v>45666</v>
      </c>
      <c r="B1826" s="9">
        <v>7500</v>
      </c>
    </row>
    <row r="1827" spans="1:2" x14ac:dyDescent="0.25">
      <c r="A1827" s="2">
        <v>45667</v>
      </c>
      <c r="B1827" s="9">
        <v>10900</v>
      </c>
    </row>
    <row r="1828" spans="1:2" x14ac:dyDescent="0.25">
      <c r="A1828" s="2">
        <v>45668</v>
      </c>
      <c r="B1828" s="9">
        <v>14400</v>
      </c>
    </row>
    <row r="1829" spans="1:2" x14ac:dyDescent="0.25">
      <c r="A1829" s="2">
        <v>45669</v>
      </c>
      <c r="B1829" s="9">
        <v>14400</v>
      </c>
    </row>
    <row r="1830" spans="1:2" x14ac:dyDescent="0.25">
      <c r="A1830" s="2">
        <v>45670</v>
      </c>
      <c r="B1830" s="9">
        <v>12100</v>
      </c>
    </row>
    <row r="1831" spans="1:2" x14ac:dyDescent="0.25">
      <c r="A1831" s="2">
        <v>45671</v>
      </c>
      <c r="B1831" s="9">
        <v>13600</v>
      </c>
    </row>
    <row r="1832" spans="1:2" x14ac:dyDescent="0.25">
      <c r="A1832" s="2">
        <v>45672</v>
      </c>
      <c r="B1832" s="9">
        <v>14500</v>
      </c>
    </row>
    <row r="1833" spans="1:2" x14ac:dyDescent="0.25">
      <c r="A1833" s="2">
        <v>45673</v>
      </c>
      <c r="B1833" s="9">
        <v>6100</v>
      </c>
    </row>
    <row r="1834" spans="1:2" x14ac:dyDescent="0.25">
      <c r="A1834" s="2">
        <v>45674</v>
      </c>
      <c r="B1834" s="9">
        <v>7900</v>
      </c>
    </row>
    <row r="1835" spans="1:2" x14ac:dyDescent="0.25">
      <c r="A1835" s="2">
        <v>45675</v>
      </c>
      <c r="B1835" s="9">
        <v>5400</v>
      </c>
    </row>
    <row r="1836" spans="1:2" x14ac:dyDescent="0.25">
      <c r="A1836" s="2">
        <v>45676</v>
      </c>
      <c r="B1836" s="9">
        <v>7000</v>
      </c>
    </row>
    <row r="1837" spans="1:2" x14ac:dyDescent="0.25">
      <c r="A1837" s="2">
        <v>45677</v>
      </c>
      <c r="B1837" s="9">
        <v>6800</v>
      </c>
    </row>
    <row r="1838" spans="1:2" x14ac:dyDescent="0.25">
      <c r="A1838" s="2">
        <v>45678</v>
      </c>
      <c r="B1838" s="9">
        <v>9500</v>
      </c>
    </row>
    <row r="1839" spans="1:2" x14ac:dyDescent="0.25">
      <c r="A1839" s="2">
        <v>45679</v>
      </c>
      <c r="B1839" s="9">
        <v>13000</v>
      </c>
    </row>
    <row r="1840" spans="1:2" x14ac:dyDescent="0.25">
      <c r="A1840" s="2">
        <v>45680</v>
      </c>
      <c r="B1840" s="9">
        <v>14700</v>
      </c>
    </row>
    <row r="1841" spans="1:2" x14ac:dyDescent="0.25">
      <c r="A1841" s="2">
        <v>45681</v>
      </c>
      <c r="B1841" s="9">
        <v>4200</v>
      </c>
    </row>
    <row r="1842" spans="1:2" x14ac:dyDescent="0.25">
      <c r="A1842" s="2">
        <v>45682</v>
      </c>
      <c r="B1842" s="9">
        <v>14800</v>
      </c>
    </row>
    <row r="1843" spans="1:2" x14ac:dyDescent="0.25">
      <c r="A1843" s="2">
        <v>45683</v>
      </c>
      <c r="B1843" s="9">
        <v>4700</v>
      </c>
    </row>
    <row r="1844" spans="1:2" x14ac:dyDescent="0.25">
      <c r="A1844" s="2">
        <v>45684</v>
      </c>
      <c r="B1844" s="9">
        <v>11200</v>
      </c>
    </row>
    <row r="1845" spans="1:2" x14ac:dyDescent="0.25">
      <c r="A1845" s="2">
        <v>45685</v>
      </c>
      <c r="B1845" s="9">
        <v>7400</v>
      </c>
    </row>
    <row r="1846" spans="1:2" x14ac:dyDescent="0.25">
      <c r="A1846" s="2">
        <v>45686</v>
      </c>
      <c r="B1846" s="9">
        <v>10400</v>
      </c>
    </row>
    <row r="1847" spans="1:2" x14ac:dyDescent="0.25">
      <c r="A1847" s="2">
        <v>45687</v>
      </c>
      <c r="B1847" s="9">
        <v>5100</v>
      </c>
    </row>
    <row r="1848" spans="1:2" x14ac:dyDescent="0.25">
      <c r="A1848" s="2">
        <v>45688</v>
      </c>
      <c r="B1848" s="9">
        <v>8000</v>
      </c>
    </row>
    <row r="1849" spans="1:2" x14ac:dyDescent="0.25">
      <c r="A1849" s="2">
        <v>45689</v>
      </c>
      <c r="B1849" s="9">
        <v>7400</v>
      </c>
    </row>
    <row r="1850" spans="1:2" x14ac:dyDescent="0.25">
      <c r="A1850" s="2">
        <v>45690</v>
      </c>
      <c r="B1850" s="9">
        <v>6200</v>
      </c>
    </row>
    <row r="1851" spans="1:2" x14ac:dyDescent="0.25">
      <c r="A1851" s="2">
        <v>45691</v>
      </c>
      <c r="B1851" s="9">
        <v>8300</v>
      </c>
    </row>
    <row r="1852" spans="1:2" x14ac:dyDescent="0.25">
      <c r="A1852" s="2">
        <v>45692</v>
      </c>
      <c r="B1852" s="9">
        <v>7100</v>
      </c>
    </row>
    <row r="1853" spans="1:2" x14ac:dyDescent="0.25">
      <c r="A1853" s="2">
        <v>45693</v>
      </c>
      <c r="B1853" s="9">
        <v>7700</v>
      </c>
    </row>
    <row r="1854" spans="1:2" x14ac:dyDescent="0.25">
      <c r="A1854" s="2">
        <v>45694</v>
      </c>
      <c r="B1854" s="9">
        <v>7400</v>
      </c>
    </row>
    <row r="1855" spans="1:2" x14ac:dyDescent="0.25">
      <c r="A1855" s="2">
        <v>45695</v>
      </c>
      <c r="B1855" s="9">
        <v>12800</v>
      </c>
    </row>
    <row r="1856" spans="1:2" x14ac:dyDescent="0.25">
      <c r="A1856" s="2">
        <v>45696</v>
      </c>
      <c r="B1856" s="9">
        <v>12500</v>
      </c>
    </row>
    <row r="1857" spans="1:2" x14ac:dyDescent="0.25">
      <c r="A1857" s="2">
        <v>45697</v>
      </c>
      <c r="B1857" s="9">
        <v>12000</v>
      </c>
    </row>
    <row r="1858" spans="1:2" x14ac:dyDescent="0.25">
      <c r="A1858" s="2">
        <v>45698</v>
      </c>
      <c r="B1858" s="9">
        <v>14300</v>
      </c>
    </row>
    <row r="1859" spans="1:2" x14ac:dyDescent="0.25">
      <c r="A1859" s="2">
        <v>45699</v>
      </c>
      <c r="B1859" s="9">
        <v>9100</v>
      </c>
    </row>
    <row r="1860" spans="1:2" x14ac:dyDescent="0.25">
      <c r="A1860" s="2">
        <v>45700</v>
      </c>
      <c r="B1860" s="9">
        <v>7700</v>
      </c>
    </row>
    <row r="1861" spans="1:2" x14ac:dyDescent="0.25">
      <c r="A1861" s="2">
        <v>45701</v>
      </c>
      <c r="B1861" s="9">
        <v>4700</v>
      </c>
    </row>
    <row r="1862" spans="1:2" x14ac:dyDescent="0.25">
      <c r="A1862" s="2">
        <v>45702</v>
      </c>
      <c r="B1862" s="9">
        <v>14600</v>
      </c>
    </row>
    <row r="1863" spans="1:2" x14ac:dyDescent="0.25">
      <c r="A1863" s="2">
        <v>45703</v>
      </c>
      <c r="B1863" s="9">
        <v>7600</v>
      </c>
    </row>
    <row r="1864" spans="1:2" x14ac:dyDescent="0.25">
      <c r="A1864" s="2">
        <v>45704</v>
      </c>
      <c r="B1864" s="9">
        <v>11200</v>
      </c>
    </row>
    <row r="1865" spans="1:2" x14ac:dyDescent="0.25">
      <c r="A1865" s="2">
        <v>45705</v>
      </c>
      <c r="B1865" s="9">
        <v>14500</v>
      </c>
    </row>
    <row r="1866" spans="1:2" x14ac:dyDescent="0.25">
      <c r="A1866" s="2">
        <v>45706</v>
      </c>
      <c r="B1866" s="9">
        <v>4600</v>
      </c>
    </row>
    <row r="1867" spans="1:2" x14ac:dyDescent="0.25">
      <c r="A1867" s="2">
        <v>45707</v>
      </c>
      <c r="B1867" s="9">
        <v>10400</v>
      </c>
    </row>
    <row r="1868" spans="1:2" x14ac:dyDescent="0.25">
      <c r="A1868" s="2">
        <v>45708</v>
      </c>
      <c r="B1868" s="9">
        <v>13400</v>
      </c>
    </row>
    <row r="1869" spans="1:2" x14ac:dyDescent="0.25">
      <c r="A1869" s="2">
        <v>45709</v>
      </c>
      <c r="B1869" s="9">
        <v>4900</v>
      </c>
    </row>
    <row r="1870" spans="1:2" x14ac:dyDescent="0.25">
      <c r="A1870" s="2">
        <v>45710</v>
      </c>
      <c r="B1870" s="9">
        <v>14100</v>
      </c>
    </row>
    <row r="1871" spans="1:2" x14ac:dyDescent="0.25">
      <c r="A1871" s="2">
        <v>45711</v>
      </c>
      <c r="B1871" s="9">
        <v>12200</v>
      </c>
    </row>
    <row r="1872" spans="1:2" x14ac:dyDescent="0.25">
      <c r="A1872" s="2">
        <v>45712</v>
      </c>
      <c r="B1872" s="9">
        <v>6900</v>
      </c>
    </row>
    <row r="1873" spans="1:2" x14ac:dyDescent="0.25">
      <c r="A1873" s="2">
        <v>45713</v>
      </c>
      <c r="B1873" s="9">
        <v>14600</v>
      </c>
    </row>
    <row r="1874" spans="1:2" x14ac:dyDescent="0.25">
      <c r="A1874" s="2">
        <v>45714</v>
      </c>
      <c r="B1874" s="9">
        <v>6300</v>
      </c>
    </row>
    <row r="1875" spans="1:2" x14ac:dyDescent="0.25">
      <c r="A1875" s="2">
        <v>45715</v>
      </c>
      <c r="B1875" s="9">
        <v>9100</v>
      </c>
    </row>
    <row r="1876" spans="1:2" x14ac:dyDescent="0.25">
      <c r="A1876" s="2">
        <v>45716</v>
      </c>
      <c r="B1876" s="9">
        <v>14400</v>
      </c>
    </row>
    <row r="1877" spans="1:2" x14ac:dyDescent="0.25">
      <c r="A1877" s="2">
        <v>45717</v>
      </c>
      <c r="B1877" s="9">
        <v>9700</v>
      </c>
    </row>
    <row r="1878" spans="1:2" x14ac:dyDescent="0.25">
      <c r="A1878" s="2">
        <v>45718</v>
      </c>
      <c r="B1878" s="9">
        <v>14000</v>
      </c>
    </row>
    <row r="1879" spans="1:2" x14ac:dyDescent="0.25">
      <c r="A1879" s="2">
        <v>45719</v>
      </c>
      <c r="B1879" s="9">
        <v>13400</v>
      </c>
    </row>
    <row r="1880" spans="1:2" x14ac:dyDescent="0.25">
      <c r="A1880" s="2">
        <v>45720</v>
      </c>
      <c r="B1880" s="9">
        <v>5200</v>
      </c>
    </row>
    <row r="1881" spans="1:2" x14ac:dyDescent="0.25">
      <c r="A1881" s="2">
        <v>45721</v>
      </c>
      <c r="B1881" s="9">
        <v>11100</v>
      </c>
    </row>
    <row r="1882" spans="1:2" x14ac:dyDescent="0.25">
      <c r="A1882" s="2">
        <v>45722</v>
      </c>
      <c r="B1882" s="9">
        <v>8000</v>
      </c>
    </row>
    <row r="1883" spans="1:2" x14ac:dyDescent="0.25">
      <c r="A1883" s="2">
        <v>45723</v>
      </c>
      <c r="B1883" s="9">
        <v>12800</v>
      </c>
    </row>
    <row r="1884" spans="1:2" x14ac:dyDescent="0.25">
      <c r="A1884" s="2">
        <v>45724</v>
      </c>
      <c r="B1884" s="9">
        <v>8100</v>
      </c>
    </row>
    <row r="1885" spans="1:2" x14ac:dyDescent="0.25">
      <c r="A1885" s="2">
        <v>45725</v>
      </c>
      <c r="B1885" s="9">
        <v>11300</v>
      </c>
    </row>
    <row r="1886" spans="1:2" x14ac:dyDescent="0.25">
      <c r="A1886" s="2">
        <v>45726</v>
      </c>
      <c r="B1886" s="9">
        <v>4000</v>
      </c>
    </row>
    <row r="1887" spans="1:2" x14ac:dyDescent="0.25">
      <c r="A1887" s="2">
        <v>45727</v>
      </c>
      <c r="B1887" s="9">
        <v>7200</v>
      </c>
    </row>
    <row r="1888" spans="1:2" x14ac:dyDescent="0.25">
      <c r="A1888" s="2">
        <v>45728</v>
      </c>
      <c r="B1888" s="9">
        <v>4300</v>
      </c>
    </row>
    <row r="1889" spans="1:2" x14ac:dyDescent="0.25">
      <c r="A1889" s="2">
        <v>45729</v>
      </c>
      <c r="B1889" s="9">
        <v>11600</v>
      </c>
    </row>
    <row r="1890" spans="1:2" x14ac:dyDescent="0.25">
      <c r="A1890" s="2">
        <v>45730</v>
      </c>
      <c r="B1890" s="9">
        <v>6200</v>
      </c>
    </row>
    <row r="1891" spans="1:2" x14ac:dyDescent="0.25">
      <c r="A1891" s="2">
        <v>45731</v>
      </c>
      <c r="B1891" s="9">
        <v>7200</v>
      </c>
    </row>
    <row r="1892" spans="1:2" x14ac:dyDescent="0.25">
      <c r="A1892" s="2">
        <v>45732</v>
      </c>
      <c r="B1892" s="9">
        <v>6600</v>
      </c>
    </row>
    <row r="1893" spans="1:2" x14ac:dyDescent="0.25">
      <c r="A1893" s="2">
        <v>45733</v>
      </c>
      <c r="B1893" s="9">
        <v>9900</v>
      </c>
    </row>
    <row r="1894" spans="1:2" x14ac:dyDescent="0.25">
      <c r="A1894" s="2">
        <v>45734</v>
      </c>
      <c r="B1894" s="9">
        <v>10900</v>
      </c>
    </row>
    <row r="1895" spans="1:2" x14ac:dyDescent="0.25">
      <c r="A1895" s="2">
        <v>45735</v>
      </c>
      <c r="B1895" s="9">
        <v>10500</v>
      </c>
    </row>
    <row r="1896" spans="1:2" x14ac:dyDescent="0.25">
      <c r="A1896" s="2">
        <v>45736</v>
      </c>
      <c r="B1896" s="9">
        <v>10300</v>
      </c>
    </row>
    <row r="1897" spans="1:2" x14ac:dyDescent="0.25">
      <c r="A1897" s="2">
        <v>45737</v>
      </c>
      <c r="B1897" s="9">
        <v>13700</v>
      </c>
    </row>
    <row r="1898" spans="1:2" x14ac:dyDescent="0.25">
      <c r="A1898" s="2">
        <v>45738</v>
      </c>
      <c r="B1898" s="9">
        <v>11100</v>
      </c>
    </row>
    <row r="1899" spans="1:2" x14ac:dyDescent="0.25">
      <c r="A1899" s="2">
        <v>45739</v>
      </c>
      <c r="B1899" s="9">
        <v>4200</v>
      </c>
    </row>
    <row r="1900" spans="1:2" x14ac:dyDescent="0.25">
      <c r="A1900" s="2">
        <v>45740</v>
      </c>
      <c r="B1900" s="9">
        <v>6600</v>
      </c>
    </row>
    <row r="1901" spans="1:2" x14ac:dyDescent="0.25">
      <c r="A1901" s="2">
        <v>45741</v>
      </c>
      <c r="B1901" s="9">
        <v>5600</v>
      </c>
    </row>
    <row r="1902" spans="1:2" x14ac:dyDescent="0.25">
      <c r="A1902" s="2">
        <v>45742</v>
      </c>
      <c r="B1902" s="9">
        <v>5500</v>
      </c>
    </row>
    <row r="1903" spans="1:2" x14ac:dyDescent="0.25">
      <c r="A1903" s="2">
        <v>45743</v>
      </c>
      <c r="B1903" s="9">
        <v>7900</v>
      </c>
    </row>
    <row r="1904" spans="1:2" x14ac:dyDescent="0.25">
      <c r="A1904" s="2">
        <v>45744</v>
      </c>
      <c r="B1904" s="9">
        <v>10100</v>
      </c>
    </row>
    <row r="1905" spans="1:2" x14ac:dyDescent="0.25">
      <c r="A1905" s="2">
        <v>45745</v>
      </c>
      <c r="B1905" s="9">
        <v>7300</v>
      </c>
    </row>
    <row r="1906" spans="1:2" x14ac:dyDescent="0.25">
      <c r="A1906" s="2">
        <v>45746</v>
      </c>
      <c r="B1906" s="9">
        <v>8500</v>
      </c>
    </row>
    <row r="1907" spans="1:2" x14ac:dyDescent="0.25">
      <c r="A1907" s="2">
        <v>45747</v>
      </c>
      <c r="B1907" s="9">
        <v>14900</v>
      </c>
    </row>
    <row r="1908" spans="1:2" x14ac:dyDescent="0.25">
      <c r="A1908" s="2">
        <v>45748</v>
      </c>
      <c r="B1908" s="9">
        <v>13000</v>
      </c>
    </row>
    <row r="1909" spans="1:2" x14ac:dyDescent="0.25">
      <c r="A1909" s="2">
        <v>45749</v>
      </c>
      <c r="B1909" s="9">
        <v>4800</v>
      </c>
    </row>
    <row r="1910" spans="1:2" x14ac:dyDescent="0.25">
      <c r="A1910" s="2">
        <v>45750</v>
      </c>
      <c r="B1910" s="9">
        <v>5500</v>
      </c>
    </row>
    <row r="1911" spans="1:2" x14ac:dyDescent="0.25">
      <c r="A1911" s="2">
        <v>45751</v>
      </c>
      <c r="B1911" s="9">
        <v>15000</v>
      </c>
    </row>
    <row r="1912" spans="1:2" x14ac:dyDescent="0.25">
      <c r="A1912" s="2">
        <v>45752</v>
      </c>
      <c r="B1912" s="9">
        <v>11300</v>
      </c>
    </row>
    <row r="1913" spans="1:2" x14ac:dyDescent="0.25">
      <c r="A1913" s="2">
        <v>45753</v>
      </c>
      <c r="B1913" s="9">
        <v>12300</v>
      </c>
    </row>
    <row r="1914" spans="1:2" x14ac:dyDescent="0.25">
      <c r="A1914" s="2">
        <v>45754</v>
      </c>
      <c r="B1914" s="9">
        <v>5600</v>
      </c>
    </row>
    <row r="1915" spans="1:2" x14ac:dyDescent="0.25">
      <c r="A1915" s="2">
        <v>45755</v>
      </c>
      <c r="B1915" s="9">
        <v>12100</v>
      </c>
    </row>
    <row r="1916" spans="1:2" x14ac:dyDescent="0.25">
      <c r="A1916" s="2">
        <v>45756</v>
      </c>
      <c r="B1916" s="9">
        <v>4700</v>
      </c>
    </row>
    <row r="1917" spans="1:2" x14ac:dyDescent="0.25">
      <c r="A1917" s="2">
        <v>45757</v>
      </c>
      <c r="B1917" s="9">
        <v>9800</v>
      </c>
    </row>
    <row r="1918" spans="1:2" x14ac:dyDescent="0.25">
      <c r="A1918" s="2">
        <v>45758</v>
      </c>
      <c r="B1918" s="9">
        <v>9400</v>
      </c>
    </row>
    <row r="1919" spans="1:2" x14ac:dyDescent="0.25">
      <c r="A1919" s="2">
        <v>45759</v>
      </c>
      <c r="B1919" s="9">
        <v>7400</v>
      </c>
    </row>
    <row r="1920" spans="1:2" x14ac:dyDescent="0.25">
      <c r="A1920" s="2">
        <v>45760</v>
      </c>
      <c r="B1920" s="9">
        <v>9300</v>
      </c>
    </row>
    <row r="1921" spans="1:2" x14ac:dyDescent="0.25">
      <c r="A1921" s="2">
        <v>45761</v>
      </c>
      <c r="B1921" s="9">
        <v>7100</v>
      </c>
    </row>
    <row r="1922" spans="1:2" x14ac:dyDescent="0.25">
      <c r="A1922" s="2">
        <v>45762</v>
      </c>
      <c r="B1922" s="9">
        <v>13700</v>
      </c>
    </row>
    <row r="1923" spans="1:2" x14ac:dyDescent="0.25">
      <c r="A1923" s="2">
        <v>45763</v>
      </c>
      <c r="B1923" s="9">
        <v>4400</v>
      </c>
    </row>
    <row r="1924" spans="1:2" x14ac:dyDescent="0.25">
      <c r="A1924" s="2">
        <v>45764</v>
      </c>
      <c r="B1924" s="9">
        <v>7700</v>
      </c>
    </row>
    <row r="1925" spans="1:2" x14ac:dyDescent="0.25">
      <c r="A1925" s="2">
        <v>45765</v>
      </c>
      <c r="B1925" s="9">
        <v>4200</v>
      </c>
    </row>
    <row r="1926" spans="1:2" x14ac:dyDescent="0.25">
      <c r="A1926" s="2">
        <v>45766</v>
      </c>
      <c r="B1926" s="9">
        <v>14600</v>
      </c>
    </row>
    <row r="1927" spans="1:2" x14ac:dyDescent="0.25">
      <c r="A1927" s="2">
        <v>45767</v>
      </c>
      <c r="B1927" s="9">
        <v>8700</v>
      </c>
    </row>
    <row r="1928" spans="1:2" x14ac:dyDescent="0.25">
      <c r="A1928" s="2">
        <v>45768</v>
      </c>
      <c r="B1928" s="9">
        <v>12400</v>
      </c>
    </row>
    <row r="1929" spans="1:2" x14ac:dyDescent="0.25">
      <c r="A1929" s="2">
        <v>45769</v>
      </c>
      <c r="B1929" s="9">
        <v>7200</v>
      </c>
    </row>
    <row r="1930" spans="1:2" x14ac:dyDescent="0.25">
      <c r="A1930" s="2">
        <v>45770</v>
      </c>
      <c r="B1930" s="9">
        <v>4600</v>
      </c>
    </row>
    <row r="1931" spans="1:2" x14ac:dyDescent="0.25">
      <c r="A1931" s="2">
        <v>45771</v>
      </c>
      <c r="B1931" s="9">
        <v>7300</v>
      </c>
    </row>
    <row r="1932" spans="1:2" x14ac:dyDescent="0.25">
      <c r="A1932" s="2">
        <v>45772</v>
      </c>
      <c r="B1932" s="9">
        <v>6300</v>
      </c>
    </row>
    <row r="1933" spans="1:2" x14ac:dyDescent="0.25">
      <c r="A1933" s="2">
        <v>45773</v>
      </c>
      <c r="B1933" s="9">
        <v>7500</v>
      </c>
    </row>
    <row r="1934" spans="1:2" x14ac:dyDescent="0.25">
      <c r="A1934" s="2">
        <v>45774</v>
      </c>
      <c r="B1934" s="9">
        <v>4600</v>
      </c>
    </row>
    <row r="1935" spans="1:2" x14ac:dyDescent="0.25">
      <c r="A1935" s="2">
        <v>45775</v>
      </c>
      <c r="B1935" s="9">
        <v>14300</v>
      </c>
    </row>
    <row r="1936" spans="1:2" x14ac:dyDescent="0.25">
      <c r="A1936" s="2">
        <v>45776</v>
      </c>
      <c r="B1936" s="9">
        <v>11600</v>
      </c>
    </row>
    <row r="1937" spans="1:2" x14ac:dyDescent="0.25">
      <c r="A1937" s="2">
        <v>45777</v>
      </c>
      <c r="B1937" s="9">
        <v>14900</v>
      </c>
    </row>
    <row r="1938" spans="1:2" x14ac:dyDescent="0.25">
      <c r="A1938" s="2">
        <v>45778</v>
      </c>
      <c r="B1938" s="9">
        <v>6300</v>
      </c>
    </row>
    <row r="1939" spans="1:2" x14ac:dyDescent="0.25">
      <c r="A1939" s="2">
        <v>45779</v>
      </c>
      <c r="B1939" s="9">
        <v>8700</v>
      </c>
    </row>
    <row r="1940" spans="1:2" x14ac:dyDescent="0.25">
      <c r="A1940" s="2">
        <v>45780</v>
      </c>
      <c r="B1940" s="9">
        <v>13800</v>
      </c>
    </row>
    <row r="1941" spans="1:2" x14ac:dyDescent="0.25">
      <c r="A1941" s="2">
        <v>45781</v>
      </c>
      <c r="B1941" s="9">
        <v>13600</v>
      </c>
    </row>
    <row r="1942" spans="1:2" x14ac:dyDescent="0.25">
      <c r="A1942" s="2">
        <v>45782</v>
      </c>
      <c r="B1942" s="9">
        <v>11200</v>
      </c>
    </row>
    <row r="1943" spans="1:2" x14ac:dyDescent="0.25">
      <c r="A1943" s="2">
        <v>45783</v>
      </c>
      <c r="B1943" s="9">
        <v>8200</v>
      </c>
    </row>
    <row r="1944" spans="1:2" x14ac:dyDescent="0.25">
      <c r="A1944" s="2">
        <v>45784</v>
      </c>
      <c r="B1944" s="9">
        <v>8000</v>
      </c>
    </row>
    <row r="1945" spans="1:2" x14ac:dyDescent="0.25">
      <c r="A1945" s="2">
        <v>45785</v>
      </c>
      <c r="B1945" s="9">
        <v>11800</v>
      </c>
    </row>
    <row r="1946" spans="1:2" x14ac:dyDescent="0.25">
      <c r="A1946" s="2">
        <v>45786</v>
      </c>
      <c r="B1946" s="9">
        <v>7400</v>
      </c>
    </row>
    <row r="1947" spans="1:2" x14ac:dyDescent="0.25">
      <c r="A1947" s="2">
        <v>45787</v>
      </c>
      <c r="B1947" s="9">
        <v>12900</v>
      </c>
    </row>
    <row r="1948" spans="1:2" x14ac:dyDescent="0.25">
      <c r="A1948" s="2">
        <v>45788</v>
      </c>
      <c r="B1948" s="9">
        <v>11800</v>
      </c>
    </row>
    <row r="1949" spans="1:2" x14ac:dyDescent="0.25">
      <c r="A1949" s="2">
        <v>45789</v>
      </c>
      <c r="B1949" s="9">
        <v>5800</v>
      </c>
    </row>
    <row r="1950" spans="1:2" x14ac:dyDescent="0.25">
      <c r="A1950" s="2">
        <v>45790</v>
      </c>
      <c r="B1950" s="9">
        <v>8700</v>
      </c>
    </row>
    <row r="1951" spans="1:2" x14ac:dyDescent="0.25">
      <c r="A1951" s="2">
        <v>45791</v>
      </c>
      <c r="B1951" s="9">
        <v>13500</v>
      </c>
    </row>
    <row r="1952" spans="1:2" x14ac:dyDescent="0.25">
      <c r="A1952" s="2">
        <v>45792</v>
      </c>
      <c r="B1952" s="9">
        <v>7100</v>
      </c>
    </row>
    <row r="1953" spans="1:2" x14ac:dyDescent="0.25">
      <c r="A1953" s="2">
        <v>45793</v>
      </c>
      <c r="B1953" s="9">
        <v>7600</v>
      </c>
    </row>
    <row r="1954" spans="1:2" x14ac:dyDescent="0.25">
      <c r="A1954" s="2">
        <v>45794</v>
      </c>
      <c r="B1954" s="9">
        <v>4100</v>
      </c>
    </row>
    <row r="1955" spans="1:2" x14ac:dyDescent="0.25">
      <c r="A1955" s="2">
        <v>45795</v>
      </c>
      <c r="B1955" s="9">
        <v>5800</v>
      </c>
    </row>
    <row r="1956" spans="1:2" x14ac:dyDescent="0.25">
      <c r="A1956" s="2">
        <v>45796</v>
      </c>
      <c r="B1956" s="9">
        <v>5200</v>
      </c>
    </row>
    <row r="1957" spans="1:2" x14ac:dyDescent="0.25">
      <c r="A1957" s="2">
        <v>45797</v>
      </c>
      <c r="B1957" s="9">
        <v>7400</v>
      </c>
    </row>
    <row r="1958" spans="1:2" x14ac:dyDescent="0.25">
      <c r="A1958" s="2">
        <v>45798</v>
      </c>
      <c r="B1958" s="9">
        <v>14100</v>
      </c>
    </row>
    <row r="1959" spans="1:2" x14ac:dyDescent="0.25">
      <c r="A1959" s="2">
        <v>45799</v>
      </c>
      <c r="B1959" s="9">
        <v>7800</v>
      </c>
    </row>
    <row r="1960" spans="1:2" x14ac:dyDescent="0.25">
      <c r="A1960" s="2">
        <v>45800</v>
      </c>
      <c r="B1960" s="9">
        <v>8100</v>
      </c>
    </row>
    <row r="1961" spans="1:2" x14ac:dyDescent="0.25">
      <c r="A1961" s="2">
        <v>45801</v>
      </c>
      <c r="B1961" s="9">
        <v>9200</v>
      </c>
    </row>
    <row r="1962" spans="1:2" x14ac:dyDescent="0.25">
      <c r="A1962" s="2">
        <v>45802</v>
      </c>
      <c r="B1962" s="9">
        <v>11400</v>
      </c>
    </row>
    <row r="1963" spans="1:2" x14ac:dyDescent="0.25">
      <c r="A1963" s="2">
        <v>45803</v>
      </c>
      <c r="B1963" s="9">
        <v>11700</v>
      </c>
    </row>
    <row r="1964" spans="1:2" x14ac:dyDescent="0.25">
      <c r="A1964" s="2">
        <v>45804</v>
      </c>
      <c r="B1964" s="9">
        <v>4800</v>
      </c>
    </row>
    <row r="1965" spans="1:2" x14ac:dyDescent="0.25">
      <c r="A1965" s="2">
        <v>45805</v>
      </c>
      <c r="B1965" s="9">
        <v>14500</v>
      </c>
    </row>
    <row r="1966" spans="1:2" x14ac:dyDescent="0.25">
      <c r="A1966" s="2">
        <v>45806</v>
      </c>
      <c r="B1966" s="9">
        <v>5600</v>
      </c>
    </row>
    <row r="1967" spans="1:2" x14ac:dyDescent="0.25">
      <c r="A1967" s="2">
        <v>45807</v>
      </c>
      <c r="B1967" s="9">
        <v>14200</v>
      </c>
    </row>
    <row r="1968" spans="1:2" x14ac:dyDescent="0.25">
      <c r="A1968" s="2">
        <v>45808</v>
      </c>
      <c r="B1968" s="9">
        <v>5000</v>
      </c>
    </row>
    <row r="1969" spans="1:2" x14ac:dyDescent="0.25">
      <c r="A1969" s="2">
        <v>45809</v>
      </c>
      <c r="B1969" s="9">
        <v>4600</v>
      </c>
    </row>
    <row r="1970" spans="1:2" x14ac:dyDescent="0.25">
      <c r="A1970" s="2">
        <v>45810</v>
      </c>
      <c r="B1970" s="9">
        <v>4200</v>
      </c>
    </row>
    <row r="1971" spans="1:2" x14ac:dyDescent="0.25">
      <c r="A1971" s="2">
        <v>45811</v>
      </c>
      <c r="B1971" s="9">
        <v>4900</v>
      </c>
    </row>
    <row r="1972" spans="1:2" x14ac:dyDescent="0.25">
      <c r="A1972" s="2">
        <v>45812</v>
      </c>
      <c r="B1972" s="9">
        <v>11300</v>
      </c>
    </row>
    <row r="1973" spans="1:2" x14ac:dyDescent="0.25">
      <c r="A1973" s="2">
        <v>45813</v>
      </c>
      <c r="B1973" s="9">
        <v>7900</v>
      </c>
    </row>
    <row r="1974" spans="1:2" x14ac:dyDescent="0.25">
      <c r="A1974" s="2">
        <v>45814</v>
      </c>
      <c r="B1974" s="9">
        <v>5400</v>
      </c>
    </row>
    <row r="1975" spans="1:2" x14ac:dyDescent="0.25">
      <c r="A1975" s="2">
        <v>45815</v>
      </c>
      <c r="B1975" s="9">
        <v>5900</v>
      </c>
    </row>
    <row r="1976" spans="1:2" x14ac:dyDescent="0.25">
      <c r="A1976" s="2">
        <v>45816</v>
      </c>
      <c r="B1976" s="9">
        <v>8400</v>
      </c>
    </row>
    <row r="1977" spans="1:2" x14ac:dyDescent="0.25">
      <c r="A1977" s="2">
        <v>45817</v>
      </c>
      <c r="B1977" s="9">
        <v>14200</v>
      </c>
    </row>
    <row r="1978" spans="1:2" x14ac:dyDescent="0.25">
      <c r="A1978" s="2">
        <v>45818</v>
      </c>
      <c r="B1978" s="9">
        <v>9100</v>
      </c>
    </row>
    <row r="1979" spans="1:2" x14ac:dyDescent="0.25">
      <c r="A1979" s="2">
        <v>45819</v>
      </c>
      <c r="B1979" s="9">
        <v>9100</v>
      </c>
    </row>
    <row r="1980" spans="1:2" x14ac:dyDescent="0.25">
      <c r="A1980" s="2">
        <v>45820</v>
      </c>
      <c r="B1980" s="9">
        <v>11700</v>
      </c>
    </row>
    <row r="1981" spans="1:2" x14ac:dyDescent="0.25">
      <c r="A1981" s="2">
        <v>45821</v>
      </c>
      <c r="B1981" s="9">
        <v>9300</v>
      </c>
    </row>
    <row r="1982" spans="1:2" x14ac:dyDescent="0.25">
      <c r="A1982" s="2">
        <v>45822</v>
      </c>
      <c r="B1982" s="9">
        <v>10500</v>
      </c>
    </row>
    <row r="1983" spans="1:2" x14ac:dyDescent="0.25">
      <c r="A1983" s="2">
        <v>45823</v>
      </c>
      <c r="B1983" s="9">
        <v>8200</v>
      </c>
    </row>
    <row r="1984" spans="1:2" x14ac:dyDescent="0.25">
      <c r="A1984" s="2">
        <v>45824</v>
      </c>
      <c r="B1984" s="9">
        <v>15000</v>
      </c>
    </row>
    <row r="1985" spans="1:2" x14ac:dyDescent="0.25">
      <c r="A1985" s="2">
        <v>45825</v>
      </c>
      <c r="B1985" s="9">
        <v>11600</v>
      </c>
    </row>
    <row r="1986" spans="1:2" x14ac:dyDescent="0.25">
      <c r="A1986" s="2">
        <v>45826</v>
      </c>
      <c r="B1986" s="9">
        <v>11900</v>
      </c>
    </row>
    <row r="1987" spans="1:2" x14ac:dyDescent="0.25">
      <c r="A1987" s="2">
        <v>45827</v>
      </c>
      <c r="B1987" s="9">
        <v>12100</v>
      </c>
    </row>
    <row r="1988" spans="1:2" x14ac:dyDescent="0.25">
      <c r="A1988" s="2">
        <v>45828</v>
      </c>
      <c r="B1988" s="9">
        <v>10400</v>
      </c>
    </row>
    <row r="1989" spans="1:2" x14ac:dyDescent="0.25">
      <c r="A1989" s="2">
        <v>45829</v>
      </c>
      <c r="B1989" s="9">
        <v>14200</v>
      </c>
    </row>
    <row r="1990" spans="1:2" x14ac:dyDescent="0.25">
      <c r="A1990" s="2">
        <v>45830</v>
      </c>
      <c r="B1990" s="9">
        <v>13600</v>
      </c>
    </row>
    <row r="1991" spans="1:2" x14ac:dyDescent="0.25">
      <c r="A1991" s="2">
        <v>45831</v>
      </c>
      <c r="B1991" s="9">
        <v>8200</v>
      </c>
    </row>
    <row r="1992" spans="1:2" x14ac:dyDescent="0.25">
      <c r="A1992" s="2">
        <v>45832</v>
      </c>
      <c r="B1992" s="9">
        <v>13000</v>
      </c>
    </row>
    <row r="1993" spans="1:2" x14ac:dyDescent="0.25">
      <c r="A1993" s="2">
        <v>45833</v>
      </c>
      <c r="B1993" s="9">
        <v>12500</v>
      </c>
    </row>
    <row r="1994" spans="1:2" x14ac:dyDescent="0.25">
      <c r="A1994" s="2">
        <v>45834</v>
      </c>
      <c r="B1994" s="9">
        <v>4000</v>
      </c>
    </row>
    <row r="1995" spans="1:2" x14ac:dyDescent="0.25">
      <c r="A1995" s="2">
        <v>45835</v>
      </c>
      <c r="B1995" s="9">
        <v>4000</v>
      </c>
    </row>
    <row r="1996" spans="1:2" x14ac:dyDescent="0.25">
      <c r="A1996" s="2">
        <v>45836</v>
      </c>
      <c r="B1996" s="9">
        <v>10600</v>
      </c>
    </row>
    <row r="1997" spans="1:2" x14ac:dyDescent="0.25">
      <c r="A1997" s="2">
        <v>45837</v>
      </c>
      <c r="B1997" s="9">
        <v>12000</v>
      </c>
    </row>
    <row r="1998" spans="1:2" x14ac:dyDescent="0.25">
      <c r="A1998" s="2">
        <v>45838</v>
      </c>
      <c r="B1998" s="9">
        <v>9200</v>
      </c>
    </row>
    <row r="1999" spans="1:2" x14ac:dyDescent="0.25">
      <c r="A1999" s="2">
        <v>45839</v>
      </c>
      <c r="B1999" s="9">
        <v>4200</v>
      </c>
    </row>
    <row r="2000" spans="1:2" x14ac:dyDescent="0.25">
      <c r="A2000" s="2">
        <v>45840</v>
      </c>
      <c r="B2000" s="9">
        <v>13600</v>
      </c>
    </row>
    <row r="2001" spans="1:5" x14ac:dyDescent="0.25">
      <c r="A2001" s="2">
        <v>45841</v>
      </c>
      <c r="B2001" s="9">
        <v>10400</v>
      </c>
      <c r="C2001" s="9">
        <v>10400</v>
      </c>
      <c r="D2001" s="9">
        <v>10400</v>
      </c>
      <c r="E2001" s="9">
        <v>10400</v>
      </c>
    </row>
    <row r="2002" spans="1:5" x14ac:dyDescent="0.25">
      <c r="A2002" s="2">
        <v>45842</v>
      </c>
      <c r="C2002" s="9">
        <f t="shared" ref="C2002:C2065" si="0">_xlfn.FORECAST.ETS(A2002,$B$2:$B$2001,$A$2:$A$2001,12,1)</f>
        <v>7895.2901343681078</v>
      </c>
      <c r="D2002" s="9">
        <f t="shared" ref="D2002:D2065" si="1">C2002-_xlfn.FORECAST.ETS.CONFINT(A2002,$B$2:$B$2001,$A$2:$A$2001,0.95,12,1)</f>
        <v>889.75656760236143</v>
      </c>
      <c r="E2002" s="9">
        <f t="shared" ref="E2002:E2065" si="2">C2002+_xlfn.FORECAST.ETS.CONFINT(A2002,$B$2:$B$2001,$A$2:$A$2001,0.95,12,1)</f>
        <v>14900.823701133853</v>
      </c>
    </row>
    <row r="2003" spans="1:5" x14ac:dyDescent="0.25">
      <c r="A2003" s="2">
        <v>45843</v>
      </c>
      <c r="C2003" s="9">
        <f t="shared" si="0"/>
        <v>7948.2504016698067</v>
      </c>
      <c r="D2003" s="9">
        <f t="shared" si="1"/>
        <v>942.68531007394085</v>
      </c>
      <c r="E2003" s="9">
        <f t="shared" si="2"/>
        <v>14953.815493265673</v>
      </c>
    </row>
    <row r="2004" spans="1:5" x14ac:dyDescent="0.25">
      <c r="A2004" s="2">
        <v>45844</v>
      </c>
      <c r="C2004" s="9">
        <f t="shared" si="0"/>
        <v>8095.3811500078027</v>
      </c>
      <c r="D2004" s="9">
        <f t="shared" si="1"/>
        <v>1089.7600146197719</v>
      </c>
      <c r="E2004" s="9">
        <f t="shared" si="2"/>
        <v>15101.002285395833</v>
      </c>
    </row>
    <row r="2005" spans="1:5" x14ac:dyDescent="0.25">
      <c r="A2005" s="2">
        <v>45845</v>
      </c>
      <c r="C2005" s="9">
        <f t="shared" si="0"/>
        <v>7869.8757958111819</v>
      </c>
      <c r="D2005" s="9">
        <f t="shared" si="1"/>
        <v>864.16709289543996</v>
      </c>
      <c r="E2005" s="9">
        <f t="shared" si="2"/>
        <v>14875.584498726923</v>
      </c>
    </row>
    <row r="2006" spans="1:5" x14ac:dyDescent="0.25">
      <c r="A2006" s="2">
        <v>45846</v>
      </c>
      <c r="C2006" s="9">
        <f t="shared" si="0"/>
        <v>6190.0071219857036</v>
      </c>
      <c r="D2006" s="9">
        <f t="shared" si="1"/>
        <v>-815.82767624707685</v>
      </c>
      <c r="E2006" s="9">
        <f t="shared" si="2"/>
        <v>13195.841920218485</v>
      </c>
    </row>
    <row r="2007" spans="1:5" x14ac:dyDescent="0.25">
      <c r="A2007" s="2">
        <v>45847</v>
      </c>
      <c r="C2007" s="9">
        <f t="shared" si="0"/>
        <v>6023.5747391067907</v>
      </c>
      <c r="D2007" s="9">
        <f t="shared" si="1"/>
        <v>-982.43168521630923</v>
      </c>
      <c r="E2007" s="9">
        <f t="shared" si="2"/>
        <v>13029.581163429892</v>
      </c>
    </row>
    <row r="2008" spans="1:5" x14ac:dyDescent="0.25">
      <c r="A2008" s="2">
        <v>45848</v>
      </c>
      <c r="C2008" s="9">
        <f t="shared" si="0"/>
        <v>9810.0175755317905</v>
      </c>
      <c r="D2008" s="9">
        <f t="shared" si="1"/>
        <v>2803.7869928509663</v>
      </c>
      <c r="E2008" s="9">
        <f t="shared" si="2"/>
        <v>16816.248158212613</v>
      </c>
    </row>
    <row r="2009" spans="1:5" x14ac:dyDescent="0.25">
      <c r="A2009" s="2">
        <v>45849</v>
      </c>
      <c r="C2009" s="9">
        <f t="shared" si="0"/>
        <v>8783.9897414786465</v>
      </c>
      <c r="D2009" s="9">
        <f t="shared" si="1"/>
        <v>1777.4754686581709</v>
      </c>
      <c r="E2009" s="9">
        <f t="shared" si="2"/>
        <v>15790.504014299122</v>
      </c>
    </row>
    <row r="2010" spans="1:5" x14ac:dyDescent="0.25">
      <c r="A2010" s="2">
        <v>45850</v>
      </c>
      <c r="C2010" s="9">
        <f t="shared" si="0"/>
        <v>7900.7720171695437</v>
      </c>
      <c r="D2010" s="9">
        <f t="shared" si="1"/>
        <v>893.90752545197302</v>
      </c>
      <c r="E2010" s="9">
        <f t="shared" si="2"/>
        <v>14907.636508887113</v>
      </c>
    </row>
    <row r="2011" spans="1:5" x14ac:dyDescent="0.25">
      <c r="A2011" s="2">
        <v>45851</v>
      </c>
      <c r="C2011" s="9">
        <f t="shared" si="0"/>
        <v>7372.1945991349248</v>
      </c>
      <c r="D2011" s="9">
        <f t="shared" si="1"/>
        <v>364.90636595515116</v>
      </c>
      <c r="E2011" s="9">
        <f t="shared" si="2"/>
        <v>14379.482832314698</v>
      </c>
    </row>
    <row r="2012" spans="1:5" x14ac:dyDescent="0.25">
      <c r="A2012" s="2">
        <v>45852</v>
      </c>
      <c r="C2012" s="9">
        <f t="shared" si="0"/>
        <v>8733.9496946917279</v>
      </c>
      <c r="D2012" s="9">
        <f t="shared" si="1"/>
        <v>1726.1572075428949</v>
      </c>
      <c r="E2012" s="9">
        <f t="shared" si="2"/>
        <v>15741.74218184056</v>
      </c>
    </row>
    <row r="2013" spans="1:5" x14ac:dyDescent="0.25">
      <c r="A2013" s="2">
        <v>45853</v>
      </c>
      <c r="C2013" s="9">
        <f t="shared" si="0"/>
        <v>10399.32055536764</v>
      </c>
      <c r="D2013" s="9">
        <f t="shared" si="1"/>
        <v>3390.9363164340002</v>
      </c>
      <c r="E2013" s="9">
        <f t="shared" si="2"/>
        <v>17407.70479430128</v>
      </c>
    </row>
    <row r="2014" spans="1:5" x14ac:dyDescent="0.25">
      <c r="A2014" s="2">
        <v>45854</v>
      </c>
      <c r="C2014" s="9">
        <f t="shared" si="0"/>
        <v>7894.6106897357477</v>
      </c>
      <c r="D2014" s="9">
        <f t="shared" si="1"/>
        <v>646.30363779455547</v>
      </c>
      <c r="E2014" s="9">
        <f t="shared" si="2"/>
        <v>15142.91774167694</v>
      </c>
    </row>
    <row r="2015" spans="1:5" x14ac:dyDescent="0.25">
      <c r="A2015" s="2">
        <v>45855</v>
      </c>
      <c r="C2015" s="9">
        <f t="shared" si="0"/>
        <v>7947.5709570374456</v>
      </c>
      <c r="D2015" s="9">
        <f t="shared" si="1"/>
        <v>698.50221982400308</v>
      </c>
      <c r="E2015" s="9">
        <f t="shared" si="2"/>
        <v>15196.639694250887</v>
      </c>
    </row>
    <row r="2016" spans="1:5" x14ac:dyDescent="0.25">
      <c r="A2016" s="2">
        <v>45856</v>
      </c>
      <c r="C2016" s="9">
        <f t="shared" si="0"/>
        <v>8094.7017053754425</v>
      </c>
      <c r="D2016" s="9">
        <f t="shared" si="1"/>
        <v>844.76643690666788</v>
      </c>
      <c r="E2016" s="9">
        <f t="shared" si="2"/>
        <v>15344.636973844217</v>
      </c>
    </row>
    <row r="2017" spans="1:5" x14ac:dyDescent="0.25">
      <c r="A2017" s="2">
        <v>45857</v>
      </c>
      <c r="C2017" s="9">
        <f t="shared" si="0"/>
        <v>7869.1963511788217</v>
      </c>
      <c r="D2017" s="9">
        <f t="shared" si="1"/>
        <v>618.28297460012982</v>
      </c>
      <c r="E2017" s="9">
        <f t="shared" si="2"/>
        <v>15120.109727757514</v>
      </c>
    </row>
    <row r="2018" spans="1:5" x14ac:dyDescent="0.25">
      <c r="A2018" s="2">
        <v>45858</v>
      </c>
      <c r="C2018" s="9">
        <f t="shared" si="0"/>
        <v>6189.3276773533435</v>
      </c>
      <c r="D2018" s="9">
        <f t="shared" si="1"/>
        <v>-1062.6821064809064</v>
      </c>
      <c r="E2018" s="9">
        <f t="shared" si="2"/>
        <v>13441.337461187593</v>
      </c>
    </row>
    <row r="2019" spans="1:5" x14ac:dyDescent="0.25">
      <c r="A2019" s="2">
        <v>45859</v>
      </c>
      <c r="C2019" s="9">
        <f t="shared" si="0"/>
        <v>6022.8952944744306</v>
      </c>
      <c r="D2019" s="9">
        <f t="shared" si="1"/>
        <v>-1230.3359084121876</v>
      </c>
      <c r="E2019" s="9">
        <f t="shared" si="2"/>
        <v>13276.126497361049</v>
      </c>
    </row>
    <row r="2020" spans="1:5" x14ac:dyDescent="0.25">
      <c r="A2020" s="2">
        <v>45860</v>
      </c>
      <c r="C2020" s="9">
        <f t="shared" si="0"/>
        <v>9809.3381308994285</v>
      </c>
      <c r="D2020" s="9">
        <f t="shared" si="1"/>
        <v>2554.7537952706743</v>
      </c>
      <c r="E2020" s="9">
        <f t="shared" si="2"/>
        <v>17063.922466528184</v>
      </c>
    </row>
    <row r="2021" spans="1:5" x14ac:dyDescent="0.25">
      <c r="A2021" s="2">
        <v>45861</v>
      </c>
      <c r="C2021" s="9">
        <f t="shared" si="0"/>
        <v>8783.3102968462881</v>
      </c>
      <c r="D2021" s="9">
        <f t="shared" si="1"/>
        <v>1527.2344248273857</v>
      </c>
      <c r="E2021" s="9">
        <f t="shared" si="2"/>
        <v>16039.38616886519</v>
      </c>
    </row>
    <row r="2022" spans="1:5" x14ac:dyDescent="0.25">
      <c r="A2022" s="2">
        <v>45862</v>
      </c>
      <c r="C2022" s="9">
        <f t="shared" si="0"/>
        <v>7900.0925725371835</v>
      </c>
      <c r="D2022" s="9">
        <f t="shared" si="1"/>
        <v>642.38008369033287</v>
      </c>
      <c r="E2022" s="9">
        <f t="shared" si="2"/>
        <v>15157.805061384035</v>
      </c>
    </row>
    <row r="2023" spans="1:5" x14ac:dyDescent="0.25">
      <c r="A2023" s="2">
        <v>45863</v>
      </c>
      <c r="C2023" s="9">
        <f t="shared" si="0"/>
        <v>7371.5151545025647</v>
      </c>
      <c r="D2023" s="9">
        <f t="shared" si="1"/>
        <v>112.01430605870155</v>
      </c>
      <c r="E2023" s="9">
        <f t="shared" si="2"/>
        <v>14631.016002946428</v>
      </c>
    </row>
    <row r="2024" spans="1:5" x14ac:dyDescent="0.25">
      <c r="A2024" s="2">
        <v>45864</v>
      </c>
      <c r="C2024" s="9">
        <f t="shared" si="0"/>
        <v>8733.2702500593678</v>
      </c>
      <c r="D2024" s="9">
        <f t="shared" si="1"/>
        <v>1471.8226527219804</v>
      </c>
      <c r="E2024" s="9">
        <f t="shared" si="2"/>
        <v>15994.717847396754</v>
      </c>
    </row>
    <row r="2025" spans="1:5" x14ac:dyDescent="0.25">
      <c r="A2025" s="2">
        <v>45865</v>
      </c>
      <c r="C2025" s="9">
        <f t="shared" si="0"/>
        <v>10398.64111073528</v>
      </c>
      <c r="D2025" s="9">
        <f t="shared" si="1"/>
        <v>3135.0817458836491</v>
      </c>
      <c r="E2025" s="9">
        <f t="shared" si="2"/>
        <v>17662.200475586909</v>
      </c>
    </row>
    <row r="2026" spans="1:5" x14ac:dyDescent="0.25">
      <c r="A2026" s="2">
        <v>45866</v>
      </c>
      <c r="C2026" s="9">
        <f t="shared" si="0"/>
        <v>7893.9312451033866</v>
      </c>
      <c r="D2026" s="9">
        <f t="shared" si="1"/>
        <v>377.42791383240728</v>
      </c>
      <c r="E2026" s="9">
        <f t="shared" si="2"/>
        <v>15410.434576374366</v>
      </c>
    </row>
    <row r="2027" spans="1:5" x14ac:dyDescent="0.25">
      <c r="A2027" s="2">
        <v>45867</v>
      </c>
      <c r="C2027" s="9">
        <f t="shared" si="0"/>
        <v>7946.8915124050855</v>
      </c>
      <c r="D2027" s="9">
        <f t="shared" si="1"/>
        <v>428.00862816540666</v>
      </c>
      <c r="E2027" s="9">
        <f t="shared" si="2"/>
        <v>15465.774396644763</v>
      </c>
    </row>
    <row r="2028" spans="1:5" x14ac:dyDescent="0.25">
      <c r="A2028" s="2">
        <v>45868</v>
      </c>
      <c r="C2028" s="9">
        <f t="shared" si="0"/>
        <v>8094.0222607430824</v>
      </c>
      <c r="D2028" s="9">
        <f t="shared" si="1"/>
        <v>572.58113637419137</v>
      </c>
      <c r="E2028" s="9">
        <f t="shared" si="2"/>
        <v>15615.463385111972</v>
      </c>
    </row>
    <row r="2029" spans="1:5" x14ac:dyDescent="0.25">
      <c r="A2029" s="2">
        <v>45869</v>
      </c>
      <c r="C2029" s="9">
        <f t="shared" si="0"/>
        <v>7868.5169065464615</v>
      </c>
      <c r="D2029" s="9">
        <f t="shared" si="1"/>
        <v>344.33251451336946</v>
      </c>
      <c r="E2029" s="9">
        <f t="shared" si="2"/>
        <v>15392.701298579554</v>
      </c>
    </row>
    <row r="2030" spans="1:5" x14ac:dyDescent="0.25">
      <c r="A2030" s="2">
        <v>45870</v>
      </c>
      <c r="C2030" s="9">
        <f t="shared" si="0"/>
        <v>6188.6482327209824</v>
      </c>
      <c r="D2030" s="9">
        <f t="shared" si="1"/>
        <v>-1338.4707723043775</v>
      </c>
      <c r="E2030" s="9">
        <f t="shared" si="2"/>
        <v>13715.767237746342</v>
      </c>
    </row>
    <row r="2031" spans="1:5" x14ac:dyDescent="0.25">
      <c r="A2031" s="2">
        <v>45871</v>
      </c>
      <c r="C2031" s="9">
        <f t="shared" si="0"/>
        <v>6022.2158498420695</v>
      </c>
      <c r="D2031" s="9">
        <f t="shared" si="1"/>
        <v>-1508.0354071776719</v>
      </c>
      <c r="E2031" s="9">
        <f t="shared" si="2"/>
        <v>13552.467106861812</v>
      </c>
    </row>
    <row r="2032" spans="1:5" x14ac:dyDescent="0.25">
      <c r="A2032" s="2">
        <v>45872</v>
      </c>
      <c r="C2032" s="9">
        <f t="shared" si="0"/>
        <v>9808.6586862670702</v>
      </c>
      <c r="D2032" s="9">
        <f t="shared" si="1"/>
        <v>2275.0712702735582</v>
      </c>
      <c r="E2032" s="9">
        <f t="shared" si="2"/>
        <v>17342.246102260582</v>
      </c>
    </row>
    <row r="2033" spans="1:5" x14ac:dyDescent="0.25">
      <c r="A2033" s="2">
        <v>45873</v>
      </c>
      <c r="C2033" s="9">
        <f t="shared" si="0"/>
        <v>8782.6308522139261</v>
      </c>
      <c r="D2033" s="9">
        <f t="shared" si="1"/>
        <v>1245.4971296029044</v>
      </c>
      <c r="E2033" s="9">
        <f t="shared" si="2"/>
        <v>16319.764574824949</v>
      </c>
    </row>
    <row r="2034" spans="1:5" x14ac:dyDescent="0.25">
      <c r="A2034" s="2">
        <v>45874</v>
      </c>
      <c r="C2034" s="9">
        <f t="shared" si="0"/>
        <v>7899.4131279048233</v>
      </c>
      <c r="D2034" s="9">
        <f t="shared" si="1"/>
        <v>358.51673933390248</v>
      </c>
      <c r="E2034" s="9">
        <f t="shared" si="2"/>
        <v>15440.309516475743</v>
      </c>
    </row>
    <row r="2035" spans="1:5" x14ac:dyDescent="0.25">
      <c r="A2035" s="2">
        <v>45875</v>
      </c>
      <c r="C2035" s="9">
        <f t="shared" si="0"/>
        <v>7370.8357098702045</v>
      </c>
      <c r="D2035" s="9">
        <f t="shared" si="1"/>
        <v>-174.04588504842741</v>
      </c>
      <c r="E2035" s="9">
        <f t="shared" si="2"/>
        <v>14915.717304788835</v>
      </c>
    </row>
    <row r="2036" spans="1:5" x14ac:dyDescent="0.25">
      <c r="A2036" s="2">
        <v>45876</v>
      </c>
      <c r="C2036" s="9">
        <f t="shared" si="0"/>
        <v>8732.5908054270076</v>
      </c>
      <c r="D2036" s="9">
        <f t="shared" si="1"/>
        <v>1183.4953151009431</v>
      </c>
      <c r="E2036" s="9">
        <f t="shared" si="2"/>
        <v>16281.686295753072</v>
      </c>
    </row>
    <row r="2037" spans="1:5" x14ac:dyDescent="0.25">
      <c r="A2037" s="2">
        <v>45877</v>
      </c>
      <c r="C2037" s="9">
        <f t="shared" si="0"/>
        <v>10397.961666102918</v>
      </c>
      <c r="D2037" s="9">
        <f t="shared" si="1"/>
        <v>2844.4174767623126</v>
      </c>
      <c r="E2037" s="9">
        <f t="shared" si="2"/>
        <v>17951.505855443524</v>
      </c>
    </row>
    <row r="2038" spans="1:5" x14ac:dyDescent="0.25">
      <c r="A2038" s="2">
        <v>45878</v>
      </c>
      <c r="C2038" s="9">
        <f t="shared" si="0"/>
        <v>7893.2518004710264</v>
      </c>
      <c r="D2038" s="9">
        <f t="shared" si="1"/>
        <v>74.894298644832816</v>
      </c>
      <c r="E2038" s="9">
        <f t="shared" si="2"/>
        <v>15711.60930229722</v>
      </c>
    </row>
    <row r="2039" spans="1:5" x14ac:dyDescent="0.25">
      <c r="A2039" s="2">
        <v>45879</v>
      </c>
      <c r="C2039" s="9">
        <f t="shared" si="0"/>
        <v>7946.2120677727253</v>
      </c>
      <c r="D2039" s="9">
        <f t="shared" si="1"/>
        <v>123.08220149118824</v>
      </c>
      <c r="E2039" s="9">
        <f t="shared" si="2"/>
        <v>15769.341934054262</v>
      </c>
    </row>
    <row r="2040" spans="1:5" x14ac:dyDescent="0.25">
      <c r="A2040" s="2">
        <v>45880</v>
      </c>
      <c r="C2040" s="9">
        <f t="shared" si="0"/>
        <v>8093.3428161107222</v>
      </c>
      <c r="D2040" s="9">
        <f t="shared" si="1"/>
        <v>265.19585111355809</v>
      </c>
      <c r="E2040" s="9">
        <f t="shared" si="2"/>
        <v>15921.489781107886</v>
      </c>
    </row>
    <row r="2041" spans="1:5" x14ac:dyDescent="0.25">
      <c r="A2041" s="2">
        <v>45881</v>
      </c>
      <c r="C2041" s="9">
        <f t="shared" si="0"/>
        <v>7867.8374619141005</v>
      </c>
      <c r="D2041" s="9">
        <f t="shared" si="1"/>
        <v>34.422869028861896</v>
      </c>
      <c r="E2041" s="9">
        <f t="shared" si="2"/>
        <v>15701.252054799339</v>
      </c>
    </row>
    <row r="2042" spans="1:5" x14ac:dyDescent="0.25">
      <c r="A2042" s="2">
        <v>45882</v>
      </c>
      <c r="C2042" s="9">
        <f t="shared" si="0"/>
        <v>6187.9687880886222</v>
      </c>
      <c r="D2042" s="9">
        <f t="shared" si="1"/>
        <v>-1650.9697175386909</v>
      </c>
      <c r="E2042" s="9">
        <f t="shared" si="2"/>
        <v>14026.907293715936</v>
      </c>
    </row>
    <row r="2043" spans="1:5" x14ac:dyDescent="0.25">
      <c r="A2043" s="2">
        <v>45883</v>
      </c>
      <c r="C2043" s="9">
        <f t="shared" si="0"/>
        <v>6021.5364052097093</v>
      </c>
      <c r="D2043" s="9">
        <f t="shared" si="1"/>
        <v>-1823.1880127372278</v>
      </c>
      <c r="E2043" s="9">
        <f t="shared" si="2"/>
        <v>13866.260823156646</v>
      </c>
    </row>
    <row r="2044" spans="1:5" x14ac:dyDescent="0.25">
      <c r="A2044" s="2">
        <v>45884</v>
      </c>
      <c r="C2044" s="9">
        <f t="shared" si="0"/>
        <v>9807.9792416347082</v>
      </c>
      <c r="D2044" s="9">
        <f t="shared" si="1"/>
        <v>1957.2012397671506</v>
      </c>
      <c r="E2044" s="9">
        <f t="shared" si="2"/>
        <v>17658.757243502267</v>
      </c>
    </row>
    <row r="2045" spans="1:5" x14ac:dyDescent="0.25">
      <c r="A2045" s="2">
        <v>45885</v>
      </c>
      <c r="C2045" s="9">
        <f t="shared" si="0"/>
        <v>8781.9514075815678</v>
      </c>
      <c r="D2045" s="9">
        <f t="shared" si="1"/>
        <v>924.8465226235212</v>
      </c>
      <c r="E2045" s="9">
        <f t="shared" si="2"/>
        <v>16639.056292539615</v>
      </c>
    </row>
    <row r="2046" spans="1:5" x14ac:dyDescent="0.25">
      <c r="A2046" s="2">
        <v>45886</v>
      </c>
      <c r="C2046" s="9">
        <f t="shared" si="0"/>
        <v>7898.7336832724623</v>
      </c>
      <c r="D2046" s="9">
        <f t="shared" si="1"/>
        <v>35.023034704182464</v>
      </c>
      <c r="E2046" s="9">
        <f t="shared" si="2"/>
        <v>15762.444331840743</v>
      </c>
    </row>
    <row r="2047" spans="1:5" x14ac:dyDescent="0.25">
      <c r="A2047" s="2">
        <v>45887</v>
      </c>
      <c r="C2047" s="9">
        <f t="shared" si="0"/>
        <v>7370.1562652378434</v>
      </c>
      <c r="D2047" s="9">
        <f t="shared" si="1"/>
        <v>-500.44456081935914</v>
      </c>
      <c r="E2047" s="9">
        <f t="shared" si="2"/>
        <v>15240.757091295047</v>
      </c>
    </row>
    <row r="2048" spans="1:5" x14ac:dyDescent="0.25">
      <c r="A2048" s="2">
        <v>45888</v>
      </c>
      <c r="C2048" s="9">
        <f t="shared" si="0"/>
        <v>8731.9113607946474</v>
      </c>
      <c r="D2048" s="9">
        <f t="shared" si="1"/>
        <v>854.1304597787248</v>
      </c>
      <c r="E2048" s="9">
        <f t="shared" si="2"/>
        <v>16609.692261810571</v>
      </c>
    </row>
    <row r="2049" spans="1:5" x14ac:dyDescent="0.25">
      <c r="A2049" s="2">
        <v>45889</v>
      </c>
      <c r="C2049" s="9">
        <f t="shared" si="0"/>
        <v>10397.282221470559</v>
      </c>
      <c r="D2049" s="9">
        <f t="shared" si="1"/>
        <v>2512.0259159821962</v>
      </c>
      <c r="E2049" s="9">
        <f t="shared" si="2"/>
        <v>18282.538526958924</v>
      </c>
    </row>
    <row r="2050" spans="1:5" x14ac:dyDescent="0.25">
      <c r="A2050" s="2">
        <v>45890</v>
      </c>
      <c r="C2050" s="9">
        <f t="shared" si="0"/>
        <v>7892.5723558386662</v>
      </c>
      <c r="D2050" s="9">
        <f t="shared" si="1"/>
        <v>-267.95716455407182</v>
      </c>
      <c r="E2050" s="9">
        <f t="shared" si="2"/>
        <v>16053.101876231405</v>
      </c>
    </row>
    <row r="2051" spans="1:5" x14ac:dyDescent="0.25">
      <c r="A2051" s="2">
        <v>45891</v>
      </c>
      <c r="C2051" s="9">
        <f t="shared" si="0"/>
        <v>7945.5326231403642</v>
      </c>
      <c r="D2051" s="9">
        <f t="shared" si="1"/>
        <v>-222.81437194652972</v>
      </c>
      <c r="E2051" s="9">
        <f t="shared" si="2"/>
        <v>16113.879618227258</v>
      </c>
    </row>
    <row r="2052" spans="1:5" x14ac:dyDescent="0.25">
      <c r="A2052" s="2">
        <v>45892</v>
      </c>
      <c r="C2052" s="9">
        <f t="shared" si="0"/>
        <v>8092.6633714783611</v>
      </c>
      <c r="D2052" s="9">
        <f t="shared" si="1"/>
        <v>-83.802747429369447</v>
      </c>
      <c r="E2052" s="9">
        <f t="shared" si="2"/>
        <v>16269.129490386091</v>
      </c>
    </row>
    <row r="2053" spans="1:5" x14ac:dyDescent="0.25">
      <c r="A2053" s="2">
        <v>45893</v>
      </c>
      <c r="C2053" s="9">
        <f t="shared" si="0"/>
        <v>7867.1580172817403</v>
      </c>
      <c r="D2053" s="9">
        <f t="shared" si="1"/>
        <v>-317.73397300776287</v>
      </c>
      <c r="E2053" s="9">
        <f t="shared" si="2"/>
        <v>16052.050007571244</v>
      </c>
    </row>
    <row r="2054" spans="1:5" x14ac:dyDescent="0.25">
      <c r="A2054" s="2">
        <v>45894</v>
      </c>
      <c r="C2054" s="9">
        <f t="shared" si="0"/>
        <v>6187.289343456262</v>
      </c>
      <c r="D2054" s="9">
        <f t="shared" si="1"/>
        <v>-2006.3403091655773</v>
      </c>
      <c r="E2054" s="9">
        <f t="shared" si="2"/>
        <v>14380.9189960781</v>
      </c>
    </row>
    <row r="2055" spans="1:5" x14ac:dyDescent="0.25">
      <c r="A2055" s="2">
        <v>45895</v>
      </c>
      <c r="C2055" s="9">
        <f t="shared" si="0"/>
        <v>6020.8569605773491</v>
      </c>
      <c r="D2055" s="9">
        <f t="shared" si="1"/>
        <v>-2181.8271320537342</v>
      </c>
      <c r="E2055" s="9">
        <f t="shared" si="2"/>
        <v>14223.541053208432</v>
      </c>
    </row>
    <row r="2056" spans="1:5" x14ac:dyDescent="0.25">
      <c r="A2056" s="2">
        <v>45896</v>
      </c>
      <c r="C2056" s="9">
        <f t="shared" si="0"/>
        <v>9807.2997970023498</v>
      </c>
      <c r="D2056" s="9">
        <f t="shared" si="1"/>
        <v>1595.2395582289064</v>
      </c>
      <c r="E2056" s="9">
        <f t="shared" si="2"/>
        <v>18019.360035775793</v>
      </c>
    </row>
    <row r="2057" spans="1:5" x14ac:dyDescent="0.25">
      <c r="A2057" s="2">
        <v>45897</v>
      </c>
      <c r="C2057" s="9">
        <f t="shared" si="0"/>
        <v>8781.2719629492058</v>
      </c>
      <c r="D2057" s="9">
        <f t="shared" si="1"/>
        <v>559.50900330683908</v>
      </c>
      <c r="E2057" s="9">
        <f t="shared" si="2"/>
        <v>17003.034922591571</v>
      </c>
    </row>
    <row r="2058" spans="1:5" x14ac:dyDescent="0.25">
      <c r="A2058" s="2">
        <v>45898</v>
      </c>
      <c r="C2058" s="9">
        <f t="shared" si="0"/>
        <v>7898.0542386401021</v>
      </c>
      <c r="D2058" s="9">
        <f t="shared" si="1"/>
        <v>-333.74282375244093</v>
      </c>
      <c r="E2058" s="9">
        <f t="shared" si="2"/>
        <v>16129.851301032646</v>
      </c>
    </row>
    <row r="2059" spans="1:5" x14ac:dyDescent="0.25">
      <c r="A2059" s="2">
        <v>45899</v>
      </c>
      <c r="C2059" s="9">
        <f t="shared" si="0"/>
        <v>7369.4768206054832</v>
      </c>
      <c r="D2059" s="9">
        <f t="shared" si="1"/>
        <v>-872.69047057750686</v>
      </c>
      <c r="E2059" s="9">
        <f t="shared" si="2"/>
        <v>15611.644111788473</v>
      </c>
    </row>
    <row r="2060" spans="1:5" x14ac:dyDescent="0.25">
      <c r="A2060" s="2">
        <v>45900</v>
      </c>
      <c r="C2060" s="9">
        <f t="shared" si="0"/>
        <v>8731.2319161622872</v>
      </c>
      <c r="D2060" s="9">
        <f t="shared" si="1"/>
        <v>478.35359052067906</v>
      </c>
      <c r="E2060" s="9">
        <f t="shared" si="2"/>
        <v>16984.110241803894</v>
      </c>
    </row>
    <row r="2061" spans="1:5" x14ac:dyDescent="0.25">
      <c r="A2061" s="2">
        <v>45901</v>
      </c>
      <c r="C2061" s="9">
        <f t="shared" si="0"/>
        <v>10396.602776838197</v>
      </c>
      <c r="D2061" s="9">
        <f t="shared" si="1"/>
        <v>2132.6679974845702</v>
      </c>
      <c r="E2061" s="9">
        <f t="shared" si="2"/>
        <v>18660.537556191826</v>
      </c>
    </row>
    <row r="2062" spans="1:5" x14ac:dyDescent="0.25">
      <c r="A2062" s="2">
        <v>45902</v>
      </c>
      <c r="C2062" s="9">
        <f t="shared" si="0"/>
        <v>7891.8929112063051</v>
      </c>
      <c r="D2062" s="9">
        <f t="shared" si="1"/>
        <v>-656.2073602835153</v>
      </c>
      <c r="E2062" s="9">
        <f t="shared" si="2"/>
        <v>16439.993182696126</v>
      </c>
    </row>
    <row r="2063" spans="1:5" x14ac:dyDescent="0.25">
      <c r="A2063" s="2">
        <v>45903</v>
      </c>
      <c r="C2063" s="9">
        <f t="shared" si="0"/>
        <v>7944.853178508004</v>
      </c>
      <c r="D2063" s="9">
        <f t="shared" si="1"/>
        <v>-614.63318757421894</v>
      </c>
      <c r="E2063" s="9">
        <f t="shared" si="2"/>
        <v>16504.339544590228</v>
      </c>
    </row>
    <row r="2064" spans="1:5" x14ac:dyDescent="0.25">
      <c r="A2064" s="2">
        <v>45904</v>
      </c>
      <c r="C2064" s="9">
        <f t="shared" si="0"/>
        <v>8091.9839268460009</v>
      </c>
      <c r="D2064" s="9">
        <f t="shared" si="1"/>
        <v>-479.23700680289676</v>
      </c>
      <c r="E2064" s="9">
        <f t="shared" si="2"/>
        <v>16663.204860494898</v>
      </c>
    </row>
    <row r="2065" spans="1:5" x14ac:dyDescent="0.25">
      <c r="A2065" s="2">
        <v>45905</v>
      </c>
      <c r="C2065" s="9">
        <f t="shared" si="0"/>
        <v>7866.4785726493801</v>
      </c>
      <c r="D2065" s="9">
        <f t="shared" si="1"/>
        <v>-716.82969009327371</v>
      </c>
      <c r="E2065" s="9">
        <f t="shared" si="2"/>
        <v>16449.786835392035</v>
      </c>
    </row>
    <row r="2066" spans="1:5" x14ac:dyDescent="0.25">
      <c r="A2066" s="2">
        <v>45906</v>
      </c>
      <c r="C2066" s="9">
        <f t="shared" ref="C2066:C2129" si="3">_xlfn.FORECAST.ETS(A2066,$B$2:$B$2001,$A$2:$A$2001,12,1)</f>
        <v>6186.6098988239019</v>
      </c>
      <c r="D2066" s="9">
        <f t="shared" ref="D2066:D2129" si="4">C2066-_xlfn.FORECAST.ETS.CONFINT(A2066,$B$2:$B$2001,$A$2:$A$2001,0.95,12,1)</f>
        <v>-2409.1426758890439</v>
      </c>
      <c r="E2066" s="9">
        <f t="shared" ref="E2066:E2129" si="5">C2066+_xlfn.FORECAST.ETS.CONFINT(A2066,$B$2:$B$2001,$A$2:$A$2001,0.95,12,1)</f>
        <v>14782.362473536847</v>
      </c>
    </row>
    <row r="2067" spans="1:5" x14ac:dyDescent="0.25">
      <c r="A2067" s="2">
        <v>45907</v>
      </c>
      <c r="C2067" s="9">
        <f t="shared" si="3"/>
        <v>6020.177515944988</v>
      </c>
      <c r="D2067" s="9">
        <f t="shared" si="4"/>
        <v>-2588.3805064926837</v>
      </c>
      <c r="E2067" s="9">
        <f t="shared" si="5"/>
        <v>14628.73553838266</v>
      </c>
    </row>
    <row r="2068" spans="1:5" x14ac:dyDescent="0.25">
      <c r="A2068" s="2">
        <v>45908</v>
      </c>
      <c r="C2068" s="9">
        <f t="shared" si="3"/>
        <v>9806.6203523699878</v>
      </c>
      <c r="D2068" s="9">
        <f t="shared" si="4"/>
        <v>1184.8916632820092</v>
      </c>
      <c r="E2068" s="9">
        <f t="shared" si="5"/>
        <v>18428.349041457965</v>
      </c>
    </row>
    <row r="2069" spans="1:5" x14ac:dyDescent="0.25">
      <c r="A2069" s="2">
        <v>45909</v>
      </c>
      <c r="C2069" s="9">
        <f t="shared" si="3"/>
        <v>8780.5925183168456</v>
      </c>
      <c r="D2069" s="9">
        <f t="shared" si="4"/>
        <v>145.32393138884981</v>
      </c>
      <c r="E2069" s="9">
        <f t="shared" si="5"/>
        <v>17415.86110524484</v>
      </c>
    </row>
    <row r="2070" spans="1:5" x14ac:dyDescent="0.25">
      <c r="A2070" s="2">
        <v>45910</v>
      </c>
      <c r="C2070" s="9">
        <f t="shared" si="3"/>
        <v>7897.3747940077419</v>
      </c>
      <c r="D2070" s="9">
        <f t="shared" si="4"/>
        <v>-751.80686214362777</v>
      </c>
      <c r="E2070" s="9">
        <f t="shared" si="5"/>
        <v>16546.556450159111</v>
      </c>
    </row>
    <row r="2071" spans="1:5" x14ac:dyDescent="0.25">
      <c r="A2071" s="2">
        <v>45911</v>
      </c>
      <c r="C2071" s="9">
        <f t="shared" si="3"/>
        <v>7368.7973759731231</v>
      </c>
      <c r="D2071" s="9">
        <f t="shared" si="4"/>
        <v>-1294.674387783225</v>
      </c>
      <c r="E2071" s="9">
        <f t="shared" si="5"/>
        <v>16032.269139729471</v>
      </c>
    </row>
    <row r="2072" spans="1:5" x14ac:dyDescent="0.25">
      <c r="A2072" s="2">
        <v>45912</v>
      </c>
      <c r="C2072" s="9">
        <f t="shared" si="3"/>
        <v>8730.5524715299252</v>
      </c>
      <c r="D2072" s="9">
        <f t="shared" si="4"/>
        <v>52.409769068697642</v>
      </c>
      <c r="E2072" s="9">
        <f t="shared" si="5"/>
        <v>17408.695173991153</v>
      </c>
    </row>
    <row r="2073" spans="1:5" x14ac:dyDescent="0.25">
      <c r="A2073" s="2">
        <v>45913</v>
      </c>
      <c r="C2073" s="9">
        <f t="shared" si="3"/>
        <v>10395.923332205837</v>
      </c>
      <c r="D2073" s="9">
        <f t="shared" si="4"/>
        <v>1702.7251425440427</v>
      </c>
      <c r="E2073" s="9">
        <f t="shared" si="5"/>
        <v>19089.12152186763</v>
      </c>
    </row>
    <row r="2074" spans="1:5" x14ac:dyDescent="0.25">
      <c r="A2074" s="2">
        <v>45914</v>
      </c>
      <c r="C2074" s="9">
        <f t="shared" si="3"/>
        <v>7891.213466573945</v>
      </c>
      <c r="D2074" s="9">
        <f t="shared" si="4"/>
        <v>-1093.4208867544821</v>
      </c>
      <c r="E2074" s="9">
        <f t="shared" si="5"/>
        <v>16875.847819902374</v>
      </c>
    </row>
    <row r="2075" spans="1:5" x14ac:dyDescent="0.25">
      <c r="A2075" s="2">
        <v>45915</v>
      </c>
      <c r="C2075" s="9">
        <f t="shared" si="3"/>
        <v>7944.1737338756438</v>
      </c>
      <c r="D2075" s="9">
        <f t="shared" si="4"/>
        <v>-1055.8104552011164</v>
      </c>
      <c r="E2075" s="9">
        <f t="shared" si="5"/>
        <v>16944.157922952403</v>
      </c>
    </row>
    <row r="2076" spans="1:5" x14ac:dyDescent="0.25">
      <c r="A2076" s="2">
        <v>45916</v>
      </c>
      <c r="C2076" s="9">
        <f t="shared" si="3"/>
        <v>8091.3044822136408</v>
      </c>
      <c r="D2076" s="9">
        <f t="shared" si="4"/>
        <v>-924.41440464379139</v>
      </c>
      <c r="E2076" s="9">
        <f t="shared" si="5"/>
        <v>17107.023369071074</v>
      </c>
    </row>
    <row r="2077" spans="1:5" x14ac:dyDescent="0.25">
      <c r="A2077" s="2">
        <v>45917</v>
      </c>
      <c r="C2077" s="9">
        <f t="shared" si="3"/>
        <v>7865.7991280170199</v>
      </c>
      <c r="D2077" s="9">
        <f t="shared" si="4"/>
        <v>-1166.0427410387538</v>
      </c>
      <c r="E2077" s="9">
        <f t="shared" si="5"/>
        <v>16897.640997072795</v>
      </c>
    </row>
    <row r="2078" spans="1:5" x14ac:dyDescent="0.25">
      <c r="A2078" s="2">
        <v>45918</v>
      </c>
      <c r="C2078" s="9">
        <f t="shared" si="3"/>
        <v>6185.9304541915408</v>
      </c>
      <c r="D2078" s="9">
        <f t="shared" si="4"/>
        <v>-2862.4260297786841</v>
      </c>
      <c r="E2078" s="9">
        <f t="shared" si="5"/>
        <v>15234.286938161766</v>
      </c>
    </row>
    <row r="2079" spans="1:5" x14ac:dyDescent="0.25">
      <c r="A2079" s="2">
        <v>45919</v>
      </c>
      <c r="C2079" s="9">
        <f t="shared" si="3"/>
        <v>6019.4980713126279</v>
      </c>
      <c r="D2079" s="9">
        <f t="shared" si="4"/>
        <v>-3045.7679337183472</v>
      </c>
      <c r="E2079" s="9">
        <f t="shared" si="5"/>
        <v>15084.764076343603</v>
      </c>
    </row>
    <row r="2080" spans="1:5" x14ac:dyDescent="0.25">
      <c r="A2080" s="2">
        <v>45920</v>
      </c>
      <c r="C2080" s="9">
        <f t="shared" si="3"/>
        <v>9805.9409077376276</v>
      </c>
      <c r="D2080" s="9">
        <f t="shared" si="4"/>
        <v>723.36727767424054</v>
      </c>
      <c r="E2080" s="9">
        <f t="shared" si="5"/>
        <v>18888.514537801013</v>
      </c>
    </row>
    <row r="2081" spans="1:5" x14ac:dyDescent="0.25">
      <c r="A2081" s="2">
        <v>45921</v>
      </c>
      <c r="C2081" s="9">
        <f t="shared" si="3"/>
        <v>8779.9130736844854</v>
      </c>
      <c r="D2081" s="9">
        <f t="shared" si="4"/>
        <v>-320.36940691273412</v>
      </c>
      <c r="E2081" s="9">
        <f t="shared" si="5"/>
        <v>17880.195554281705</v>
      </c>
    </row>
    <row r="2082" spans="1:5" x14ac:dyDescent="0.25">
      <c r="A2082" s="2">
        <v>45922</v>
      </c>
      <c r="C2082" s="9">
        <f t="shared" si="3"/>
        <v>7896.6953493753817</v>
      </c>
      <c r="D2082" s="9">
        <f t="shared" si="4"/>
        <v>-1221.7002518472955</v>
      </c>
      <c r="E2082" s="9">
        <f t="shared" si="5"/>
        <v>17015.09095059806</v>
      </c>
    </row>
    <row r="2083" spans="1:5" x14ac:dyDescent="0.25">
      <c r="A2083" s="2">
        <v>45923</v>
      </c>
      <c r="C2083" s="9">
        <f t="shared" si="3"/>
        <v>7368.117931340762</v>
      </c>
      <c r="D2083" s="9">
        <f t="shared" si="4"/>
        <v>-1768.7980276533335</v>
      </c>
      <c r="E2083" s="9">
        <f t="shared" si="5"/>
        <v>16505.033890334857</v>
      </c>
    </row>
    <row r="2084" spans="1:5" x14ac:dyDescent="0.25">
      <c r="A2084" s="2">
        <v>45924</v>
      </c>
      <c r="C2084" s="9">
        <f t="shared" si="3"/>
        <v>8729.8730268975651</v>
      </c>
      <c r="D2084" s="9">
        <f t="shared" si="4"/>
        <v>-425.97341598458297</v>
      </c>
      <c r="E2084" s="9">
        <f t="shared" si="5"/>
        <v>17885.719469779713</v>
      </c>
    </row>
    <row r="2085" spans="1:5" x14ac:dyDescent="0.25">
      <c r="A2085" s="2">
        <v>45925</v>
      </c>
      <c r="C2085" s="9">
        <f t="shared" si="3"/>
        <v>10395.243887573477</v>
      </c>
      <c r="D2085" s="9">
        <f t="shared" si="4"/>
        <v>1220.0540242982679</v>
      </c>
      <c r="E2085" s="9">
        <f t="shared" si="5"/>
        <v>19570.433750848686</v>
      </c>
    </row>
    <row r="2086" spans="1:5" x14ac:dyDescent="0.25">
      <c r="A2086" s="2">
        <v>45926</v>
      </c>
      <c r="C2086" s="9">
        <f t="shared" si="3"/>
        <v>7890.5340219415848</v>
      </c>
      <c r="D2086" s="9">
        <f t="shared" si="4"/>
        <v>-1581.7815624239738</v>
      </c>
      <c r="E2086" s="9">
        <f t="shared" si="5"/>
        <v>17362.849606307143</v>
      </c>
    </row>
    <row r="2087" spans="1:5" x14ac:dyDescent="0.25">
      <c r="A2087" s="2">
        <v>45927</v>
      </c>
      <c r="C2087" s="9">
        <f t="shared" si="3"/>
        <v>7943.4942892432837</v>
      </c>
      <c r="D2087" s="9">
        <f t="shared" si="4"/>
        <v>-1548.4091095232698</v>
      </c>
      <c r="E2087" s="9">
        <f t="shared" si="5"/>
        <v>17435.397688009838</v>
      </c>
    </row>
    <row r="2088" spans="1:5" x14ac:dyDescent="0.25">
      <c r="A2088" s="2">
        <v>45928</v>
      </c>
      <c r="C2088" s="9">
        <f t="shared" si="3"/>
        <v>8090.6250375812797</v>
      </c>
      <c r="D2088" s="9">
        <f t="shared" si="4"/>
        <v>-1421.2773113610474</v>
      </c>
      <c r="E2088" s="9">
        <f t="shared" si="5"/>
        <v>17602.527386523609</v>
      </c>
    </row>
    <row r="2089" spans="1:5" x14ac:dyDescent="0.25">
      <c r="A2089" s="2">
        <v>45929</v>
      </c>
      <c r="C2089" s="9">
        <f t="shared" si="3"/>
        <v>7865.1196833846589</v>
      </c>
      <c r="D2089" s="9">
        <f t="shared" si="4"/>
        <v>-1667.1953123396961</v>
      </c>
      <c r="E2089" s="9">
        <f t="shared" si="5"/>
        <v>17397.434679109014</v>
      </c>
    </row>
    <row r="2090" spans="1:5" x14ac:dyDescent="0.25">
      <c r="A2090" s="2">
        <v>45930</v>
      </c>
      <c r="C2090" s="9">
        <f t="shared" si="3"/>
        <v>6185.2510095591806</v>
      </c>
      <c r="D2090" s="9">
        <f t="shared" si="4"/>
        <v>-3367.8928149735348</v>
      </c>
      <c r="E2090" s="9">
        <f t="shared" si="5"/>
        <v>15738.394834091896</v>
      </c>
    </row>
    <row r="2091" spans="1:5" x14ac:dyDescent="0.25">
      <c r="A2091" s="2">
        <v>45931</v>
      </c>
      <c r="C2091" s="9">
        <f t="shared" si="3"/>
        <v>6018.8186266802677</v>
      </c>
      <c r="D2091" s="9">
        <f t="shared" si="4"/>
        <v>-3555.5726184226896</v>
      </c>
      <c r="E2091" s="9">
        <f t="shared" si="5"/>
        <v>15593.209871783225</v>
      </c>
    </row>
    <row r="2092" spans="1:5" x14ac:dyDescent="0.25">
      <c r="A2092" s="2">
        <v>45932</v>
      </c>
      <c r="C2092" s="9">
        <f t="shared" si="3"/>
        <v>9805.2614631052675</v>
      </c>
      <c r="D2092" s="9">
        <f t="shared" si="4"/>
        <v>209.2018718458221</v>
      </c>
      <c r="E2092" s="9">
        <f t="shared" si="5"/>
        <v>19401.321054364715</v>
      </c>
    </row>
    <row r="2093" spans="1:5" x14ac:dyDescent="0.25">
      <c r="A2093" s="2">
        <v>45933</v>
      </c>
      <c r="C2093" s="9">
        <f t="shared" si="3"/>
        <v>8779.2336290521234</v>
      </c>
      <c r="D2093" s="9">
        <f t="shared" si="4"/>
        <v>-838.91749168325805</v>
      </c>
      <c r="E2093" s="9">
        <f t="shared" si="5"/>
        <v>18397.384749787503</v>
      </c>
    </row>
    <row r="2094" spans="1:5" x14ac:dyDescent="0.25">
      <c r="A2094" s="2">
        <v>45934</v>
      </c>
      <c r="C2094" s="9">
        <f t="shared" si="3"/>
        <v>7896.0159047430207</v>
      </c>
      <c r="D2094" s="9">
        <f t="shared" si="4"/>
        <v>-1744.6521102966017</v>
      </c>
      <c r="E2094" s="9">
        <f t="shared" si="5"/>
        <v>17536.683919782641</v>
      </c>
    </row>
    <row r="2095" spans="1:5" x14ac:dyDescent="0.25">
      <c r="A2095" s="2">
        <v>45935</v>
      </c>
      <c r="C2095" s="9">
        <f t="shared" si="3"/>
        <v>7367.4384867084018</v>
      </c>
      <c r="D2095" s="9">
        <f t="shared" si="4"/>
        <v>-2296.1738926618318</v>
      </c>
      <c r="E2095" s="9">
        <f t="shared" si="5"/>
        <v>17031.050866078636</v>
      </c>
    </row>
    <row r="2096" spans="1:5" x14ac:dyDescent="0.25">
      <c r="A2096" s="2">
        <v>45936</v>
      </c>
      <c r="C2096" s="9">
        <f t="shared" si="3"/>
        <v>8729.1935822652049</v>
      </c>
      <c r="D2096" s="9">
        <f t="shared" si="4"/>
        <v>-957.79266030958388</v>
      </c>
      <c r="E2096" s="9">
        <f t="shared" si="5"/>
        <v>18416.179824839994</v>
      </c>
    </row>
    <row r="2097" spans="1:5" x14ac:dyDescent="0.25">
      <c r="A2097" s="2">
        <v>45937</v>
      </c>
      <c r="C2097" s="9">
        <f t="shared" si="3"/>
        <v>10394.564442941117</v>
      </c>
      <c r="D2097" s="9">
        <f t="shared" si="4"/>
        <v>683.77288578389198</v>
      </c>
      <c r="E2097" s="9">
        <f t="shared" si="5"/>
        <v>20105.356000098342</v>
      </c>
    </row>
    <row r="2098" spans="1:5" x14ac:dyDescent="0.25">
      <c r="A2098" s="2">
        <v>45938</v>
      </c>
      <c r="C2098" s="9">
        <f t="shared" si="3"/>
        <v>7889.8545773092246</v>
      </c>
      <c r="D2098" s="9">
        <f t="shared" si="4"/>
        <v>-2122.2857679805184</v>
      </c>
      <c r="E2098" s="9">
        <f t="shared" si="5"/>
        <v>17901.994922598969</v>
      </c>
    </row>
    <row r="2099" spans="1:5" x14ac:dyDescent="0.25">
      <c r="A2099" s="2">
        <v>45939</v>
      </c>
      <c r="C2099" s="9">
        <f t="shared" si="3"/>
        <v>7942.8148446109226</v>
      </c>
      <c r="D2099" s="9">
        <f t="shared" si="4"/>
        <v>-2093.3180200296683</v>
      </c>
      <c r="E2099" s="9">
        <f t="shared" si="5"/>
        <v>17978.947709251515</v>
      </c>
    </row>
    <row r="2100" spans="1:5" x14ac:dyDescent="0.25">
      <c r="A2100" s="2">
        <v>45940</v>
      </c>
      <c r="C2100" s="9">
        <f t="shared" si="3"/>
        <v>8089.9455929489195</v>
      </c>
      <c r="D2100" s="9">
        <f t="shared" si="4"/>
        <v>-1970.6079644985912</v>
      </c>
      <c r="E2100" s="9">
        <f t="shared" si="5"/>
        <v>18150.49915039643</v>
      </c>
    </row>
    <row r="2101" spans="1:5" x14ac:dyDescent="0.25">
      <c r="A2101" s="2">
        <v>45941</v>
      </c>
      <c r="C2101" s="9">
        <f t="shared" si="3"/>
        <v>7864.4402387522987</v>
      </c>
      <c r="D2101" s="9">
        <f t="shared" si="4"/>
        <v>-2220.9639408248458</v>
      </c>
      <c r="E2101" s="9">
        <f t="shared" si="5"/>
        <v>17949.844418329441</v>
      </c>
    </row>
    <row r="2102" spans="1:5" x14ac:dyDescent="0.25">
      <c r="A2102" s="2">
        <v>45942</v>
      </c>
      <c r="C2102" s="9">
        <f t="shared" si="3"/>
        <v>6184.5715649268204</v>
      </c>
      <c r="D2102" s="9">
        <f t="shared" si="4"/>
        <v>-3926.1148500109521</v>
      </c>
      <c r="E2102" s="9">
        <f t="shared" si="5"/>
        <v>16295.257979864593</v>
      </c>
    </row>
    <row r="2103" spans="1:5" x14ac:dyDescent="0.25">
      <c r="A2103" s="2">
        <v>45943</v>
      </c>
      <c r="C2103" s="9">
        <f t="shared" si="3"/>
        <v>6018.1391820479075</v>
      </c>
      <c r="D2103" s="9">
        <f t="shared" si="4"/>
        <v>-4118.2626935979115</v>
      </c>
      <c r="E2103" s="9">
        <f t="shared" si="5"/>
        <v>16154.541057693727</v>
      </c>
    </row>
    <row r="2104" spans="1:5" x14ac:dyDescent="0.25">
      <c r="A2104" s="2">
        <v>45944</v>
      </c>
      <c r="C2104" s="9">
        <f t="shared" si="3"/>
        <v>9804.5820184729055</v>
      </c>
      <c r="D2104" s="9">
        <f t="shared" si="4"/>
        <v>-357.97008376007034</v>
      </c>
      <c r="E2104" s="9">
        <f t="shared" si="5"/>
        <v>19967.134120705879</v>
      </c>
    </row>
    <row r="2105" spans="1:5" x14ac:dyDescent="0.25">
      <c r="A2105" s="2">
        <v>45945</v>
      </c>
      <c r="C2105" s="9">
        <f t="shared" si="3"/>
        <v>8778.5541844197651</v>
      </c>
      <c r="D2105" s="9">
        <f t="shared" si="4"/>
        <v>-1410.5843794736338</v>
      </c>
      <c r="E2105" s="9">
        <f t="shared" si="5"/>
        <v>18967.692748313166</v>
      </c>
    </row>
    <row r="2106" spans="1:5" x14ac:dyDescent="0.25">
      <c r="A2106" s="2">
        <v>45946</v>
      </c>
      <c r="C2106" s="9">
        <f t="shared" si="3"/>
        <v>7895.3364601106605</v>
      </c>
      <c r="D2106" s="9">
        <f t="shared" si="4"/>
        <v>-2320.8261986598282</v>
      </c>
      <c r="E2106" s="9">
        <f t="shared" si="5"/>
        <v>18111.499118881147</v>
      </c>
    </row>
    <row r="2107" spans="1:5" x14ac:dyDescent="0.25">
      <c r="A2107" s="2">
        <v>45947</v>
      </c>
      <c r="C2107" s="9">
        <f t="shared" si="3"/>
        <v>7366.7590420760416</v>
      </c>
      <c r="D2107" s="9">
        <f t="shared" si="4"/>
        <v>-2876.8666722065564</v>
      </c>
      <c r="E2107" s="9">
        <f t="shared" si="5"/>
        <v>17610.384756358639</v>
      </c>
    </row>
    <row r="2108" spans="1:5" x14ac:dyDescent="0.25">
      <c r="A2108" s="2">
        <v>45948</v>
      </c>
      <c r="C2108" s="9">
        <f t="shared" si="3"/>
        <v>8728.5141376328447</v>
      </c>
      <c r="D2108" s="9">
        <f t="shared" si="4"/>
        <v>-1543.0148498541748</v>
      </c>
      <c r="E2108" s="9">
        <f t="shared" si="5"/>
        <v>19000.043125119864</v>
      </c>
    </row>
    <row r="2109" spans="1:5" x14ac:dyDescent="0.25">
      <c r="A2109" s="2">
        <v>45949</v>
      </c>
      <c r="C2109" s="9">
        <f t="shared" si="3"/>
        <v>10393.884998308757</v>
      </c>
      <c r="D2109" s="9">
        <f t="shared" si="4"/>
        <v>94.011332827172737</v>
      </c>
      <c r="E2109" s="9">
        <f t="shared" si="5"/>
        <v>20693.758663790341</v>
      </c>
    </row>
    <row r="2110" spans="1:5" x14ac:dyDescent="0.25">
      <c r="A2110" s="2">
        <v>45950</v>
      </c>
      <c r="C2110" s="9">
        <f t="shared" si="3"/>
        <v>7889.1751326768635</v>
      </c>
      <c r="D2110" s="9">
        <f t="shared" si="4"/>
        <v>-2714.9675293594983</v>
      </c>
      <c r="E2110" s="9">
        <f t="shared" si="5"/>
        <v>18493.317794713224</v>
      </c>
    </row>
    <row r="2111" spans="1:5" x14ac:dyDescent="0.25">
      <c r="A2111" s="2">
        <v>45951</v>
      </c>
      <c r="C2111" s="9">
        <f t="shared" si="3"/>
        <v>7942.1353999785624</v>
      </c>
      <c r="D2111" s="9">
        <f t="shared" si="4"/>
        <v>-2690.4807165356979</v>
      </c>
      <c r="E2111" s="9">
        <f t="shared" si="5"/>
        <v>18574.751516492823</v>
      </c>
    </row>
    <row r="2112" spans="1:5" x14ac:dyDescent="0.25">
      <c r="A2112" s="2">
        <v>45952</v>
      </c>
      <c r="C2112" s="9">
        <f t="shared" si="3"/>
        <v>8089.2661483165593</v>
      </c>
      <c r="D2112" s="9">
        <f t="shared" si="4"/>
        <v>-2572.2606489166465</v>
      </c>
      <c r="E2112" s="9">
        <f t="shared" si="5"/>
        <v>18750.792945549765</v>
      </c>
    </row>
    <row r="2113" spans="1:5" x14ac:dyDescent="0.25">
      <c r="A2113" s="2">
        <v>45953</v>
      </c>
      <c r="C2113" s="9">
        <f t="shared" si="3"/>
        <v>7863.7607941199385</v>
      </c>
      <c r="D2113" s="9">
        <f t="shared" si="4"/>
        <v>-2827.1149535777004</v>
      </c>
      <c r="E2113" s="9">
        <f t="shared" si="5"/>
        <v>18554.636541817577</v>
      </c>
    </row>
    <row r="2114" spans="1:5" x14ac:dyDescent="0.25">
      <c r="A2114" s="2">
        <v>45954</v>
      </c>
      <c r="C2114" s="9">
        <f t="shared" si="3"/>
        <v>6183.8921202944593</v>
      </c>
      <c r="D2114" s="9">
        <f t="shared" si="4"/>
        <v>-4536.7718260254433</v>
      </c>
      <c r="E2114" s="9">
        <f t="shared" si="5"/>
        <v>16904.556066614361</v>
      </c>
    </row>
    <row r="2115" spans="1:5" x14ac:dyDescent="0.25">
      <c r="A2115" s="2">
        <v>45955</v>
      </c>
      <c r="C2115" s="9">
        <f t="shared" si="3"/>
        <v>6017.4597374155464</v>
      </c>
      <c r="D2115" s="9">
        <f t="shared" si="4"/>
        <v>-4733.4325694938825</v>
      </c>
      <c r="E2115" s="9">
        <f t="shared" si="5"/>
        <v>16768.352044324976</v>
      </c>
    </row>
    <row r="2116" spans="1:5" x14ac:dyDescent="0.25">
      <c r="A2116" s="2">
        <v>45956</v>
      </c>
      <c r="C2116" s="9">
        <f t="shared" si="3"/>
        <v>9803.9025738405471</v>
      </c>
      <c r="D2116" s="9">
        <f t="shared" si="4"/>
        <v>-977.6591053520151</v>
      </c>
      <c r="E2116" s="9">
        <f t="shared" si="5"/>
        <v>20585.464253033111</v>
      </c>
    </row>
    <row r="2117" spans="1:5" x14ac:dyDescent="0.25">
      <c r="A2117" s="2">
        <v>45957</v>
      </c>
      <c r="C2117" s="9">
        <f t="shared" si="3"/>
        <v>8777.8747397874031</v>
      </c>
      <c r="D2117" s="9">
        <f t="shared" si="4"/>
        <v>-2034.7981095746836</v>
      </c>
      <c r="E2117" s="9">
        <f t="shared" si="5"/>
        <v>19590.54758914949</v>
      </c>
    </row>
    <row r="2118" spans="1:5" x14ac:dyDescent="0.25">
      <c r="A2118" s="2">
        <v>45958</v>
      </c>
      <c r="C2118" s="9">
        <f t="shared" si="3"/>
        <v>7894.6570154783003</v>
      </c>
      <c r="D2118" s="9">
        <f t="shared" si="4"/>
        <v>-2949.5695251773759</v>
      </c>
      <c r="E2118" s="9">
        <f t="shared" si="5"/>
        <v>18738.883556133977</v>
      </c>
    </row>
    <row r="2119" spans="1:5" x14ac:dyDescent="0.25">
      <c r="A2119" s="2">
        <v>45959</v>
      </c>
      <c r="C2119" s="9">
        <f t="shared" si="3"/>
        <v>7366.0795974436815</v>
      </c>
      <c r="D2119" s="9">
        <f t="shared" si="4"/>
        <v>-3510.1438165186091</v>
      </c>
      <c r="E2119" s="9">
        <f t="shared" si="5"/>
        <v>18242.303011405973</v>
      </c>
    </row>
    <row r="2120" spans="1:5" x14ac:dyDescent="0.25">
      <c r="A2120" s="2">
        <v>45960</v>
      </c>
      <c r="C2120" s="9">
        <f t="shared" si="3"/>
        <v>8727.8346930004845</v>
      </c>
      <c r="D2120" s="9">
        <f t="shared" si="4"/>
        <v>-2180.829375455136</v>
      </c>
      <c r="E2120" s="9">
        <f t="shared" si="5"/>
        <v>19636.498761456103</v>
      </c>
    </row>
    <row r="2121" spans="1:5" x14ac:dyDescent="0.25">
      <c r="A2121" s="2">
        <v>45961</v>
      </c>
      <c r="C2121" s="9">
        <f t="shared" si="3"/>
        <v>10393.205553676395</v>
      </c>
      <c r="D2121" s="9">
        <f t="shared" si="4"/>
        <v>-548.34348857725126</v>
      </c>
      <c r="E2121" s="9">
        <f t="shared" si="5"/>
        <v>21334.754595930041</v>
      </c>
    </row>
    <row r="2122" spans="1:5" x14ac:dyDescent="0.25">
      <c r="A2122" s="2">
        <v>45962</v>
      </c>
      <c r="C2122" s="9">
        <f t="shared" si="3"/>
        <v>7888.4956880445034</v>
      </c>
      <c r="D2122" s="9">
        <f t="shared" si="4"/>
        <v>-3359.127895666682</v>
      </c>
      <c r="E2122" s="9">
        <f t="shared" si="5"/>
        <v>19136.119271755688</v>
      </c>
    </row>
    <row r="2123" spans="1:5" x14ac:dyDescent="0.25">
      <c r="A2123" s="2">
        <v>45963</v>
      </c>
      <c r="C2123" s="9">
        <f t="shared" si="3"/>
        <v>7941.4559553462022</v>
      </c>
      <c r="D2123" s="9">
        <f t="shared" si="4"/>
        <v>-3339.1260237342176</v>
      </c>
      <c r="E2123" s="9">
        <f t="shared" si="5"/>
        <v>19222.037934426622</v>
      </c>
    </row>
    <row r="2124" spans="1:5" x14ac:dyDescent="0.25">
      <c r="A2124" s="2">
        <v>45964</v>
      </c>
      <c r="C2124" s="9">
        <f t="shared" si="3"/>
        <v>8088.5867036841992</v>
      </c>
      <c r="D2124" s="9">
        <f t="shared" si="4"/>
        <v>-3225.3933844761486</v>
      </c>
      <c r="E2124" s="9">
        <f t="shared" si="5"/>
        <v>19402.566791844547</v>
      </c>
    </row>
    <row r="2125" spans="1:5" x14ac:dyDescent="0.25">
      <c r="A2125" s="2">
        <v>45965</v>
      </c>
      <c r="C2125" s="9">
        <f t="shared" si="3"/>
        <v>7863.0813494875774</v>
      </c>
      <c r="D2125" s="9">
        <f t="shared" si="4"/>
        <v>-3484.7370038992094</v>
      </c>
      <c r="E2125" s="9">
        <f t="shared" si="5"/>
        <v>19210.899702874365</v>
      </c>
    </row>
    <row r="2126" spans="1:5" x14ac:dyDescent="0.25">
      <c r="A2126" s="2">
        <v>45966</v>
      </c>
      <c r="C2126" s="9">
        <f t="shared" si="3"/>
        <v>6183.2126756620992</v>
      </c>
      <c r="D2126" s="9">
        <f t="shared" si="4"/>
        <v>-5198.8844852425855</v>
      </c>
      <c r="E2126" s="9">
        <f t="shared" si="5"/>
        <v>17565.309836566783</v>
      </c>
    </row>
    <row r="2127" spans="1:5" x14ac:dyDescent="0.25">
      <c r="A2127" s="2">
        <v>45967</v>
      </c>
      <c r="C2127" s="9">
        <f t="shared" si="3"/>
        <v>6016.7802927831863</v>
      </c>
      <c r="D2127" s="9">
        <f t="shared" si="4"/>
        <v>-5400.0365484702188</v>
      </c>
      <c r="E2127" s="9">
        <f t="shared" si="5"/>
        <v>17433.59713403659</v>
      </c>
    </row>
    <row r="2128" spans="1:5" x14ac:dyDescent="0.25">
      <c r="A2128" s="2">
        <v>45968</v>
      </c>
      <c r="C2128" s="9">
        <f t="shared" si="3"/>
        <v>9803.2231292081851</v>
      </c>
      <c r="D2128" s="9">
        <f t="shared" si="4"/>
        <v>-1648.7545408635597</v>
      </c>
      <c r="E2128" s="9">
        <f t="shared" si="5"/>
        <v>21255.20079927993</v>
      </c>
    </row>
    <row r="2129" spans="1:5" x14ac:dyDescent="0.25">
      <c r="A2129" s="2">
        <v>45969</v>
      </c>
      <c r="C2129" s="9">
        <f t="shared" si="3"/>
        <v>8777.1952951550447</v>
      </c>
      <c r="D2129" s="9">
        <f t="shared" si="4"/>
        <v>-2710.3845736667154</v>
      </c>
      <c r="E2129" s="9">
        <f t="shared" si="5"/>
        <v>20264.775163976803</v>
      </c>
    </row>
    <row r="2130" spans="1:5" x14ac:dyDescent="0.25">
      <c r="A2130" s="2">
        <v>45970</v>
      </c>
      <c r="C2130" s="9">
        <f t="shared" ref="C2130:C2193" si="6">_xlfn.FORECAST.ETS(A2130,$B$2:$B$2001,$A$2:$A$2001,12,1)</f>
        <v>7893.9775708459392</v>
      </c>
      <c r="D2130" s="9">
        <f t="shared" ref="D2130:D2193" si="7">C2130-_xlfn.FORECAST.ETS.CONFINT(A2130,$B$2:$B$2001,$A$2:$A$2001,0.95,12,1)</f>
        <v>-3629.6460346845624</v>
      </c>
      <c r="E2130" s="9">
        <f t="shared" ref="E2130:E2193" si="8">C2130+_xlfn.FORECAST.ETS.CONFINT(A2130,$B$2:$B$2001,$A$2:$A$2001,0.95,12,1)</f>
        <v>19417.60117637644</v>
      </c>
    </row>
    <row r="2131" spans="1:5" x14ac:dyDescent="0.25">
      <c r="A2131" s="2">
        <v>45971</v>
      </c>
      <c r="C2131" s="9">
        <f t="shared" si="6"/>
        <v>7365.4001528113204</v>
      </c>
      <c r="D2131" s="9">
        <f t="shared" si="7"/>
        <v>-4194.7088427373619</v>
      </c>
      <c r="E2131" s="9">
        <f t="shared" si="8"/>
        <v>18925.509148360004</v>
      </c>
    </row>
    <row r="2132" spans="1:5" x14ac:dyDescent="0.25">
      <c r="A2132" s="2">
        <v>45972</v>
      </c>
      <c r="C2132" s="9">
        <f t="shared" si="6"/>
        <v>8727.1552483681244</v>
      </c>
      <c r="D2132" s="9">
        <f t="shared" si="7"/>
        <v>-2869.8808539572146</v>
      </c>
      <c r="E2132" s="9">
        <f t="shared" si="8"/>
        <v>20324.191350693465</v>
      </c>
    </row>
    <row r="2133" spans="1:5" x14ac:dyDescent="0.25">
      <c r="A2133" s="2">
        <v>45973</v>
      </c>
      <c r="C2133" s="9">
        <f t="shared" si="6"/>
        <v>10392.526109044036</v>
      </c>
      <c r="D2133" s="9">
        <f t="shared" si="7"/>
        <v>-1241.8788291535402</v>
      </c>
      <c r="E2133" s="9">
        <f t="shared" si="8"/>
        <v>22026.931047241611</v>
      </c>
    </row>
    <row r="2134" spans="1:5" x14ac:dyDescent="0.25">
      <c r="A2134" s="2">
        <v>45974</v>
      </c>
      <c r="C2134" s="9">
        <f t="shared" si="6"/>
        <v>7887.8162434121432</v>
      </c>
      <c r="D2134" s="9">
        <f t="shared" si="7"/>
        <v>-4053.5467519835775</v>
      </c>
      <c r="E2134" s="9">
        <f t="shared" si="8"/>
        <v>19829.179238807865</v>
      </c>
    </row>
    <row r="2135" spans="1:5" x14ac:dyDescent="0.25">
      <c r="A2135" s="2">
        <v>45975</v>
      </c>
      <c r="C2135" s="9">
        <f t="shared" si="6"/>
        <v>7940.7765107138412</v>
      </c>
      <c r="D2135" s="9">
        <f t="shared" si="7"/>
        <v>-4037.9791690478351</v>
      </c>
      <c r="E2135" s="9">
        <f t="shared" si="8"/>
        <v>19919.532190475518</v>
      </c>
    </row>
    <row r="2136" spans="1:5" x14ac:dyDescent="0.25">
      <c r="A2136" s="2">
        <v>45976</v>
      </c>
      <c r="C2136" s="9">
        <f t="shared" si="6"/>
        <v>8087.9072590518381</v>
      </c>
      <c r="D2136" s="9">
        <f t="shared" si="7"/>
        <v>-3928.6781580160832</v>
      </c>
      <c r="E2136" s="9">
        <f t="shared" si="8"/>
        <v>20104.49267611976</v>
      </c>
    </row>
    <row r="2137" spans="1:5" x14ac:dyDescent="0.25">
      <c r="A2137" s="2">
        <v>45977</v>
      </c>
      <c r="C2137" s="9">
        <f t="shared" si="6"/>
        <v>7862.4019048552173</v>
      </c>
      <c r="D2137" s="9">
        <f t="shared" si="7"/>
        <v>-4192.4502590498951</v>
      </c>
      <c r="E2137" s="9">
        <f t="shared" si="8"/>
        <v>19917.254068760329</v>
      </c>
    </row>
    <row r="2138" spans="1:5" x14ac:dyDescent="0.25">
      <c r="A2138" s="2">
        <v>45978</v>
      </c>
      <c r="C2138" s="9">
        <f t="shared" si="6"/>
        <v>6182.533231029739</v>
      </c>
      <c r="D2138" s="9">
        <f t="shared" si="7"/>
        <v>-5911.0225990054741</v>
      </c>
      <c r="E2138" s="9">
        <f t="shared" si="8"/>
        <v>18276.089061064951</v>
      </c>
    </row>
    <row r="2139" spans="1:5" x14ac:dyDescent="0.25">
      <c r="A2139" s="2">
        <v>45979</v>
      </c>
      <c r="C2139" s="9">
        <f t="shared" si="6"/>
        <v>6016.1008481508261</v>
      </c>
      <c r="D2139" s="9">
        <f t="shared" si="7"/>
        <v>-6116.5954310116695</v>
      </c>
      <c r="E2139" s="9">
        <f t="shared" si="8"/>
        <v>18148.797127313323</v>
      </c>
    </row>
    <row r="2140" spans="1:5" x14ac:dyDescent="0.25">
      <c r="A2140" s="2">
        <v>45980</v>
      </c>
      <c r="C2140" s="9">
        <f t="shared" si="6"/>
        <v>9802.5436845758268</v>
      </c>
      <c r="D2140" s="9">
        <f t="shared" si="7"/>
        <v>-2369.7296451388429</v>
      </c>
      <c r="E2140" s="9">
        <f t="shared" si="8"/>
        <v>21974.817014290496</v>
      </c>
    </row>
    <row r="2141" spans="1:5" x14ac:dyDescent="0.25">
      <c r="A2141" s="2">
        <v>45981</v>
      </c>
      <c r="C2141" s="9">
        <f t="shared" si="6"/>
        <v>8776.5158505226827</v>
      </c>
      <c r="D2141" s="9">
        <f t="shared" si="7"/>
        <v>-3435.7709051107049</v>
      </c>
      <c r="E2141" s="9">
        <f t="shared" si="8"/>
        <v>20988.80260615607</v>
      </c>
    </row>
    <row r="2142" spans="1:5" x14ac:dyDescent="0.25">
      <c r="A2142" s="2">
        <v>45982</v>
      </c>
      <c r="C2142" s="9">
        <f t="shared" si="6"/>
        <v>7893.2981262135791</v>
      </c>
      <c r="D2142" s="9">
        <f t="shared" si="7"/>
        <v>-4359.4381609596376</v>
      </c>
      <c r="E2142" s="9">
        <f t="shared" si="8"/>
        <v>20146.034413386795</v>
      </c>
    </row>
    <row r="2143" spans="1:5" x14ac:dyDescent="0.25">
      <c r="A2143" s="2">
        <v>45983</v>
      </c>
      <c r="C2143" s="9">
        <f t="shared" si="6"/>
        <v>7364.7207081789602</v>
      </c>
      <c r="D2143" s="9">
        <f t="shared" si="7"/>
        <v>-4928.9009035293711</v>
      </c>
      <c r="E2143" s="9">
        <f t="shared" si="8"/>
        <v>19658.342319887292</v>
      </c>
    </row>
    <row r="2144" spans="1:5" x14ac:dyDescent="0.25">
      <c r="A2144" s="2">
        <v>45984</v>
      </c>
      <c r="C2144" s="9">
        <f t="shared" si="6"/>
        <v>8726.4758037357642</v>
      </c>
      <c r="D2144" s="9">
        <f t="shared" si="7"/>
        <v>-3608.4665708103112</v>
      </c>
      <c r="E2144" s="9">
        <f t="shared" si="8"/>
        <v>21061.418178281841</v>
      </c>
    </row>
    <row r="2145" spans="1:5" x14ac:dyDescent="0.25">
      <c r="A2145" s="2">
        <v>45985</v>
      </c>
      <c r="C2145" s="9">
        <f t="shared" si="6"/>
        <v>10391.846664411674</v>
      </c>
      <c r="D2145" s="9">
        <f t="shared" si="7"/>
        <v>-1984.8515153349308</v>
      </c>
      <c r="E2145" s="9">
        <f t="shared" si="8"/>
        <v>22768.544844158278</v>
      </c>
    </row>
    <row r="2146" spans="1:5" x14ac:dyDescent="0.25">
      <c r="A2146" s="2">
        <v>45986</v>
      </c>
      <c r="C2146" s="9">
        <f t="shared" si="6"/>
        <v>7887.1367987797821</v>
      </c>
      <c r="D2146" s="9">
        <f t="shared" si="7"/>
        <v>-4796.6637026310073</v>
      </c>
      <c r="E2146" s="9">
        <f t="shared" si="8"/>
        <v>20570.93730019057</v>
      </c>
    </row>
    <row r="2147" spans="1:5" x14ac:dyDescent="0.25">
      <c r="A2147" s="2">
        <v>45987</v>
      </c>
      <c r="C2147" s="9">
        <f t="shared" si="6"/>
        <v>7940.097066081481</v>
      </c>
      <c r="D2147" s="9">
        <f t="shared" si="7"/>
        <v>-4785.4406777265731</v>
      </c>
      <c r="E2147" s="9">
        <f t="shared" si="8"/>
        <v>20665.634809889536</v>
      </c>
    </row>
    <row r="2148" spans="1:5" x14ac:dyDescent="0.25">
      <c r="A2148" s="2">
        <v>45988</v>
      </c>
      <c r="C2148" s="9">
        <f t="shared" si="6"/>
        <v>8087.2278144194779</v>
      </c>
      <c r="D2148" s="9">
        <f t="shared" si="7"/>
        <v>-4680.4777132484387</v>
      </c>
      <c r="E2148" s="9">
        <f t="shared" si="8"/>
        <v>20854.933342087395</v>
      </c>
    </row>
    <row r="2149" spans="1:5" x14ac:dyDescent="0.25">
      <c r="A2149" s="2">
        <v>45989</v>
      </c>
      <c r="C2149" s="9">
        <f t="shared" si="6"/>
        <v>7861.7224602228571</v>
      </c>
      <c r="D2149" s="9">
        <f t="shared" si="7"/>
        <v>-4948.5809722125059</v>
      </c>
      <c r="E2149" s="9">
        <f t="shared" si="8"/>
        <v>20672.025892658221</v>
      </c>
    </row>
    <row r="2150" spans="1:5" x14ac:dyDescent="0.25">
      <c r="A2150" s="2">
        <v>45990</v>
      </c>
      <c r="C2150" s="9">
        <f t="shared" si="6"/>
        <v>6181.8537863973788</v>
      </c>
      <c r="D2150" s="9">
        <f t="shared" si="7"/>
        <v>-6671.4772135245703</v>
      </c>
      <c r="E2150" s="9">
        <f t="shared" si="8"/>
        <v>19035.184786319329</v>
      </c>
    </row>
    <row r="2151" spans="1:5" x14ac:dyDescent="0.25">
      <c r="A2151" s="2">
        <v>45991</v>
      </c>
      <c r="C2151" s="9">
        <f t="shared" si="6"/>
        <v>6015.421403518465</v>
      </c>
      <c r="D2151" s="9">
        <f t="shared" si="7"/>
        <v>-6881.3663315615759</v>
      </c>
      <c r="E2151" s="9">
        <f t="shared" si="8"/>
        <v>18912.209138598504</v>
      </c>
    </row>
    <row r="2152" spans="1:5" x14ac:dyDescent="0.25">
      <c r="A2152" s="2">
        <v>45992</v>
      </c>
      <c r="C2152" s="9">
        <f t="shared" si="6"/>
        <v>9801.8642399434648</v>
      </c>
      <c r="D2152" s="9">
        <f t="shared" si="7"/>
        <v>-3138.8088668363962</v>
      </c>
      <c r="E2152" s="9">
        <f t="shared" si="8"/>
        <v>22742.537346723326</v>
      </c>
    </row>
    <row r="2153" spans="1:5" x14ac:dyDescent="0.25">
      <c r="A2153" s="2">
        <v>45993</v>
      </c>
      <c r="C2153" s="9">
        <f t="shared" si="6"/>
        <v>8775.8364058903226</v>
      </c>
      <c r="D2153" s="9">
        <f t="shared" si="7"/>
        <v>-4209.1501426983777</v>
      </c>
      <c r="E2153" s="9">
        <f t="shared" si="8"/>
        <v>21760.822954479023</v>
      </c>
    </row>
    <row r="2154" spans="1:5" x14ac:dyDescent="0.25">
      <c r="A2154" s="2">
        <v>45994</v>
      </c>
      <c r="C2154" s="9">
        <f t="shared" si="6"/>
        <v>7892.6186815812189</v>
      </c>
      <c r="D2154" s="9">
        <f t="shared" si="7"/>
        <v>-5137.108777970413</v>
      </c>
      <c r="E2154" s="9">
        <f t="shared" si="8"/>
        <v>20922.34614113285</v>
      </c>
    </row>
    <row r="2155" spans="1:5" x14ac:dyDescent="0.25">
      <c r="A2155" s="2">
        <v>45995</v>
      </c>
      <c r="C2155" s="9">
        <f t="shared" si="6"/>
        <v>7364.0412635466</v>
      </c>
      <c r="D2155" s="9">
        <f t="shared" si="7"/>
        <v>-5710.8539414265415</v>
      </c>
      <c r="E2155" s="9">
        <f t="shared" si="8"/>
        <v>20438.936468519743</v>
      </c>
    </row>
    <row r="2156" spans="1:5" x14ac:dyDescent="0.25">
      <c r="A2156" s="2">
        <v>45996</v>
      </c>
      <c r="C2156" s="9">
        <f t="shared" si="6"/>
        <v>8725.7963591034022</v>
      </c>
      <c r="D2156" s="9">
        <f t="shared" si="7"/>
        <v>-4394.6927580956253</v>
      </c>
      <c r="E2156" s="9">
        <f t="shared" si="8"/>
        <v>21846.28547630243</v>
      </c>
    </row>
    <row r="2157" spans="1:5" x14ac:dyDescent="0.25">
      <c r="A2157" s="2">
        <v>45997</v>
      </c>
      <c r="C2157" s="9">
        <f t="shared" si="6"/>
        <v>10391.167219779314</v>
      </c>
      <c r="D2157" s="9">
        <f t="shared" si="7"/>
        <v>-2775.3412766186702</v>
      </c>
      <c r="E2157" s="9">
        <f t="shared" si="8"/>
        <v>23557.675716177298</v>
      </c>
    </row>
    <row r="2158" spans="1:5" x14ac:dyDescent="0.25">
      <c r="A2158" s="2">
        <v>45998</v>
      </c>
      <c r="C2158" s="9">
        <f t="shared" si="6"/>
        <v>7886.4573541474219</v>
      </c>
      <c r="D2158" s="9">
        <f t="shared" si="7"/>
        <v>-5586.7227841169461</v>
      </c>
      <c r="E2158" s="9">
        <f t="shared" si="8"/>
        <v>21359.637492411792</v>
      </c>
    </row>
    <row r="2159" spans="1:5" x14ac:dyDescent="0.25">
      <c r="A2159" s="2">
        <v>45999</v>
      </c>
      <c r="C2159" s="9">
        <f t="shared" si="6"/>
        <v>7939.4176214491208</v>
      </c>
      <c r="D2159" s="9">
        <f t="shared" si="7"/>
        <v>-5579.7284806408488</v>
      </c>
      <c r="E2159" s="9">
        <f t="shared" si="8"/>
        <v>21458.56372353909</v>
      </c>
    </row>
    <row r="2160" spans="1:5" x14ac:dyDescent="0.25">
      <c r="A2160" s="2">
        <v>46000</v>
      </c>
      <c r="C2160" s="9">
        <f t="shared" si="6"/>
        <v>8086.5483697871177</v>
      </c>
      <c r="D2160" s="9">
        <f t="shared" si="7"/>
        <v>-5478.9849903084059</v>
      </c>
      <c r="E2160" s="9">
        <f t="shared" si="8"/>
        <v>21652.081729882641</v>
      </c>
    </row>
    <row r="2161" spans="1:5" x14ac:dyDescent="0.25">
      <c r="A2161" s="2">
        <v>46001</v>
      </c>
      <c r="C2161" s="9">
        <f t="shared" si="6"/>
        <v>7861.0430155904969</v>
      </c>
      <c r="D2161" s="9">
        <f t="shared" si="7"/>
        <v>-5751.2981950812673</v>
      </c>
      <c r="E2161" s="9">
        <f t="shared" si="8"/>
        <v>21473.38422626226</v>
      </c>
    </row>
    <row r="2162" spans="1:5" x14ac:dyDescent="0.25">
      <c r="A2162" s="2">
        <v>46002</v>
      </c>
      <c r="C2162" s="9">
        <f t="shared" si="6"/>
        <v>6181.1743417650177</v>
      </c>
      <c r="D2162" s="9">
        <f t="shared" si="7"/>
        <v>-7478.3945811666417</v>
      </c>
      <c r="E2162" s="9">
        <f t="shared" si="8"/>
        <v>19840.743264696677</v>
      </c>
    </row>
    <row r="2163" spans="1:5" x14ac:dyDescent="0.25">
      <c r="A2163" s="2">
        <v>46003</v>
      </c>
      <c r="C2163" s="9">
        <f t="shared" si="6"/>
        <v>6014.7419588861048</v>
      </c>
      <c r="D2163" s="9">
        <f t="shared" si="7"/>
        <v>-7692.4737785482612</v>
      </c>
      <c r="E2163" s="9">
        <f t="shared" si="8"/>
        <v>19721.957696320471</v>
      </c>
    </row>
    <row r="2164" spans="1:5" x14ac:dyDescent="0.25">
      <c r="A2164" s="2">
        <v>46004</v>
      </c>
      <c r="C2164" s="9">
        <f t="shared" si="6"/>
        <v>9801.1847953111046</v>
      </c>
      <c r="D2164" s="9">
        <f t="shared" si="7"/>
        <v>-3954.0960715958954</v>
      </c>
      <c r="E2164" s="9">
        <f t="shared" si="8"/>
        <v>23556.465662218106</v>
      </c>
    </row>
    <row r="2165" spans="1:5" x14ac:dyDescent="0.25">
      <c r="A2165" s="2">
        <v>46005</v>
      </c>
      <c r="C2165" s="9">
        <f t="shared" si="6"/>
        <v>8775.1569612579624</v>
      </c>
      <c r="D2165" s="9">
        <f t="shared" si="7"/>
        <v>-5028.6065357058251</v>
      </c>
      <c r="E2165" s="9">
        <f t="shared" si="8"/>
        <v>22578.92045822175</v>
      </c>
    </row>
    <row r="2166" spans="1:5" x14ac:dyDescent="0.25">
      <c r="A2166" s="2">
        <v>46006</v>
      </c>
      <c r="C2166" s="9">
        <f t="shared" si="6"/>
        <v>7891.9392369488587</v>
      </c>
      <c r="D2166" s="9">
        <f t="shared" si="7"/>
        <v>-5960.723549873238</v>
      </c>
      <c r="E2166" s="9">
        <f t="shared" si="8"/>
        <v>21744.602023770956</v>
      </c>
    </row>
    <row r="2167" spans="1:5" x14ac:dyDescent="0.25">
      <c r="A2167" s="2">
        <v>46007</v>
      </c>
      <c r="C2167" s="9">
        <f t="shared" si="6"/>
        <v>7363.3618189142389</v>
      </c>
      <c r="D2167" s="9">
        <f t="shared" si="7"/>
        <v>-6538.6160511007465</v>
      </c>
      <c r="E2167" s="9">
        <f t="shared" si="8"/>
        <v>21265.339688929223</v>
      </c>
    </row>
    <row r="2168" spans="1:5" x14ac:dyDescent="0.25">
      <c r="A2168" s="2">
        <v>46008</v>
      </c>
      <c r="C2168" s="9">
        <f t="shared" si="6"/>
        <v>8725.116914471042</v>
      </c>
      <c r="D2168" s="9">
        <f t="shared" si="7"/>
        <v>-5226.5909406287428</v>
      </c>
      <c r="E2168" s="9">
        <f t="shared" si="8"/>
        <v>22676.824769570827</v>
      </c>
    </row>
    <row r="2169" spans="1:5" x14ac:dyDescent="0.25">
      <c r="A2169" s="2">
        <v>46009</v>
      </c>
      <c r="C2169" s="9">
        <f t="shared" si="6"/>
        <v>10390.487775146954</v>
      </c>
      <c r="D2169" s="9">
        <f t="shared" si="7"/>
        <v>-3611.3640512153979</v>
      </c>
      <c r="E2169" s="9">
        <f t="shared" si="8"/>
        <v>24392.339601509306</v>
      </c>
    </row>
    <row r="2170" spans="1:5" x14ac:dyDescent="0.25">
      <c r="A2170" s="2">
        <v>46010</v>
      </c>
      <c r="C2170" s="9">
        <f t="shared" si="6"/>
        <v>7885.7779095150618</v>
      </c>
      <c r="D2170" s="9">
        <f t="shared" si="7"/>
        <v>-6421.8817756089556</v>
      </c>
      <c r="E2170" s="9">
        <f t="shared" si="8"/>
        <v>22193.437594639079</v>
      </c>
    </row>
    <row r="2171" spans="1:5" x14ac:dyDescent="0.25">
      <c r="A2171" s="2">
        <v>46011</v>
      </c>
      <c r="C2171" s="9">
        <f t="shared" si="6"/>
        <v>7938.7381768167606</v>
      </c>
      <c r="D2171" s="9">
        <f t="shared" si="7"/>
        <v>-6418.9845137443799</v>
      </c>
      <c r="E2171" s="9">
        <f t="shared" si="8"/>
        <v>22296.4608673779</v>
      </c>
    </row>
    <row r="2172" spans="1:5" x14ac:dyDescent="0.25">
      <c r="A2172" s="2">
        <v>46012</v>
      </c>
      <c r="C2172" s="9">
        <f t="shared" si="6"/>
        <v>8085.8689251547567</v>
      </c>
      <c r="D2172" s="9">
        <f t="shared" si="7"/>
        <v>-6322.3269936782381</v>
      </c>
      <c r="E2172" s="9">
        <f t="shared" si="8"/>
        <v>22494.064843987751</v>
      </c>
    </row>
    <row r="2173" spans="1:5" x14ac:dyDescent="0.25">
      <c r="A2173" s="2">
        <v>46013</v>
      </c>
      <c r="C2173" s="9">
        <f t="shared" si="6"/>
        <v>7860.3635709581358</v>
      </c>
      <c r="D2173" s="9">
        <f t="shared" si="7"/>
        <v>-6598.714897242693</v>
      </c>
      <c r="E2173" s="9">
        <f t="shared" si="8"/>
        <v>22319.442039158967</v>
      </c>
    </row>
    <row r="2174" spans="1:5" x14ac:dyDescent="0.25">
      <c r="A2174" s="2">
        <v>46014</v>
      </c>
      <c r="C2174" s="9">
        <f t="shared" si="6"/>
        <v>6180.4948971326576</v>
      </c>
      <c r="D2174" s="9">
        <f t="shared" si="7"/>
        <v>-8329.8745177511155</v>
      </c>
      <c r="E2174" s="9">
        <f t="shared" si="8"/>
        <v>20690.864312016431</v>
      </c>
    </row>
    <row r="2175" spans="1:5" x14ac:dyDescent="0.25">
      <c r="A2175" s="2">
        <v>46015</v>
      </c>
      <c r="C2175" s="9">
        <f t="shared" si="6"/>
        <v>6014.0625142537447</v>
      </c>
      <c r="D2175" s="9">
        <f t="shared" si="7"/>
        <v>-8548.0052994495636</v>
      </c>
      <c r="E2175" s="9">
        <f t="shared" si="8"/>
        <v>20576.130327957053</v>
      </c>
    </row>
    <row r="2176" spans="1:5" x14ac:dyDescent="0.25">
      <c r="A2176" s="2">
        <v>46016</v>
      </c>
      <c r="C2176" s="9">
        <f t="shared" si="6"/>
        <v>9800.5053506787444</v>
      </c>
      <c r="D2176" s="9">
        <f t="shared" si="7"/>
        <v>-4813.6673480438221</v>
      </c>
      <c r="E2176" s="9">
        <f t="shared" si="8"/>
        <v>24414.678049401311</v>
      </c>
    </row>
    <row r="2177" spans="1:5" x14ac:dyDescent="0.25">
      <c r="A2177" s="2">
        <v>46017</v>
      </c>
      <c r="C2177" s="9">
        <f t="shared" si="6"/>
        <v>8774.4775166256022</v>
      </c>
      <c r="D2177" s="9">
        <f t="shared" si="7"/>
        <v>-5892.2055672546176</v>
      </c>
      <c r="E2177" s="9">
        <f t="shared" si="8"/>
        <v>23441.16060050582</v>
      </c>
    </row>
    <row r="2178" spans="1:5" x14ac:dyDescent="0.25">
      <c r="A2178" s="2">
        <v>46018</v>
      </c>
      <c r="C2178" s="9">
        <f t="shared" si="6"/>
        <v>7891.2597923164976</v>
      </c>
      <c r="D2178" s="9">
        <f t="shared" si="7"/>
        <v>-6828.3381713021226</v>
      </c>
      <c r="E2178" s="9">
        <f t="shared" si="8"/>
        <v>22610.857755935118</v>
      </c>
    </row>
    <row r="2179" spans="1:5" x14ac:dyDescent="0.25">
      <c r="A2179" s="2">
        <v>46019</v>
      </c>
      <c r="C2179" s="9">
        <f t="shared" si="6"/>
        <v>7362.6823742818788</v>
      </c>
      <c r="D2179" s="9">
        <f t="shared" si="7"/>
        <v>-7410.233939224091</v>
      </c>
      <c r="E2179" s="9">
        <f t="shared" si="8"/>
        <v>22135.598687787849</v>
      </c>
    </row>
    <row r="2180" spans="1:5" x14ac:dyDescent="0.25">
      <c r="A2180" s="2">
        <v>46020</v>
      </c>
      <c r="C2180" s="9">
        <f t="shared" si="6"/>
        <v>8724.4374698386819</v>
      </c>
      <c r="D2180" s="9">
        <f t="shared" si="7"/>
        <v>-6102.1996210135603</v>
      </c>
      <c r="E2180" s="9">
        <f t="shared" si="8"/>
        <v>23551.074560690926</v>
      </c>
    </row>
    <row r="2181" spans="1:5" x14ac:dyDescent="0.25">
      <c r="A2181" s="2">
        <v>46021</v>
      </c>
      <c r="C2181" s="9">
        <f t="shared" si="6"/>
        <v>10389.808330514594</v>
      </c>
      <c r="D2181" s="9">
        <f t="shared" si="7"/>
        <v>-4490.9509048040272</v>
      </c>
      <c r="E2181" s="9">
        <f t="shared" si="8"/>
        <v>25270.567565833215</v>
      </c>
    </row>
    <row r="2182" spans="1:5" x14ac:dyDescent="0.25">
      <c r="A2182" s="2">
        <v>46022</v>
      </c>
      <c r="C2182" s="9">
        <f t="shared" si="6"/>
        <v>7885.0984648827016</v>
      </c>
      <c r="D2182" s="9">
        <f t="shared" si="7"/>
        <v>-7300.2903968854425</v>
      </c>
      <c r="E2182" s="9">
        <f t="shared" si="8"/>
        <v>23070.487326650844</v>
      </c>
    </row>
    <row r="2183" spans="1:5" x14ac:dyDescent="0.25">
      <c r="A2183" s="2">
        <v>46023</v>
      </c>
      <c r="C2183" s="9">
        <f t="shared" si="6"/>
        <v>7938.0587321843996</v>
      </c>
      <c r="D2183" s="9">
        <f t="shared" si="7"/>
        <v>-7301.3504197217553</v>
      </c>
      <c r="E2183" s="9">
        <f t="shared" si="8"/>
        <v>23177.467884090554</v>
      </c>
    </row>
    <row r="2184" spans="1:5" x14ac:dyDescent="0.25">
      <c r="A2184" s="2">
        <v>46024</v>
      </c>
      <c r="C2184" s="9">
        <f t="shared" si="6"/>
        <v>8085.1894805223965</v>
      </c>
      <c r="D2184" s="9">
        <f t="shared" si="7"/>
        <v>-7208.6380050351017</v>
      </c>
      <c r="E2184" s="9">
        <f t="shared" si="8"/>
        <v>23379.016966079893</v>
      </c>
    </row>
    <row r="2185" spans="1:5" x14ac:dyDescent="0.25">
      <c r="A2185" s="2">
        <v>46025</v>
      </c>
      <c r="C2185" s="9">
        <f t="shared" si="6"/>
        <v>7859.6841263257757</v>
      </c>
      <c r="D2185" s="9">
        <f t="shared" si="7"/>
        <v>-7488.958700142357</v>
      </c>
      <c r="E2185" s="9">
        <f t="shared" si="8"/>
        <v>23208.326952793908</v>
      </c>
    </row>
    <row r="2186" spans="1:5" x14ac:dyDescent="0.25">
      <c r="A2186" s="2">
        <v>46026</v>
      </c>
      <c r="C2186" s="9">
        <f t="shared" si="6"/>
        <v>6179.8154525002974</v>
      </c>
      <c r="D2186" s="9">
        <f t="shared" si="7"/>
        <v>-9224.0386698839848</v>
      </c>
      <c r="E2186" s="9">
        <f t="shared" si="8"/>
        <v>21583.669574884581</v>
      </c>
    </row>
    <row r="2187" spans="1:5" x14ac:dyDescent="0.25">
      <c r="A2187" s="2">
        <v>46027</v>
      </c>
      <c r="C2187" s="9">
        <f t="shared" si="6"/>
        <v>6013.3830696213845</v>
      </c>
      <c r="D2187" s="9">
        <f t="shared" si="7"/>
        <v>-9446.0772359845614</v>
      </c>
      <c r="E2187" s="9">
        <f t="shared" si="8"/>
        <v>21472.84337522733</v>
      </c>
    </row>
    <row r="2188" spans="1:5" x14ac:dyDescent="0.25">
      <c r="A2188" s="2">
        <v>46028</v>
      </c>
      <c r="C2188" s="9">
        <f t="shared" si="6"/>
        <v>9799.8259060463824</v>
      </c>
      <c r="D2188" s="9">
        <f t="shared" si="7"/>
        <v>-5715.6343874874419</v>
      </c>
      <c r="E2188" s="9">
        <f t="shared" si="8"/>
        <v>25315.286199580209</v>
      </c>
    </row>
    <row r="2189" spans="1:5" x14ac:dyDescent="0.25">
      <c r="A2189" s="2">
        <v>46029</v>
      </c>
      <c r="C2189" s="9">
        <f t="shared" si="6"/>
        <v>8773.798071993242</v>
      </c>
      <c r="D2189" s="9">
        <f t="shared" si="7"/>
        <v>-6798.0549172162555</v>
      </c>
      <c r="E2189" s="9">
        <f t="shared" si="8"/>
        <v>24345.651061202741</v>
      </c>
    </row>
    <row r="2190" spans="1:5" x14ac:dyDescent="0.25">
      <c r="A2190" s="2">
        <v>46030</v>
      </c>
      <c r="C2190" s="9">
        <f t="shared" si="6"/>
        <v>7890.5803476841375</v>
      </c>
      <c r="D2190" s="9">
        <f t="shared" si="7"/>
        <v>-7738.056934164566</v>
      </c>
      <c r="E2190" s="9">
        <f t="shared" si="8"/>
        <v>23519.217629532839</v>
      </c>
    </row>
    <row r="2191" spans="1:5" x14ac:dyDescent="0.25">
      <c r="A2191" s="2">
        <v>46031</v>
      </c>
      <c r="C2191" s="9">
        <f t="shared" si="6"/>
        <v>7362.0029296495186</v>
      </c>
      <c r="D2191" s="9">
        <f t="shared" si="7"/>
        <v>-8323.8091177180358</v>
      </c>
      <c r="E2191" s="9">
        <f t="shared" si="8"/>
        <v>23047.814977017075</v>
      </c>
    </row>
    <row r="2192" spans="1:5" x14ac:dyDescent="0.25">
      <c r="A2192" s="2">
        <v>46032</v>
      </c>
      <c r="C2192" s="9">
        <f t="shared" si="6"/>
        <v>8723.7580252063217</v>
      </c>
      <c r="D2192" s="9">
        <f t="shared" si="7"/>
        <v>-7019.6181236952743</v>
      </c>
      <c r="E2192" s="9">
        <f t="shared" si="8"/>
        <v>24467.134174107916</v>
      </c>
    </row>
    <row r="2193" spans="1:5" x14ac:dyDescent="0.25">
      <c r="A2193" s="2">
        <v>46033</v>
      </c>
      <c r="C2193" s="9">
        <f t="shared" si="6"/>
        <v>10389.128885882234</v>
      </c>
      <c r="D2193" s="9">
        <f t="shared" si="7"/>
        <v>-5412.1995514353057</v>
      </c>
      <c r="E2193" s="9">
        <f t="shared" si="8"/>
        <v>26190.457323199771</v>
      </c>
    </row>
    <row r="2194" spans="1:5" x14ac:dyDescent="0.25">
      <c r="A2194" s="2">
        <v>46034</v>
      </c>
      <c r="C2194" s="9">
        <f t="shared" ref="C2194:C2257" si="9">_xlfn.FORECAST.ETS(A2194,$B$2:$B$2001,$A$2:$A$2001,12,1)</f>
        <v>7884.4190202503405</v>
      </c>
      <c r="D2194" s="9">
        <f t="shared" ref="D2194:D2257" si="10">C2194-_xlfn.FORECAST.ETS.CONFINT(A2194,$B$2:$B$2001,$A$2:$A$2001,0.95,12,1)</f>
        <v>-8220.1431449687589</v>
      </c>
      <c r="E2194" s="9">
        <f t="shared" ref="E2194:E2257" si="11">C2194+_xlfn.FORECAST.ETS.CONFINT(A2194,$B$2:$B$2001,$A$2:$A$2001,0.95,12,1)</f>
        <v>23988.981185469442</v>
      </c>
    </row>
    <row r="2195" spans="1:5" x14ac:dyDescent="0.25">
      <c r="A2195" s="2">
        <v>46035</v>
      </c>
      <c r="C2195" s="9">
        <f t="shared" si="9"/>
        <v>7937.3792875520394</v>
      </c>
      <c r="D2195" s="9">
        <f t="shared" si="10"/>
        <v>-8225.0182602133755</v>
      </c>
      <c r="E2195" s="9">
        <f t="shared" si="11"/>
        <v>24099.776835317454</v>
      </c>
    </row>
    <row r="2196" spans="1:5" x14ac:dyDescent="0.25">
      <c r="A2196" s="2">
        <v>46036</v>
      </c>
      <c r="C2196" s="9">
        <f t="shared" si="9"/>
        <v>8084.5100358900363</v>
      </c>
      <c r="D2196" s="9">
        <f t="shared" si="10"/>
        <v>-8136.1081937995277</v>
      </c>
      <c r="E2196" s="9">
        <f t="shared" si="11"/>
        <v>24305.128265579602</v>
      </c>
    </row>
    <row r="2197" spans="1:5" x14ac:dyDescent="0.25">
      <c r="A2197" s="2">
        <v>46037</v>
      </c>
      <c r="C2197" s="9">
        <f t="shared" si="9"/>
        <v>7859.0046816934155</v>
      </c>
      <c r="D2197" s="9">
        <f t="shared" si="10"/>
        <v>-8420.2184100999893</v>
      </c>
      <c r="E2197" s="9">
        <f t="shared" si="11"/>
        <v>24138.227773486818</v>
      </c>
    </row>
    <row r="2198" spans="1:5" x14ac:dyDescent="0.25">
      <c r="A2198" s="2">
        <v>46038</v>
      </c>
      <c r="C2198" s="9">
        <f t="shared" si="9"/>
        <v>6179.1360078679372</v>
      </c>
      <c r="D2198" s="9">
        <f t="shared" si="10"/>
        <v>-10159.07499591522</v>
      </c>
      <c r="E2198" s="9">
        <f t="shared" si="11"/>
        <v>22517.347011651094</v>
      </c>
    </row>
    <row r="2199" spans="1:5" x14ac:dyDescent="0.25">
      <c r="A2199" s="2">
        <v>46039</v>
      </c>
      <c r="C2199" s="9">
        <f t="shared" si="9"/>
        <v>6012.7036249890234</v>
      </c>
      <c r="D2199" s="9">
        <f t="shared" si="10"/>
        <v>-10384.877199743107</v>
      </c>
      <c r="E2199" s="9">
        <f t="shared" si="11"/>
        <v>22410.284449721152</v>
      </c>
    </row>
    <row r="2200" spans="1:5" x14ac:dyDescent="0.25">
      <c r="A2200" s="2">
        <v>46040</v>
      </c>
      <c r="C2200" s="9">
        <f t="shared" si="9"/>
        <v>9799.1464614140241</v>
      </c>
      <c r="D2200" s="9">
        <f t="shared" si="10"/>
        <v>-6658.184942122396</v>
      </c>
      <c r="E2200" s="9">
        <f t="shared" si="11"/>
        <v>26256.477864950444</v>
      </c>
    </row>
    <row r="2201" spans="1:5" x14ac:dyDescent="0.25">
      <c r="A2201" s="2">
        <v>46041</v>
      </c>
      <c r="C2201" s="9">
        <f t="shared" si="9"/>
        <v>8773.1186273608801</v>
      </c>
      <c r="D2201" s="9">
        <f t="shared" si="10"/>
        <v>-7744.3429520026984</v>
      </c>
      <c r="E2201" s="9">
        <f t="shared" si="11"/>
        <v>25290.580206724459</v>
      </c>
    </row>
    <row r="2202" spans="1:5" x14ac:dyDescent="0.25">
      <c r="A2202" s="2">
        <v>46042</v>
      </c>
      <c r="C2202" s="9">
        <f t="shared" si="9"/>
        <v>7889.9009030517773</v>
      </c>
      <c r="D2202" s="9">
        <f t="shared" si="10"/>
        <v>-8688.0692790423309</v>
      </c>
      <c r="E2202" s="9">
        <f t="shared" si="11"/>
        <v>24467.871085145885</v>
      </c>
    </row>
    <row r="2203" spans="1:5" x14ac:dyDescent="0.25">
      <c r="A2203" s="2">
        <v>46043</v>
      </c>
      <c r="C2203" s="9">
        <f t="shared" si="9"/>
        <v>7361.3234850171584</v>
      </c>
      <c r="D2203" s="9">
        <f t="shared" si="10"/>
        <v>-9277.5325477386941</v>
      </c>
      <c r="E2203" s="9">
        <f t="shared" si="11"/>
        <v>24000.179517773009</v>
      </c>
    </row>
    <row r="2204" spans="1:5" x14ac:dyDescent="0.25">
      <c r="A2204" s="2">
        <v>46044</v>
      </c>
      <c r="C2204" s="9">
        <f t="shared" si="9"/>
        <v>8723.0785805739615</v>
      </c>
      <c r="D2204" s="9">
        <f t="shared" si="10"/>
        <v>-7977.0393633770946</v>
      </c>
      <c r="E2204" s="9">
        <f t="shared" si="11"/>
        <v>25423.196524525018</v>
      </c>
    </row>
    <row r="2205" spans="1:5" x14ac:dyDescent="0.25">
      <c r="A2205" s="2">
        <v>46045</v>
      </c>
      <c r="C2205" s="9">
        <f t="shared" si="9"/>
        <v>10388.449441249872</v>
      </c>
      <c r="D2205" s="9">
        <f t="shared" si="10"/>
        <v>-6373.3052790263901</v>
      </c>
      <c r="E2205" s="9">
        <f t="shared" si="11"/>
        <v>27150.204161526133</v>
      </c>
    </row>
    <row r="2206" spans="1:5" x14ac:dyDescent="0.25">
      <c r="A2206" s="2">
        <v>46046</v>
      </c>
      <c r="C2206" s="9">
        <f t="shared" si="9"/>
        <v>7883.7395756179803</v>
      </c>
      <c r="D2206" s="9">
        <f t="shared" si="10"/>
        <v>-9179.7126090404599</v>
      </c>
      <c r="E2206" s="9">
        <f t="shared" si="11"/>
        <v>24947.191760276419</v>
      </c>
    </row>
    <row r="2207" spans="1:5" x14ac:dyDescent="0.25">
      <c r="A2207" s="2">
        <v>46047</v>
      </c>
      <c r="C2207" s="9">
        <f t="shared" si="9"/>
        <v>7936.6998429196792</v>
      </c>
      <c r="D2207" s="9">
        <f t="shared" si="10"/>
        <v>-9188.262121400403</v>
      </c>
      <c r="E2207" s="9">
        <f t="shared" si="11"/>
        <v>25061.661807239761</v>
      </c>
    </row>
    <row r="2208" spans="1:5" x14ac:dyDescent="0.25">
      <c r="A2208" s="2">
        <v>46048</v>
      </c>
      <c r="C2208" s="9">
        <f t="shared" si="9"/>
        <v>8083.8305912576761</v>
      </c>
      <c r="D2208" s="9">
        <f t="shared" si="10"/>
        <v>-9103.013542073626</v>
      </c>
      <c r="E2208" s="9">
        <f t="shared" si="11"/>
        <v>25270.674724588978</v>
      </c>
    </row>
    <row r="2209" spans="1:5" x14ac:dyDescent="0.25">
      <c r="A2209" s="2">
        <v>46049</v>
      </c>
      <c r="C2209" s="9">
        <f t="shared" si="9"/>
        <v>7858.3252370610544</v>
      </c>
      <c r="D2209" s="9">
        <f t="shared" si="10"/>
        <v>-9390.7722919452463</v>
      </c>
      <c r="E2209" s="9">
        <f t="shared" si="11"/>
        <v>25107.422766067353</v>
      </c>
    </row>
    <row r="2210" spans="1:5" x14ac:dyDescent="0.25">
      <c r="A2210" s="2">
        <v>46050</v>
      </c>
      <c r="C2210" s="9">
        <f t="shared" si="9"/>
        <v>6178.4565632355761</v>
      </c>
      <c r="D2210" s="9">
        <f t="shared" si="10"/>
        <v>-11133.26441821656</v>
      </c>
      <c r="E2210" s="9">
        <f t="shared" si="11"/>
        <v>23490.177544687715</v>
      </c>
    </row>
    <row r="2211" spans="1:5" x14ac:dyDescent="0.25">
      <c r="A2211" s="2">
        <v>46051</v>
      </c>
      <c r="C2211" s="9">
        <f t="shared" si="9"/>
        <v>6012.0241803566632</v>
      </c>
      <c r="D2211" s="9">
        <f t="shared" si="10"/>
        <v>-11362.689133590797</v>
      </c>
      <c r="E2211" s="9">
        <f t="shared" si="11"/>
        <v>23386.737494304125</v>
      </c>
    </row>
    <row r="2212" spans="1:5" x14ac:dyDescent="0.25">
      <c r="A2212" s="2">
        <v>46052</v>
      </c>
      <c r="C2212" s="9">
        <f t="shared" si="9"/>
        <v>9798.4670167816621</v>
      </c>
      <c r="D2212" s="9">
        <f t="shared" si="10"/>
        <v>-7639.606326532692</v>
      </c>
      <c r="E2212" s="9">
        <f t="shared" si="11"/>
        <v>27236.540360096016</v>
      </c>
    </row>
    <row r="2213" spans="1:5" x14ac:dyDescent="0.25">
      <c r="A2213" s="2">
        <v>46053</v>
      </c>
      <c r="C2213" s="9">
        <f t="shared" si="9"/>
        <v>8772.4391827285217</v>
      </c>
      <c r="D2213" s="9">
        <f t="shared" si="10"/>
        <v>-8729.3606975550538</v>
      </c>
      <c r="E2213" s="9">
        <f t="shared" si="11"/>
        <v>26274.239063012097</v>
      </c>
    </row>
    <row r="2214" spans="1:5" x14ac:dyDescent="0.25">
      <c r="A2214" s="2">
        <v>46054</v>
      </c>
      <c r="C2214" s="9">
        <f t="shared" si="9"/>
        <v>7889.2214584194162</v>
      </c>
      <c r="D2214" s="9">
        <f t="shared" si="10"/>
        <v>-9676.6702714334897</v>
      </c>
      <c r="E2214" s="9">
        <f t="shared" si="11"/>
        <v>25455.11318827232</v>
      </c>
    </row>
    <row r="2215" spans="1:5" x14ac:dyDescent="0.25">
      <c r="A2215" s="2">
        <v>46055</v>
      </c>
      <c r="C2215" s="9">
        <f t="shared" si="9"/>
        <v>7360.6440403847973</v>
      </c>
      <c r="D2215" s="9">
        <f t="shared" si="10"/>
        <v>-10269.703651253994</v>
      </c>
      <c r="E2215" s="9">
        <f t="shared" si="11"/>
        <v>24990.991732023591</v>
      </c>
    </row>
    <row r="2216" spans="1:5" x14ac:dyDescent="0.25">
      <c r="A2216" s="2">
        <v>46056</v>
      </c>
      <c r="C2216" s="9">
        <f t="shared" si="9"/>
        <v>8722.3991359416013</v>
      </c>
      <c r="D2216" s="9">
        <f t="shared" si="10"/>
        <v>-8972.7674242796147</v>
      </c>
      <c r="E2216" s="9">
        <f t="shared" si="11"/>
        <v>26417.565696162819</v>
      </c>
    </row>
    <row r="2217" spans="1:5" x14ac:dyDescent="0.25">
      <c r="A2217" s="2">
        <v>46057</v>
      </c>
      <c r="C2217" s="9">
        <f t="shared" si="9"/>
        <v>10387.769996617513</v>
      </c>
      <c r="D2217" s="9">
        <f t="shared" si="10"/>
        <v>-7372.5771288642791</v>
      </c>
      <c r="E2217" s="9">
        <f t="shared" si="11"/>
        <v>28148.117122099306</v>
      </c>
    </row>
    <row r="2218" spans="1:5" x14ac:dyDescent="0.25">
      <c r="A2218" s="2">
        <v>46058</v>
      </c>
      <c r="C2218" s="9">
        <f t="shared" si="9"/>
        <v>7883.0601309856202</v>
      </c>
      <c r="D2218" s="9">
        <f t="shared" si="10"/>
        <v>-10177.368449177855</v>
      </c>
      <c r="E2218" s="9">
        <f t="shared" si="11"/>
        <v>25943.488711149097</v>
      </c>
    </row>
    <row r="2219" spans="1:5" x14ac:dyDescent="0.25">
      <c r="A2219" s="2">
        <v>46059</v>
      </c>
      <c r="C2219" s="9">
        <f t="shared" si="9"/>
        <v>7936.020398287319</v>
      </c>
      <c r="D2219" s="9">
        <f t="shared" si="10"/>
        <v>-10189.455774859356</v>
      </c>
      <c r="E2219" s="9">
        <f t="shared" si="11"/>
        <v>26061.496571433992</v>
      </c>
    </row>
    <row r="2220" spans="1:5" x14ac:dyDescent="0.25">
      <c r="A2220" s="2">
        <v>46060</v>
      </c>
      <c r="C2220" s="9">
        <f t="shared" si="9"/>
        <v>8083.1511466253151</v>
      </c>
      <c r="D2220" s="9">
        <f t="shared" si="10"/>
        <v>-10107.732216481982</v>
      </c>
      <c r="E2220" s="9">
        <f t="shared" si="11"/>
        <v>26274.03450973261</v>
      </c>
    </row>
    <row r="2221" spans="1:5" x14ac:dyDescent="0.25">
      <c r="A2221" s="2">
        <v>46061</v>
      </c>
      <c r="C2221" s="9">
        <f t="shared" si="9"/>
        <v>7857.6457924286942</v>
      </c>
      <c r="D2221" s="9">
        <f t="shared" si="10"/>
        <v>-10399.003180884687</v>
      </c>
      <c r="E2221" s="9">
        <f t="shared" si="11"/>
        <v>26114.294765742077</v>
      </c>
    </row>
    <row r="2222" spans="1:5" x14ac:dyDescent="0.25">
      <c r="A2222" s="2">
        <v>46062</v>
      </c>
      <c r="C2222" s="9">
        <f t="shared" si="9"/>
        <v>6177.777118603216</v>
      </c>
      <c r="D2222" s="9">
        <f t="shared" si="10"/>
        <v>-12144.994704244476</v>
      </c>
      <c r="E2222" s="9">
        <f t="shared" si="11"/>
        <v>24500.548941450907</v>
      </c>
    </row>
    <row r="2223" spans="1:5" x14ac:dyDescent="0.25">
      <c r="A2223" s="2">
        <v>46063</v>
      </c>
      <c r="C2223" s="9">
        <f t="shared" si="9"/>
        <v>6011.3447357243031</v>
      </c>
      <c r="D2223" s="9">
        <f t="shared" si="10"/>
        <v>-12377.905991188007</v>
      </c>
      <c r="E2223" s="9">
        <f t="shared" si="11"/>
        <v>24400.595462636611</v>
      </c>
    </row>
    <row r="2224" spans="1:5" x14ac:dyDescent="0.25">
      <c r="A2224" s="2">
        <v>46064</v>
      </c>
      <c r="C2224" s="9">
        <f t="shared" si="9"/>
        <v>9797.7875721493037</v>
      </c>
      <c r="D2224" s="9">
        <f t="shared" si="10"/>
        <v>-8658.2969249778325</v>
      </c>
      <c r="E2224" s="9">
        <f t="shared" si="11"/>
        <v>28253.87206927644</v>
      </c>
    </row>
    <row r="2225" spans="1:5" x14ac:dyDescent="0.25">
      <c r="A2225" s="2">
        <v>46065</v>
      </c>
      <c r="C2225" s="9">
        <f t="shared" si="9"/>
        <v>8771.7597380961597</v>
      </c>
      <c r="D2225" s="9">
        <f t="shared" si="10"/>
        <v>-9751.5122037260408</v>
      </c>
      <c r="E2225" s="9">
        <f t="shared" si="11"/>
        <v>27295.03167991836</v>
      </c>
    </row>
    <row r="2226" spans="1:5" x14ac:dyDescent="0.25">
      <c r="A2226" s="2">
        <v>46066</v>
      </c>
      <c r="C2226" s="9">
        <f t="shared" si="9"/>
        <v>7888.542013787056</v>
      </c>
      <c r="D2226" s="9">
        <f t="shared" si="10"/>
        <v>-10702.269852536829</v>
      </c>
      <c r="E2226" s="9">
        <f t="shared" si="11"/>
        <v>26479.353880110943</v>
      </c>
    </row>
    <row r="2227" spans="1:5" x14ac:dyDescent="0.25">
      <c r="A2227" s="2">
        <v>46067</v>
      </c>
      <c r="C2227" s="9">
        <f t="shared" si="9"/>
        <v>7359.9645957524372</v>
      </c>
      <c r="D2227" s="9">
        <f t="shared" si="10"/>
        <v>-11298.738477482631</v>
      </c>
      <c r="E2227" s="9">
        <f t="shared" si="11"/>
        <v>26018.667668987506</v>
      </c>
    </row>
    <row r="2228" spans="1:5" x14ac:dyDescent="0.25">
      <c r="A2228" s="2">
        <v>46068</v>
      </c>
      <c r="C2228" s="9">
        <f t="shared" si="9"/>
        <v>8721.7196913092412</v>
      </c>
      <c r="D2228" s="9">
        <f t="shared" si="10"/>
        <v>-10005.224671399992</v>
      </c>
      <c r="E2228" s="9">
        <f t="shared" si="11"/>
        <v>27448.664054018474</v>
      </c>
    </row>
    <row r="2229" spans="1:5" x14ac:dyDescent="0.25">
      <c r="A2229" s="2">
        <v>46069</v>
      </c>
      <c r="C2229" s="9">
        <f t="shared" si="9"/>
        <v>10387.090551985151</v>
      </c>
      <c r="D2229" s="9">
        <f t="shared" si="10"/>
        <v>-8408.4439807334202</v>
      </c>
      <c r="E2229" s="9">
        <f t="shared" si="11"/>
        <v>29182.625084703723</v>
      </c>
    </row>
    <row r="2230" spans="1:5" x14ac:dyDescent="0.25">
      <c r="A2230" s="2">
        <v>46070</v>
      </c>
      <c r="C2230" s="9">
        <f t="shared" si="9"/>
        <v>7882.3806863532591</v>
      </c>
      <c r="D2230" s="9">
        <f t="shared" si="10"/>
        <v>-11211.586279641706</v>
      </c>
      <c r="E2230" s="9">
        <f t="shared" si="11"/>
        <v>26976.347652348224</v>
      </c>
    </row>
    <row r="2231" spans="1:5" x14ac:dyDescent="0.25">
      <c r="A2231" s="2">
        <v>46071</v>
      </c>
      <c r="C2231" s="9">
        <f t="shared" si="9"/>
        <v>7935.340953654958</v>
      </c>
      <c r="D2231" s="9">
        <f t="shared" si="10"/>
        <v>-11227.080579273144</v>
      </c>
      <c r="E2231" s="9">
        <f t="shared" si="11"/>
        <v>27097.762486583062</v>
      </c>
    </row>
    <row r="2232" spans="1:5" x14ac:dyDescent="0.25">
      <c r="A2232" s="2">
        <v>46072</v>
      </c>
      <c r="C2232" s="9">
        <f t="shared" si="9"/>
        <v>8082.4717019929549</v>
      </c>
      <c r="D2232" s="9">
        <f t="shared" si="10"/>
        <v>-11148.751514316074</v>
      </c>
      <c r="E2232" s="9">
        <f t="shared" si="11"/>
        <v>27313.694918301986</v>
      </c>
    </row>
    <row r="2233" spans="1:5" x14ac:dyDescent="0.25">
      <c r="A2233" s="2">
        <v>46073</v>
      </c>
      <c r="C2233" s="9">
        <f t="shared" si="9"/>
        <v>7856.966347796334</v>
      </c>
      <c r="D2233" s="9">
        <f t="shared" si="10"/>
        <v>-11443.404498981152</v>
      </c>
      <c r="E2233" s="9">
        <f t="shared" si="11"/>
        <v>27157.337194573818</v>
      </c>
    </row>
    <row r="2234" spans="1:5" x14ac:dyDescent="0.25">
      <c r="A2234" s="2">
        <v>46074</v>
      </c>
      <c r="C2234" s="9">
        <f t="shared" si="9"/>
        <v>6177.0976739708558</v>
      </c>
      <c r="D2234" s="9">
        <f t="shared" si="10"/>
        <v>-13192.765579122395</v>
      </c>
      <c r="E2234" s="9">
        <f t="shared" si="11"/>
        <v>25546.960927064109</v>
      </c>
    </row>
    <row r="2235" spans="1:5" x14ac:dyDescent="0.25">
      <c r="A2235" s="2">
        <v>46075</v>
      </c>
      <c r="C2235" s="9">
        <f t="shared" si="9"/>
        <v>6010.665291091942</v>
      </c>
      <c r="D2235" s="9">
        <f t="shared" si="10"/>
        <v>-13429.033971285722</v>
      </c>
      <c r="E2235" s="9">
        <f t="shared" si="11"/>
        <v>25450.364553469604</v>
      </c>
    </row>
    <row r="2236" spans="1:5" x14ac:dyDescent="0.25">
      <c r="A2236" s="2">
        <v>46076</v>
      </c>
      <c r="C2236" s="9">
        <f t="shared" si="9"/>
        <v>9797.1081275169417</v>
      </c>
      <c r="D2236" s="9">
        <f t="shared" si="10"/>
        <v>-9712.7695728327599</v>
      </c>
      <c r="E2236" s="9">
        <f t="shared" si="11"/>
        <v>29306.985827866643</v>
      </c>
    </row>
    <row r="2237" spans="1:5" x14ac:dyDescent="0.25">
      <c r="A2237" s="2">
        <v>46077</v>
      </c>
      <c r="C2237" s="9">
        <f t="shared" si="9"/>
        <v>8771.0802934637995</v>
      </c>
      <c r="D2237" s="9">
        <f t="shared" si="10"/>
        <v>-10809.317098092912</v>
      </c>
      <c r="E2237" s="9">
        <f t="shared" si="11"/>
        <v>28351.477685020509</v>
      </c>
    </row>
    <row r="2238" spans="1:5" x14ac:dyDescent="0.25">
      <c r="A2238" s="2">
        <v>46078</v>
      </c>
      <c r="C2238" s="9">
        <f t="shared" si="9"/>
        <v>7887.8625691546958</v>
      </c>
      <c r="D2238" s="9">
        <f t="shared" si="10"/>
        <v>-11763.394590445118</v>
      </c>
      <c r="E2238" s="9">
        <f t="shared" si="11"/>
        <v>27539.119728754507</v>
      </c>
    </row>
    <row r="2239" spans="1:5" x14ac:dyDescent="0.25">
      <c r="A2239" s="2">
        <v>46079</v>
      </c>
      <c r="C2239" s="9">
        <f t="shared" si="9"/>
        <v>7359.285151120077</v>
      </c>
      <c r="D2239" s="9">
        <f t="shared" si="10"/>
        <v>-12363.170676233922</v>
      </c>
      <c r="E2239" s="9">
        <f t="shared" si="11"/>
        <v>27081.740978474074</v>
      </c>
    </row>
    <row r="2240" spans="1:5" x14ac:dyDescent="0.25">
      <c r="A2240" s="2">
        <v>46080</v>
      </c>
      <c r="C2240" s="9">
        <f t="shared" si="9"/>
        <v>8721.040246676881</v>
      </c>
      <c r="D2240" s="9">
        <f t="shared" si="10"/>
        <v>-11072.951970506148</v>
      </c>
      <c r="E2240" s="9">
        <f t="shared" si="11"/>
        <v>28515.032463859912</v>
      </c>
    </row>
    <row r="2241" spans="1:5" x14ac:dyDescent="0.25">
      <c r="A2241" s="2">
        <v>46081</v>
      </c>
      <c r="C2241" s="9">
        <f t="shared" si="9"/>
        <v>10386.411107352791</v>
      </c>
      <c r="D2241" s="9">
        <f t="shared" si="10"/>
        <v>-9479.4540437963569</v>
      </c>
      <c r="E2241" s="9">
        <f t="shared" si="11"/>
        <v>30252.276258501937</v>
      </c>
    </row>
    <row r="2242" spans="1:5" x14ac:dyDescent="0.25">
      <c r="A2242" s="2">
        <v>46082</v>
      </c>
      <c r="C2242" s="9">
        <f t="shared" si="9"/>
        <v>7881.7012417208989</v>
      </c>
      <c r="D2242" s="9">
        <f t="shared" si="10"/>
        <v>-12280.949732245977</v>
      </c>
      <c r="E2242" s="9">
        <f t="shared" si="11"/>
        <v>28044.352215687773</v>
      </c>
    </row>
    <row r="2243" spans="1:5" x14ac:dyDescent="0.25">
      <c r="A2243" s="2">
        <v>46083</v>
      </c>
      <c r="C2243" s="9">
        <f t="shared" si="9"/>
        <v>7934.6615090225978</v>
      </c>
      <c r="D2243" s="9">
        <f t="shared" si="10"/>
        <v>-12299.726834297406</v>
      </c>
      <c r="E2243" s="9">
        <f t="shared" si="11"/>
        <v>28169.049852342599</v>
      </c>
    </row>
    <row r="2244" spans="1:5" x14ac:dyDescent="0.25">
      <c r="A2244" s="2">
        <v>46084</v>
      </c>
      <c r="C2244" s="9">
        <f t="shared" si="9"/>
        <v>8081.7922573605947</v>
      </c>
      <c r="D2244" s="9">
        <f t="shared" si="10"/>
        <v>-12224.668529820705</v>
      </c>
      <c r="E2244" s="9">
        <f t="shared" si="11"/>
        <v>28388.253044541892</v>
      </c>
    </row>
    <row r="2245" spans="1:5" x14ac:dyDescent="0.25">
      <c r="A2245" s="2">
        <v>46085</v>
      </c>
      <c r="C2245" s="9">
        <f t="shared" si="9"/>
        <v>7856.2869031639739</v>
      </c>
      <c r="D2245" s="9">
        <f t="shared" si="10"/>
        <v>-12522.580255541154</v>
      </c>
      <c r="E2245" s="9">
        <f t="shared" si="11"/>
        <v>28235.154061869103</v>
      </c>
    </row>
    <row r="2246" spans="1:5" x14ac:dyDescent="0.25">
      <c r="A2246" s="2">
        <v>46086</v>
      </c>
      <c r="C2246" s="9">
        <f t="shared" si="9"/>
        <v>6176.4182293384947</v>
      </c>
      <c r="D2246" s="9">
        <f t="shared" si="10"/>
        <v>-14275.188081554101</v>
      </c>
      <c r="E2246" s="9">
        <f t="shared" si="11"/>
        <v>26628.02454023109</v>
      </c>
    </row>
    <row r="2247" spans="1:5" x14ac:dyDescent="0.25">
      <c r="A2247" s="2">
        <v>46087</v>
      </c>
      <c r="C2247" s="9">
        <f t="shared" si="9"/>
        <v>6009.9858464595818</v>
      </c>
      <c r="D2247" s="9">
        <f t="shared" si="10"/>
        <v>-14514.691250320935</v>
      </c>
      <c r="E2247" s="9">
        <f t="shared" si="11"/>
        <v>26534.662943240099</v>
      </c>
    </row>
    <row r="2248" spans="1:5" x14ac:dyDescent="0.25">
      <c r="A2248" s="2">
        <v>46088</v>
      </c>
      <c r="C2248" s="9">
        <f t="shared" si="9"/>
        <v>9796.4286828845816</v>
      </c>
      <c r="D2248" s="9">
        <f t="shared" si="10"/>
        <v>-10801.649686741226</v>
      </c>
      <c r="E2248" s="9">
        <f t="shared" si="11"/>
        <v>30394.507052510387</v>
      </c>
    </row>
    <row r="2249" spans="1:5" x14ac:dyDescent="0.25">
      <c r="A2249" s="2">
        <v>46089</v>
      </c>
      <c r="C2249" s="9">
        <f t="shared" si="9"/>
        <v>8770.4008488314394</v>
      </c>
      <c r="D2249" s="9">
        <f t="shared" si="10"/>
        <v>-11901.408134253765</v>
      </c>
      <c r="E2249" s="9">
        <f t="shared" si="11"/>
        <v>29442.209831916643</v>
      </c>
    </row>
    <row r="2250" spans="1:5" x14ac:dyDescent="0.25">
      <c r="A2250" s="2">
        <v>46090</v>
      </c>
      <c r="C2250" s="9">
        <f t="shared" si="9"/>
        <v>7887.1831245223357</v>
      </c>
      <c r="D2250" s="9">
        <f t="shared" si="10"/>
        <v>-12858.68466686819</v>
      </c>
      <c r="E2250" s="9">
        <f t="shared" si="11"/>
        <v>28633.050915912863</v>
      </c>
    </row>
    <row r="2251" spans="1:5" x14ac:dyDescent="0.25">
      <c r="A2251" s="2">
        <v>46091</v>
      </c>
      <c r="C2251" s="9">
        <f t="shared" si="9"/>
        <v>7358.6057064877159</v>
      </c>
      <c r="D2251" s="9">
        <f t="shared" si="10"/>
        <v>-13461.647943031672</v>
      </c>
      <c r="E2251" s="9">
        <f t="shared" si="11"/>
        <v>28178.859356007106</v>
      </c>
    </row>
    <row r="2252" spans="1:5" x14ac:dyDescent="0.25">
      <c r="A2252" s="2">
        <v>46092</v>
      </c>
      <c r="C2252" s="9">
        <f t="shared" si="9"/>
        <v>8720.360802044519</v>
      </c>
      <c r="D2252" s="9">
        <f t="shared" si="10"/>
        <v>-12174.604611317029</v>
      </c>
      <c r="E2252" s="9">
        <f t="shared" si="11"/>
        <v>29615.326215406065</v>
      </c>
    </row>
    <row r="2253" spans="1:5" x14ac:dyDescent="0.25">
      <c r="A2253" s="2">
        <v>46093</v>
      </c>
      <c r="C2253" s="9">
        <f t="shared" si="9"/>
        <v>10385.731662720431</v>
      </c>
      <c r="D2253" s="9">
        <f t="shared" si="10"/>
        <v>-10584.270277160394</v>
      </c>
      <c r="E2253" s="9">
        <f t="shared" si="11"/>
        <v>31355.733602601256</v>
      </c>
    </row>
    <row r="2254" spans="1:5" x14ac:dyDescent="0.25">
      <c r="A2254" s="2">
        <v>46094</v>
      </c>
      <c r="C2254" s="9">
        <f t="shared" si="9"/>
        <v>7881.0217970885387</v>
      </c>
      <c r="D2254" s="9">
        <f t="shared" si="10"/>
        <v>-13384.148123220239</v>
      </c>
      <c r="E2254" s="9">
        <f t="shared" si="11"/>
        <v>29146.191717397316</v>
      </c>
    </row>
    <row r="2255" spans="1:5" x14ac:dyDescent="0.25">
      <c r="A2255" s="2">
        <v>46095</v>
      </c>
      <c r="C2255" s="9">
        <f t="shared" si="9"/>
        <v>7933.9820643902376</v>
      </c>
      <c r="D2255" s="9">
        <f t="shared" si="10"/>
        <v>-13406.090948915022</v>
      </c>
      <c r="E2255" s="9">
        <f t="shared" si="11"/>
        <v>29274.055077695499</v>
      </c>
    </row>
    <row r="2256" spans="1:5" x14ac:dyDescent="0.25">
      <c r="A2256" s="2">
        <v>46096</v>
      </c>
      <c r="C2256" s="9">
        <f t="shared" si="9"/>
        <v>8081.1128127282336</v>
      </c>
      <c r="D2256" s="9">
        <f t="shared" si="10"/>
        <v>-13334.186841714551</v>
      </c>
      <c r="E2256" s="9">
        <f t="shared" si="11"/>
        <v>29496.412467171016</v>
      </c>
    </row>
    <row r="2257" spans="1:5" x14ac:dyDescent="0.25">
      <c r="A2257" s="2">
        <v>46097</v>
      </c>
      <c r="C2257" s="9">
        <f t="shared" si="9"/>
        <v>7855.6074585316128</v>
      </c>
      <c r="D2257" s="9">
        <f t="shared" si="10"/>
        <v>-13635.241271189134</v>
      </c>
      <c r="E2257" s="9">
        <f t="shared" si="11"/>
        <v>29346.456188252359</v>
      </c>
    </row>
    <row r="2258" spans="1:5" x14ac:dyDescent="0.25">
      <c r="A2258" s="2">
        <v>46098</v>
      </c>
      <c r="C2258" s="9">
        <f t="shared" ref="C2258:C2321" si="12">_xlfn.FORECAST.ETS(A2258,$B$2:$B$2001,$A$2:$A$2001,12,1)</f>
        <v>6175.7387847061345</v>
      </c>
      <c r="D2258" s="9">
        <f t="shared" ref="D2258:D2321" si="13">C2258-_xlfn.FORECAST.ETS.CONFINT(A2258,$B$2:$B$2001,$A$2:$A$2001,0.95,12,1)</f>
        <v>-15390.980341546898</v>
      </c>
      <c r="E2258" s="9">
        <f t="shared" ref="E2258:E2321" si="14">C2258+_xlfn.FORECAST.ETS.CONFINT(A2258,$B$2:$B$2001,$A$2:$A$2001,0.95,12,1)</f>
        <v>27742.457910959165</v>
      </c>
    </row>
    <row r="2259" spans="1:5" x14ac:dyDescent="0.25">
      <c r="A2259" s="2">
        <v>46099</v>
      </c>
      <c r="C2259" s="9">
        <f t="shared" si="12"/>
        <v>6009.3064018272216</v>
      </c>
      <c r="D2259" s="9">
        <f t="shared" si="13"/>
        <v>-15633.60333058685</v>
      </c>
      <c r="E2259" s="9">
        <f t="shared" si="14"/>
        <v>27652.216134241295</v>
      </c>
    </row>
    <row r="2260" spans="1:5" x14ac:dyDescent="0.25">
      <c r="A2260" s="2">
        <v>46100</v>
      </c>
      <c r="C2260" s="9">
        <f t="shared" si="12"/>
        <v>9795.7492382522214</v>
      </c>
      <c r="D2260" s="9">
        <f t="shared" si="13"/>
        <v>-11923.670199728786</v>
      </c>
      <c r="E2260" s="9">
        <f t="shared" si="14"/>
        <v>31515.168676233228</v>
      </c>
    </row>
    <row r="2261" spans="1:5" x14ac:dyDescent="0.25">
      <c r="A2261" s="2">
        <v>46101</v>
      </c>
      <c r="C2261" s="9">
        <f t="shared" si="12"/>
        <v>8769.7214041990792</v>
      </c>
      <c r="D2261" s="9">
        <f t="shared" si="13"/>
        <v>-13026.525730072912</v>
      </c>
      <c r="E2261" s="9">
        <f t="shared" si="14"/>
        <v>30565.968538471068</v>
      </c>
    </row>
    <row r="2262" spans="1:5" x14ac:dyDescent="0.25">
      <c r="A2262" s="2">
        <v>46102</v>
      </c>
      <c r="C2262" s="9">
        <f t="shared" si="12"/>
        <v>7886.5036798899746</v>
      </c>
      <c r="D2262" s="9">
        <f t="shared" si="13"/>
        <v>-13986.888034390711</v>
      </c>
      <c r="E2262" s="9">
        <f t="shared" si="14"/>
        <v>29759.89539417066</v>
      </c>
    </row>
    <row r="2263" spans="1:5" x14ac:dyDescent="0.25">
      <c r="A2263" s="2">
        <v>46103</v>
      </c>
      <c r="C2263" s="9">
        <f t="shared" si="12"/>
        <v>7357.9262618553557</v>
      </c>
      <c r="D2263" s="9">
        <f t="shared" si="13"/>
        <v>-14592.925810951692</v>
      </c>
      <c r="E2263" s="9">
        <f t="shared" si="14"/>
        <v>29308.778334662402</v>
      </c>
    </row>
    <row r="2264" spans="1:5" x14ac:dyDescent="0.25">
      <c r="A2264" s="2">
        <v>46104</v>
      </c>
      <c r="C2264" s="9">
        <f t="shared" si="12"/>
        <v>8719.6813574121588</v>
      </c>
      <c r="D2264" s="9">
        <f t="shared" si="13"/>
        <v>-13308.945749172228</v>
      </c>
      <c r="E2264" s="9">
        <f t="shared" si="14"/>
        <v>30748.308463996545</v>
      </c>
    </row>
    <row r="2265" spans="1:5" x14ac:dyDescent="0.25">
      <c r="A2265" s="2">
        <v>46105</v>
      </c>
      <c r="C2265" s="9">
        <f t="shared" si="12"/>
        <v>10385.052218088071</v>
      </c>
      <c r="D2265" s="9">
        <f t="shared" si="13"/>
        <v>-11721.663496314757</v>
      </c>
      <c r="E2265" s="9">
        <f t="shared" si="14"/>
        <v>32491.767932490897</v>
      </c>
    </row>
    <row r="2266" spans="1:5" x14ac:dyDescent="0.25">
      <c r="A2266" s="2">
        <v>46106</v>
      </c>
      <c r="C2266" s="9">
        <f t="shared" si="12"/>
        <v>7880.3423524561786</v>
      </c>
      <c r="D2266" s="9">
        <f t="shared" si="13"/>
        <v>-14519.971454837212</v>
      </c>
      <c r="E2266" s="9">
        <f t="shared" si="14"/>
        <v>30280.656159749567</v>
      </c>
    </row>
    <row r="2267" spans="1:5" x14ac:dyDescent="0.25">
      <c r="A2267" s="2">
        <v>46107</v>
      </c>
      <c r="C2267" s="9">
        <f t="shared" si="12"/>
        <v>7933.3026197578765</v>
      </c>
      <c r="D2267" s="9">
        <f t="shared" si="13"/>
        <v>-14544.970103080283</v>
      </c>
      <c r="E2267" s="9">
        <f t="shared" si="14"/>
        <v>30411.575342596036</v>
      </c>
    </row>
    <row r="2268" spans="1:5" x14ac:dyDescent="0.25">
      <c r="A2268" s="2">
        <v>46108</v>
      </c>
      <c r="C2268" s="9">
        <f t="shared" si="12"/>
        <v>8080.4333680958734</v>
      </c>
      <c r="D2268" s="9">
        <f t="shared" si="13"/>
        <v>-14476.110848653247</v>
      </c>
      <c r="E2268" s="9">
        <f t="shared" si="14"/>
        <v>30636.977584844994</v>
      </c>
    </row>
    <row r="2269" spans="1:5" x14ac:dyDescent="0.25">
      <c r="A2269" s="2">
        <v>46109</v>
      </c>
      <c r="C2269" s="9">
        <f t="shared" si="12"/>
        <v>7854.9280138992526</v>
      </c>
      <c r="D2269" s="9">
        <f t="shared" si="13"/>
        <v>-14780.199200672001</v>
      </c>
      <c r="E2269" s="9">
        <f t="shared" si="14"/>
        <v>30490.055228470505</v>
      </c>
    </row>
    <row r="2270" spans="1:5" x14ac:dyDescent="0.25">
      <c r="A2270" s="2">
        <v>46110</v>
      </c>
      <c r="C2270" s="9">
        <f t="shared" si="12"/>
        <v>6175.0593400737744</v>
      </c>
      <c r="D2270" s="9">
        <f t="shared" si="13"/>
        <v>-16538.961303799249</v>
      </c>
      <c r="E2270" s="9">
        <f t="shared" si="14"/>
        <v>28889.079983946798</v>
      </c>
    </row>
    <row r="2271" spans="1:5" x14ac:dyDescent="0.25">
      <c r="A2271" s="2">
        <v>46111</v>
      </c>
      <c r="C2271" s="9">
        <f t="shared" si="12"/>
        <v>6008.6269571948615</v>
      </c>
      <c r="D2271" s="9">
        <f t="shared" si="13"/>
        <v>-16784.596477162893</v>
      </c>
      <c r="E2271" s="9">
        <f t="shared" si="14"/>
        <v>28801.850391552616</v>
      </c>
    </row>
    <row r="2272" spans="1:5" x14ac:dyDescent="0.25">
      <c r="A2272" s="2">
        <v>46112</v>
      </c>
      <c r="C2272" s="9">
        <f t="shared" si="12"/>
        <v>9795.0697936198594</v>
      </c>
      <c r="D2272" s="9">
        <f t="shared" si="13"/>
        <v>-13077.664724352027</v>
      </c>
      <c r="E2272" s="9">
        <f t="shared" si="14"/>
        <v>32667.804311591746</v>
      </c>
    </row>
    <row r="2273" spans="1:5" x14ac:dyDescent="0.25">
      <c r="A2273" s="2">
        <v>46113</v>
      </c>
      <c r="C2273" s="9">
        <f t="shared" si="12"/>
        <v>8769.041959566719</v>
      </c>
      <c r="D2273" s="9">
        <f t="shared" si="13"/>
        <v>-14183.510869443224</v>
      </c>
      <c r="E2273" s="9">
        <f t="shared" si="14"/>
        <v>31721.594788576662</v>
      </c>
    </row>
    <row r="2274" spans="1:5" x14ac:dyDescent="0.25">
      <c r="A2274" s="2">
        <v>46114</v>
      </c>
      <c r="C2274" s="9">
        <f t="shared" si="12"/>
        <v>7885.8242352576144</v>
      </c>
      <c r="D2274" s="9">
        <f t="shared" si="13"/>
        <v>-15146.853068958799</v>
      </c>
      <c r="E2274" s="9">
        <f t="shared" si="14"/>
        <v>30918.501539474026</v>
      </c>
    </row>
    <row r="2275" spans="1:5" x14ac:dyDescent="0.25">
      <c r="A2275" s="2">
        <v>46115</v>
      </c>
      <c r="C2275" s="9">
        <f t="shared" si="12"/>
        <v>7357.2468172229956</v>
      </c>
      <c r="D2275" s="9">
        <f t="shared" si="13"/>
        <v>-15755.860065661524</v>
      </c>
      <c r="E2275" s="9">
        <f t="shared" si="14"/>
        <v>30470.353700107516</v>
      </c>
    </row>
    <row r="2276" spans="1:5" x14ac:dyDescent="0.25">
      <c r="A2276" s="2">
        <v>46116</v>
      </c>
      <c r="C2276" s="9">
        <f t="shared" si="12"/>
        <v>8719.0019127797987</v>
      </c>
      <c r="D2276" s="9">
        <f t="shared" si="13"/>
        <v>-14474.838594172206</v>
      </c>
      <c r="E2276" s="9">
        <f t="shared" si="14"/>
        <v>31912.842419731802</v>
      </c>
    </row>
    <row r="2277" spans="1:5" x14ac:dyDescent="0.25">
      <c r="A2277" s="2">
        <v>46117</v>
      </c>
      <c r="C2277" s="9">
        <f t="shared" si="12"/>
        <v>10384.372773455711</v>
      </c>
      <c r="D2277" s="9">
        <f t="shared" si="13"/>
        <v>-12890.504347638147</v>
      </c>
      <c r="E2277" s="9">
        <f t="shared" si="14"/>
        <v>33659.249894549568</v>
      </c>
    </row>
    <row r="2278" spans="1:5" x14ac:dyDescent="0.25">
      <c r="A2278" s="2">
        <v>46118</v>
      </c>
      <c r="C2278" s="9">
        <f t="shared" si="12"/>
        <v>7879.6629078238175</v>
      </c>
      <c r="D2278" s="9">
        <f t="shared" si="13"/>
        <v>-15687.303950827434</v>
      </c>
      <c r="E2278" s="9">
        <f t="shared" si="14"/>
        <v>31446.629766475071</v>
      </c>
    </row>
    <row r="2279" spans="1:5" x14ac:dyDescent="0.25">
      <c r="A2279" s="2">
        <v>46119</v>
      </c>
      <c r="C2279" s="9">
        <f t="shared" si="12"/>
        <v>7932.6231751255164</v>
      </c>
      <c r="D2279" s="9">
        <f t="shared" si="13"/>
        <v>-15715.25555928689</v>
      </c>
      <c r="E2279" s="9">
        <f t="shared" si="14"/>
        <v>31580.501909537925</v>
      </c>
    </row>
    <row r="2280" spans="1:5" x14ac:dyDescent="0.25">
      <c r="A2280" s="2">
        <v>46120</v>
      </c>
      <c r="C2280" s="9">
        <f t="shared" si="12"/>
        <v>8079.7539234635133</v>
      </c>
      <c r="D2280" s="9">
        <f t="shared" si="13"/>
        <v>-15649.338867475481</v>
      </c>
      <c r="E2280" s="9">
        <f t="shared" si="14"/>
        <v>31808.846714402505</v>
      </c>
    </row>
    <row r="2281" spans="1:5" x14ac:dyDescent="0.25">
      <c r="A2281" s="2">
        <v>46121</v>
      </c>
      <c r="C2281" s="9">
        <f t="shared" si="12"/>
        <v>7854.2485692668924</v>
      </c>
      <c r="D2281" s="9">
        <f t="shared" si="13"/>
        <v>-15956.359428059066</v>
      </c>
      <c r="E2281" s="9">
        <f t="shared" si="14"/>
        <v>31664.856566592851</v>
      </c>
    </row>
    <row r="2282" spans="1:5" x14ac:dyDescent="0.25">
      <c r="A2282" s="2">
        <v>46122</v>
      </c>
      <c r="C2282" s="9">
        <f t="shared" si="12"/>
        <v>6174.3798954414142</v>
      </c>
      <c r="D2282" s="9">
        <f t="shared" si="13"/>
        <v>-17718.043429882142</v>
      </c>
      <c r="E2282" s="9">
        <f t="shared" si="14"/>
        <v>30066.803220764967</v>
      </c>
    </row>
    <row r="2283" spans="1:5" x14ac:dyDescent="0.25">
      <c r="A2283" s="2">
        <v>46123</v>
      </c>
      <c r="C2283" s="9">
        <f t="shared" si="12"/>
        <v>6007.9475125625004</v>
      </c>
      <c r="D2283" s="9">
        <f t="shared" si="13"/>
        <v>-17966.590236858676</v>
      </c>
      <c r="E2283" s="9">
        <f t="shared" si="14"/>
        <v>29982.485261983675</v>
      </c>
    </row>
    <row r="2284" spans="1:5" x14ac:dyDescent="0.25">
      <c r="A2284" s="2">
        <v>46124</v>
      </c>
      <c r="C2284" s="9">
        <f t="shared" si="12"/>
        <v>9794.3903489875011</v>
      </c>
      <c r="D2284" s="9">
        <f t="shared" si="13"/>
        <v>-14262.55989794097</v>
      </c>
      <c r="E2284" s="9">
        <f t="shared" si="14"/>
        <v>33851.340595915972</v>
      </c>
    </row>
    <row r="2285" spans="1:5" x14ac:dyDescent="0.25">
      <c r="A2285" s="2">
        <v>46125</v>
      </c>
      <c r="C2285" s="9">
        <f t="shared" si="12"/>
        <v>8768.362514934357</v>
      </c>
      <c r="D2285" s="9">
        <f t="shared" si="13"/>
        <v>-15371.297283119511</v>
      </c>
      <c r="E2285" s="9">
        <f t="shared" si="14"/>
        <v>32908.022312988222</v>
      </c>
    </row>
    <row r="2286" spans="1:5" x14ac:dyDescent="0.25">
      <c r="A2286" s="2">
        <v>46126</v>
      </c>
      <c r="C2286" s="9">
        <f t="shared" si="12"/>
        <v>7885.1447906252542</v>
      </c>
      <c r="D2286" s="9">
        <f t="shared" si="13"/>
        <v>-16337.520595355323</v>
      </c>
      <c r="E2286" s="9">
        <f t="shared" si="14"/>
        <v>32107.810176605832</v>
      </c>
    </row>
    <row r="2287" spans="1:5" x14ac:dyDescent="0.25">
      <c r="A2287" s="2">
        <v>46127</v>
      </c>
      <c r="C2287" s="9">
        <f t="shared" si="12"/>
        <v>7356.5673725906354</v>
      </c>
      <c r="D2287" s="9">
        <f t="shared" si="13"/>
        <v>-16949.39862434936</v>
      </c>
      <c r="E2287" s="9">
        <f t="shared" si="14"/>
        <v>31662.533369530629</v>
      </c>
    </row>
    <row r="2288" spans="1:5" x14ac:dyDescent="0.25">
      <c r="A2288" s="2">
        <v>46128</v>
      </c>
      <c r="C2288" s="9">
        <f t="shared" si="12"/>
        <v>8718.3224681474385</v>
      </c>
      <c r="D2288" s="9">
        <f t="shared" si="13"/>
        <v>-15671.238152135244</v>
      </c>
      <c r="E2288" s="9">
        <f t="shared" si="14"/>
        <v>33107.883088430121</v>
      </c>
    </row>
    <row r="2289" spans="1:5" x14ac:dyDescent="0.25">
      <c r="A2289" s="2">
        <v>46129</v>
      </c>
      <c r="C2289" s="9">
        <f t="shared" si="12"/>
        <v>10383.693328823349</v>
      </c>
      <c r="D2289" s="9">
        <f t="shared" si="13"/>
        <v>-14089.754919723582</v>
      </c>
      <c r="E2289" s="9">
        <f t="shared" si="14"/>
        <v>34857.141577370276</v>
      </c>
    </row>
    <row r="2290" spans="1:5" x14ac:dyDescent="0.25">
      <c r="A2290" s="2">
        <v>46130</v>
      </c>
      <c r="C2290" s="9">
        <f t="shared" si="12"/>
        <v>7878.9834631914573</v>
      </c>
      <c r="D2290" s="9">
        <f t="shared" si="13"/>
        <v>-16885.116931051951</v>
      </c>
      <c r="E2290" s="9">
        <f t="shared" si="14"/>
        <v>32643.083857434864</v>
      </c>
    </row>
    <row r="2291" spans="1:5" x14ac:dyDescent="0.25">
      <c r="A2291" s="2">
        <v>46131</v>
      </c>
      <c r="C2291" s="9">
        <f t="shared" si="12"/>
        <v>7931.9437304931562</v>
      </c>
      <c r="D2291" s="9">
        <f t="shared" si="13"/>
        <v>-16915.925396670875</v>
      </c>
      <c r="E2291" s="9">
        <f t="shared" si="14"/>
        <v>32779.812857657191</v>
      </c>
    </row>
    <row r="2292" spans="1:5" x14ac:dyDescent="0.25">
      <c r="A2292" s="2">
        <v>46132</v>
      </c>
      <c r="C2292" s="9">
        <f t="shared" si="12"/>
        <v>8079.0744788311531</v>
      </c>
      <c r="D2292" s="9">
        <f t="shared" si="13"/>
        <v>-16852.855734612007</v>
      </c>
      <c r="E2292" s="9">
        <f t="shared" si="14"/>
        <v>33011.004692274313</v>
      </c>
    </row>
    <row r="2293" spans="1:5" x14ac:dyDescent="0.25">
      <c r="A2293" s="2">
        <v>46133</v>
      </c>
      <c r="C2293" s="9">
        <f t="shared" si="12"/>
        <v>7853.5691246345314</v>
      </c>
      <c r="D2293" s="9">
        <f t="shared" si="13"/>
        <v>-17162.713543123147</v>
      </c>
      <c r="E2293" s="9">
        <f t="shared" si="14"/>
        <v>32869.851792392212</v>
      </c>
    </row>
    <row r="2294" spans="1:5" x14ac:dyDescent="0.25">
      <c r="A2294" s="2">
        <v>46134</v>
      </c>
      <c r="C2294" s="9">
        <f t="shared" si="12"/>
        <v>6173.7004508090531</v>
      </c>
      <c r="D2294" s="9">
        <f t="shared" si="13"/>
        <v>-18927.225057050855</v>
      </c>
      <c r="E2294" s="9">
        <f t="shared" si="14"/>
        <v>31274.625958668963</v>
      </c>
    </row>
    <row r="2295" spans="1:5" x14ac:dyDescent="0.25">
      <c r="A2295" s="2">
        <v>46135</v>
      </c>
      <c r="C2295" s="9">
        <f t="shared" si="12"/>
        <v>6007.2680679301402</v>
      </c>
      <c r="D2295" s="9">
        <f t="shared" si="13"/>
        <v>-19178.589686709431</v>
      </c>
      <c r="E2295" s="9">
        <f t="shared" si="14"/>
        <v>31193.125822569713</v>
      </c>
    </row>
    <row r="2296" spans="1:5" x14ac:dyDescent="0.25">
      <c r="A2296" s="2">
        <v>46136</v>
      </c>
      <c r="C2296" s="9">
        <f t="shared" si="12"/>
        <v>9793.7109043551391</v>
      </c>
      <c r="D2296" s="9">
        <f t="shared" si="13"/>
        <v>-15477.367527828399</v>
      </c>
      <c r="E2296" s="9">
        <f t="shared" si="14"/>
        <v>35064.789336538677</v>
      </c>
    </row>
    <row r="2297" spans="1:5" x14ac:dyDescent="0.25">
      <c r="A2297" s="2">
        <v>46137</v>
      </c>
      <c r="C2297" s="9">
        <f t="shared" si="12"/>
        <v>8767.6830703019987</v>
      </c>
      <c r="D2297" s="9">
        <f t="shared" si="13"/>
        <v>-16588.903497531519</v>
      </c>
      <c r="E2297" s="9">
        <f t="shared" si="14"/>
        <v>34124.26963813552</v>
      </c>
    </row>
    <row r="2298" spans="1:5" x14ac:dyDescent="0.25">
      <c r="A2298" s="2">
        <v>46138</v>
      </c>
      <c r="C2298" s="9">
        <f t="shared" si="12"/>
        <v>7884.4653459928932</v>
      </c>
      <c r="D2298" s="9">
        <f t="shared" si="13"/>
        <v>-17557.915846248703</v>
      </c>
      <c r="E2298" s="9">
        <f t="shared" si="14"/>
        <v>33326.846538234488</v>
      </c>
    </row>
    <row r="2299" spans="1:5" x14ac:dyDescent="0.25">
      <c r="A2299" s="2">
        <v>46139</v>
      </c>
      <c r="C2299" s="9">
        <f t="shared" si="12"/>
        <v>7355.8879279582743</v>
      </c>
      <c r="D2299" s="9">
        <f t="shared" si="13"/>
        <v>-18172.573411465484</v>
      </c>
      <c r="E2299" s="9">
        <f t="shared" si="14"/>
        <v>32884.349267382036</v>
      </c>
    </row>
    <row r="2300" spans="1:5" x14ac:dyDescent="0.25">
      <c r="A2300" s="2">
        <v>46140</v>
      </c>
      <c r="C2300" s="9">
        <f t="shared" si="12"/>
        <v>8717.6430235150783</v>
      </c>
      <c r="D2300" s="9">
        <f t="shared" si="13"/>
        <v>-16897.183023296384</v>
      </c>
      <c r="E2300" s="9">
        <f t="shared" si="14"/>
        <v>34332.469070326544</v>
      </c>
    </row>
    <row r="2301" spans="1:5" x14ac:dyDescent="0.25">
      <c r="A2301" s="2">
        <v>46141</v>
      </c>
      <c r="C2301" s="9">
        <f t="shared" si="12"/>
        <v>10383.01388419099</v>
      </c>
      <c r="D2301" s="9">
        <f t="shared" si="13"/>
        <v>-15318.460471110146</v>
      </c>
      <c r="E2301" s="9">
        <f t="shared" si="14"/>
        <v>36084.48823949213</v>
      </c>
    </row>
    <row r="2302" spans="1:5" x14ac:dyDescent="0.25">
      <c r="A2302" s="2">
        <v>46142</v>
      </c>
      <c r="C2302" s="9">
        <f t="shared" si="12"/>
        <v>7878.3040185590971</v>
      </c>
      <c r="D2302" s="9">
        <f t="shared" si="13"/>
        <v>-18112.461548567579</v>
      </c>
      <c r="E2302" s="9">
        <f t="shared" si="14"/>
        <v>33869.069585685771</v>
      </c>
    </row>
    <row r="2303" spans="1:5" x14ac:dyDescent="0.25">
      <c r="A2303" s="2">
        <v>46143</v>
      </c>
      <c r="C2303" s="9">
        <f t="shared" si="12"/>
        <v>7931.264285860796</v>
      </c>
      <c r="D2303" s="9">
        <f t="shared" si="13"/>
        <v>-18146.037166049427</v>
      </c>
      <c r="E2303" s="9">
        <f t="shared" si="14"/>
        <v>34008.565737771023</v>
      </c>
    </row>
    <row r="2304" spans="1:5" x14ac:dyDescent="0.25">
      <c r="A2304" s="2">
        <v>46144</v>
      </c>
      <c r="C2304" s="9">
        <f t="shared" si="12"/>
        <v>8078.395034198792</v>
      </c>
      <c r="D2304" s="9">
        <f t="shared" si="13"/>
        <v>-18085.725384899906</v>
      </c>
      <c r="E2304" s="9">
        <f t="shared" si="14"/>
        <v>34242.515453297492</v>
      </c>
    </row>
    <row r="2305" spans="1:5" x14ac:dyDescent="0.25">
      <c r="A2305" s="2">
        <v>46145</v>
      </c>
      <c r="C2305" s="9">
        <f t="shared" si="12"/>
        <v>7852.8896800021712</v>
      </c>
      <c r="D2305" s="9">
        <f t="shared" si="13"/>
        <v>-18398.331849561626</v>
      </c>
      <c r="E2305" s="9">
        <f t="shared" si="14"/>
        <v>34104.11120956597</v>
      </c>
    </row>
    <row r="2306" spans="1:5" x14ac:dyDescent="0.25">
      <c r="A2306" s="2">
        <v>46146</v>
      </c>
      <c r="C2306" s="9">
        <f t="shared" si="12"/>
        <v>6173.0210061766929</v>
      </c>
      <c r="D2306" s="9">
        <f t="shared" si="13"/>
        <v>-20165.582841335985</v>
      </c>
      <c r="E2306" s="9">
        <f t="shared" si="14"/>
        <v>32511.624853689369</v>
      </c>
    </row>
    <row r="2307" spans="1:5" x14ac:dyDescent="0.25">
      <c r="A2307" s="2">
        <v>46147</v>
      </c>
      <c r="C2307" s="9">
        <f t="shared" si="12"/>
        <v>6006.58862329778</v>
      </c>
      <c r="D2307" s="9">
        <f t="shared" si="13"/>
        <v>-20419.67781723493</v>
      </c>
      <c r="E2307" s="9">
        <f t="shared" si="14"/>
        <v>32432.855063830488</v>
      </c>
    </row>
    <row r="2308" spans="1:5" x14ac:dyDescent="0.25">
      <c r="A2308" s="2">
        <v>46148</v>
      </c>
      <c r="C2308" s="9">
        <f t="shared" si="12"/>
        <v>9793.0314597227807</v>
      </c>
      <c r="D2308" s="9">
        <f t="shared" si="13"/>
        <v>-16721.176919911763</v>
      </c>
      <c r="E2308" s="9">
        <f t="shared" si="14"/>
        <v>36307.239839357324</v>
      </c>
    </row>
    <row r="2309" spans="1:5" x14ac:dyDescent="0.25">
      <c r="A2309" s="2">
        <v>46149</v>
      </c>
      <c r="C2309" s="9">
        <f t="shared" si="12"/>
        <v>8767.0036256696367</v>
      </c>
      <c r="D2309" s="9">
        <f t="shared" si="13"/>
        <v>-17835.425113623744</v>
      </c>
      <c r="E2309" s="9">
        <f t="shared" si="14"/>
        <v>35369.432364963017</v>
      </c>
    </row>
    <row r="2310" spans="1:5" x14ac:dyDescent="0.25">
      <c r="A2310" s="2">
        <v>46150</v>
      </c>
      <c r="C2310" s="9">
        <f t="shared" si="12"/>
        <v>7883.785901360533</v>
      </c>
      <c r="D2310" s="9">
        <f t="shared" si="13"/>
        <v>-18807.140696128095</v>
      </c>
      <c r="E2310" s="9">
        <f t="shared" si="14"/>
        <v>34574.712498849163</v>
      </c>
    </row>
    <row r="2311" spans="1:5" x14ac:dyDescent="0.25">
      <c r="A2311" s="2">
        <v>46151</v>
      </c>
      <c r="C2311" s="9">
        <f t="shared" si="12"/>
        <v>7355.2084833259141</v>
      </c>
      <c r="D2311" s="9">
        <f t="shared" si="13"/>
        <v>-19424.492552415952</v>
      </c>
      <c r="E2311" s="9">
        <f t="shared" si="14"/>
        <v>34134.909519067776</v>
      </c>
    </row>
    <row r="2312" spans="1:5" x14ac:dyDescent="0.25">
      <c r="A2312" s="2">
        <v>46152</v>
      </c>
      <c r="C2312" s="9">
        <f t="shared" si="12"/>
        <v>8716.9635788827181</v>
      </c>
      <c r="D2312" s="9">
        <f t="shared" si="13"/>
        <v>-18151.787560270506</v>
      </c>
      <c r="E2312" s="9">
        <f t="shared" si="14"/>
        <v>35585.714718035946</v>
      </c>
    </row>
    <row r="2313" spans="1:5" x14ac:dyDescent="0.25">
      <c r="A2313" s="2">
        <v>46153</v>
      </c>
      <c r="C2313" s="9">
        <f t="shared" si="12"/>
        <v>10382.334439558628</v>
      </c>
      <c r="D2313" s="9">
        <f t="shared" si="13"/>
        <v>-16575.741556877547</v>
      </c>
      <c r="E2313" s="9">
        <f t="shared" si="14"/>
        <v>37340.410435994803</v>
      </c>
    </row>
    <row r="2314" spans="1:5" x14ac:dyDescent="0.25">
      <c r="A2314" s="2">
        <v>46154</v>
      </c>
      <c r="C2314" s="9">
        <f t="shared" si="12"/>
        <v>7877.624573926736</v>
      </c>
      <c r="D2314" s="9">
        <f t="shared" si="13"/>
        <v>-19368.461714679885</v>
      </c>
      <c r="E2314" s="9">
        <f t="shared" si="14"/>
        <v>35123.710862533357</v>
      </c>
    </row>
    <row r="2315" spans="1:5" x14ac:dyDescent="0.25">
      <c r="A2315" s="2">
        <v>46155</v>
      </c>
      <c r="C2315" s="9">
        <f t="shared" si="12"/>
        <v>7930.5848412284349</v>
      </c>
      <c r="D2315" s="9">
        <f t="shared" si="13"/>
        <v>-19404.720773283647</v>
      </c>
      <c r="E2315" s="9">
        <f t="shared" si="14"/>
        <v>35265.890455740519</v>
      </c>
    </row>
    <row r="2316" spans="1:5" x14ac:dyDescent="0.25">
      <c r="A2316" s="2">
        <v>46156</v>
      </c>
      <c r="C2316" s="9">
        <f t="shared" si="12"/>
        <v>8077.7155895664318</v>
      </c>
      <c r="D2316" s="9">
        <f t="shared" si="13"/>
        <v>-19347.08369746945</v>
      </c>
      <c r="E2316" s="9">
        <f t="shared" si="14"/>
        <v>35502.514876602312</v>
      </c>
    </row>
    <row r="2317" spans="1:5" x14ac:dyDescent="0.25">
      <c r="A2317" s="2">
        <v>46157</v>
      </c>
      <c r="C2317" s="9">
        <f t="shared" si="12"/>
        <v>7852.210235369811</v>
      </c>
      <c r="D2317" s="9">
        <f t="shared" si="13"/>
        <v>-19662.356177486552</v>
      </c>
      <c r="E2317" s="9">
        <f t="shared" si="14"/>
        <v>35366.776648226172</v>
      </c>
    </row>
    <row r="2318" spans="1:5" x14ac:dyDescent="0.25">
      <c r="A2318" s="2">
        <v>46158</v>
      </c>
      <c r="C2318" s="9">
        <f t="shared" si="12"/>
        <v>6172.3415615443328</v>
      </c>
      <c r="D2318" s="9">
        <f t="shared" si="13"/>
        <v>-21432.264540583179</v>
      </c>
      <c r="E2318" s="9">
        <f t="shared" si="14"/>
        <v>33776.947663671846</v>
      </c>
    </row>
    <row r="2319" spans="1:5" x14ac:dyDescent="0.25">
      <c r="A2319" s="2">
        <v>46159</v>
      </c>
      <c r="C2319" s="9">
        <f t="shared" si="12"/>
        <v>6005.9091786654189</v>
      </c>
      <c r="D2319" s="9">
        <f t="shared" si="13"/>
        <v>-21689.008289844955</v>
      </c>
      <c r="E2319" s="9">
        <f t="shared" si="14"/>
        <v>33700.826647175796</v>
      </c>
    </row>
    <row r="2320" spans="1:5" x14ac:dyDescent="0.25">
      <c r="A2320" s="2">
        <v>46160</v>
      </c>
      <c r="C2320" s="9">
        <f t="shared" si="12"/>
        <v>9792.3520150904187</v>
      </c>
      <c r="D2320" s="9">
        <f t="shared" si="13"/>
        <v>-17993.147614112608</v>
      </c>
      <c r="E2320" s="9">
        <f t="shared" si="14"/>
        <v>37577.851644293449</v>
      </c>
    </row>
    <row r="2321" spans="1:5" x14ac:dyDescent="0.25">
      <c r="A2321" s="2">
        <v>46161</v>
      </c>
      <c r="C2321" s="9">
        <f t="shared" si="12"/>
        <v>8766.3241810372765</v>
      </c>
      <c r="D2321" s="9">
        <f t="shared" si="13"/>
        <v>-19110.027523931902</v>
      </c>
      <c r="E2321" s="9">
        <f t="shared" si="14"/>
        <v>36642.675886006451</v>
      </c>
    </row>
    <row r="2322" spans="1:5" x14ac:dyDescent="0.25">
      <c r="A2322" s="2">
        <v>46162</v>
      </c>
      <c r="C2322" s="9">
        <f t="shared" ref="C2322:C2367" si="15">_xlfn.FORECAST.ETS(A2322,$B$2:$B$2001,$A$2:$A$2001,12,1)</f>
        <v>7883.1064567281728</v>
      </c>
      <c r="D2322" s="9">
        <f t="shared" ref="D2322:D2367" si="16">C2322-_xlfn.FORECAST.ETS.CONFINT(A2322,$B$2:$B$2001,$A$2:$A$2001,0.95,12,1)</f>
        <v>-20084.366363437231</v>
      </c>
      <c r="E2322" s="9">
        <f t="shared" ref="E2322:E2367" si="17">C2322+_xlfn.FORECAST.ETS.CONFINT(A2322,$B$2:$B$2001,$A$2:$A$2001,0.95,12,1)</f>
        <v>35850.579276893579</v>
      </c>
    </row>
    <row r="2323" spans="1:5" x14ac:dyDescent="0.25">
      <c r="A2323" s="2">
        <v>46163</v>
      </c>
      <c r="C2323" s="9">
        <f t="shared" si="15"/>
        <v>7354.529038693554</v>
      </c>
      <c r="D2323" s="9">
        <f t="shared" si="16"/>
        <v>-20704.33306407358</v>
      </c>
      <c r="E2323" s="9">
        <f t="shared" si="17"/>
        <v>35413.391141460692</v>
      </c>
    </row>
    <row r="2324" spans="1:5" x14ac:dyDescent="0.25">
      <c r="A2324" s="2">
        <v>46164</v>
      </c>
      <c r="C2324" s="9">
        <f t="shared" si="15"/>
        <v>8716.284134250358</v>
      </c>
      <c r="D2324" s="9">
        <f t="shared" si="16"/>
        <v>-19434.234550142872</v>
      </c>
      <c r="E2324" s="9">
        <f t="shared" si="17"/>
        <v>36866.802818643591</v>
      </c>
    </row>
    <row r="2325" spans="1:5" x14ac:dyDescent="0.25">
      <c r="A2325" s="2">
        <v>46165</v>
      </c>
      <c r="C2325" s="9">
        <f t="shared" si="15"/>
        <v>10381.654994926268</v>
      </c>
      <c r="D2325" s="9">
        <f t="shared" si="16"/>
        <v>-17860.786705403094</v>
      </c>
      <c r="E2325" s="9">
        <f t="shared" si="17"/>
        <v>38624.096695255626</v>
      </c>
    </row>
    <row r="2326" spans="1:5" x14ac:dyDescent="0.25">
      <c r="A2326" s="2">
        <v>46166</v>
      </c>
      <c r="C2326" s="9">
        <f t="shared" si="15"/>
        <v>7876.9451292943759</v>
      </c>
      <c r="D2326" s="9">
        <f t="shared" si="16"/>
        <v>-20652.307402460909</v>
      </c>
      <c r="E2326" s="9">
        <f t="shared" si="17"/>
        <v>36406.197661049664</v>
      </c>
    </row>
    <row r="2327" spans="1:5" x14ac:dyDescent="0.25">
      <c r="A2327" s="2">
        <v>46167</v>
      </c>
      <c r="C2327" s="9">
        <f t="shared" si="15"/>
        <v>7929.9053965960748</v>
      </c>
      <c r="D2327" s="9">
        <f t="shared" si="16"/>
        <v>-20691.171768275268</v>
      </c>
      <c r="E2327" s="9">
        <f t="shared" si="17"/>
        <v>36550.982561467419</v>
      </c>
    </row>
    <row r="2328" spans="1:5" x14ac:dyDescent="0.25">
      <c r="A2328" s="2">
        <v>46168</v>
      </c>
      <c r="C2328" s="9">
        <f t="shared" si="15"/>
        <v>8077.0361449340717</v>
      </c>
      <c r="D2328" s="9">
        <f t="shared" si="16"/>
        <v>-20636.131773239598</v>
      </c>
      <c r="E2328" s="9">
        <f t="shared" si="17"/>
        <v>36790.20406310774</v>
      </c>
    </row>
    <row r="2329" spans="1:5" x14ac:dyDescent="0.25">
      <c r="A2329" s="2">
        <v>46169</v>
      </c>
      <c r="C2329" s="9">
        <f t="shared" si="15"/>
        <v>7851.5307907374508</v>
      </c>
      <c r="D2329" s="9">
        <f t="shared" si="16"/>
        <v>-20953.993152333263</v>
      </c>
      <c r="E2329" s="9">
        <f t="shared" si="17"/>
        <v>36657.054733808167</v>
      </c>
    </row>
    <row r="2330" spans="1:5" x14ac:dyDescent="0.25">
      <c r="A2330" s="2">
        <v>46170</v>
      </c>
      <c r="C2330" s="9">
        <f t="shared" si="15"/>
        <v>6171.6621169119717</v>
      </c>
      <c r="D2330" s="9">
        <f t="shared" si="16"/>
        <v>-22726.482277586245</v>
      </c>
      <c r="E2330" s="9">
        <f t="shared" si="17"/>
        <v>35069.806511410192</v>
      </c>
    </row>
    <row r="2331" spans="1:5" x14ac:dyDescent="0.25">
      <c r="A2331" s="2">
        <v>46171</v>
      </c>
      <c r="C2331" s="9">
        <f t="shared" si="15"/>
        <v>6005.2297340330588</v>
      </c>
      <c r="D2331" s="9">
        <f t="shared" si="16"/>
        <v>-22985.798696907157</v>
      </c>
      <c r="E2331" s="9">
        <f t="shared" si="17"/>
        <v>34996.258164973275</v>
      </c>
    </row>
    <row r="2332" spans="1:5" x14ac:dyDescent="0.25">
      <c r="A2332" s="2">
        <v>46172</v>
      </c>
      <c r="C2332" s="9">
        <f t="shared" si="15"/>
        <v>9791.6725704580585</v>
      </c>
      <c r="D2332" s="9">
        <f t="shared" si="16"/>
        <v>-19292.502643990905</v>
      </c>
      <c r="E2332" s="9">
        <f t="shared" si="17"/>
        <v>38875.847784907019</v>
      </c>
    </row>
    <row r="2333" spans="1:5" x14ac:dyDescent="0.25">
      <c r="A2333" s="2">
        <v>46173</v>
      </c>
      <c r="C2333" s="9">
        <f t="shared" si="15"/>
        <v>8765.6447364049163</v>
      </c>
      <c r="D2333" s="9">
        <f t="shared" si="16"/>
        <v>-20411.939174258758</v>
      </c>
      <c r="E2333" s="9">
        <f t="shared" si="17"/>
        <v>37943.228647068594</v>
      </c>
    </row>
    <row r="2334" spans="1:5" x14ac:dyDescent="0.25">
      <c r="A2334" s="2">
        <v>46174</v>
      </c>
      <c r="C2334" s="9">
        <f t="shared" si="15"/>
        <v>7882.4270120958126</v>
      </c>
      <c r="D2334" s="9">
        <f t="shared" si="16"/>
        <v>-21388.826676732453</v>
      </c>
      <c r="E2334" s="9">
        <f t="shared" si="17"/>
        <v>37153.68070092408</v>
      </c>
    </row>
    <row r="2335" spans="1:5" x14ac:dyDescent="0.25">
      <c r="A2335" s="2">
        <v>46175</v>
      </c>
      <c r="C2335" s="9">
        <f t="shared" si="15"/>
        <v>7353.8495940611929</v>
      </c>
      <c r="D2335" s="9">
        <f t="shared" si="16"/>
        <v>-22011.334127746788</v>
      </c>
      <c r="E2335" s="9">
        <f t="shared" si="17"/>
        <v>36719.033315869172</v>
      </c>
    </row>
    <row r="2336" spans="1:5" x14ac:dyDescent="0.25">
      <c r="A2336" s="2">
        <v>46176</v>
      </c>
      <c r="C2336" s="9">
        <f t="shared" si="15"/>
        <v>8715.604689617996</v>
      </c>
      <c r="D2336" s="9">
        <f t="shared" si="16"/>
        <v>-20743.76849648702</v>
      </c>
      <c r="E2336" s="9">
        <f t="shared" si="17"/>
        <v>38174.977875723009</v>
      </c>
    </row>
    <row r="2337" spans="1:5" x14ac:dyDescent="0.25">
      <c r="A2337" s="2">
        <v>46177</v>
      </c>
      <c r="C2337" s="9">
        <f t="shared" si="15"/>
        <v>10380.975550293908</v>
      </c>
      <c r="D2337" s="9">
        <f t="shared" si="16"/>
        <v>-19172.845711579201</v>
      </c>
      <c r="E2337" s="9">
        <f t="shared" si="17"/>
        <v>39934.796812167013</v>
      </c>
    </row>
    <row r="2338" spans="1:5" x14ac:dyDescent="0.25">
      <c r="A2338" s="2">
        <v>46178</v>
      </c>
      <c r="C2338" s="9">
        <f t="shared" si="15"/>
        <v>7876.2656846620157</v>
      </c>
      <c r="D2338" s="9">
        <f t="shared" si="16"/>
        <v>-21963.248428852952</v>
      </c>
      <c r="E2338" s="9">
        <f t="shared" si="17"/>
        <v>37715.779798176984</v>
      </c>
    </row>
    <row r="2339" spans="1:5" x14ac:dyDescent="0.25">
      <c r="A2339" s="2">
        <v>46179</v>
      </c>
      <c r="C2339" s="9">
        <f t="shared" si="15"/>
        <v>7929.2259519637146</v>
      </c>
      <c r="D2339" s="9">
        <f t="shared" si="16"/>
        <v>-22004.645130339519</v>
      </c>
      <c r="E2339" s="9">
        <f t="shared" si="17"/>
        <v>37863.097034266946</v>
      </c>
    </row>
    <row r="2340" spans="1:5" x14ac:dyDescent="0.25">
      <c r="A2340" s="2">
        <v>46180</v>
      </c>
      <c r="C2340" s="9">
        <f t="shared" si="15"/>
        <v>8076.3567003017106</v>
      </c>
      <c r="D2340" s="9">
        <f t="shared" si="16"/>
        <v>-21952.129725692474</v>
      </c>
      <c r="E2340" s="9">
        <f t="shared" si="17"/>
        <v>38104.843126295891</v>
      </c>
    </row>
    <row r="2341" spans="1:5" x14ac:dyDescent="0.25">
      <c r="A2341" s="2">
        <v>46181</v>
      </c>
      <c r="C2341" s="9">
        <f t="shared" si="15"/>
        <v>7850.8513461050898</v>
      </c>
      <c r="D2341" s="9">
        <f t="shared" si="16"/>
        <v>-22272.50799308818</v>
      </c>
      <c r="E2341" s="9">
        <f t="shared" si="17"/>
        <v>37974.210685298356</v>
      </c>
    </row>
    <row r="2342" spans="1:5" x14ac:dyDescent="0.25">
      <c r="A2342" s="2">
        <v>46182</v>
      </c>
      <c r="C2342" s="9">
        <f t="shared" si="15"/>
        <v>6170.9826722796115</v>
      </c>
      <c r="D2342" s="9">
        <f t="shared" si="16"/>
        <v>-24047.506347740687</v>
      </c>
      <c r="E2342" s="9">
        <f t="shared" si="17"/>
        <v>36389.471692299907</v>
      </c>
    </row>
    <row r="2343" spans="1:5" x14ac:dyDescent="0.25">
      <c r="A2343" s="2">
        <v>46183</v>
      </c>
      <c r="C2343" s="9">
        <f t="shared" si="15"/>
        <v>6004.5502894006986</v>
      </c>
      <c r="D2343" s="9">
        <f t="shared" si="16"/>
        <v>-24309.324380721751</v>
      </c>
      <c r="E2343" s="9">
        <f t="shared" si="17"/>
        <v>36318.424959523152</v>
      </c>
    </row>
    <row r="2344" spans="1:5" x14ac:dyDescent="0.25">
      <c r="A2344" s="2">
        <v>46184</v>
      </c>
      <c r="C2344" s="9">
        <f t="shared" si="15"/>
        <v>9790.9931258256984</v>
      </c>
      <c r="D2344" s="9">
        <f t="shared" si="16"/>
        <v>-20618.522368860795</v>
      </c>
      <c r="E2344" s="9">
        <f t="shared" si="17"/>
        <v>40200.508620512192</v>
      </c>
    </row>
    <row r="2345" spans="1:5" x14ac:dyDescent="0.25">
      <c r="A2345" s="2">
        <v>46185</v>
      </c>
      <c r="C2345" s="9">
        <f t="shared" si="15"/>
        <v>8764.9652917725562</v>
      </c>
      <c r="D2345" s="9">
        <f t="shared" si="16"/>
        <v>-21740.44541067737</v>
      </c>
      <c r="E2345" s="9">
        <f t="shared" si="17"/>
        <v>39270.375994222479</v>
      </c>
    </row>
    <row r="2346" spans="1:5" x14ac:dyDescent="0.25">
      <c r="A2346" s="2">
        <v>46186</v>
      </c>
      <c r="C2346" s="9">
        <f t="shared" si="15"/>
        <v>7881.7475674634516</v>
      </c>
      <c r="D2346" s="9">
        <f t="shared" si="16"/>
        <v>-22719.811938248</v>
      </c>
      <c r="E2346" s="9">
        <f t="shared" si="17"/>
        <v>38483.307073174903</v>
      </c>
    </row>
    <row r="2347" spans="1:5" x14ac:dyDescent="0.25">
      <c r="A2347" s="2">
        <v>46187</v>
      </c>
      <c r="C2347" s="9">
        <f t="shared" si="15"/>
        <v>7353.1701494288327</v>
      </c>
      <c r="D2347" s="9">
        <f t="shared" si="16"/>
        <v>-23344.790970911647</v>
      </c>
      <c r="E2347" s="9">
        <f t="shared" si="17"/>
        <v>38051.131269769314</v>
      </c>
    </row>
    <row r="2348" spans="1:5" x14ac:dyDescent="0.25">
      <c r="A2348" s="2">
        <v>46188</v>
      </c>
      <c r="C2348" s="9">
        <f t="shared" si="15"/>
        <v>8714.9252449856358</v>
      </c>
      <c r="D2348" s="9">
        <f t="shared" si="16"/>
        <v>-22079.689520800253</v>
      </c>
      <c r="E2348" s="9">
        <f t="shared" si="17"/>
        <v>39509.540010771525</v>
      </c>
    </row>
    <row r="2349" spans="1:5" x14ac:dyDescent="0.25">
      <c r="A2349" s="2">
        <v>46189</v>
      </c>
      <c r="C2349" s="9">
        <f t="shared" si="15"/>
        <v>10380.296105661548</v>
      </c>
      <c r="D2349" s="9">
        <f t="shared" si="16"/>
        <v>-20511.223559422389</v>
      </c>
      <c r="E2349" s="9">
        <f t="shared" si="17"/>
        <v>41271.815770745488</v>
      </c>
    </row>
    <row r="2350" spans="1:5" x14ac:dyDescent="0.25">
      <c r="A2350" s="2">
        <v>46190</v>
      </c>
      <c r="C2350" s="9">
        <f t="shared" si="15"/>
        <v>7875.5862400296555</v>
      </c>
      <c r="D2350" s="9">
        <f t="shared" si="16"/>
        <v>-23300.58875656184</v>
      </c>
      <c r="E2350" s="9">
        <f t="shared" si="17"/>
        <v>39051.761236621154</v>
      </c>
    </row>
    <row r="2351" spans="1:5" x14ac:dyDescent="0.25">
      <c r="A2351" s="2">
        <v>46191</v>
      </c>
      <c r="C2351" s="9">
        <f t="shared" si="15"/>
        <v>7928.5465073313535</v>
      </c>
      <c r="D2351" s="9">
        <f t="shared" si="16"/>
        <v>-23344.449584568501</v>
      </c>
      <c r="E2351" s="9">
        <f t="shared" si="17"/>
        <v>39201.542599231208</v>
      </c>
    </row>
    <row r="2352" spans="1:5" x14ac:dyDescent="0.25">
      <c r="A2352" s="2">
        <v>46192</v>
      </c>
      <c r="C2352" s="9">
        <f t="shared" si="15"/>
        <v>8075.6772556693504</v>
      </c>
      <c r="D2352" s="9">
        <f t="shared" si="16"/>
        <v>-23294.391013187837</v>
      </c>
      <c r="E2352" s="9">
        <f t="shared" si="17"/>
        <v>39445.745524526537</v>
      </c>
    </row>
    <row r="2353" spans="1:5" x14ac:dyDescent="0.25">
      <c r="A2353" s="2">
        <v>46193</v>
      </c>
      <c r="C2353" s="9">
        <f t="shared" si="15"/>
        <v>7850.1719014727296</v>
      </c>
      <c r="D2353" s="9">
        <f t="shared" si="16"/>
        <v>-23617.218861973626</v>
      </c>
      <c r="E2353" s="9">
        <f t="shared" si="17"/>
        <v>39317.562664919082</v>
      </c>
    </row>
    <row r="2354" spans="1:5" x14ac:dyDescent="0.25">
      <c r="A2354" s="2">
        <v>46194</v>
      </c>
      <c r="C2354" s="9">
        <f t="shared" si="15"/>
        <v>6170.3032276472513</v>
      </c>
      <c r="D2354" s="9">
        <f t="shared" si="16"/>
        <v>-25394.659587458191</v>
      </c>
      <c r="E2354" s="9">
        <f t="shared" si="17"/>
        <v>37735.266042752693</v>
      </c>
    </row>
    <row r="2355" spans="1:5" x14ac:dyDescent="0.25">
      <c r="A2355" s="2">
        <v>46195</v>
      </c>
      <c r="C2355" s="9">
        <f t="shared" si="15"/>
        <v>6003.8708447683384</v>
      </c>
      <c r="D2355" s="9">
        <f t="shared" si="16"/>
        <v>-25658.912821966391</v>
      </c>
      <c r="E2355" s="9">
        <f t="shared" si="17"/>
        <v>37666.654511503068</v>
      </c>
    </row>
    <row r="2356" spans="1:5" x14ac:dyDescent="0.25">
      <c r="A2356" s="2">
        <v>46196</v>
      </c>
      <c r="C2356" s="9">
        <f t="shared" si="15"/>
        <v>9790.3136811933364</v>
      </c>
      <c r="D2356" s="9">
        <f t="shared" si="16"/>
        <v>-21970.538883509525</v>
      </c>
      <c r="E2356" s="9">
        <f t="shared" si="17"/>
        <v>41551.166245896195</v>
      </c>
    </row>
    <row r="2357" spans="1:5" x14ac:dyDescent="0.25">
      <c r="A2357" s="2">
        <v>46197</v>
      </c>
      <c r="C2357" s="9">
        <f t="shared" si="15"/>
        <v>8764.285847140196</v>
      </c>
      <c r="D2357" s="9">
        <f t="shared" si="16"/>
        <v>-23094.882911712204</v>
      </c>
      <c r="E2357" s="9">
        <f t="shared" si="17"/>
        <v>40623.454605992592</v>
      </c>
    </row>
    <row r="2358" spans="1:5" x14ac:dyDescent="0.25">
      <c r="A2358" s="2">
        <v>46198</v>
      </c>
      <c r="C2358" s="9">
        <f t="shared" si="15"/>
        <v>7881.0681228310914</v>
      </c>
      <c r="D2358" s="9">
        <f t="shared" si="16"/>
        <v>-24076.663379673555</v>
      </c>
      <c r="E2358" s="9">
        <f t="shared" si="17"/>
        <v>39838.799625335741</v>
      </c>
    </row>
    <row r="2359" spans="1:5" x14ac:dyDescent="0.25">
      <c r="A2359" s="2">
        <v>46199</v>
      </c>
      <c r="C2359" s="9">
        <f t="shared" si="15"/>
        <v>7352.4907047964725</v>
      </c>
      <c r="D2359" s="9">
        <f t="shared" si="16"/>
        <v>-24704.049347667362</v>
      </c>
      <c r="E2359" s="9">
        <f t="shared" si="17"/>
        <v>39409.030757260305</v>
      </c>
    </row>
    <row r="2360" spans="1:5" x14ac:dyDescent="0.25">
      <c r="A2360" s="2">
        <v>46200</v>
      </c>
      <c r="C2360" s="9">
        <f t="shared" si="15"/>
        <v>8714.2458003532756</v>
      </c>
      <c r="D2360" s="9">
        <f t="shared" si="16"/>
        <v>-23441.347868667304</v>
      </c>
      <c r="E2360" s="9">
        <f t="shared" si="17"/>
        <v>40869.839469373852</v>
      </c>
    </row>
    <row r="2361" spans="1:5" x14ac:dyDescent="0.25">
      <c r="A2361" s="2">
        <v>46201</v>
      </c>
      <c r="C2361" s="9">
        <f t="shared" si="15"/>
        <v>10379.616661029188</v>
      </c>
      <c r="D2361" s="9">
        <f t="shared" si="16"/>
        <v>-21875.274954925677</v>
      </c>
      <c r="E2361" s="9">
        <f t="shared" si="17"/>
        <v>42634.508276984052</v>
      </c>
    </row>
    <row r="2362" spans="1:5" x14ac:dyDescent="0.25">
      <c r="A2362" s="2">
        <v>46202</v>
      </c>
      <c r="C2362" s="9">
        <f t="shared" si="15"/>
        <v>7874.9067953972944</v>
      </c>
      <c r="D2362" s="9">
        <f t="shared" si="16"/>
        <v>-24663.681319714549</v>
      </c>
      <c r="E2362" s="9">
        <f t="shared" si="17"/>
        <v>40413.494910509136</v>
      </c>
    </row>
    <row r="2363" spans="1:5" x14ac:dyDescent="0.25">
      <c r="A2363" s="2">
        <v>46203</v>
      </c>
      <c r="C2363" s="9">
        <f t="shared" si="15"/>
        <v>7927.8670626989933</v>
      </c>
      <c r="D2363" s="9">
        <f t="shared" si="16"/>
        <v>-24709.942448595422</v>
      </c>
      <c r="E2363" s="9">
        <f t="shared" si="17"/>
        <v>40565.676573993405</v>
      </c>
    </row>
    <row r="2364" spans="1:5" x14ac:dyDescent="0.25">
      <c r="A2364" s="2">
        <v>46204</v>
      </c>
      <c r="C2364" s="9">
        <f t="shared" si="15"/>
        <v>8074.9978110369902</v>
      </c>
      <c r="D2364" s="9">
        <f t="shared" si="16"/>
        <v>-24662.277307840668</v>
      </c>
      <c r="E2364" s="9">
        <f t="shared" si="17"/>
        <v>40812.272929914645</v>
      </c>
    </row>
    <row r="2365" spans="1:5" x14ac:dyDescent="0.25">
      <c r="A2365" s="2">
        <v>46205</v>
      </c>
      <c r="C2365" s="9">
        <f t="shared" si="15"/>
        <v>7849.4924568403694</v>
      </c>
      <c r="D2365" s="9">
        <f t="shared" si="16"/>
        <v>-24987.491756399086</v>
      </c>
      <c r="E2365" s="9">
        <f t="shared" si="17"/>
        <v>40686.476670079821</v>
      </c>
    </row>
    <row r="2366" spans="1:5" x14ac:dyDescent="0.25">
      <c r="A2366" s="2">
        <v>46206</v>
      </c>
      <c r="C2366" s="9">
        <f t="shared" si="15"/>
        <v>6169.6237830148912</v>
      </c>
      <c r="D2366" s="9">
        <f t="shared" si="16"/>
        <v>-26767.312290106631</v>
      </c>
      <c r="E2366" s="9">
        <f t="shared" si="17"/>
        <v>39106.55985613641</v>
      </c>
    </row>
    <row r="2367" spans="1:5" x14ac:dyDescent="0.25">
      <c r="A2367" s="2">
        <v>46207</v>
      </c>
      <c r="C2367" s="9">
        <f t="shared" si="15"/>
        <v>6003.1914001359773</v>
      </c>
      <c r="D2367" s="9">
        <f t="shared" si="16"/>
        <v>-27033.938580495771</v>
      </c>
      <c r="E2367" s="9">
        <f t="shared" si="17"/>
        <v>39040.321380767724</v>
      </c>
    </row>
  </sheetData>
  <conditionalFormatting sqref="B1:B1048576">
    <cfRule type="colorScale" priority="1">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F404C-96B3-403E-B19B-42A13B543394}">
  <dimension ref="A1:B22"/>
  <sheetViews>
    <sheetView workbookViewId="0">
      <selection activeCell="A16" sqref="A16"/>
    </sheetView>
  </sheetViews>
  <sheetFormatPr defaultRowHeight="15" x14ac:dyDescent="0.25"/>
  <cols>
    <col min="1" max="1" width="35.85546875" bestFit="1" customWidth="1"/>
    <col min="2" max="2" width="51.85546875" bestFit="1" customWidth="1"/>
  </cols>
  <sheetData>
    <row r="1" spans="1:2" x14ac:dyDescent="0.25">
      <c r="A1" s="18"/>
      <c r="B1" s="18"/>
    </row>
    <row r="2" spans="1:2" x14ac:dyDescent="0.25">
      <c r="A2" s="19" t="s">
        <v>2079</v>
      </c>
      <c r="B2" s="20">
        <f>GETPIVOTDATA("Sum of Sales",Pivot_Analysis!$D$2,"Region","North")</f>
        <v>4713200</v>
      </c>
    </row>
    <row r="3" spans="1:2" x14ac:dyDescent="0.25">
      <c r="A3" s="19" t="s">
        <v>2080</v>
      </c>
      <c r="B3" s="20">
        <f>GETPIVOTDATA("Sum of Profit",Pivot_Analysis!$D$2,"Region","North")</f>
        <v>4008795</v>
      </c>
    </row>
    <row r="4" spans="1:2" x14ac:dyDescent="0.25">
      <c r="A4" s="19"/>
      <c r="B4" s="18"/>
    </row>
    <row r="5" spans="1:2" x14ac:dyDescent="0.25">
      <c r="A5" s="19" t="s">
        <v>2081</v>
      </c>
      <c r="B5" s="18" t="str">
        <f>IF(B3/B2&lt;0.15,"⚠ North region has low profitability","✔ North region is performing well")</f>
        <v>✔ North region is performing well</v>
      </c>
    </row>
    <row r="6" spans="1:2" x14ac:dyDescent="0.25">
      <c r="A6" s="19"/>
      <c r="B6" s="18"/>
    </row>
    <row r="7" spans="1:2" x14ac:dyDescent="0.25">
      <c r="A7" s="19" t="s">
        <v>2082</v>
      </c>
      <c r="B7" s="18">
        <f>GETPIVOTDATA("[Measures].[Average of Profit_Margin]",Pivot_Analysis!$H$2,"[Sales_Data3].[Product_Category]","[Sales_Data3].[Product_Category].&amp;[Electronics]")</f>
        <v>0.84999999999999987</v>
      </c>
    </row>
    <row r="8" spans="1:2" x14ac:dyDescent="0.25">
      <c r="A8" s="19" t="s">
        <v>2083</v>
      </c>
      <c r="B8" s="18" t="str">
        <f>IF(B7&lt;0.2,"⚠ High discounts are reducing profitability","✔ Discount strategy is healthy")</f>
        <v>✔ Discount strategy is healthy</v>
      </c>
    </row>
    <row r="9" spans="1:2" x14ac:dyDescent="0.25">
      <c r="A9" s="19"/>
      <c r="B9" s="18"/>
    </row>
    <row r="10" spans="1:2" x14ac:dyDescent="0.25">
      <c r="A10" s="19" t="s">
        <v>2084</v>
      </c>
      <c r="B10" s="18" t="str">
        <f>Pivot_Analysis!H3</f>
        <v>Electronics</v>
      </c>
    </row>
    <row r="11" spans="1:2" x14ac:dyDescent="0.25">
      <c r="A11" s="19"/>
      <c r="B11" s="18" t="str">
        <f>"↗Best Performing Category: "&amp;B10</f>
        <v>↗Best Performing Category: Electronics</v>
      </c>
    </row>
    <row r="12" spans="1:2" x14ac:dyDescent="0.25">
      <c r="A12" s="19"/>
      <c r="B12" s="18"/>
    </row>
    <row r="13" spans="1:2" x14ac:dyDescent="0.25">
      <c r="A13" s="19" t="s">
        <v>2085</v>
      </c>
      <c r="B13" s="18" t="str">
        <f>Pivot_Analysis!L5</f>
        <v>Home Office</v>
      </c>
    </row>
    <row r="14" spans="1:2" x14ac:dyDescent="0.25">
      <c r="A14" s="19"/>
      <c r="B14" s="18" t="str">
        <f>"↘ Lowest Performing Customer Segment: "&amp;B13</f>
        <v>↘ Lowest Performing Customer Segment: Home Office</v>
      </c>
    </row>
    <row r="16" spans="1:2" x14ac:dyDescent="0.25">
      <c r="A16" s="23" t="s">
        <v>2101</v>
      </c>
      <c r="B16" t="s">
        <v>2097</v>
      </c>
    </row>
    <row r="18" spans="2:2" x14ac:dyDescent="0.25">
      <c r="B18" t="s">
        <v>2098</v>
      </c>
    </row>
    <row r="20" spans="2:2" x14ac:dyDescent="0.25">
      <c r="B20" t="s">
        <v>2099</v>
      </c>
    </row>
    <row r="22" spans="2:2" x14ac:dyDescent="0.25">
      <c r="B22" t="s">
        <v>2100</v>
      </c>
    </row>
  </sheetData>
  <conditionalFormatting sqref="B1:B15 B23:B1048576">
    <cfRule type="containsText" dxfId="2" priority="1" operator="containsText" text="lowest">
      <formula>NOT(ISERROR(SEARCH("lowest",B1)))</formula>
    </cfRule>
    <cfRule type="containsText" dxfId="1" priority="2" operator="containsText" text="best">
      <formula>NOT(ISERROR(SEARCH("best",B1)))</formula>
    </cfRule>
    <cfRule type="containsText" dxfId="0" priority="3" operator="containsText" text="is">
      <formula>NOT(ISERROR(SEARCH("is",B1)))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A87F6-E190-487C-A2A3-BA9407E46116}">
  <dimension ref="A1:C6"/>
  <sheetViews>
    <sheetView workbookViewId="0">
      <selection activeCell="G15" sqref="G15"/>
    </sheetView>
  </sheetViews>
  <sheetFormatPr defaultRowHeight="15" x14ac:dyDescent="0.25"/>
  <cols>
    <col min="2" max="2" width="11.42578125" customWidth="1"/>
    <col min="3" max="3" width="43.7109375" bestFit="1" customWidth="1"/>
  </cols>
  <sheetData>
    <row r="1" spans="1:3" ht="26.25" customHeight="1" x14ac:dyDescent="0.25">
      <c r="A1" s="21" t="s">
        <v>2086</v>
      </c>
      <c r="B1" s="21" t="s">
        <v>2087</v>
      </c>
      <c r="C1" s="21" t="s">
        <v>2088</v>
      </c>
    </row>
    <row r="2" spans="1:3" ht="30" x14ac:dyDescent="0.25">
      <c r="A2" s="17" t="s">
        <v>2089</v>
      </c>
      <c r="B2" s="17">
        <f>GETPIVOTDATA("[Measures].[Average of Profit_Margin]",Pivot_Analysis!$H$2,"[Sales_Data3].[Product_Category]","[Sales_Data3].[Product_Category].&amp;[Electronics]")</f>
        <v>0.84999999999999987</v>
      </c>
      <c r="C2" s="17" t="str">
        <f>IF(B2&lt;0.1,"Reduce discounts or costs","Maintain current pricing")</f>
        <v>Maintain current pricing</v>
      </c>
    </row>
    <row r="3" spans="1:3" ht="30" x14ac:dyDescent="0.25">
      <c r="A3" s="17" t="s">
        <v>2090</v>
      </c>
      <c r="B3" s="17">
        <f>GETPIVOTDATA("Discount",Pivot_Analysis!$P$1)</f>
        <v>0.15</v>
      </c>
      <c r="C3" s="17" t="str">
        <f>IF(B3&gt;0.2,"High discounts hurting profit","Discount level acceptable")</f>
        <v>Discount level acceptable</v>
      </c>
    </row>
    <row r="4" spans="1:3" ht="30" x14ac:dyDescent="0.25">
      <c r="A4" s="17" t="s">
        <v>2091</v>
      </c>
      <c r="B4" s="17" t="str">
        <f>Pivot_Analysis!D3</f>
        <v>East</v>
      </c>
      <c r="C4" s="17" t="str">
        <f>"Promote products in "&amp;B4&amp;" region"</f>
        <v>Promote products in East region</v>
      </c>
    </row>
    <row r="5" spans="1:3" ht="30" x14ac:dyDescent="0.25">
      <c r="A5" s="17" t="s">
        <v>2092</v>
      </c>
      <c r="B5" s="17" t="str">
        <f>Pivot_Analysis!H3</f>
        <v>Electronics</v>
      </c>
      <c r="C5" s="17" t="str">
        <f>"Increase inventory and ads for "&amp;B5</f>
        <v>Increase inventory and ads for Electronics</v>
      </c>
    </row>
    <row r="6" spans="1:3" ht="30" x14ac:dyDescent="0.25">
      <c r="A6" s="17" t="s">
        <v>2093</v>
      </c>
      <c r="B6" s="21" t="str">
        <f>Pivot_Analysis!L5</f>
        <v>Home Office</v>
      </c>
      <c r="C6" s="21" t="str">
        <f>"Re-strategize offers for "&amp;B6&amp;" customers"</f>
        <v>Re-strategize offers for Home Office customers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Raw_Data</vt:lpstr>
      <vt:lpstr>Cleaned_Data</vt:lpstr>
      <vt:lpstr>Pivot_Analysis</vt:lpstr>
      <vt:lpstr>AI_Forecast</vt:lpstr>
      <vt:lpstr>AI_Insights</vt:lpstr>
      <vt:lpstr>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dgn</dc:creator>
  <cp:lastModifiedBy>dgn</cp:lastModifiedBy>
  <dcterms:created xsi:type="dcterms:W3CDTF">2026-01-19T10:30:22Z</dcterms:created>
  <dcterms:modified xsi:type="dcterms:W3CDTF">2026-01-20T14:57:28Z</dcterms:modified>
</cp:coreProperties>
</file>